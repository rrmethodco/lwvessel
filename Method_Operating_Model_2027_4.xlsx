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LW Assumptions" sheetId="9" state="visible" r:id="rId11"/>
    <sheet name="LW P&amp;L" sheetId="10" state="visible" r:id="rId12"/>
    <sheet name="LW Budget" sheetId="11" state="visible" r:id="rId13"/>
    <sheet name="LW Labor Model" sheetId="12" state="visible" r:id="rId14"/>
    <sheet name="LW Weekly Compare" sheetId="13" state="visible" r:id="rId15"/>
    <sheet name="LW Shift Detail" sheetId="14" state="visible" r:id="rId16"/>
    <sheet name="LW GL Basis" sheetId="15" state="visible" r:id="rId17"/>
    <sheet name="LW Menu Pricing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<sst xmlns="http://schemas.openxmlformats.org/spreadsheetml/2006/main" count="643" uniqueCount="484">
  <si>
    <t xml:space="preserve">METHOD TERRAPIN — SCENARIO SUMMARY</t>
  </si>
  <si>
    <t xml:space="preserve">T12 (GL actual) · 2026 Forecast (status quo) · 2026 Modified (changes from Aug 1 go-live, see 2026 Bridge) · 2027 Plan · blue = external actuals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</si>
  <si>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</si>
  <si>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</si>
  <si>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</si>
  <si>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</si>
  <si>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</si>
  <si>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Revenue</t>
  </si>
  <si>
    <t xml:space="preserve">Cost of goods sold</t>
  </si>
  <si>
    <t xml:space="preserve">GROSS PROFIT</t>
  </si>
  <si>
    <t xml:space="preserve">Labor</t>
  </si>
  <si>
    <t xml:space="preserve">Operating expenses (excl fees &amp; rent)</t>
  </si>
  <si>
    <t xml:space="preserve">Management fee</t>
  </si>
  <si>
    <t xml:space="preserve">Admin fee (Vessel 5% of F&amp;B)</t>
  </si>
  <si>
    <t xml:space="preserve">Rent / occupancy</t>
  </si>
  <si>
    <t xml:space="preserve">NET OPERATING INCOME</t>
  </si>
  <si>
    <t xml:space="preserve">NOI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</si>
  <si>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</si>
  <si>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</si>
  <si>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</si>
  <si>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</si>
  <si>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</si>
  <si>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</si>
  <si>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</si>
  <si>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</si>
  <si>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</si>
  <si>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</si>
  <si>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</si>
  <si>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</si>
  <si>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</si>
  <si>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</si>
  <si>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</si>
  <si>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</si>
  <si>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</si>
  <si>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</si>
  <si>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</si>
  <si>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</si>
  <si>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</si>
  <si>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</si>
  <si>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</si>
  <si>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</si>
  <si>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</si>
  <si>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</si>
  <si>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</si>
  <si>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METHOD TERRAPIN — CONSOLIDATED P&amp;L 2027</t>
  </si>
  <si>
    <t xml:space="preserve">Vessel (events) + Little Wing (coffee) · FY roll-up · management fee (4%) &amp; rent above NOI · $ and % of revenue</t>
  </si>
  <si>
    <t xml:space="preserve">FY 2027</t>
  </si>
  <si>
    <t xml:space="preserve">Vessel</t>
  </si>
  <si>
    <t xml:space="preserve">Little Wing</t>
  </si>
  <si>
    <t xml:space="preserve">Consolidated</t>
  </si>
  <si>
    <t xml:space="preserve">$</t>
  </si>
  <si>
    <t xml:space="preserve">% rev</t>
  </si>
  <si>
    <t xml:space="preserve">Credit card fees</t>
  </si>
  <si>
    <t xml:space="preserve">Controllable expenses</t>
  </si>
  <si>
    <t xml:space="preserve">Non-controllable expenses</t>
  </si>
  <si>
    <t xml:space="preserve">Management fee  (4% of revenue)</t>
  </si>
  <si>
    <t xml:space="preserve">Admin fee  (Vessel 5% of F&amp;B)</t>
  </si>
  <si>
    <t xml:space="preserve">Rent  (Vessel $0 / LW 6%)</t>
  </si>
  <si>
    <t xml:space="preserve">Total operating expenses</t>
  </si>
  <si>
    <t xml:space="preserve">NET OPERATING INCOME  (after mgmt fee, admin fee &amp; rent)</t>
  </si>
  <si>
    <t xml:space="preserve">CONSOLIDATED NOI BY MONTH  (after mgmt fee &amp; rent)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</si>
  <si>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</si>
  <si>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</si>
  <si>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</si>
  <si>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</si>
  <si>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</si>
  <si>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</si>
  <si>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</si>
  <si>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</si>
  <si>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</si>
  <si>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</si>
  <si>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</si>
  <si>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</si>
  <si>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</si>
  <si>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</si>
  <si>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 12-MONTH P&amp;L  (2027 PLAN)</t>
  </si>
  <si>
    <t xml:space="preserve">Vessel + Little Wing · monthly · mgmt fee (4%), admin fee (Vessel 5% F&amp;B) &amp; rent above NOI</t>
  </si>
  <si>
    <t xml:space="preserve">($)</t>
  </si>
  <si>
    <t xml:space="preserve">Management fee (4% of revenue)</t>
  </si>
  <si>
    <t xml:space="preserve">Rent (Vessel $0 / LW 6%)</t>
  </si>
  <si>
    <t xml:space="preserve">VESSEL EVENTS  —  2027 OPERATING SUMMARY</t>
  </si>
  <si>
    <t xml:space="preserve">ANNUAL P&amp;L</t>
  </si>
  <si>
    <t xml:space="preserve">KEY METRICS</t>
  </si>
  <si>
    <t xml:space="preserve">Total revenue</t>
  </si>
  <si>
    <t xml:space="preserve">Net operating margin</t>
  </si>
  <si>
    <t xml:space="preserve">Total COGS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</si>
  <si>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</si>
  <si>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</si>
  <si>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</si>
  <si>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</si>
  <si>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</si>
  <si>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</si>
  <si>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</si>
  <si>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</si>
  <si>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</si>
  <si>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</si>
  <si>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</si>
  <si>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Admin fee (5% of F&amp;B)</t>
  </si>
  <si>
    <t xml:space="preserve">Rent / occupancy (none)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</si>
  <si>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</si>
  <si>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</si>
  <si>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</si>
  <si>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</si>
  <si>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</si>
  <si>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</si>
  <si>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</si>
  <si>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</si>
  <si>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</si>
  <si>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</si>
  <si>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</si>
  <si>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</si>
  <si>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</si>
  <si>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</si>
  <si>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</si>
  <si>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</si>
  <si>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</si>
  <si>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</si>
  <si>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</si>
  <si>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</si>
  <si>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</si>
  <si>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</si>
  <si>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</si>
  <si>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</si>
  <si>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</si>
  <si>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</si>
  <si>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</si>
  <si>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</si>
  <si>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</si>
  <si>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</si>
  <si>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</si>
  <si>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</si>
  <si>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</si>
  <si>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</si>
  <si>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</si>
  <si>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</si>
  <si>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2027 BUDGET</t>
  </si>
  <si>
    <t xml:space="preserve">$ per month · management fee (4% of revenue) &amp; rent shown above NOI · driven by Vessel Assumptions</t>
  </si>
  <si>
    <t xml:space="preserve">($ / % of revenue)</t>
  </si>
  <si>
    <t xml:space="preserve">Events (2026 run-rate)</t>
  </si>
  <si>
    <t xml:space="preserve">Events (budgeted, whole)</t>
  </si>
  <si>
    <t xml:space="preserve">Food revenue</t>
  </si>
  <si>
    <t xml:space="preserve">Beverage revenue</t>
  </si>
  <si>
    <t xml:space="preserve">Service charge</t>
  </si>
  <si>
    <t xml:space="preserve">TOTAL REVENUE</t>
  </si>
  <si>
    <t xml:space="preserve">Food COGS  (% of food sales)</t>
  </si>
  <si>
    <t xml:space="preserve">Beverage COGS  (% of bev sales)</t>
  </si>
  <si>
    <t xml:space="preserve">TOTAL COGS</t>
  </si>
  <si>
    <t xml:space="preserve">Management labor  (GL FOH mgmt)</t>
  </si>
  <si>
    <t xml:space="preserve">Payroll taxes &amp; benefits</t>
  </si>
  <si>
    <t xml:space="preserve">TOTAL LABOR</t>
  </si>
  <si>
    <t xml:space="preserve">PRIME COST</t>
  </si>
  <si>
    <t xml:space="preserve">Controllable expenses (excl CC)</t>
  </si>
  <si>
    <t xml:space="preserve">Credit card fees  (2.5% of revenue)</t>
  </si>
  <si>
    <t xml:space="preserve">Non-controllable  (insurance, legal, reserves)</t>
  </si>
  <si>
    <t xml:space="preserve">Management fee  (4% of revenue → Method)</t>
  </si>
  <si>
    <t xml:space="preserve">Admin fee  (5% of F&amp;B revenue → Method)</t>
  </si>
  <si>
    <t xml:space="preserve">Rent / occupancy  (Vessel: none)</t>
  </si>
  <si>
    <t xml:space="preserve">Management fee = 4% of revenue; admin fee = 5% of food+beverage; Vessel has no separate rent. NOI is the bottom line.</t>
  </si>
  <si>
    <t xml:space="preserve">VESSEL — GL COST BASIS</t>
  </si>
  <si>
    <t xml:space="preserve">Jan–May run-rate · controllable vs non-controllable (CC fees now variable, shown for reference)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</si>
  <si>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</si>
  <si>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</si>
  <si>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</si>
  <si>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</si>
  <si>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</si>
  <si>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</si>
  <si>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</si>
  <si>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</si>
  <si>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</si>
  <si>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</si>
  <si>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</si>
  <si>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Utilities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</si>
  <si>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</si>
  <si>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</si>
  <si>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</si>
  <si>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</si>
  <si>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</si>
  <si>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</si>
  <si>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</si>
  <si>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</si>
  <si>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</si>
  <si>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</si>
  <si>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</si>
  <si>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LITTLE WING  ·  COFFEE SHOP MODEL</t>
  </si>
  <si>
    <t xml:space="preserve">Single-shift efficiency model — 6am–4pm staffed (2nd barista Sat/Sun), self-serve/retail after 4pm (front desk, no cafe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</si>
  <si>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</si>
  <si>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</si>
  <si>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</si>
  <si>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</si>
  <si>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</si>
  <si>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</si>
  <si>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</si>
  <si>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</si>
  <si>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</si>
  <si>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</si>
  <si>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</si>
  <si>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</si>
  <si>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</si>
  <si>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</si>
  <si>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</si>
  <si>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</si>
  <si>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</si>
  <si>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+ 2nd barista on peak days)</t>
  </si>
  <si>
    <t xml:space="preserve">Opener/supervisor hours/day</t>
  </si>
  <si>
    <t xml:space="preserve">6am–4pm · one barista/supervisor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</si>
  <si>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</si>
  <si>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</si>
  <si>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</si>
  <si>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</si>
  <si>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</si>
  <si>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</si>
  <si>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&amp; cooks eliminated (self-serve/prepackaged)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</si>
  <si>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</si>
  <si>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</si>
  <si>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</si>
  <si>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</si>
  <si>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</si>
  <si>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</si>
  <si>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</si>
  <si>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</si>
  <si>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OWNER CHARGES  (above NOI · 4% mgmt fee + rent)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</si>
  <si>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</si>
  <si>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</si>
  <si>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</si>
  <si>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</si>
  <si>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</si>
  <si>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</si>
  <si>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</si>
  <si>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</si>
  <si>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</si>
  <si>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</si>
  <si>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</si>
  <si>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</si>
  <si>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</si>
  <si>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</si>
  <si>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— 2027 P&amp;L</t>
  </si>
  <si>
    <t xml:space="preserve">Current staffing vs adjusted single-shift (6am–4pm, wknd 2nd barista) · annual · the gap is almost entirely labor</t>
  </si>
  <si>
    <t xml:space="preserve">Current</t>
  </si>
  <si>
    <t xml:space="preserve">Adjusted</t>
  </si>
  <si>
    <t xml:space="preserve">NA / Coffee revenue</t>
  </si>
  <si>
    <t xml:space="preserve">Alcohol revenue</t>
  </si>
  <si>
    <t xml:space="preserve">Retail / merch revenue</t>
  </si>
  <si>
    <t xml:space="preserve">Other revenue</t>
  </si>
  <si>
    <t xml:space="preserve">Food COGS</t>
  </si>
  <si>
    <t xml:space="preserve">NA / Coffee COGS</t>
  </si>
  <si>
    <t xml:space="preserve">Alcohol COGS</t>
  </si>
  <si>
    <t xml:space="preserve">Retail COGS</t>
  </si>
  <si>
    <t xml:space="preserve">Other COGS</t>
  </si>
  <si>
    <t xml:space="preserve">Rent  (6% of revenue)</t>
  </si>
  <si>
    <t xml:space="preserve">TOTAL COSTS BELOW GROSS</t>
  </si>
  <si>
    <t xml:space="preserve">NET OPERATING INCOME  (after mgmt fee &amp; rent)</t>
  </si>
  <si>
    <t xml:space="preserve">Labor savings from the single-shift model:</t>
  </si>
  <si>
    <t xml:space="preserve">Both columns use go-forward owner terms (4% mgmt fee + 6% rent) so the gap is purely the labor model. Management fee now scales with revenue (replaces the $48K flat fee).</t>
  </si>
  <si>
    <t xml:space="preserve">LITTLE WING — 2027 BUDGET</t>
  </si>
  <si>
    <t xml:space="preserve">Adjusted single-shift model (6am–4pm) · $ and % of revenue each month · driven by LW Assumptions</t>
  </si>
  <si>
    <t xml:space="preserve">Revenue index (Jan–Jun = actual Toast · avg = 1.00)</t>
  </si>
  <si>
    <t xml:space="preserve">Retail / merch revenue  (incl. uplift)</t>
  </si>
  <si>
    <t xml:space="preserve">TOTAL REVENUE  (incl. price increase)</t>
  </si>
  <si>
    <t xml:space="preserve">NA / Coffee COGS  (% of NA sales)</t>
  </si>
  <si>
    <t xml:space="preserve">Alcohol COGS  (% of alc sales)</t>
  </si>
  <si>
    <t xml:space="preserve">Retail COGS  (% of retail sales)</t>
  </si>
  <si>
    <t xml:space="preserve">Other COGS  (% of other sales)</t>
  </si>
  <si>
    <t xml:space="preserve">Labor  (single 6am–4pm shift + wknd 2nd barista)</t>
  </si>
  <si>
    <t xml:space="preserve">Monthly revenue index = actual Toast net sales ÷ 6-mo avg (Jan 0.70 · Feb 0.81 · Mar 1.21 · Apr 0.93 · May 1.12 · Jun 1.23); Jul–Dec = H1 average</t>
  </si>
  <si>
    <t xml:space="preserve">STAFFING SENSITIVITY — annual NOI by morning coverage (after mgmt fee &amp; rent)</t>
  </si>
  <si>
    <t xml:space="preserve">Scenario (6am–4pm)</t>
  </si>
  <si>
    <t xml:space="preserve">Hrs/day</t>
  </si>
  <si>
    <t xml:space="preserve">Annual labor</t>
  </si>
  <si>
    <t xml:space="preserve">NOI</t>
  </si>
  <si>
    <t xml:space="preserve">NOI %</t>
  </si>
  <si>
    <t xml:space="preserve">Method 75%</t>
  </si>
  <si>
    <t xml:space="preserve">1.36 barista-equiv  (base: 10h + wknd overlap)</t>
  </si>
  <si>
    <t xml:space="preserve">1.25  (+2h afternoon help)</t>
  </si>
  <si>
    <t xml:space="preserve">1.5  (+4h afternoon help)</t>
  </si>
  <si>
    <t xml:space="preserve">2.0  (two full shifts)</t>
  </si>
  <si>
    <t xml:space="preserve">Labor = Hrs/day × days/wk × 52 × blended wage × (1+burden), all live from LW Assumptions. NOI holds revenue, COGS, CC fees and overhead constant — only morning staffing flexes. Base case = one barista covering the shift solo.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</si>
  <si>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</si>
  <si>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</si>
  <si>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</si>
  <si>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</si>
  <si>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</si>
  <si>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</si>
  <si>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</si>
  <si>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</si>
  <si>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</si>
  <si>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</si>
  <si>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</si>
  <si>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</si>
  <si>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</si>
  <si>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(eliminated → prepackaged)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</si>
  <si>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</si>
  <si>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</si>
  <si>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</si>
  <si>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</si>
  <si>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</si>
  <si>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</si>
  <si>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</si>
  <si>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6am–4pm shift + wknd 2nd barista)</t>
  </si>
  <si>
    <t xml:space="preserve">Staff-hours / day</t>
  </si>
  <si>
    <t xml:space="preserve">Staff-hours / year</t>
  </si>
  <si>
    <t xml:space="preserve">Wages / year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</si>
  <si>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</si>
  <si>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</si>
  <si>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</si>
  <si>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BOH staffed 85% of days (99/117), ~7.9 hrs/day, 89% of scheduled hrs worked; ~1/3 of shifts cut short. Adjusted model collapses FOH to ONE 6am-2pm shift and replaces BOH (~$31K/yr) with prepackaged food. Sensitivity: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</si>
  <si>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</si>
  <si>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</si>
  <si>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</si>
  <si>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</si>
  <si>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</si>
  <si>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</si>
  <si>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</si>
  <si>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</si>
  <si>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</si>
  <si>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</si>
  <si>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</si>
  <si>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</si>
  <si>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</si>
  <si>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</si>
  <si>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</si>
  <si>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</si>
  <si>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</si>
  <si>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</si>
  <si>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</si>
  <si>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</si>
  <si>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</si>
  <si>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</si>
  <si>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</si>
  <si>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</si>
  <si>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</si>
  <si>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</si>
  <si>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</si>
  <si>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</si>
  <si>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</si>
  <si>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</si>
  <si>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</si>
  <si>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</si>
  <si>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</si>
  <si>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</si>
  <si>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</si>
  <si>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</si>
  <si>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</si>
  <si>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</si>
  <si>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</si>
  <si>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</si>
  <si>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</si>
  <si>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</si>
  <si>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</si>
  <si>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</si>
  <si>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</si>
  <si>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</si>
  <si>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</si>
  <si>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</si>
  <si>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</si>
  <si>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</si>
  <si>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</si>
  <si>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</si>
  <si>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</si>
  <si>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</si>
  <si>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</si>
  <si>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</si>
  <si>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</si>
  <si>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</si>
  <si>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</si>
  <si>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</si>
  <si>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</si>
  <si>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</si>
  <si>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</si>
  <si>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</si>
  <si>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</si>
  <si>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</si>
  <si>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</si>
  <si>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</si>
  <si>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</si>
  <si>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</si>
  <si>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</si>
  <si>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</si>
  <si>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</si>
  <si>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</si>
  <si>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</si>
  <si>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</si>
  <si>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</si>
  <si>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</si>
  <si>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</si>
  <si>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</si>
  <si>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</si>
  <si>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</si>
  <si>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</si>
  <si>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</si>
  <si>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</si>
  <si>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</si>
  <si>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</si>
  <si>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</si>
  <si>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(10h); after 4pm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</si>
  <si>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</si>
  <si>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</si>
  <si>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</si>
  <si>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</si>
  <si>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</si>
  <si>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</si>
  <si>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</si>
  <si>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</si>
  <si>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</si>
  <si>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</si>
  <si>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</si>
  <si>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</si>
  <si>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</si>
  <si>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</si>
  <si>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</si>
  <si>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</si>
  <si>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</si>
  <si>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  Wages (all roles)</t>
  </si>
  <si>
    <t xml:space="preserve">  Payroll taxes</t>
  </si>
  <si>
    <t xml:space="preserve">  Benefits &amp; insurance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</si>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</sst>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"/>
    <numFmt numFmtId="170" formatCode="0"/>
    <numFmt numFmtId="171" formatCode="\$#,##0;[RED]&quot;($&quot;#,##0\)"/>
    <numFmt numFmtId="172" formatCode="0.000"/>
    <numFmt numFmtId="173" formatCode="0.0"/>
    <numFmt numFmtId="174" formatCode="@"/>
    <numFmt numFmtId="175" formatCode="\$#,##0.00"/>
    <numFmt numFmtId="176" formatCode="\$#,##0;;\–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20"/>
      <color rgb="FFFFFFFF"/>
      <name val="Georgia"/>
      <family val="0"/>
      <charset val="1"/>
    </font>
    <font>
      <i val="true"/>
      <sz val="11"/>
      <color rgb="FFE8D9B5"/>
      <name val="Georg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i val="true"/>
      <sz val="8"/>
      <color rgb="FFFFFFFF"/>
      <name val="Calibri"/>
      <family val="0"/>
      <charset val="1"/>
    </font>
    <font>
      <b val="true"/>
      <sz val="10"/>
      <color rgb="FF1C2536"/>
      <name val="Calibri"/>
      <family val="0"/>
      <charset val="1"/>
    </font>
    <font>
      <b val="true"/>
      <i val="true"/>
      <sz val="9"/>
      <color rgb="FF1C2536"/>
      <name val="Calibri"/>
      <family val="0"/>
      <charset val="1"/>
    </font>
    <font>
      <sz val="10"/>
      <color rgb="FF1C2536"/>
      <name val="Calibri"/>
      <family val="0"/>
      <charset val="1"/>
    </font>
    <font>
      <i val="true"/>
      <sz val="9"/>
      <color rgb="FF1C2536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C2536"/>
      <name val="Calibri"/>
      <family val="0"/>
      <charset val="1"/>
    </font>
    <font>
      <b val="true"/>
      <sz val="11"/>
      <color rgb="FF1C2536"/>
      <name val="Georgia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8E3B3B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Georgia"/>
      <family val="0"/>
      <charset val="1"/>
    </font>
    <font>
      <i val="true"/>
      <sz val="10"/>
      <color rgb="FFE8D9B5"/>
      <name val="Georgia"/>
      <family val="0"/>
      <charset val="1"/>
    </font>
    <font>
      <b val="true"/>
      <sz val="10"/>
      <color rgb="FF1C2536"/>
      <name val="Georgia"/>
      <family val="0"/>
      <charset val="1"/>
    </font>
    <font>
      <b val="true"/>
      <sz val="9"/>
      <color rgb="FF1C2536"/>
      <name val="Calibri"/>
      <family val="0"/>
      <charset val="1"/>
    </font>
    <font>
      <sz val="9"/>
      <color rgb="FF1C2536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Georgia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sz val="11"/>
      <color rgb="FF1C2536"/>
      <name val="Calibri"/>
      <family val="0"/>
      <charset val="1"/>
    </font>
    <font>
      <i val="true"/>
      <sz val="8"/>
      <color rgb="FF1C2536"/>
      <name val="Calibri"/>
      <family val="0"/>
      <charset val="1"/>
    </font>
    <font>
      <b val="true"/>
      <sz val="9"/>
      <color rgb="FF8A6D2A"/>
      <name val="Calibri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2536"/>
        <bgColor rgb="FF1A1A1A"/>
      </patternFill>
    </fill>
    <fill>
      <patternFill patternType="solid">
        <fgColor rgb="FF8A6D2A"/>
        <bgColor rgb="FF6B6459"/>
      </patternFill>
    </fill>
    <fill>
      <patternFill patternType="solid">
        <fgColor rgb="FFEFE8D8"/>
        <bgColor rgb="FFF3ECDD"/>
      </patternFill>
    </fill>
    <fill>
      <patternFill patternType="solid">
        <fgColor rgb="FFE8D9B5"/>
        <bgColor rgb="FFD8CDB4"/>
      </patternFill>
    </fill>
    <fill>
      <patternFill patternType="solid">
        <fgColor rgb="FFFBF9F4"/>
        <bgColor rgb="FFFFFFFF"/>
      </patternFill>
    </fill>
    <fill>
      <patternFill patternType="solid">
        <fgColor rgb="FFF3ECDD"/>
        <bgColor rgb="FFEFE8D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thin">
        <color rgb="FFD8CDB4"/>
      </left>
      <right style="medium">
        <color rgb="FFB08D3C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medium">
        <color rgb="FFB08D3C"/>
      </top>
      <bottom style="medium">
        <color rgb="FFB08D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008080"/>
      <rgbColor rgb="FFD8CDB4"/>
      <rgbColor rgb="FF6B6459"/>
      <rgbColor rgb="FF9999FF"/>
      <rgbColor rgb="FF8E3B3B"/>
      <rgbColor rgb="FFFBF9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8"/>
      <rgbColor rgb="FFF3ECDD"/>
      <rgbColor rgb="FF99CCFF"/>
      <rgbColor rgb="FFFF99CC"/>
      <rgbColor rgb="FFCC99FF"/>
      <rgbColor rgb="FFE8D9B5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215C43"/>
      <rgbColor rgb="FF339966"/>
      <rgbColor rgb="FF003300"/>
      <rgbColor rgb="FF1A1A1A"/>
      <rgbColor rgb="FF9B2D2D"/>
      <rgbColor rgb="FF993366"/>
      <rgbColor rgb="FF333399"/>
      <rgbColor rgb="FF1C25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</f>
        <v>295862.554166667</v>
      </c>
      <c r="E6" s="7" t="n">
        <f aca="false">'LW Budget'!$Z$11</f>
        <v>286740.15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</f>
        <v>99691</v>
      </c>
      <c r="E7" s="7" t="n">
        <f aca="false">'LW Budget'!$Z$18</f>
        <v>80932.346356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196171.554166667</v>
      </c>
      <c r="E8" s="9" t="n">
        <f aca="false">E6-E7</f>
        <v>205807.803644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137302.5</v>
      </c>
      <c r="E9" s="7" t="n">
        <f aca="false">'LW Budget'!$Z$21</f>
        <v>94099.2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Assumptions'!$C$47)</f>
        <v>112422.938854167</v>
      </c>
      <c r="E10" s="7" t="n">
        <f aca="false">'LW Budget'!$Z$22+'LW Budget'!$Z$23+'LW Budget'!$Z$24</f>
        <v>102500.50375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Assumptions'!$C$47))</f>
        <v>33130.7188333333</v>
      </c>
      <c r="E11" s="7" t="n">
        <f aca="false">'LW Budget'!$Z$25</f>
        <v>11469.606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Assumptions'!$C$47)</f>
        <v>17751.75325</v>
      </c>
      <c r="E13" s="7" t="n">
        <f aca="false">'LW Budget'!$Z$26</f>
        <v>17204.409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-104436.356770833</v>
      </c>
      <c r="E14" s="9" t="n">
        <f aca="false">E6-E7-E9-E10-E11-E12-E13</f>
        <v>-19465.9151059999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-0.352989438170002</v>
      </c>
      <c r="E15" s="10" t="n">
        <f aca="false">E14/E6</f>
        <v>-0.0678869530688322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v>344171</v>
      </c>
      <c r="C19" s="6" t="n">
        <v>344171</v>
      </c>
      <c r="D19" s="7" t="n">
        <f aca="false">344171</f>
        <v>344171</v>
      </c>
      <c r="E19" s="7" t="n">
        <f aca="false">'Vessel Budget'!$Z$10</f>
        <v>398400</v>
      </c>
    </row>
    <row r="20" customFormat="false" ht="15" hidden="false" customHeight="true" outlineLevel="0" collapsed="false">
      <c r="A20" s="1" t="s">
        <v>8</v>
      </c>
      <c r="B20" s="6" t="n">
        <v>116784</v>
      </c>
      <c r="C20" s="6" t="n">
        <v>116784</v>
      </c>
      <c r="D20" s="7" t="n">
        <f aca="false">116784</f>
        <v>116784</v>
      </c>
      <c r="E20" s="7" t="n">
        <f aca="false">'Vessel Budget'!$Z$14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227387</v>
      </c>
      <c r="C21" s="9" t="n">
        <f aca="false">C19-C20</f>
        <v>227387</v>
      </c>
      <c r="D21" s="9" t="n">
        <f aca="false">D19-D20</f>
        <v>227387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v>75138</v>
      </c>
      <c r="C22" s="6" t="n">
        <v>75138</v>
      </c>
      <c r="D22" s="7" t="n">
        <f aca="false">75138</f>
        <v>75138</v>
      </c>
      <c r="E22" s="7" t="n">
        <f aca="false">'Vessel Budget'!$Z$20</f>
        <v>67062.843</v>
      </c>
    </row>
    <row r="23" customFormat="false" ht="15" hidden="false" customHeight="true" outlineLevel="0" collapsed="false">
      <c r="A23" s="1" t="s">
        <v>11</v>
      </c>
      <c r="B23" s="6" t="n">
        <v>95684</v>
      </c>
      <c r="C23" s="6" t="n">
        <v>95684</v>
      </c>
      <c r="D23" s="7" t="n">
        <f aca="false">95684</f>
        <v>95684</v>
      </c>
      <c r="E23" s="7" t="n">
        <f aca="false">'Vessel Budget'!$Z$24+'Vessel Budget'!$Z$23+'Vessel Budget'!$Z$25</f>
        <v>99581</v>
      </c>
    </row>
    <row r="24" customFormat="false" ht="15" hidden="false" customHeight="true" outlineLevel="0" collapsed="false">
      <c r="A24" s="1" t="s">
        <v>12</v>
      </c>
      <c r="B24" s="6" t="n">
        <v>48000</v>
      </c>
      <c r="C24" s="6" t="n">
        <v>48000</v>
      </c>
      <c r="D24" s="7" t="n">
        <f aca="false">48000-'2026 Bridge'!$D$10*(48000-'Vessel Assumptions'!$C$30*344171)</f>
        <v>33736.1833333333</v>
      </c>
      <c r="E24" s="7" t="n">
        <f aca="false">'Vessel Budget'!$Z$26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Assumptions'!$C$32*230063</f>
        <v>4792.97916666667</v>
      </c>
      <c r="E25" s="7" t="n">
        <f aca="false">'Vessel Budget'!$Z$27</f>
        <v>16600</v>
      </c>
    </row>
    <row r="26" customFormat="false" ht="15" hidden="false" customHeight="true" outlineLevel="0" collapsed="false">
      <c r="A26" s="1" t="s">
        <v>14</v>
      </c>
      <c r="B26" s="6" t="n">
        <v>20874</v>
      </c>
      <c r="C26" s="6" t="n">
        <v>20874</v>
      </c>
      <c r="D26" s="7" t="n">
        <f aca="false">20874-'2026 Bridge'!$D$11*(20874-0)</f>
        <v>12176.5</v>
      </c>
      <c r="E26" s="7" t="n">
        <f aca="false">'Vessel Budget'!$Z$28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-12309</v>
      </c>
      <c r="C27" s="9" t="n">
        <f aca="false">C19-C20-C22-C23-C24-C25-C26</f>
        <v>-12309</v>
      </c>
      <c r="D27" s="9" t="n">
        <f aca="false">D19-D20-D22-D23-D24-D25-D26</f>
        <v>5859.3375</v>
      </c>
      <c r="E27" s="9" t="n">
        <f aca="false">E19-E20-E22-E23-E24-E25-E26</f>
        <v>29186.357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-0.0357641986105744</v>
      </c>
      <c r="C28" s="10" t="n">
        <f aca="false">C27/C19</f>
        <v>-0.0357641986105744</v>
      </c>
      <c r="D28" s="10" t="n">
        <f aca="false">D27/D19</f>
        <v>0.017024495091103</v>
      </c>
      <c r="E28" s="10" t="n">
        <f aca="false">E27/E19</f>
        <v>0.0732589282128513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602458</v>
      </c>
      <c r="C32" s="7" t="n">
        <f aca="false">C6+C19</f>
        <v>631476</v>
      </c>
      <c r="D32" s="7" t="n">
        <f aca="false">D6+D19</f>
        <v>640033.554166667</v>
      </c>
      <c r="E32" s="7" t="n">
        <f aca="false">E6+E19</f>
        <v>685140.15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198383</v>
      </c>
      <c r="C33" s="7" t="n">
        <f aca="false">C7+C20</f>
        <v>216475</v>
      </c>
      <c r="D33" s="7" t="n">
        <f aca="false">D7+D20</f>
        <v>216475</v>
      </c>
      <c r="E33" s="7" t="n">
        <f aca="false">E7+E20</f>
        <v>250966.146356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404075</v>
      </c>
      <c r="C34" s="9" t="n">
        <f aca="false">C32-C33</f>
        <v>415001</v>
      </c>
      <c r="D34" s="9" t="n">
        <f aca="false">D32-D33</f>
        <v>423558.554166667</v>
      </c>
      <c r="E34" s="9" t="n">
        <f aca="false">E32-E33</f>
        <v>434174.003644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239995</v>
      </c>
      <c r="C35" s="7" t="n">
        <f aca="false">C9+C22</f>
        <v>243300</v>
      </c>
      <c r="D35" s="7" t="n">
        <f aca="false">D9+D22</f>
        <v>212440.5</v>
      </c>
      <c r="E35" s="7" t="n">
        <f aca="false">E9+E22</f>
        <v>161162.043</v>
      </c>
    </row>
    <row r="36" customFormat="false" ht="15" hidden="false" customHeight="true" outlineLevel="0" collapsed="false">
      <c r="A36" s="1" t="s">
        <v>11</v>
      </c>
      <c r="B36" s="7" t="n">
        <f aca="false">B10+B23</f>
        <v>201028</v>
      </c>
      <c r="C36" s="7" t="n">
        <f aca="false">C10+C23</f>
        <v>207893</v>
      </c>
      <c r="D36" s="7" t="n">
        <f aca="false">D10+D23</f>
        <v>208106.938854167</v>
      </c>
      <c r="E36" s="7" t="n">
        <f aca="false">E10+E23</f>
        <v>202081.50375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66866.9021666667</v>
      </c>
      <c r="E37" s="7" t="n">
        <f aca="false">E11+E24</f>
        <v>27405.606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4792.97916666667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36516</v>
      </c>
      <c r="C39" s="7" t="n">
        <f aca="false">C13+C26</f>
        <v>38173</v>
      </c>
      <c r="D39" s="7" t="n">
        <f aca="false">D13+D26</f>
        <v>29928.25325</v>
      </c>
      <c r="E39" s="7" t="n">
        <f aca="false">E13+E26</f>
        <v>17204.409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-169464</v>
      </c>
      <c r="C40" s="9" t="n">
        <f aca="false">C32-C33-C35-C36-C37-C38-C39</f>
        <v>-170365</v>
      </c>
      <c r="D40" s="9" t="n">
        <f aca="false">D32-D33-D35-D36-D37-D38-D39</f>
        <v>-98577.0192708333</v>
      </c>
      <c r="E40" s="9" t="n">
        <f aca="false">E32-E33-E35-E36-E37-E38-E39</f>
        <v>9720.44189400012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-0.281287658226798</v>
      </c>
      <c r="C41" s="10" t="n">
        <f aca="false">C40/C32</f>
        <v>-0.269788558868429</v>
      </c>
      <c r="D41" s="10" t="n">
        <f aca="false">D40/D32</f>
        <v>-0.154018517668471</v>
      </c>
      <c r="E41" s="10" t="n">
        <f aca="false">E40/E32</f>
        <v>0.0141875233760569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74062.8</v>
      </c>
      <c r="F6" s="7" t="n">
        <f aca="false">E6*D6</f>
        <v>30859.5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Assumptions'!$C$47)</f>
        <v>35686.2748</v>
      </c>
      <c r="F9" s="7" t="n">
        <f aca="false">E9*D9</f>
        <v>14869.2811666667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48000-'Vessel Assumptions'!$C$30*344171</f>
        <v>34233.16</v>
      </c>
      <c r="F10" s="7" t="n">
        <f aca="false">E10*D10</f>
        <v>14263.8166666667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20874-0</f>
        <v>20874</v>
      </c>
      <c r="F11" s="7" t="n">
        <f aca="false">E11*D11</f>
        <v>8697.5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Assumptions'!$C$32*230063</f>
        <v>-11503.15</v>
      </c>
      <c r="F12" s="7" t="n">
        <f aca="false">E12*D12</f>
        <v>-4792.97916666667</v>
      </c>
    </row>
    <row r="14" customFormat="false" ht="15" hidden="false" customHeight="true" outlineLevel="0" collapsed="false">
      <c r="A14" s="1" t="s">
        <v>35</v>
      </c>
      <c r="F14" s="7" t="n">
        <f aca="false">'Scenario Summary'!$D$14-'Scenario Summary'!$C$14-(F6+F7+F8+F9)</f>
        <v>60.6999999999753</v>
      </c>
    </row>
    <row r="17" customFormat="false" ht="15" hidden="false" customHeight="true" outlineLevel="0" collapsed="false">
      <c r="A17" s="8" t="s">
        <v>36</v>
      </c>
    </row>
    <row r="18" customFormat="false" ht="15" hidden="false" customHeight="true" outlineLevel="0" collapsed="false">
      <c r="A18" s="1" t="s">
        <v>37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38</v>
      </c>
      <c r="F19" s="7" t="n">
        <f aca="false">F6+F7+F8+F9+F14</f>
        <v>53619.6432291666</v>
      </c>
    </row>
    <row r="20" customFormat="false" ht="15" hidden="false" customHeight="true" outlineLevel="0" collapsed="false">
      <c r="A20" s="8" t="s">
        <v>39</v>
      </c>
      <c r="F20" s="9" t="n">
        <f aca="false">'Scenario Summary'!$D$14</f>
        <v>-104436.356770833</v>
      </c>
    </row>
    <row r="22" customFormat="false" ht="15" hidden="false" customHeight="true" outlineLevel="0" collapsed="false">
      <c r="A22" s="1" t="s">
        <v>40</v>
      </c>
      <c r="F22" s="7" t="n">
        <f aca="false">'Scenario Summary'!$C$27</f>
        <v>-12309</v>
      </c>
    </row>
    <row r="23" customFormat="false" ht="15" hidden="false" customHeight="true" outlineLevel="0" collapsed="false">
      <c r="A23" s="1" t="s">
        <v>41</v>
      </c>
      <c r="F23" s="7" t="n">
        <f aca="false">F10+F11+F12</f>
        <v>18168.3375</v>
      </c>
    </row>
    <row r="24" customFormat="false" ht="15" hidden="false" customHeight="true" outlineLevel="0" collapsed="false">
      <c r="A24" s="8" t="s">
        <v>42</v>
      </c>
      <c r="F24" s="9" t="n">
        <f aca="false">'Scenario Summary'!$D$27</f>
        <v>5859.3375</v>
      </c>
    </row>
    <row r="26" customFormat="false" ht="15" hidden="false" customHeight="true" outlineLevel="0" collapsed="false">
      <c r="A26" s="8" t="s">
        <v>43</v>
      </c>
      <c r="F26" s="9" t="n">
        <f aca="false">'Scenario Summary'!$D$40</f>
        <v>-98577.0192708333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8"/>
  </cols>
  <sheetData>
    <row r="1" customFormat="false" ht="30" hidden="false" customHeight="true" outlineLevel="0" collapsed="false">
      <c r="A1" s="14" t="s">
        <v>44</v>
      </c>
      <c r="B1" s="15"/>
      <c r="C1" s="15"/>
      <c r="D1" s="15"/>
      <c r="E1" s="15"/>
      <c r="F1" s="15"/>
      <c r="G1" s="15"/>
    </row>
    <row r="2" customFormat="false" ht="15" hidden="false" customHeight="true" outlineLevel="0" collapsed="false">
      <c r="A2" s="16" t="s">
        <v>45</v>
      </c>
      <c r="B2" s="16"/>
      <c r="C2" s="16"/>
      <c r="D2" s="16"/>
      <c r="E2" s="16"/>
      <c r="F2" s="16"/>
      <c r="G2" s="16"/>
    </row>
    <row r="4" customFormat="false" ht="15" hidden="false" customHeight="true" outlineLevel="0" collapsed="false">
      <c r="A4" s="17" t="s">
        <v>46</v>
      </c>
      <c r="B4" s="18" t="s">
        <v>47</v>
      </c>
      <c r="C4" s="18"/>
      <c r="D4" s="18" t="s">
        <v>48</v>
      </c>
      <c r="E4" s="18"/>
      <c r="F4" s="19" t="s">
        <v>49</v>
      </c>
      <c r="G4" s="19"/>
    </row>
    <row r="5" customFormat="false" ht="15" hidden="false" customHeight="true" outlineLevel="0" collapsed="false">
      <c r="A5" s="20"/>
      <c r="B5" s="21" t="s">
        <v>50</v>
      </c>
      <c r="C5" s="21" t="s">
        <v>51</v>
      </c>
      <c r="D5" s="21" t="s">
        <v>50</v>
      </c>
      <c r="E5" s="21" t="s">
        <v>51</v>
      </c>
      <c r="F5" s="22" t="s">
        <v>50</v>
      </c>
      <c r="G5" s="22" t="s">
        <v>51</v>
      </c>
    </row>
    <row r="6" customFormat="false" ht="15" hidden="false" customHeight="true" outlineLevel="0" collapsed="false">
      <c r="A6" s="23" t="s">
        <v>7</v>
      </c>
      <c r="B6" s="24" t="n">
        <f aca="false">'Vessel Budget'!$Z$10</f>
        <v>398400</v>
      </c>
      <c r="C6" s="25" t="n">
        <f aca="false">B6/$B$6</f>
        <v>1</v>
      </c>
      <c r="D6" s="24" t="n">
        <f aca="false">'LW Budget'!$Z$11</f>
        <v>286740.15</v>
      </c>
      <c r="E6" s="25" t="n">
        <f aca="false">D6/$D$6</f>
        <v>1</v>
      </c>
      <c r="F6" s="24" t="n">
        <f aca="false">B6+D6</f>
        <v>685140.15</v>
      </c>
      <c r="G6" s="25" t="n">
        <f aca="false">F6/$F$6</f>
        <v>1</v>
      </c>
    </row>
    <row r="7" customFormat="false" ht="15" hidden="false" customHeight="true" outlineLevel="0" collapsed="false">
      <c r="A7" s="26" t="s">
        <v>8</v>
      </c>
      <c r="B7" s="27" t="n">
        <f aca="false">'Vessel Budget'!$Z$14</f>
        <v>170033.8</v>
      </c>
      <c r="C7" s="28" t="n">
        <f aca="false">B7/$B$6</f>
        <v>0.426791666666667</v>
      </c>
      <c r="D7" s="27" t="n">
        <f aca="false">'LW Budget'!$Z$18</f>
        <v>80932.346356</v>
      </c>
      <c r="E7" s="28" t="n">
        <f aca="false">D7/$D$6</f>
        <v>0.282249787328353</v>
      </c>
      <c r="F7" s="27" t="n">
        <f aca="false">B7+D7</f>
        <v>250966.146356</v>
      </c>
      <c r="G7" s="28" t="n">
        <f aca="false">F7/$F$6</f>
        <v>0.366298992047102</v>
      </c>
    </row>
    <row r="8" customFormat="false" ht="15" hidden="false" customHeight="true" outlineLevel="0" collapsed="false">
      <c r="A8" s="11" t="s">
        <v>9</v>
      </c>
      <c r="B8" s="29" t="n">
        <f aca="false">B6-B7</f>
        <v>228366.2</v>
      </c>
      <c r="C8" s="25" t="n">
        <f aca="false">B8/$B$6</f>
        <v>0.573208333333333</v>
      </c>
      <c r="D8" s="29" t="n">
        <f aca="false">D6-D7</f>
        <v>205807.803644</v>
      </c>
      <c r="E8" s="25" t="n">
        <f aca="false">D8/$D$6</f>
        <v>0.717750212671647</v>
      </c>
      <c r="F8" s="29" t="n">
        <f aca="false">B8+D8</f>
        <v>434174.003644</v>
      </c>
      <c r="G8" s="25" t="n">
        <f aca="false">F8/$F$6</f>
        <v>0.633701007952898</v>
      </c>
    </row>
    <row r="10" customFormat="false" ht="15" hidden="false" customHeight="true" outlineLevel="0" collapsed="false">
      <c r="A10" s="26" t="s">
        <v>10</v>
      </c>
      <c r="B10" s="27" t="n">
        <f aca="false">'Vessel Budget'!$Z$20</f>
        <v>67062.843</v>
      </c>
      <c r="C10" s="28" t="n">
        <f aca="false">B10/$B$6</f>
        <v>0.168330429216868</v>
      </c>
      <c r="D10" s="27" t="n">
        <f aca="false">'LW Budget'!$Z$21</f>
        <v>94099.2</v>
      </c>
      <c r="E10" s="28" t="n">
        <f aca="false">D10/$D$6</f>
        <v>0.328168901355461</v>
      </c>
      <c r="F10" s="27" t="n">
        <f aca="false">B10+D10</f>
        <v>161162.043</v>
      </c>
      <c r="G10" s="28" t="n">
        <f aca="false">F10/$F$6</f>
        <v>0.235224928797415</v>
      </c>
    </row>
    <row r="11" customFormat="false" ht="15" hidden="false" customHeight="true" outlineLevel="0" collapsed="false">
      <c r="A11" s="26" t="s">
        <v>52</v>
      </c>
      <c r="B11" s="27" t="n">
        <f aca="false">'Vessel Budget'!$Z$24</f>
        <v>9960</v>
      </c>
      <c r="C11" s="28" t="n">
        <f aca="false">B11/$B$6</f>
        <v>0.025</v>
      </c>
      <c r="D11" s="27" t="n">
        <f aca="false">'LW Budget'!$Z$22</f>
        <v>7168.50375</v>
      </c>
      <c r="E11" s="28" t="n">
        <f aca="false">D11/$D$6</f>
        <v>0.025</v>
      </c>
      <c r="F11" s="27" t="n">
        <f aca="false">B11+D11</f>
        <v>17128.50375</v>
      </c>
      <c r="G11" s="28" t="n">
        <f aca="false">F11/$F$6</f>
        <v>0.025</v>
      </c>
    </row>
    <row r="12" customFormat="false" ht="15" hidden="false" customHeight="true" outlineLevel="0" collapsed="false">
      <c r="A12" s="26" t="s">
        <v>53</v>
      </c>
      <c r="B12" s="27" t="n">
        <f aca="false">'Vessel Budget'!$Z$23</f>
        <v>80860</v>
      </c>
      <c r="C12" s="28" t="n">
        <f aca="false">B12/$B$6</f>
        <v>0.202961847389558</v>
      </c>
      <c r="D12" s="27" t="n">
        <f aca="false">'LW Budget'!$Z$23</f>
        <v>89675</v>
      </c>
      <c r="E12" s="28" t="n">
        <f aca="false">D12/$D$6</f>
        <v>0.312739600645393</v>
      </c>
      <c r="F12" s="27" t="n">
        <f aca="false">B12+D12</f>
        <v>170535</v>
      </c>
      <c r="G12" s="28" t="n">
        <f aca="false">F12/$F$6</f>
        <v>0.248905278722901</v>
      </c>
    </row>
    <row r="13" customFormat="false" ht="15" hidden="false" customHeight="true" outlineLevel="0" collapsed="false">
      <c r="A13" s="26" t="s">
        <v>54</v>
      </c>
      <c r="B13" s="27" t="n">
        <f aca="false">'Vessel Budget'!$Z$25</f>
        <v>8761</v>
      </c>
      <c r="C13" s="28" t="n">
        <f aca="false">B13/$B$6</f>
        <v>0.0219904618473896</v>
      </c>
      <c r="D13" s="27" t="n">
        <f aca="false">'LW Budget'!$Z$24</f>
        <v>5657</v>
      </c>
      <c r="E13" s="28" t="n">
        <f aca="false">D13/$D$6</f>
        <v>0.0197286637396263</v>
      </c>
      <c r="F13" s="27" t="n">
        <f aca="false">B13+D13</f>
        <v>14418</v>
      </c>
      <c r="G13" s="28" t="n">
        <f aca="false">F13/$F$6</f>
        <v>0.0210438696374749</v>
      </c>
    </row>
    <row r="14" customFormat="false" ht="15" hidden="false" customHeight="true" outlineLevel="0" collapsed="false">
      <c r="A14" s="23" t="s">
        <v>55</v>
      </c>
      <c r="B14" s="24" t="n">
        <f aca="false">'Vessel Budget'!$Z$26</f>
        <v>15936</v>
      </c>
      <c r="C14" s="25" t="n">
        <f aca="false">B14/$B$6</f>
        <v>0.04</v>
      </c>
      <c r="D14" s="24" t="n">
        <f aca="false">'LW Budget'!$Z$25</f>
        <v>11469.606</v>
      </c>
      <c r="E14" s="25" t="n">
        <f aca="false">D14/$D$6</f>
        <v>0.04</v>
      </c>
      <c r="F14" s="24" t="n">
        <f aca="false">B14+D14</f>
        <v>27405.606</v>
      </c>
      <c r="G14" s="25" t="n">
        <f aca="false">F14/$F$6</f>
        <v>0.04</v>
      </c>
    </row>
    <row r="15" customFormat="false" ht="15" hidden="false" customHeight="true" outlineLevel="0" collapsed="false">
      <c r="A15" s="1" t="s">
        <v>56</v>
      </c>
      <c r="B15" s="7" t="n">
        <f aca="false">'Vessel Budget'!$Z$27</f>
        <v>16600</v>
      </c>
      <c r="C15" s="10" t="n">
        <f aca="false">B15/$B$6</f>
        <v>0.0416666666666667</v>
      </c>
      <c r="D15" s="7" t="n">
        <f aca="false">0</f>
        <v>0</v>
      </c>
      <c r="E15" s="10" t="n">
        <f aca="false">D15/$D$6</f>
        <v>0</v>
      </c>
      <c r="F15" s="7" t="n">
        <f aca="false">B15+D15</f>
        <v>16600</v>
      </c>
      <c r="G15" s="10" t="n">
        <f aca="false">F15/$F$6</f>
        <v>0.0242286195021559</v>
      </c>
    </row>
    <row r="16" customFormat="false" ht="15" hidden="false" customHeight="true" outlineLevel="0" collapsed="false">
      <c r="A16" s="23" t="s">
        <v>57</v>
      </c>
      <c r="B16" s="24" t="n">
        <f aca="false">'Vessel Budget'!$Z$28</f>
        <v>0</v>
      </c>
      <c r="C16" s="25" t="n">
        <f aca="false">B16/$B$6</f>
        <v>0</v>
      </c>
      <c r="D16" s="24" t="n">
        <f aca="false">'LW Budget'!$Z$26</f>
        <v>17204.409</v>
      </c>
      <c r="E16" s="25" t="n">
        <f aca="false">D16/$D$6</f>
        <v>0.06</v>
      </c>
      <c r="F16" s="24" t="n">
        <f aca="false">B16+D16</f>
        <v>17204.409</v>
      </c>
      <c r="G16" s="25" t="n">
        <f aca="false">F16/$F$6</f>
        <v>0.0251107879168955</v>
      </c>
    </row>
    <row r="17" customFormat="false" ht="15" hidden="false" customHeight="true" outlineLevel="0" collapsed="false">
      <c r="A17" s="26" t="s">
        <v>58</v>
      </c>
      <c r="B17" s="27" t="n">
        <f aca="false">B10+B11+B12+B13+B14+B15+B16</f>
        <v>199179.843</v>
      </c>
      <c r="C17" s="28" t="n">
        <f aca="false">B17/$B$6</f>
        <v>0.499949405120482</v>
      </c>
      <c r="D17" s="27" t="n">
        <f aca="false">D10+D11+D12+D13+D14+D15+D16</f>
        <v>225273.71875</v>
      </c>
      <c r="E17" s="28" t="n">
        <f aca="false">D17/$D$6</f>
        <v>0.78563716574048</v>
      </c>
      <c r="F17" s="27" t="n">
        <f aca="false">B17+D17</f>
        <v>424453.56175</v>
      </c>
      <c r="G17" s="28" t="n">
        <f aca="false">F17/$F$6</f>
        <v>0.619513484576842</v>
      </c>
    </row>
    <row r="18" customFormat="false" ht="15" hidden="false" customHeight="true" outlineLevel="0" collapsed="false">
      <c r="A18" s="26"/>
      <c r="B18" s="27"/>
      <c r="C18" s="28"/>
      <c r="D18" s="27"/>
      <c r="E18" s="28"/>
      <c r="F18" s="27"/>
      <c r="G18" s="28"/>
    </row>
    <row r="19" customFormat="false" ht="15" hidden="false" customHeight="true" outlineLevel="0" collapsed="false">
      <c r="A19" s="11" t="s">
        <v>59</v>
      </c>
      <c r="B19" s="30" t="n">
        <f aca="false">B8-B17</f>
        <v>29186.357</v>
      </c>
      <c r="C19" s="31" t="n">
        <f aca="false">B19/$B$6</f>
        <v>0.0732589282128514</v>
      </c>
      <c r="D19" s="30" t="n">
        <f aca="false">D8-D17</f>
        <v>-19465.9151059999</v>
      </c>
      <c r="E19" s="31" t="n">
        <f aca="false">D19/$D$6</f>
        <v>-0.0678869530688323</v>
      </c>
      <c r="F19" s="30" t="n">
        <f aca="false">B19+D19</f>
        <v>9720.44189400005</v>
      </c>
      <c r="G19" s="31" t="n">
        <f aca="false">F19/$F$6</f>
        <v>0.0141875233760568</v>
      </c>
    </row>
    <row r="21" customFormat="false" ht="15" hidden="false" customHeight="true" outlineLevel="0" collapsed="false">
      <c r="A21" s="32"/>
      <c r="B21" s="33"/>
      <c r="C21" s="34"/>
      <c r="D21" s="33"/>
      <c r="E21" s="34"/>
      <c r="F21" s="33"/>
      <c r="G21" s="34"/>
    </row>
    <row r="22" customFormat="false" ht="15" hidden="false" customHeight="true" outlineLevel="0" collapsed="false">
      <c r="A22" s="32"/>
      <c r="B22" s="33"/>
      <c r="C22" s="34"/>
      <c r="D22" s="33"/>
      <c r="E22" s="34"/>
      <c r="F22" s="33"/>
      <c r="G22" s="34"/>
    </row>
    <row r="23" customFormat="false" ht="15" hidden="false" customHeight="true" outlineLevel="0" collapsed="false">
      <c r="A23" s="35"/>
    </row>
    <row r="24" customFormat="false" ht="15" hidden="false" customHeight="true" outlineLevel="0" collapsed="false"/>
    <row r="26" customFormat="false" ht="15" hidden="false" customHeight="true" outlineLevel="0" collapsed="false">
      <c r="A26" s="36" t="s">
        <v>60</v>
      </c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7" t="s">
        <v>61</v>
      </c>
      <c r="B27" s="38" t="s">
        <v>47</v>
      </c>
      <c r="C27" s="38" t="s">
        <v>48</v>
      </c>
      <c r="D27" s="38" t="s">
        <v>49</v>
      </c>
      <c r="E27" s="38" t="s">
        <v>62</v>
      </c>
    </row>
    <row r="28" customFormat="false" ht="15" hidden="false" customHeight="true" outlineLevel="0" collapsed="false">
      <c r="A28" s="39" t="s">
        <v>63</v>
      </c>
      <c r="B28" s="40" t="n">
        <f aca="false">'Vessel Budget'!B29</f>
        <v>7457.64433333334</v>
      </c>
      <c r="C28" s="40" t="n">
        <f aca="false">'LW Budget'!B27</f>
        <v>-5818.88575167435</v>
      </c>
      <c r="D28" s="41" t="n">
        <f aca="false">B28+C28</f>
        <v>1638.75858165898</v>
      </c>
      <c r="E28" s="40" t="n">
        <f aca="false">D28</f>
        <v>1638.75858165898</v>
      </c>
    </row>
    <row r="29" customFormat="false" ht="15" hidden="false" customHeight="true" outlineLevel="0" collapsed="false">
      <c r="A29" s="39" t="s">
        <v>64</v>
      </c>
      <c r="B29" s="40" t="n">
        <f aca="false">'Vessel Budget'!D29</f>
        <v>-3951.48066666666</v>
      </c>
      <c r="C29" s="40" t="n">
        <f aca="false">'LW Budget'!D27</f>
        <v>-4313.27660298834</v>
      </c>
      <c r="D29" s="41" t="n">
        <f aca="false">B29+C29</f>
        <v>-8264.757269655</v>
      </c>
      <c r="E29" s="40" t="n">
        <f aca="false">E28+D29</f>
        <v>-6625.99868799602</v>
      </c>
    </row>
    <row r="30" customFormat="false" ht="15" hidden="false" customHeight="true" outlineLevel="0" collapsed="false">
      <c r="A30" s="39" t="s">
        <v>65</v>
      </c>
      <c r="B30" s="40" t="n">
        <f aca="false">'Vessel Budget'!F29</f>
        <v>7457.64433333334</v>
      </c>
      <c r="C30" s="40" t="n">
        <f aca="false">'LW Budget'!F27</f>
        <v>1292.74504376543</v>
      </c>
      <c r="D30" s="41" t="n">
        <f aca="false">B30+C30</f>
        <v>8750.38937709877</v>
      </c>
      <c r="E30" s="40" t="n">
        <f aca="false">E29+D30</f>
        <v>2124.39068910275</v>
      </c>
    </row>
    <row r="31" customFormat="false" ht="15" hidden="false" customHeight="true" outlineLevel="0" collapsed="false">
      <c r="A31" s="39" t="s">
        <v>66</v>
      </c>
      <c r="B31" s="40" t="n">
        <f aca="false">'Vessel Budget'!H29</f>
        <v>-3951.48066666666</v>
      </c>
      <c r="C31" s="40" t="n">
        <f aca="false">'LW Budget'!H27</f>
        <v>-2606.54186717775</v>
      </c>
      <c r="D31" s="41" t="n">
        <f aca="false">B31+C31</f>
        <v>-6558.02253384442</v>
      </c>
      <c r="E31" s="40" t="n">
        <f aca="false">E30+D31</f>
        <v>-4433.63184474167</v>
      </c>
    </row>
    <row r="32" customFormat="false" ht="15" hidden="false" customHeight="true" outlineLevel="0" collapsed="false">
      <c r="A32" s="39" t="s">
        <v>67</v>
      </c>
      <c r="B32" s="40" t="n">
        <f aca="false">'Vessel Budget'!J29</f>
        <v>4197.89433333334</v>
      </c>
      <c r="C32" s="40" t="n">
        <f aca="false">'LW Budget'!J27</f>
        <v>119.984577996831</v>
      </c>
      <c r="D32" s="41" t="n">
        <f aca="false">B32+C32</f>
        <v>4317.87891133017</v>
      </c>
      <c r="E32" s="40" t="n">
        <f aca="false">E31+D32</f>
        <v>-115.752933411499</v>
      </c>
    </row>
    <row r="33" customFormat="false" ht="15" hidden="false" customHeight="true" outlineLevel="0" collapsed="false">
      <c r="A33" s="39" t="s">
        <v>68</v>
      </c>
      <c r="B33" s="40" t="n">
        <f aca="false">'Vessel Budget'!L29</f>
        <v>2568.01933333334</v>
      </c>
      <c r="C33" s="40" t="n">
        <f aca="false">'LW Budget'!L27</f>
        <v>1593.01704707817</v>
      </c>
      <c r="D33" s="41" t="n">
        <f aca="false">B33+C33</f>
        <v>4161.0363804115</v>
      </c>
      <c r="E33" s="40" t="n">
        <f aca="false">E32+D33</f>
        <v>4045.28344700001</v>
      </c>
    </row>
    <row r="34" customFormat="false" ht="15" hidden="false" customHeight="true" outlineLevel="0" collapsed="false">
      <c r="A34" s="39" t="s">
        <v>69</v>
      </c>
      <c r="B34" s="40" t="n">
        <f aca="false">'Vessel Budget'!N29</f>
        <v>2568.01933333334</v>
      </c>
      <c r="C34" s="40" t="n">
        <f aca="false">'LW Budget'!N27</f>
        <v>-1622.15959216666</v>
      </c>
      <c r="D34" s="41" t="n">
        <f aca="false">B34+C34</f>
        <v>945.859741166674</v>
      </c>
      <c r="E34" s="40" t="n">
        <f aca="false">E33+D34</f>
        <v>4991.14318816668</v>
      </c>
    </row>
    <row r="35" customFormat="false" ht="15" hidden="false" customHeight="true" outlineLevel="0" collapsed="false">
      <c r="A35" s="39" t="s">
        <v>70</v>
      </c>
      <c r="B35" s="40" t="n">
        <f aca="false">'Vessel Budget'!P29</f>
        <v>2568.01933333334</v>
      </c>
      <c r="C35" s="40" t="n">
        <f aca="false">'LW Budget'!P27</f>
        <v>-1622.15959216666</v>
      </c>
      <c r="D35" s="41" t="n">
        <f aca="false">B35+C35</f>
        <v>945.859741166674</v>
      </c>
      <c r="E35" s="40" t="n">
        <f aca="false">E34+D35</f>
        <v>5937.00292933335</v>
      </c>
    </row>
    <row r="36" customFormat="false" ht="15" hidden="false" customHeight="true" outlineLevel="0" collapsed="false">
      <c r="A36" s="39" t="s">
        <v>71</v>
      </c>
      <c r="B36" s="40" t="n">
        <f aca="false">'Vessel Budget'!R29</f>
        <v>2568.01933333334</v>
      </c>
      <c r="C36" s="40" t="n">
        <f aca="false">'LW Budget'!R27</f>
        <v>-1622.15959216666</v>
      </c>
      <c r="D36" s="41" t="n">
        <f aca="false">B36+C36</f>
        <v>945.859741166674</v>
      </c>
      <c r="E36" s="40" t="n">
        <f aca="false">E35+D36</f>
        <v>6882.86267050003</v>
      </c>
    </row>
    <row r="37" customFormat="false" ht="15" hidden="false" customHeight="true" outlineLevel="0" collapsed="false">
      <c r="A37" s="39" t="s">
        <v>72</v>
      </c>
      <c r="B37" s="40" t="n">
        <f aca="false">'Vessel Budget'!T29</f>
        <v>2568.01933333334</v>
      </c>
      <c r="C37" s="40" t="n">
        <f aca="false">'LW Budget'!T27</f>
        <v>-1622.15959216666</v>
      </c>
      <c r="D37" s="41" t="n">
        <f aca="false">B37+C37</f>
        <v>945.859741166674</v>
      </c>
      <c r="E37" s="40" t="n">
        <f aca="false">E36+D37</f>
        <v>7828.7224116667</v>
      </c>
    </row>
    <row r="38" customFormat="false" ht="15" hidden="false" customHeight="true" outlineLevel="0" collapsed="false">
      <c r="A38" s="39" t="s">
        <v>73</v>
      </c>
      <c r="B38" s="40" t="n">
        <f aca="false">'Vessel Budget'!V29</f>
        <v>2568.01933333334</v>
      </c>
      <c r="C38" s="40" t="n">
        <f aca="false">'LW Budget'!V27</f>
        <v>-1622.15959216666</v>
      </c>
      <c r="D38" s="41" t="n">
        <f aca="false">B38+C38</f>
        <v>945.859741166674</v>
      </c>
      <c r="E38" s="40" t="n">
        <f aca="false">E37+D38</f>
        <v>8774.58215283338</v>
      </c>
    </row>
    <row r="39" customFormat="false" ht="15" hidden="false" customHeight="true" outlineLevel="0" collapsed="false">
      <c r="A39" s="39" t="s">
        <v>74</v>
      </c>
      <c r="B39" s="40" t="n">
        <f aca="false">'Vessel Budget'!X29</f>
        <v>2568.01933333334</v>
      </c>
      <c r="C39" s="40" t="n">
        <f aca="false">'LW Budget'!X27</f>
        <v>-1622.15959216666</v>
      </c>
      <c r="D39" s="41" t="n">
        <f aca="false">B39+C39</f>
        <v>945.859741166674</v>
      </c>
      <c r="E39" s="40" t="n">
        <f aca="false">E38+D39</f>
        <v>9720.44189400005</v>
      </c>
    </row>
    <row r="40" customFormat="false" ht="15" hidden="false" customHeight="true" outlineLevel="0" collapsed="false">
      <c r="A40" s="42" t="s">
        <v>46</v>
      </c>
      <c r="B40" s="43" t="n">
        <f aca="false">'Vessel Budget'!$Z$29</f>
        <v>29186.357</v>
      </c>
      <c r="C40" s="43" t="n">
        <f aca="false">'LW Budget'!$Z$27</f>
        <v>-19465.9151059999</v>
      </c>
      <c r="D40" s="44" t="n">
        <f aca="false">B40+C40</f>
        <v>9720.44189400002</v>
      </c>
      <c r="E40" s="45"/>
    </row>
  </sheetData>
  <mergeCells count="5">
    <mergeCell ref="A2:G2"/>
    <mergeCell ref="B4:C4"/>
    <mergeCell ref="D4:E4"/>
    <mergeCell ref="F4:G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15" hidden="false" customHeight="true" outlineLevel="0" collapsed="false">
      <c r="A4" s="8" t="s">
        <v>77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  <c r="K4" s="5" t="s">
        <v>72</v>
      </c>
      <c r="L4" s="5" t="s">
        <v>73</v>
      </c>
      <c r="M4" s="5" t="s">
        <v>74</v>
      </c>
      <c r="N4" s="5" t="s">
        <v>46</v>
      </c>
    </row>
    <row r="6" customFormat="false" ht="15" hidden="false" customHeight="true" outlineLevel="0" collapsed="false">
      <c r="A6" s="1" t="s">
        <v>7</v>
      </c>
      <c r="B6" s="7" t="n">
        <f aca="false">'Vessel Budget'!B10+'LW Budget'!B11</f>
        <v>64814.92029625</v>
      </c>
      <c r="C6" s="7" t="n">
        <f aca="false">'Vessel Budget'!D10+'LW Budget'!D11</f>
        <v>33754.960125</v>
      </c>
      <c r="D6" s="7" t="n">
        <f aca="false">'Vessel Budget'!F10+'LW Budget'!F11</f>
        <v>76812.6060725</v>
      </c>
      <c r="E6" s="7" t="n">
        <f aca="false">'Vessel Budget'!H10+'LW Budget'!H11</f>
        <v>36634.30913125</v>
      </c>
      <c r="F6" s="7" t="n">
        <f aca="false">'Vessel Budget'!J10+'LW Budget'!J11</f>
        <v>65234.0990375</v>
      </c>
      <c r="G6" s="7" t="n">
        <f aca="false">'Vessel Budget'!L10+'LW Budget'!L11</f>
        <v>62919.1803375</v>
      </c>
      <c r="H6" s="7" t="n">
        <f aca="false">'Vessel Budget'!N10+'LW Budget'!N11</f>
        <v>57495.0125</v>
      </c>
      <c r="I6" s="7" t="n">
        <f aca="false">'Vessel Budget'!P10+'LW Budget'!P11</f>
        <v>57495.0125</v>
      </c>
      <c r="J6" s="7" t="n">
        <f aca="false">'Vessel Budget'!R10+'LW Budget'!R11</f>
        <v>57495.0125</v>
      </c>
      <c r="K6" s="7" t="n">
        <f aca="false">'Vessel Budget'!T10+'LW Budget'!T11</f>
        <v>57495.0125</v>
      </c>
      <c r="L6" s="7" t="n">
        <f aca="false">'Vessel Budget'!V10+'LW Budget'!V11</f>
        <v>57495.0125</v>
      </c>
      <c r="M6" s="7" t="n">
        <f aca="false">'Vessel Budget'!X10+'LW Budget'!X11</f>
        <v>57495.0125</v>
      </c>
      <c r="N6" s="7" t="n">
        <f aca="false">'Vessel Budget'!Z10+'LW Budget'!Z11</f>
        <v>685140.15</v>
      </c>
    </row>
    <row r="7" customFormat="false" ht="15" hidden="false" customHeight="true" outlineLevel="0" collapsed="false">
      <c r="A7" s="1" t="s">
        <v>8</v>
      </c>
      <c r="B7" s="7" t="n">
        <f aca="false">'Vessel Budget'!B14+'LW Budget'!B18</f>
        <v>25232.0076775598</v>
      </c>
      <c r="C7" s="7" t="n">
        <f aca="false">'Vessel Budget'!D14+'LW Budget'!D18</f>
        <v>11608.73337903</v>
      </c>
      <c r="D7" s="7" t="n">
        <f aca="false">'Vessel Budget'!F14+'LW Budget'!F18</f>
        <v>28618.3519363387</v>
      </c>
      <c r="E7" s="7" t="n">
        <f aca="false">'Vessel Budget'!H14+'LW Budget'!H18</f>
        <v>12421.4290236882</v>
      </c>
      <c r="F7" s="7" t="n">
        <f aca="false">'Vessel Budget'!J14+'LW Budget'!J18</f>
        <v>23962.7187464823</v>
      </c>
      <c r="G7" s="7" t="n">
        <f aca="false">'Vessel Budget'!L14+'LW Budget'!L18</f>
        <v>22615.532414901</v>
      </c>
      <c r="H7" s="7" t="n">
        <f aca="false">'Vessel Budget'!N14+'LW Budget'!N18</f>
        <v>21084.5621963333</v>
      </c>
      <c r="I7" s="7" t="n">
        <f aca="false">'Vessel Budget'!P14+'LW Budget'!P18</f>
        <v>21084.5621963333</v>
      </c>
      <c r="J7" s="7" t="n">
        <f aca="false">'Vessel Budget'!R14+'LW Budget'!R18</f>
        <v>21084.5621963333</v>
      </c>
      <c r="K7" s="7" t="n">
        <f aca="false">'Vessel Budget'!T14+'LW Budget'!T18</f>
        <v>21084.5621963333</v>
      </c>
      <c r="L7" s="7" t="n">
        <f aca="false">'Vessel Budget'!V14+'LW Budget'!V18</f>
        <v>21084.5621963333</v>
      </c>
      <c r="M7" s="7" t="n">
        <f aca="false">'Vessel Budget'!X14+'LW Budget'!X18</f>
        <v>21084.5621963333</v>
      </c>
      <c r="N7" s="7" t="n">
        <f aca="false">'Vessel Budget'!Z14+'LW Budget'!Z18</f>
        <v>250966.146356</v>
      </c>
    </row>
    <row r="8" customFormat="false" ht="15" hidden="false" customHeight="true" outlineLevel="0" collapsed="false">
      <c r="A8" s="8" t="s">
        <v>9</v>
      </c>
      <c r="B8" s="9" t="n">
        <f aca="false">B6-B7</f>
        <v>39582.9126186902</v>
      </c>
      <c r="C8" s="9" t="n">
        <f aca="false">C6-C7</f>
        <v>22146.22674597</v>
      </c>
      <c r="D8" s="9" t="n">
        <f aca="false">D6-D7</f>
        <v>48194.2541361613</v>
      </c>
      <c r="E8" s="9" t="n">
        <f aca="false">E6-E7</f>
        <v>24212.8801075618</v>
      </c>
      <c r="F8" s="9" t="n">
        <f aca="false">F6-F7</f>
        <v>41271.3802910177</v>
      </c>
      <c r="G8" s="9" t="n">
        <f aca="false">G6-G7</f>
        <v>40303.647922599</v>
      </c>
      <c r="H8" s="9" t="n">
        <f aca="false">H6-H7</f>
        <v>36410.4503036667</v>
      </c>
      <c r="I8" s="9" t="n">
        <f aca="false">I6-I7</f>
        <v>36410.4503036667</v>
      </c>
      <c r="J8" s="9" t="n">
        <f aca="false">J6-J7</f>
        <v>36410.4503036667</v>
      </c>
      <c r="K8" s="9" t="n">
        <f aca="false">K6-K7</f>
        <v>36410.4503036667</v>
      </c>
      <c r="L8" s="9" t="n">
        <f aca="false">L6-L7</f>
        <v>36410.4503036667</v>
      </c>
      <c r="M8" s="9" t="n">
        <f aca="false">M6-M7</f>
        <v>36410.4503036667</v>
      </c>
      <c r="N8" s="9" t="n">
        <f aca="false">N6-N7</f>
        <v>434174.003644</v>
      </c>
    </row>
    <row r="10" customFormat="false" ht="15" hidden="false" customHeight="true" outlineLevel="0" collapsed="false">
      <c r="A10" s="1" t="s">
        <v>10</v>
      </c>
      <c r="B10" s="7" t="n">
        <f aca="false">'Vessel Budget'!B20+'LW Budget'!B21</f>
        <v>15309.539</v>
      </c>
      <c r="C10" s="7" t="n">
        <f aca="false">'Vessel Budget'!D20+'LW Budget'!D21</f>
        <v>11042.864</v>
      </c>
      <c r="D10" s="7" t="n">
        <f aca="false">'Vessel Budget'!F20+'LW Budget'!F21</f>
        <v>15309.539</v>
      </c>
      <c r="E10" s="7" t="n">
        <f aca="false">'Vessel Budget'!H20+'LW Budget'!H21</f>
        <v>11042.864</v>
      </c>
      <c r="F10" s="7" t="n">
        <f aca="false">'Vessel Budget'!J20+'LW Budget'!J21</f>
        <v>14090.489</v>
      </c>
      <c r="G10" s="7" t="n">
        <f aca="false">'Vessel Budget'!L20+'LW Budget'!L21</f>
        <v>13480.964</v>
      </c>
      <c r="H10" s="7" t="n">
        <f aca="false">'Vessel Budget'!N20+'LW Budget'!N21</f>
        <v>13480.964</v>
      </c>
      <c r="I10" s="7" t="n">
        <f aca="false">'Vessel Budget'!P20+'LW Budget'!P21</f>
        <v>13480.964</v>
      </c>
      <c r="J10" s="7" t="n">
        <f aca="false">'Vessel Budget'!R20+'LW Budget'!R21</f>
        <v>13480.964</v>
      </c>
      <c r="K10" s="7" t="n">
        <f aca="false">'Vessel Budget'!T20+'LW Budget'!T21</f>
        <v>13480.964</v>
      </c>
      <c r="L10" s="7" t="n">
        <f aca="false">'Vessel Budget'!V20+'LW Budget'!V21</f>
        <v>13480.964</v>
      </c>
      <c r="M10" s="7" t="n">
        <f aca="false">'Vessel Budget'!X20+'LW Budget'!X21</f>
        <v>13480.964</v>
      </c>
      <c r="N10" s="7" t="n">
        <f aca="false">'Vessel Budget'!Z20+'LW Budget'!Z21</f>
        <v>161162.043</v>
      </c>
    </row>
    <row r="11" customFormat="false" ht="15" hidden="false" customHeight="true" outlineLevel="0" collapsed="false">
      <c r="A11" s="1" t="s">
        <v>52</v>
      </c>
      <c r="B11" s="7" t="n">
        <f aca="false">'Vessel Budget'!B24+'LW Budget'!B22</f>
        <v>1620.37300740625</v>
      </c>
      <c r="C11" s="7" t="n">
        <f aca="false">'Vessel Budget'!D24+'LW Budget'!D22</f>
        <v>843.874003125</v>
      </c>
      <c r="D11" s="7" t="n">
        <f aca="false">'Vessel Budget'!F24+'LW Budget'!F22</f>
        <v>1920.3151518125</v>
      </c>
      <c r="E11" s="7" t="n">
        <f aca="false">'Vessel Budget'!H24+'LW Budget'!H22</f>
        <v>915.85772828125</v>
      </c>
      <c r="F11" s="7" t="n">
        <f aca="false">'Vessel Budget'!J24+'LW Budget'!J22</f>
        <v>1630.8524759375</v>
      </c>
      <c r="G11" s="7" t="n">
        <f aca="false">'Vessel Budget'!L24+'LW Budget'!L22</f>
        <v>1572.9795084375</v>
      </c>
      <c r="H11" s="7" t="n">
        <f aca="false">'Vessel Budget'!N24+'LW Budget'!N22</f>
        <v>1437.3753125</v>
      </c>
      <c r="I11" s="7" t="n">
        <f aca="false">'Vessel Budget'!P24+'LW Budget'!P22</f>
        <v>1437.3753125</v>
      </c>
      <c r="J11" s="7" t="n">
        <f aca="false">'Vessel Budget'!R24+'LW Budget'!R22</f>
        <v>1437.3753125</v>
      </c>
      <c r="K11" s="7" t="n">
        <f aca="false">'Vessel Budget'!T24+'LW Budget'!T22</f>
        <v>1437.3753125</v>
      </c>
      <c r="L11" s="7" t="n">
        <f aca="false">'Vessel Budget'!V24+'LW Budget'!V22</f>
        <v>1437.3753125</v>
      </c>
      <c r="M11" s="7" t="n">
        <f aca="false">'Vessel Budget'!X24+'LW Budget'!X22</f>
        <v>1437.3753125</v>
      </c>
      <c r="N11" s="7" t="n">
        <f aca="false">'Vessel Budget'!Z24+'LW Budget'!Z22</f>
        <v>17128.50375</v>
      </c>
    </row>
    <row r="12" customFormat="false" ht="15" hidden="false" customHeight="true" outlineLevel="0" collapsed="false">
      <c r="A12" s="1" t="s">
        <v>53</v>
      </c>
      <c r="B12" s="7" t="n">
        <f aca="false">'Vessel Budget'!B23+'LW Budget'!B23</f>
        <v>14211.25</v>
      </c>
      <c r="C12" s="7" t="n">
        <f aca="false">'Vessel Budget'!D23+'LW Budget'!D23</f>
        <v>14211.25</v>
      </c>
      <c r="D12" s="7" t="n">
        <f aca="false">'Vessel Budget'!F23+'LW Budget'!F23</f>
        <v>14211.25</v>
      </c>
      <c r="E12" s="7" t="n">
        <f aca="false">'Vessel Budget'!H23+'LW Budget'!H23</f>
        <v>14211.25</v>
      </c>
      <c r="F12" s="7" t="n">
        <f aca="false">'Vessel Budget'!J23+'LW Budget'!J23</f>
        <v>14211.25</v>
      </c>
      <c r="G12" s="7" t="n">
        <f aca="false">'Vessel Budget'!L23+'LW Budget'!L23</f>
        <v>14211.25</v>
      </c>
      <c r="H12" s="7" t="n">
        <f aca="false">'Vessel Budget'!N23+'LW Budget'!N23</f>
        <v>14211.25</v>
      </c>
      <c r="I12" s="7" t="n">
        <f aca="false">'Vessel Budget'!P23+'LW Budget'!P23</f>
        <v>14211.25</v>
      </c>
      <c r="J12" s="7" t="n">
        <f aca="false">'Vessel Budget'!R23+'LW Budget'!R23</f>
        <v>14211.25</v>
      </c>
      <c r="K12" s="7" t="n">
        <f aca="false">'Vessel Budget'!T23+'LW Budget'!T23</f>
        <v>14211.25</v>
      </c>
      <c r="L12" s="7" t="n">
        <f aca="false">'Vessel Budget'!V23+'LW Budget'!V23</f>
        <v>14211.25</v>
      </c>
      <c r="M12" s="7" t="n">
        <f aca="false">'Vessel Budget'!X23+'LW Budget'!X23</f>
        <v>14211.25</v>
      </c>
      <c r="N12" s="7" t="n">
        <f aca="false">'Vessel Budget'!Z23+'LW Budget'!Z23</f>
        <v>170535</v>
      </c>
    </row>
    <row r="13" customFormat="false" ht="15" hidden="false" customHeight="true" outlineLevel="0" collapsed="false">
      <c r="A13" s="1" t="s">
        <v>54</v>
      </c>
      <c r="B13" s="7" t="n">
        <f aca="false">'Vessel Budget'!B25+'LW Budget'!B24</f>
        <v>1201.5</v>
      </c>
      <c r="C13" s="7" t="n">
        <f aca="false">'Vessel Budget'!D25+'LW Budget'!D24</f>
        <v>1201.5</v>
      </c>
      <c r="D13" s="7" t="n">
        <f aca="false">'Vessel Budget'!F25+'LW Budget'!F24</f>
        <v>1201.5</v>
      </c>
      <c r="E13" s="7" t="n">
        <f aca="false">'Vessel Budget'!H25+'LW Budget'!H24</f>
        <v>1201.5</v>
      </c>
      <c r="F13" s="7" t="n">
        <f aca="false">'Vessel Budget'!J25+'LW Budget'!J24</f>
        <v>1201.5</v>
      </c>
      <c r="G13" s="7" t="n">
        <f aca="false">'Vessel Budget'!L25+'LW Budget'!L24</f>
        <v>1201.5</v>
      </c>
      <c r="H13" s="7" t="n">
        <f aca="false">'Vessel Budget'!N25+'LW Budget'!N24</f>
        <v>1201.5</v>
      </c>
      <c r="I13" s="7" t="n">
        <f aca="false">'Vessel Budget'!P25+'LW Budget'!P24</f>
        <v>1201.5</v>
      </c>
      <c r="J13" s="7" t="n">
        <f aca="false">'Vessel Budget'!R25+'LW Budget'!R24</f>
        <v>1201.5</v>
      </c>
      <c r="K13" s="7" t="n">
        <f aca="false">'Vessel Budget'!T25+'LW Budget'!T24</f>
        <v>1201.5</v>
      </c>
      <c r="L13" s="7" t="n">
        <f aca="false">'Vessel Budget'!V25+'LW Budget'!V24</f>
        <v>1201.5</v>
      </c>
      <c r="M13" s="7" t="n">
        <f aca="false">'Vessel Budget'!X25+'LW Budget'!X24</f>
        <v>1201.5</v>
      </c>
      <c r="N13" s="7" t="n">
        <f aca="false">'Vessel Budget'!Z25+'LW Budget'!Z24</f>
        <v>14418</v>
      </c>
    </row>
    <row r="14" customFormat="false" ht="15" hidden="false" customHeight="true" outlineLevel="0" collapsed="false">
      <c r="A14" s="1" t="s">
        <v>78</v>
      </c>
      <c r="B14" s="7" t="n">
        <f aca="false">'Vessel Budget'!B26+'LW Budget'!B25</f>
        <v>2592.59681185</v>
      </c>
      <c r="C14" s="7" t="n">
        <f aca="false">'Vessel Budget'!D26+'LW Budget'!D25</f>
        <v>1350.198405</v>
      </c>
      <c r="D14" s="7" t="n">
        <f aca="false">'Vessel Budget'!F26+'LW Budget'!F25</f>
        <v>3072.5042429</v>
      </c>
      <c r="E14" s="7" t="n">
        <f aca="false">'Vessel Budget'!H26+'LW Budget'!H25</f>
        <v>1465.37236525</v>
      </c>
      <c r="F14" s="7" t="n">
        <f aca="false">'Vessel Budget'!J26+'LW Budget'!J25</f>
        <v>2609.3639615</v>
      </c>
      <c r="G14" s="7" t="n">
        <f aca="false">'Vessel Budget'!L26+'LW Budget'!L25</f>
        <v>2516.7672135</v>
      </c>
      <c r="H14" s="7" t="n">
        <f aca="false">'Vessel Budget'!N26+'LW Budget'!N25</f>
        <v>2299.8005</v>
      </c>
      <c r="I14" s="7" t="n">
        <f aca="false">'Vessel Budget'!P26+'LW Budget'!P25</f>
        <v>2299.8005</v>
      </c>
      <c r="J14" s="7" t="n">
        <f aca="false">'Vessel Budget'!R26+'LW Budget'!R25</f>
        <v>2299.8005</v>
      </c>
      <c r="K14" s="7" t="n">
        <f aca="false">'Vessel Budget'!T26+'LW Budget'!T25</f>
        <v>2299.8005</v>
      </c>
      <c r="L14" s="7" t="n">
        <f aca="false">'Vessel Budget'!V26+'LW Budget'!V25</f>
        <v>2299.8005</v>
      </c>
      <c r="M14" s="7" t="n">
        <f aca="false">'Vessel Budget'!X26+'LW Budget'!X25</f>
        <v>2299.8005</v>
      </c>
      <c r="N14" s="7" t="n">
        <f aca="false">'Vessel Budget'!Z26+'LW Budget'!Z25</f>
        <v>27405.606</v>
      </c>
    </row>
    <row r="15" customFormat="false" ht="15" hidden="false" customHeight="true" outlineLevel="0" collapsed="false">
      <c r="A15" s="1" t="s">
        <v>13</v>
      </c>
      <c r="B15" s="7" t="n">
        <f aca="false">'Vessel Budget'!B27</f>
        <v>2000</v>
      </c>
      <c r="C15" s="7" t="n">
        <f aca="false">'Vessel Budget'!D27</f>
        <v>600</v>
      </c>
      <c r="D15" s="7" t="n">
        <f aca="false">'Vessel Budget'!F27</f>
        <v>2000</v>
      </c>
      <c r="E15" s="7" t="n">
        <f aca="false">'Vessel Budget'!H27</f>
        <v>600</v>
      </c>
      <c r="F15" s="7" t="n">
        <f aca="false">'Vessel Budget'!J27</f>
        <v>1600</v>
      </c>
      <c r="G15" s="7" t="n">
        <f aca="false">'Vessel Budget'!L27</f>
        <v>1400</v>
      </c>
      <c r="H15" s="7" t="n">
        <f aca="false">'Vessel Budget'!N27</f>
        <v>1400</v>
      </c>
      <c r="I15" s="7" t="n">
        <f aca="false">'Vessel Budget'!P27</f>
        <v>1400</v>
      </c>
      <c r="J15" s="7" t="n">
        <f aca="false">'Vessel Budget'!R27</f>
        <v>1400</v>
      </c>
      <c r="K15" s="7" t="n">
        <f aca="false">'Vessel Budget'!T27</f>
        <v>1400</v>
      </c>
      <c r="L15" s="7" t="n">
        <f aca="false">'Vessel Budget'!V27</f>
        <v>1400</v>
      </c>
      <c r="M15" s="7" t="n">
        <f aca="false">'Vessel Budget'!X27</f>
        <v>1400</v>
      </c>
      <c r="N15" s="7" t="n">
        <f aca="false">'Vessel Budget'!Z27</f>
        <v>16600</v>
      </c>
    </row>
    <row r="16" customFormat="false" ht="15" hidden="false" customHeight="true" outlineLevel="0" collapsed="false">
      <c r="A16" s="1" t="s">
        <v>79</v>
      </c>
      <c r="B16" s="7" t="n">
        <f aca="false">'Vessel Budget'!B28+'LW Budget'!B26</f>
        <v>1008.895217775</v>
      </c>
      <c r="C16" s="7" t="n">
        <f aca="false">'Vessel Budget'!D28+'LW Budget'!D26</f>
        <v>1161.2976075</v>
      </c>
      <c r="D16" s="7" t="n">
        <f aca="false">'Vessel Budget'!F28+'LW Budget'!F26</f>
        <v>1728.75636435</v>
      </c>
      <c r="E16" s="7" t="n">
        <f aca="false">'Vessel Budget'!H28+'LW Budget'!H26</f>
        <v>1334.058547875</v>
      </c>
      <c r="F16" s="7" t="n">
        <f aca="false">'Vessel Budget'!J28+'LW Budget'!J26</f>
        <v>1610.04594225</v>
      </c>
      <c r="G16" s="7" t="n">
        <f aca="false">'Vessel Budget'!L28+'LW Budget'!L26</f>
        <v>1759.15082025</v>
      </c>
      <c r="H16" s="7" t="n">
        <f aca="false">'Vessel Budget'!N28+'LW Budget'!N26</f>
        <v>1433.70075</v>
      </c>
      <c r="I16" s="7" t="n">
        <f aca="false">'Vessel Budget'!P28+'LW Budget'!P26</f>
        <v>1433.70075</v>
      </c>
      <c r="J16" s="7" t="n">
        <f aca="false">'Vessel Budget'!R28+'LW Budget'!R26</f>
        <v>1433.70075</v>
      </c>
      <c r="K16" s="7" t="n">
        <f aca="false">'Vessel Budget'!T28+'LW Budget'!T26</f>
        <v>1433.70075</v>
      </c>
      <c r="L16" s="7" t="n">
        <f aca="false">'Vessel Budget'!V28+'LW Budget'!V26</f>
        <v>1433.70075</v>
      </c>
      <c r="M16" s="7" t="n">
        <f aca="false">'Vessel Budget'!X28+'LW Budget'!X26</f>
        <v>1433.70075</v>
      </c>
      <c r="N16" s="7" t="n">
        <f aca="false">'Vessel Budget'!Z28+'LW Budget'!Z26</f>
        <v>17204.409</v>
      </c>
    </row>
    <row r="18" customFormat="false" ht="15" hidden="false" customHeight="true" outlineLevel="0" collapsed="false">
      <c r="A18" s="8" t="s">
        <v>15</v>
      </c>
      <c r="B18" s="9" t="n">
        <f aca="false">B8-(B10+B11+B12+B13+B14+B15+B16)</f>
        <v>1638.75858165898</v>
      </c>
      <c r="C18" s="9" t="n">
        <f aca="false">C8-(C10+C11+C12+C13+C14+C15+C16)</f>
        <v>-8264.757269655</v>
      </c>
      <c r="D18" s="9" t="n">
        <f aca="false">D8-(D10+D11+D12+D13+D14+D15+D16)</f>
        <v>8750.38937709876</v>
      </c>
      <c r="E18" s="9" t="n">
        <f aca="false">E8-(E10+E11+E12+E13+E14+E15+E16)</f>
        <v>-6558.02253384442</v>
      </c>
      <c r="F18" s="9" t="n">
        <f aca="false">F8-(F10+F11+F12+F13+F14+F15+F16)</f>
        <v>4317.87891133017</v>
      </c>
      <c r="G18" s="9" t="n">
        <f aca="false">G8-(G10+G11+G12+G13+G14+G15+G16)</f>
        <v>4161.0363804115</v>
      </c>
      <c r="H18" s="9" t="n">
        <f aca="false">H8-(H10+H11+H12+H13+H14+H15+H16)</f>
        <v>945.859741166663</v>
      </c>
      <c r="I18" s="9" t="n">
        <f aca="false">I8-(I10+I11+I12+I13+I14+I15+I16)</f>
        <v>945.859741166663</v>
      </c>
      <c r="J18" s="9" t="n">
        <f aca="false">J8-(J10+J11+J12+J13+J14+J15+J16)</f>
        <v>945.859741166663</v>
      </c>
      <c r="K18" s="9" t="n">
        <f aca="false">K8-(K10+K11+K12+K13+K14+K15+K16)</f>
        <v>945.859741166663</v>
      </c>
      <c r="L18" s="9" t="n">
        <f aca="false">L8-(L10+L11+L12+L13+L14+L15+L16)</f>
        <v>945.859741166663</v>
      </c>
      <c r="M18" s="9" t="n">
        <f aca="false">M8-(M10+M11+M12+M13+M14+M15+M16)</f>
        <v>945.859741166663</v>
      </c>
      <c r="N18" s="9" t="n">
        <f aca="false">N8-(N10+N11+N12+N13+N14+N15+N16)</f>
        <v>9720.44189400016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6" t="s">
        <v>80</v>
      </c>
      <c r="C2" s="46"/>
      <c r="D2" s="46"/>
      <c r="E2" s="46"/>
      <c r="F2" s="46"/>
      <c r="G2" s="46"/>
    </row>
    <row r="3" customFormat="false" ht="15" hidden="false" customHeight="true" outlineLevel="0" collapsed="false">
      <c r="B3" s="47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7"/>
      <c r="D3" s="47"/>
      <c r="E3" s="47"/>
      <c r="F3" s="47"/>
      <c r="G3" s="47"/>
    </row>
    <row r="5" customFormat="false" ht="15" hidden="false" customHeight="true" outlineLevel="0" collapsed="false">
      <c r="B5" s="48" t="s">
        <v>81</v>
      </c>
      <c r="C5" s="49" t="s">
        <v>50</v>
      </c>
      <c r="D5" s="49" t="s">
        <v>51</v>
      </c>
      <c r="F5" s="48" t="s">
        <v>82</v>
      </c>
    </row>
    <row r="6" customFormat="false" ht="15" hidden="false" customHeight="true" outlineLevel="0" collapsed="false">
      <c r="B6" s="50" t="s">
        <v>83</v>
      </c>
      <c r="C6" s="43" t="n">
        <f aca="false">'Vessel Budget'!Z10</f>
        <v>398400</v>
      </c>
      <c r="D6" s="25" t="n">
        <f aca="false">C6/C6</f>
        <v>1</v>
      </c>
      <c r="F6" s="51" t="s">
        <v>84</v>
      </c>
      <c r="G6" s="52" t="n">
        <f aca="false">'Vessel Budget'!Z28/'Vessel Budget'!Z10</f>
        <v>0</v>
      </c>
    </row>
    <row r="7" customFormat="false" ht="15" hidden="false" customHeight="true" outlineLevel="0" collapsed="false">
      <c r="B7" s="53" t="s">
        <v>85</v>
      </c>
      <c r="C7" s="54" t="n">
        <f aca="false">'Vessel Budget'!Z14</f>
        <v>170033.8</v>
      </c>
      <c r="D7" s="55" t="n">
        <f aca="false">C7/C6</f>
        <v>0.426791666666667</v>
      </c>
      <c r="F7" s="51" t="s">
        <v>86</v>
      </c>
      <c r="G7" s="52" t="n">
        <f aca="false">'Vessel Budget'!Z21/'Vessel Budget'!Z10</f>
        <v>0.595122095883534</v>
      </c>
    </row>
    <row r="8" customFormat="false" ht="15" hidden="false" customHeight="true" outlineLevel="0" collapsed="false">
      <c r="B8" s="50" t="s">
        <v>87</v>
      </c>
      <c r="C8" s="43" t="n">
        <f aca="false">'Vessel Budget'!Z15</f>
        <v>228366.2</v>
      </c>
      <c r="D8" s="25" t="n">
        <f aca="false">C8/C6</f>
        <v>0.573208333333333</v>
      </c>
      <c r="F8" s="51" t="s">
        <v>88</v>
      </c>
      <c r="G8" s="52" t="n">
        <f aca="false">'Vessel Budget'!Z14/'Vessel Budget'!Z10</f>
        <v>0.426791666666667</v>
      </c>
    </row>
    <row r="9" customFormat="false" ht="15" hidden="false" customHeight="true" outlineLevel="0" collapsed="false">
      <c r="B9" s="53" t="s">
        <v>89</v>
      </c>
      <c r="C9" s="54" t="n">
        <f aca="false">'Vessel Budget'!Z20</f>
        <v>67062.843</v>
      </c>
      <c r="D9" s="55" t="n">
        <f aca="false">C9/C6</f>
        <v>0.168330429216868</v>
      </c>
      <c r="F9" s="51" t="s">
        <v>90</v>
      </c>
      <c r="G9" s="56" t="n">
        <f aca="false">'Vessel Budget'!Z6</f>
        <v>83</v>
      </c>
    </row>
    <row r="10" customFormat="false" ht="15" hidden="false" customHeight="true" outlineLevel="0" collapsed="false">
      <c r="B10" s="50" t="s">
        <v>91</v>
      </c>
      <c r="C10" s="43" t="n">
        <f aca="false">'Vessel Budget'!Z21</f>
        <v>237096.643</v>
      </c>
      <c r="D10" s="25" t="n">
        <f aca="false">C10/C6</f>
        <v>0.595122095883534</v>
      </c>
      <c r="F10" s="51" t="s">
        <v>92</v>
      </c>
      <c r="G10" s="57" t="n">
        <f aca="false">'Vessel Assumptions'!C6</f>
        <v>4000</v>
      </c>
    </row>
    <row r="11" customFormat="false" ht="15" hidden="false" customHeight="true" outlineLevel="0" collapsed="false">
      <c r="B11" s="53" t="s">
        <v>93</v>
      </c>
      <c r="C11" s="58" t="n">
        <f aca="false">'Vessel Budget'!Z23</f>
        <v>80860</v>
      </c>
      <c r="D11" s="55" t="n">
        <f aca="false">C11/C6</f>
        <v>0.202961847389558</v>
      </c>
      <c r="F11" s="51" t="s">
        <v>94</v>
      </c>
      <c r="G11" s="57" t="n">
        <f aca="false">'Vessel Budget'!Z10/'Vessel Budget'!Z6</f>
        <v>4800</v>
      </c>
    </row>
    <row r="12" customFormat="false" ht="15" hidden="false" customHeight="true" outlineLevel="0" collapsed="false">
      <c r="B12" s="53" t="s">
        <v>95</v>
      </c>
      <c r="C12" s="58" t="n">
        <f aca="false">'Vessel Budget'!Z24</f>
        <v>9960</v>
      </c>
      <c r="D12" s="55" t="n">
        <f aca="false">C12/C6</f>
        <v>0.025</v>
      </c>
    </row>
    <row r="13" customFormat="false" ht="15" hidden="false" customHeight="true" outlineLevel="0" collapsed="false">
      <c r="B13" s="53" t="s">
        <v>96</v>
      </c>
      <c r="C13" s="58" t="n">
        <f aca="false">'Vessel Budget'!Z25</f>
        <v>8761</v>
      </c>
      <c r="D13" s="55" t="n">
        <f aca="false">C13/C6</f>
        <v>0.0219904618473896</v>
      </c>
    </row>
    <row r="14" customFormat="false" ht="15" hidden="false" customHeight="true" outlineLevel="0" collapsed="false">
      <c r="B14" s="59" t="s">
        <v>78</v>
      </c>
      <c r="C14" s="60" t="n">
        <f aca="false">'Vessel Budget'!Z26</f>
        <v>15936</v>
      </c>
      <c r="D14" s="61" t="n">
        <f aca="false">C14/C6</f>
        <v>0.04</v>
      </c>
    </row>
    <row r="15" customFormat="false" ht="15" hidden="false" customHeight="true" outlineLevel="0" collapsed="false">
      <c r="B15" s="1" t="s">
        <v>97</v>
      </c>
      <c r="C15" s="7" t="n">
        <f aca="false">'Vessel Budget'!Z27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98</v>
      </c>
      <c r="C16" s="9" t="n">
        <f aca="false">'Vessel Budget'!Z28</f>
        <v>0</v>
      </c>
      <c r="D16" s="10" t="n">
        <f aca="false">C16/C6</f>
        <v>0</v>
      </c>
    </row>
    <row r="17" customFormat="false" ht="15" hidden="false" customHeight="true" outlineLevel="0" collapsed="false">
      <c r="B17" s="62" t="s">
        <v>15</v>
      </c>
      <c r="C17" s="29" t="n">
        <f aca="false">'Vessel Budget'!Z29</f>
        <v>29186.357</v>
      </c>
      <c r="D17" s="25" t="n">
        <f aca="false">C17/C6</f>
        <v>0.0732589282128513</v>
      </c>
    </row>
    <row r="18" customFormat="false" ht="15" hidden="false" customHeight="true" outlineLevel="0" collapsed="false">
      <c r="B18" s="50"/>
      <c r="C18" s="43"/>
      <c r="D18" s="25"/>
    </row>
    <row r="20" customFormat="false" ht="15" hidden="false" customHeight="true" outlineLevel="0" collapsed="false">
      <c r="B20" s="63" t="s">
        <v>99</v>
      </c>
      <c r="C20" s="63"/>
      <c r="D20" s="63"/>
      <c r="E20" s="63"/>
      <c r="F20" s="63"/>
      <c r="G20" s="63"/>
    </row>
    <row r="21" customFormat="false" ht="15" hidden="false" customHeight="true" outlineLevel="0" collapsed="false">
      <c r="B21" s="63"/>
      <c r="C21" s="63"/>
      <c r="D21" s="63"/>
      <c r="E21" s="63"/>
      <c r="F21" s="63"/>
      <c r="G21" s="63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6" t="s">
        <v>100</v>
      </c>
      <c r="C2" s="46"/>
      <c r="D2" s="46"/>
    </row>
    <row r="3" customFormat="false" ht="15" hidden="false" customHeight="true" outlineLevel="0" collapsed="false">
      <c r="B3" s="47" t="s">
        <v>101</v>
      </c>
      <c r="C3" s="47"/>
      <c r="D3" s="47"/>
    </row>
    <row r="5" customFormat="false" ht="19.5" hidden="false" customHeight="true" outlineLevel="0" collapsed="false">
      <c r="B5" s="64" t="s">
        <v>102</v>
      </c>
      <c r="C5" s="64"/>
      <c r="D5" s="64"/>
    </row>
    <row r="6" customFormat="false" ht="15" hidden="false" customHeight="true" outlineLevel="0" collapsed="false">
      <c r="B6" s="51" t="s">
        <v>103</v>
      </c>
      <c r="C6" s="65" t="n">
        <v>4000</v>
      </c>
      <c r="D6" s="66" t="s">
        <v>104</v>
      </c>
    </row>
    <row r="7" customFormat="false" ht="15" hidden="false" customHeight="true" outlineLevel="0" collapsed="false">
      <c r="B7" s="51" t="s">
        <v>105</v>
      </c>
      <c r="C7" s="67" t="n">
        <v>0.8</v>
      </c>
      <c r="D7" s="66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1" t="s">
        <v>106</v>
      </c>
      <c r="C8" s="67" t="n">
        <v>0.749</v>
      </c>
      <c r="D8" s="66" t="s">
        <v>107</v>
      </c>
    </row>
    <row r="9" customFormat="false" ht="15" hidden="false" customHeight="true" outlineLevel="0" collapsed="false">
      <c r="B9" s="51" t="s">
        <v>108</v>
      </c>
      <c r="C9" s="67" t="n">
        <v>0.2</v>
      </c>
      <c r="D9" s="66" t="s">
        <v>109</v>
      </c>
    </row>
    <row r="11" customFormat="false" ht="19.5" hidden="false" customHeight="true" outlineLevel="0" collapsed="false">
      <c r="B11" s="64" t="s">
        <v>110</v>
      </c>
      <c r="C11" s="64"/>
      <c r="D11" s="64"/>
    </row>
    <row r="12" customFormat="false" ht="15" hidden="false" customHeight="true" outlineLevel="0" collapsed="false">
      <c r="B12" s="51" t="s">
        <v>111</v>
      </c>
      <c r="C12" s="67" t="n">
        <v>0.6</v>
      </c>
      <c r="D12" s="66" t="str">
        <f aca="false">TEXT(1-$C$12,"0%")&amp;" margin target"</f>
        <v>40% margin target</v>
      </c>
    </row>
    <row r="13" customFormat="false" ht="15" hidden="false" customHeight="true" outlineLevel="0" collapsed="false">
      <c r="B13" s="51" t="s">
        <v>112</v>
      </c>
      <c r="C13" s="67" t="n">
        <v>0.25</v>
      </c>
      <c r="D13" s="66" t="str">
        <f aca="false">TEXT(1-$C$13,"0%")&amp;" margin"</f>
        <v>75% margin</v>
      </c>
    </row>
    <row r="15" customFormat="false" ht="19.5" hidden="false" customHeight="true" outlineLevel="0" collapsed="false">
      <c r="B15" s="64" t="s">
        <v>113</v>
      </c>
      <c r="C15" s="64"/>
      <c r="D15" s="64"/>
    </row>
    <row r="16" customFormat="false" ht="15" hidden="false" customHeight="true" outlineLevel="0" collapsed="false">
      <c r="B16" s="51" t="s">
        <v>114</v>
      </c>
      <c r="C16" s="68" t="n">
        <v>1</v>
      </c>
    </row>
    <row r="17" customFormat="false" ht="15" hidden="false" customHeight="true" outlineLevel="0" collapsed="false">
      <c r="B17" s="51" t="s">
        <v>115</v>
      </c>
      <c r="C17" s="68" t="n">
        <v>2</v>
      </c>
    </row>
    <row r="18" customFormat="false" ht="15" hidden="false" customHeight="true" outlineLevel="0" collapsed="false">
      <c r="B18" s="51" t="s">
        <v>116</v>
      </c>
      <c r="C18" s="65" t="n">
        <v>35</v>
      </c>
    </row>
    <row r="19" customFormat="false" ht="15" hidden="false" customHeight="true" outlineLevel="0" collapsed="false">
      <c r="B19" s="51" t="s">
        <v>117</v>
      </c>
      <c r="C19" s="68" t="n">
        <v>5</v>
      </c>
    </row>
    <row r="20" customFormat="false" ht="15" hidden="false" customHeight="true" outlineLevel="0" collapsed="false">
      <c r="B20" s="42" t="s">
        <v>118</v>
      </c>
      <c r="C20" s="69" t="n">
        <f aca="false">(C16+C17)*C18*C19</f>
        <v>525</v>
      </c>
    </row>
    <row r="21" customFormat="false" ht="15" hidden="false" customHeight="true" outlineLevel="0" collapsed="false">
      <c r="B21" s="51" t="s">
        <v>119</v>
      </c>
      <c r="C21" s="69" t="n">
        <f aca="false">'Vessel GL Basis'!D8</f>
        <v>1182.33333333333</v>
      </c>
      <c r="D21" s="66" t="s">
        <v>120</v>
      </c>
    </row>
    <row r="22" customFormat="false" ht="15" hidden="false" customHeight="true" outlineLevel="0" collapsed="false">
      <c r="B22" s="51" t="s">
        <v>121</v>
      </c>
      <c r="C22" s="67" t="n">
        <v>0.161</v>
      </c>
      <c r="D22" s="66" t="s">
        <v>122</v>
      </c>
    </row>
    <row r="24" customFormat="false" ht="19.5" hidden="false" customHeight="true" outlineLevel="0" collapsed="false">
      <c r="B24" s="64" t="s">
        <v>123</v>
      </c>
      <c r="C24" s="64"/>
      <c r="D24" s="64"/>
    </row>
    <row r="25" customFormat="false" ht="15" hidden="false" customHeight="true" outlineLevel="0" collapsed="false">
      <c r="B25" s="51" t="s">
        <v>124</v>
      </c>
      <c r="C25" s="69" t="n">
        <f aca="false">'Vessel GL Basis'!D18</f>
        <v>6738.33333333333</v>
      </c>
      <c r="D25" s="66" t="s">
        <v>120</v>
      </c>
    </row>
    <row r="26" customFormat="false" ht="15" hidden="false" customHeight="true" outlineLevel="0" collapsed="false">
      <c r="B26" s="51" t="s">
        <v>125</v>
      </c>
      <c r="C26" s="69" t="n">
        <f aca="false">'Vessel GL Basis'!D24</f>
        <v>730.083333333333</v>
      </c>
      <c r="D26" s="66" t="s">
        <v>120</v>
      </c>
    </row>
    <row r="27" customFormat="false" ht="15" hidden="false" customHeight="true" outlineLevel="0" collapsed="false">
      <c r="B27" s="51" t="s">
        <v>126</v>
      </c>
      <c r="C27" s="67" t="n">
        <v>0.025</v>
      </c>
      <c r="D27" s="66" t="s">
        <v>127</v>
      </c>
    </row>
    <row r="29" customFormat="false" ht="19.5" hidden="false" customHeight="true" outlineLevel="0" collapsed="false">
      <c r="B29" s="64" t="s">
        <v>128</v>
      </c>
      <c r="C29" s="64"/>
      <c r="D29" s="64"/>
    </row>
    <row r="30" customFormat="false" ht="15" hidden="false" customHeight="true" outlineLevel="0" collapsed="false">
      <c r="B30" s="51" t="s">
        <v>129</v>
      </c>
      <c r="C30" s="70" t="n">
        <v>0.04</v>
      </c>
      <c r="D30" s="66" t="s">
        <v>130</v>
      </c>
    </row>
    <row r="31" customFormat="false" ht="15" hidden="false" customHeight="true" outlineLevel="0" collapsed="false">
      <c r="B31" s="42" t="s">
        <v>131</v>
      </c>
      <c r="C31" s="71" t="n">
        <v>0</v>
      </c>
      <c r="D31" s="1" t="s">
        <v>132</v>
      </c>
    </row>
    <row r="32" customFormat="false" ht="15" hidden="false" customHeight="true" outlineLevel="0" collapsed="false">
      <c r="B32" s="1" t="s">
        <v>133</v>
      </c>
      <c r="C32" s="72" t="n">
        <v>0.05</v>
      </c>
      <c r="D32" s="1" t="s">
        <v>134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7.5" hidden="false" customHeight="true" outlineLevel="0" collapsed="false">
      <c r="A1" s="46" t="s">
        <v>135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customFormat="false" ht="15" hidden="false" customHeight="true" outlineLevel="0" collapsed="false">
      <c r="A2" s="47" t="s">
        <v>136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4" customFormat="false" ht="18" hidden="false" customHeight="true" outlineLevel="0" collapsed="false">
      <c r="A4" s="17" t="s">
        <v>137</v>
      </c>
      <c r="B4" s="18" t="s">
        <v>63</v>
      </c>
      <c r="C4" s="18"/>
      <c r="D4" s="18" t="s">
        <v>64</v>
      </c>
      <c r="E4" s="18"/>
      <c r="F4" s="18" t="s">
        <v>65</v>
      </c>
      <c r="G4" s="18"/>
      <c r="H4" s="18" t="s">
        <v>66</v>
      </c>
      <c r="I4" s="18"/>
      <c r="J4" s="18" t="s">
        <v>67</v>
      </c>
      <c r="K4" s="18"/>
      <c r="L4" s="18" t="s">
        <v>68</v>
      </c>
      <c r="M4" s="18"/>
      <c r="N4" s="18" t="s">
        <v>69</v>
      </c>
      <c r="O4" s="18"/>
      <c r="P4" s="18" t="s">
        <v>70</v>
      </c>
      <c r="Q4" s="18"/>
      <c r="R4" s="18" t="s">
        <v>71</v>
      </c>
      <c r="S4" s="18"/>
      <c r="T4" s="18" t="s">
        <v>72</v>
      </c>
      <c r="U4" s="18"/>
      <c r="V4" s="18" t="s">
        <v>73</v>
      </c>
      <c r="W4" s="18"/>
      <c r="X4" s="18" t="s">
        <v>74</v>
      </c>
      <c r="Y4" s="18"/>
      <c r="Z4" s="19" t="s">
        <v>46</v>
      </c>
      <c r="AA4" s="19"/>
    </row>
    <row r="5" customFormat="false" ht="15" hidden="false" customHeight="true" outlineLevel="0" collapsed="false">
      <c r="A5" s="73" t="s">
        <v>138</v>
      </c>
      <c r="B5" s="74" t="n">
        <v>13</v>
      </c>
      <c r="D5" s="74" t="n">
        <v>4</v>
      </c>
      <c r="F5" s="74" t="n">
        <v>13</v>
      </c>
      <c r="H5" s="74" t="n">
        <v>4</v>
      </c>
      <c r="J5" s="74" t="n">
        <v>10</v>
      </c>
      <c r="L5" s="74" t="n">
        <f aca="false">AVERAGE($B5,$D5,$F5,$H5,$J5)</f>
        <v>8.8</v>
      </c>
      <c r="N5" s="74" t="n">
        <f aca="false">AVERAGE($B5,$D5,$F5,$H5,$J5)</f>
        <v>8.8</v>
      </c>
      <c r="P5" s="74" t="n">
        <f aca="false">AVERAGE($B5,$D5,$F5,$H5,$J5)</f>
        <v>8.8</v>
      </c>
      <c r="R5" s="74" t="n">
        <f aca="false">AVERAGE($B5,$D5,$F5,$H5,$J5)</f>
        <v>8.8</v>
      </c>
      <c r="T5" s="74" t="n">
        <f aca="false">AVERAGE($B5,$D5,$F5,$H5,$J5)</f>
        <v>8.8</v>
      </c>
      <c r="V5" s="74" t="n">
        <f aca="false">AVERAGE($B5,$D5,$F5,$H5,$J5)</f>
        <v>8.8</v>
      </c>
      <c r="X5" s="74" t="n">
        <f aca="false">AVERAGE($B5,$D5,$F5,$H5,$J5)</f>
        <v>8.8</v>
      </c>
      <c r="Z5" s="75" t="n">
        <f aca="false">B5+D5+F5+H5+J5+L5+N5+P5+R5+T5+V5+X5</f>
        <v>105.6</v>
      </c>
      <c r="AA5" s="76"/>
    </row>
    <row r="6" customFormat="false" ht="15" hidden="false" customHeight="true" outlineLevel="0" collapsed="false">
      <c r="A6" s="73" t="s">
        <v>139</v>
      </c>
      <c r="B6" s="74" t="n">
        <f aca="false">ROUND(B5*'Vessel Assumptions'!$C$7,0)</f>
        <v>10</v>
      </c>
      <c r="D6" s="74" t="n">
        <f aca="false">ROUND(D5*'Vessel Assumptions'!$C$7,0)</f>
        <v>3</v>
      </c>
      <c r="F6" s="74" t="n">
        <f aca="false">ROUND(F5*'Vessel Assumptions'!$C$7,0)</f>
        <v>10</v>
      </c>
      <c r="H6" s="74" t="n">
        <f aca="false">ROUND(H5*'Vessel Assumptions'!$C$7,0)</f>
        <v>3</v>
      </c>
      <c r="J6" s="74" t="n">
        <f aca="false">ROUND(J5*'Vessel Assumptions'!$C$7,0)</f>
        <v>8</v>
      </c>
      <c r="L6" s="74" t="n">
        <f aca="false">ROUND(L5*'Vessel Assumptions'!$C$7,0)</f>
        <v>7</v>
      </c>
      <c r="N6" s="74" t="n">
        <f aca="false">ROUND(N5*'Vessel Assumptions'!$C$7,0)</f>
        <v>7</v>
      </c>
      <c r="P6" s="74" t="n">
        <f aca="false">ROUND(P5*'Vessel Assumptions'!$C$7,0)</f>
        <v>7</v>
      </c>
      <c r="R6" s="74" t="n">
        <f aca="false">ROUND(R5*'Vessel Assumptions'!$C$7,0)</f>
        <v>7</v>
      </c>
      <c r="T6" s="74" t="n">
        <f aca="false">ROUND(T5*'Vessel Assumptions'!$C$7,0)</f>
        <v>7</v>
      </c>
      <c r="V6" s="74" t="n">
        <f aca="false">ROUND(V5*'Vessel Assumptions'!$C$7,0)</f>
        <v>7</v>
      </c>
      <c r="X6" s="74" t="n">
        <f aca="false">ROUND(X5*'Vessel Assumptions'!$C$7,0)</f>
        <v>7</v>
      </c>
      <c r="Z6" s="75" t="n">
        <f aca="false">B6+D6+F6+H6+J6+L6+N6+P6+R6+T6+V6+X6</f>
        <v>83</v>
      </c>
      <c r="AA6" s="76"/>
    </row>
    <row r="7" customFormat="false" ht="15" hidden="false" customHeight="true" outlineLevel="0" collapsed="false">
      <c r="A7" s="53" t="s">
        <v>140</v>
      </c>
      <c r="B7" s="54" t="n">
        <f aca="false">B6*'Vessel Assumptions'!$C$6*'Vessel Assumptions'!$C$8</f>
        <v>29960</v>
      </c>
      <c r="C7" s="55" t="n">
        <f aca="false">B7/B10</f>
        <v>0.624166666666667</v>
      </c>
      <c r="D7" s="54" t="n">
        <f aca="false">D6*'Vessel Assumptions'!$C$6*'Vessel Assumptions'!$C$8</f>
        <v>8988</v>
      </c>
      <c r="E7" s="55" t="n">
        <f aca="false">D7/D10</f>
        <v>0.624166666666667</v>
      </c>
      <c r="F7" s="54" t="n">
        <f aca="false">F6*'Vessel Assumptions'!$C$6*'Vessel Assumptions'!$C$8</f>
        <v>29960</v>
      </c>
      <c r="G7" s="55" t="n">
        <f aca="false">F7/F10</f>
        <v>0.624166666666667</v>
      </c>
      <c r="H7" s="54" t="n">
        <f aca="false">H6*'Vessel Assumptions'!$C$6*'Vessel Assumptions'!$C$8</f>
        <v>8988</v>
      </c>
      <c r="I7" s="55" t="n">
        <f aca="false">H7/H10</f>
        <v>0.624166666666667</v>
      </c>
      <c r="J7" s="54" t="n">
        <f aca="false">J6*'Vessel Assumptions'!$C$6*'Vessel Assumptions'!$C$8</f>
        <v>23968</v>
      </c>
      <c r="K7" s="55" t="n">
        <f aca="false">J7/J10</f>
        <v>0.624166666666667</v>
      </c>
      <c r="L7" s="54" t="n">
        <f aca="false">L6*'Vessel Assumptions'!$C$6*'Vessel Assumptions'!$C$8</f>
        <v>20972</v>
      </c>
      <c r="M7" s="55" t="n">
        <f aca="false">L7/L10</f>
        <v>0.624166666666667</v>
      </c>
      <c r="N7" s="54" t="n">
        <f aca="false">N6*'Vessel Assumptions'!$C$6*'Vessel Assumptions'!$C$8</f>
        <v>20972</v>
      </c>
      <c r="O7" s="55" t="n">
        <f aca="false">N7/N10</f>
        <v>0.624166666666667</v>
      </c>
      <c r="P7" s="54" t="n">
        <f aca="false">P6*'Vessel Assumptions'!$C$6*'Vessel Assumptions'!$C$8</f>
        <v>20972</v>
      </c>
      <c r="Q7" s="55" t="n">
        <f aca="false">P7/P10</f>
        <v>0.624166666666667</v>
      </c>
      <c r="R7" s="54" t="n">
        <f aca="false">R6*'Vessel Assumptions'!$C$6*'Vessel Assumptions'!$C$8</f>
        <v>20972</v>
      </c>
      <c r="S7" s="55" t="n">
        <f aca="false">R7/R10</f>
        <v>0.624166666666667</v>
      </c>
      <c r="T7" s="54" t="n">
        <f aca="false">T6*'Vessel Assumptions'!$C$6*'Vessel Assumptions'!$C$8</f>
        <v>20972</v>
      </c>
      <c r="U7" s="55" t="n">
        <f aca="false">T7/T10</f>
        <v>0.624166666666667</v>
      </c>
      <c r="V7" s="54" t="n">
        <f aca="false">V6*'Vessel Assumptions'!$C$6*'Vessel Assumptions'!$C$8</f>
        <v>20972</v>
      </c>
      <c r="W7" s="55" t="n">
        <f aca="false">V7/V10</f>
        <v>0.624166666666667</v>
      </c>
      <c r="X7" s="54" t="n">
        <f aca="false">X6*'Vessel Assumptions'!$C$6*'Vessel Assumptions'!$C$8</f>
        <v>20972</v>
      </c>
      <c r="Y7" s="55" t="n">
        <f aca="false">X7/X10</f>
        <v>0.624166666666667</v>
      </c>
      <c r="Z7" s="77" t="n">
        <f aca="false">B7+D7+F7+H7+J7+L7+N7+P7+R7+T7+V7+X7</f>
        <v>248668</v>
      </c>
      <c r="AA7" s="78" t="n">
        <f aca="false">Z7/Z10</f>
        <v>0.624166666666667</v>
      </c>
    </row>
    <row r="8" customFormat="false" ht="15" hidden="false" customHeight="true" outlineLevel="0" collapsed="false">
      <c r="A8" s="53" t="s">
        <v>141</v>
      </c>
      <c r="B8" s="54" t="n">
        <f aca="false">B6*'Vessel Assumptions'!$C$6*(1-'Vessel Assumptions'!$C$8)</f>
        <v>10040</v>
      </c>
      <c r="C8" s="55" t="n">
        <f aca="false">B8/B10</f>
        <v>0.209166666666667</v>
      </c>
      <c r="D8" s="54" t="n">
        <f aca="false">D6*'Vessel Assumptions'!$C$6*(1-'Vessel Assumptions'!$C$8)</f>
        <v>3012</v>
      </c>
      <c r="E8" s="55" t="n">
        <f aca="false">D8/D10</f>
        <v>0.209166666666667</v>
      </c>
      <c r="F8" s="54" t="n">
        <f aca="false">F6*'Vessel Assumptions'!$C$6*(1-'Vessel Assumptions'!$C$8)</f>
        <v>10040</v>
      </c>
      <c r="G8" s="55" t="n">
        <f aca="false">F8/F10</f>
        <v>0.209166666666667</v>
      </c>
      <c r="H8" s="54" t="n">
        <f aca="false">H6*'Vessel Assumptions'!$C$6*(1-'Vessel Assumptions'!$C$8)</f>
        <v>3012</v>
      </c>
      <c r="I8" s="55" t="n">
        <f aca="false">H8/H10</f>
        <v>0.209166666666667</v>
      </c>
      <c r="J8" s="54" t="n">
        <f aca="false">J6*'Vessel Assumptions'!$C$6*(1-'Vessel Assumptions'!$C$8)</f>
        <v>8032</v>
      </c>
      <c r="K8" s="55" t="n">
        <f aca="false">J8/J10</f>
        <v>0.209166666666667</v>
      </c>
      <c r="L8" s="54" t="n">
        <f aca="false">L6*'Vessel Assumptions'!$C$6*(1-'Vessel Assumptions'!$C$8)</f>
        <v>7028</v>
      </c>
      <c r="M8" s="55" t="n">
        <f aca="false">L8/L10</f>
        <v>0.209166666666667</v>
      </c>
      <c r="N8" s="54" t="n">
        <f aca="false">N6*'Vessel Assumptions'!$C$6*(1-'Vessel Assumptions'!$C$8)</f>
        <v>7028</v>
      </c>
      <c r="O8" s="55" t="n">
        <f aca="false">N8/N10</f>
        <v>0.209166666666667</v>
      </c>
      <c r="P8" s="54" t="n">
        <f aca="false">P6*'Vessel Assumptions'!$C$6*(1-'Vessel Assumptions'!$C$8)</f>
        <v>7028</v>
      </c>
      <c r="Q8" s="55" t="n">
        <f aca="false">P8/P10</f>
        <v>0.209166666666667</v>
      </c>
      <c r="R8" s="54" t="n">
        <f aca="false">R6*'Vessel Assumptions'!$C$6*(1-'Vessel Assumptions'!$C$8)</f>
        <v>7028</v>
      </c>
      <c r="S8" s="55" t="n">
        <f aca="false">R8/R10</f>
        <v>0.209166666666667</v>
      </c>
      <c r="T8" s="54" t="n">
        <f aca="false">T6*'Vessel Assumptions'!$C$6*(1-'Vessel Assumptions'!$C$8)</f>
        <v>7028</v>
      </c>
      <c r="U8" s="55" t="n">
        <f aca="false">T8/T10</f>
        <v>0.209166666666667</v>
      </c>
      <c r="V8" s="54" t="n">
        <f aca="false">V6*'Vessel Assumptions'!$C$6*(1-'Vessel Assumptions'!$C$8)</f>
        <v>7028</v>
      </c>
      <c r="W8" s="55" t="n">
        <f aca="false">V8/V10</f>
        <v>0.209166666666667</v>
      </c>
      <c r="X8" s="54" t="n">
        <f aca="false">X6*'Vessel Assumptions'!$C$6*(1-'Vessel Assumptions'!$C$8)</f>
        <v>7028</v>
      </c>
      <c r="Y8" s="55" t="n">
        <f aca="false">X8/X10</f>
        <v>0.209166666666667</v>
      </c>
      <c r="Z8" s="77" t="n">
        <f aca="false">B8+D8+F8+H8+J8+L8+N8+P8+R8+T8+V8+X8</f>
        <v>83332</v>
      </c>
      <c r="AA8" s="78" t="n">
        <f aca="false">Z8/Z10</f>
        <v>0.209166666666667</v>
      </c>
    </row>
    <row r="9" customFormat="false" ht="15" hidden="false" customHeight="true" outlineLevel="0" collapsed="false">
      <c r="A9" s="53" t="s">
        <v>142</v>
      </c>
      <c r="B9" s="54" t="n">
        <f aca="false">B6*'Vessel Assumptions'!$C$6*'Vessel Assumptions'!$C$9</f>
        <v>8000</v>
      </c>
      <c r="C9" s="55" t="n">
        <f aca="false">B9/B10</f>
        <v>0.166666666666667</v>
      </c>
      <c r="D9" s="54" t="n">
        <f aca="false">D6*'Vessel Assumptions'!$C$6*'Vessel Assumptions'!$C$9</f>
        <v>2400</v>
      </c>
      <c r="E9" s="55" t="n">
        <f aca="false">D9/D10</f>
        <v>0.166666666666667</v>
      </c>
      <c r="F9" s="54" t="n">
        <f aca="false">F6*'Vessel Assumptions'!$C$6*'Vessel Assumptions'!$C$9</f>
        <v>8000</v>
      </c>
      <c r="G9" s="55" t="n">
        <f aca="false">F9/F10</f>
        <v>0.166666666666667</v>
      </c>
      <c r="H9" s="54" t="n">
        <f aca="false">H6*'Vessel Assumptions'!$C$6*'Vessel Assumptions'!$C$9</f>
        <v>2400</v>
      </c>
      <c r="I9" s="55" t="n">
        <f aca="false">H9/H10</f>
        <v>0.166666666666667</v>
      </c>
      <c r="J9" s="54" t="n">
        <f aca="false">J6*'Vessel Assumptions'!$C$6*'Vessel Assumptions'!$C$9</f>
        <v>6400</v>
      </c>
      <c r="K9" s="55" t="n">
        <f aca="false">J9/J10</f>
        <v>0.166666666666667</v>
      </c>
      <c r="L9" s="54" t="n">
        <f aca="false">L6*'Vessel Assumptions'!$C$6*'Vessel Assumptions'!$C$9</f>
        <v>5600</v>
      </c>
      <c r="M9" s="55" t="n">
        <f aca="false">L9/L10</f>
        <v>0.166666666666667</v>
      </c>
      <c r="N9" s="54" t="n">
        <f aca="false">N6*'Vessel Assumptions'!$C$6*'Vessel Assumptions'!$C$9</f>
        <v>5600</v>
      </c>
      <c r="O9" s="55" t="n">
        <f aca="false">N9/N10</f>
        <v>0.166666666666667</v>
      </c>
      <c r="P9" s="54" t="n">
        <f aca="false">P6*'Vessel Assumptions'!$C$6*'Vessel Assumptions'!$C$9</f>
        <v>5600</v>
      </c>
      <c r="Q9" s="55" t="n">
        <f aca="false">P9/P10</f>
        <v>0.166666666666667</v>
      </c>
      <c r="R9" s="54" t="n">
        <f aca="false">R6*'Vessel Assumptions'!$C$6*'Vessel Assumptions'!$C$9</f>
        <v>5600</v>
      </c>
      <c r="S9" s="55" t="n">
        <f aca="false">R9/R10</f>
        <v>0.166666666666667</v>
      </c>
      <c r="T9" s="54" t="n">
        <f aca="false">T6*'Vessel Assumptions'!$C$6*'Vessel Assumptions'!$C$9</f>
        <v>5600</v>
      </c>
      <c r="U9" s="55" t="n">
        <f aca="false">T9/T10</f>
        <v>0.166666666666667</v>
      </c>
      <c r="V9" s="54" t="n">
        <f aca="false">V6*'Vessel Assumptions'!$C$6*'Vessel Assumptions'!$C$9</f>
        <v>5600</v>
      </c>
      <c r="W9" s="55" t="n">
        <f aca="false">V9/V10</f>
        <v>0.166666666666667</v>
      </c>
      <c r="X9" s="54" t="n">
        <f aca="false">X6*'Vessel Assumptions'!$C$6*'Vessel Assumptions'!$C$9</f>
        <v>5600</v>
      </c>
      <c r="Y9" s="55" t="n">
        <f aca="false">X9/X10</f>
        <v>0.166666666666667</v>
      </c>
      <c r="Z9" s="77" t="n">
        <f aca="false">B9+D9+F9+H9+J9+L9+N9+P9+R9+T9+V9+X9</f>
        <v>66400</v>
      </c>
      <c r="AA9" s="78" t="n">
        <f aca="false">Z9/Z10</f>
        <v>0.166666666666667</v>
      </c>
    </row>
    <row r="10" customFormat="false" ht="15" hidden="false" customHeight="true" outlineLevel="0" collapsed="false">
      <c r="A10" s="23" t="s">
        <v>143</v>
      </c>
      <c r="B10" s="43" t="n">
        <f aca="false">SUM(B7:B9)</f>
        <v>48000</v>
      </c>
      <c r="C10" s="25" t="n">
        <f aca="false">B10/B10</f>
        <v>1</v>
      </c>
      <c r="D10" s="43" t="n">
        <f aca="false">SUM(D7:D9)</f>
        <v>14400</v>
      </c>
      <c r="E10" s="25" t="n">
        <f aca="false">D10/D10</f>
        <v>1</v>
      </c>
      <c r="F10" s="43" t="n">
        <f aca="false">SUM(F7:F9)</f>
        <v>48000</v>
      </c>
      <c r="G10" s="25" t="n">
        <f aca="false">F10/F10</f>
        <v>1</v>
      </c>
      <c r="H10" s="43" t="n">
        <f aca="false">SUM(H7:H9)</f>
        <v>14400</v>
      </c>
      <c r="I10" s="25" t="n">
        <f aca="false">H10/H10</f>
        <v>1</v>
      </c>
      <c r="J10" s="43" t="n">
        <f aca="false">SUM(J7:J9)</f>
        <v>38400</v>
      </c>
      <c r="K10" s="25" t="n">
        <f aca="false">J10/J10</f>
        <v>1</v>
      </c>
      <c r="L10" s="43" t="n">
        <f aca="false">SUM(L7:L9)</f>
        <v>33600</v>
      </c>
      <c r="M10" s="25" t="n">
        <f aca="false">L10/L10</f>
        <v>1</v>
      </c>
      <c r="N10" s="43" t="n">
        <f aca="false">SUM(N7:N9)</f>
        <v>33600</v>
      </c>
      <c r="O10" s="25" t="n">
        <f aca="false">N10/N10</f>
        <v>1</v>
      </c>
      <c r="P10" s="43" t="n">
        <f aca="false">SUM(P7:P9)</f>
        <v>33600</v>
      </c>
      <c r="Q10" s="25" t="n">
        <f aca="false">P10/P10</f>
        <v>1</v>
      </c>
      <c r="R10" s="43" t="n">
        <f aca="false">SUM(R7:R9)</f>
        <v>33600</v>
      </c>
      <c r="S10" s="25" t="n">
        <f aca="false">R10/R10</f>
        <v>1</v>
      </c>
      <c r="T10" s="43" t="n">
        <f aca="false">SUM(T7:T9)</f>
        <v>33600</v>
      </c>
      <c r="U10" s="25" t="n">
        <f aca="false">T10/T10</f>
        <v>1</v>
      </c>
      <c r="V10" s="43" t="n">
        <f aca="false">SUM(V7:V9)</f>
        <v>33600</v>
      </c>
      <c r="W10" s="25" t="n">
        <f aca="false">V10/V10</f>
        <v>1</v>
      </c>
      <c r="X10" s="43" t="n">
        <f aca="false">SUM(X7:X9)</f>
        <v>33600</v>
      </c>
      <c r="Y10" s="25" t="n">
        <f aca="false">X10/X10</f>
        <v>1</v>
      </c>
      <c r="Z10" s="79" t="n">
        <f aca="false">B10+D10+F10+H10+J10+L10+N10+P10+R10+T10+V10+X10</f>
        <v>398400</v>
      </c>
      <c r="AA10" s="80" t="n">
        <f aca="false">Z10/Z10</f>
        <v>1</v>
      </c>
    </row>
    <row r="12" customFormat="false" ht="15" hidden="false" customHeight="true" outlineLevel="0" collapsed="false">
      <c r="A12" s="53" t="s">
        <v>144</v>
      </c>
      <c r="B12" s="54" t="n">
        <f aca="false">B7*'Vessel Assumptions'!$C$12</f>
        <v>17976</v>
      </c>
      <c r="C12" s="55" t="n">
        <f aca="false">B12/B7</f>
        <v>0.6</v>
      </c>
      <c r="D12" s="54" t="n">
        <f aca="false">D7*'Vessel Assumptions'!$C$12</f>
        <v>5392.8</v>
      </c>
      <c r="E12" s="55" t="n">
        <f aca="false">D12/D7</f>
        <v>0.6</v>
      </c>
      <c r="F12" s="54" t="n">
        <f aca="false">F7*'Vessel Assumptions'!$C$12</f>
        <v>17976</v>
      </c>
      <c r="G12" s="55" t="n">
        <f aca="false">F12/F7</f>
        <v>0.6</v>
      </c>
      <c r="H12" s="54" t="n">
        <f aca="false">H7*'Vessel Assumptions'!$C$12</f>
        <v>5392.8</v>
      </c>
      <c r="I12" s="55" t="n">
        <f aca="false">H12/H7</f>
        <v>0.6</v>
      </c>
      <c r="J12" s="54" t="n">
        <f aca="false">J7*'Vessel Assumptions'!$C$12</f>
        <v>14380.8</v>
      </c>
      <c r="K12" s="55" t="n">
        <f aca="false">J12/J7</f>
        <v>0.6</v>
      </c>
      <c r="L12" s="54" t="n">
        <f aca="false">L7*'Vessel Assumptions'!$C$12</f>
        <v>12583.2</v>
      </c>
      <c r="M12" s="55" t="n">
        <f aca="false">L12/L7</f>
        <v>0.6</v>
      </c>
      <c r="N12" s="54" t="n">
        <f aca="false">N7*'Vessel Assumptions'!$C$12</f>
        <v>12583.2</v>
      </c>
      <c r="O12" s="55" t="n">
        <f aca="false">N12/N7</f>
        <v>0.6</v>
      </c>
      <c r="P12" s="54" t="n">
        <f aca="false">P7*'Vessel Assumptions'!$C$12</f>
        <v>12583.2</v>
      </c>
      <c r="Q12" s="55" t="n">
        <f aca="false">P12/P7</f>
        <v>0.6</v>
      </c>
      <c r="R12" s="54" t="n">
        <f aca="false">R7*'Vessel Assumptions'!$C$12</f>
        <v>12583.2</v>
      </c>
      <c r="S12" s="55" t="n">
        <f aca="false">R12/R7</f>
        <v>0.6</v>
      </c>
      <c r="T12" s="54" t="n">
        <f aca="false">T7*'Vessel Assumptions'!$C$12</f>
        <v>12583.2</v>
      </c>
      <c r="U12" s="55" t="n">
        <f aca="false">T12/T7</f>
        <v>0.6</v>
      </c>
      <c r="V12" s="54" t="n">
        <f aca="false">V7*'Vessel Assumptions'!$C$12</f>
        <v>12583.2</v>
      </c>
      <c r="W12" s="55" t="n">
        <f aca="false">V12/V7</f>
        <v>0.6</v>
      </c>
      <c r="X12" s="54" t="n">
        <f aca="false">X7*'Vessel Assumptions'!$C$12</f>
        <v>12583.2</v>
      </c>
      <c r="Y12" s="55" t="n">
        <f aca="false">X12/X7</f>
        <v>0.6</v>
      </c>
      <c r="Z12" s="77" t="n">
        <f aca="false">B12+D12+F12+H12+J12+L12+N12+P12+R12+T12+V12+X12</f>
        <v>149200.8</v>
      </c>
      <c r="AA12" s="78" t="n">
        <f aca="false">Z12/Z7</f>
        <v>0.6</v>
      </c>
    </row>
    <row r="13" customFormat="false" ht="15" hidden="false" customHeight="true" outlineLevel="0" collapsed="false">
      <c r="A13" s="53" t="s">
        <v>145</v>
      </c>
      <c r="B13" s="54" t="n">
        <f aca="false">B8*'Vessel Assumptions'!$C$13</f>
        <v>2510</v>
      </c>
      <c r="C13" s="55" t="n">
        <f aca="false">B13/B8</f>
        <v>0.25</v>
      </c>
      <c r="D13" s="54" t="n">
        <f aca="false">D8*'Vessel Assumptions'!$C$13</f>
        <v>753</v>
      </c>
      <c r="E13" s="55" t="n">
        <f aca="false">D13/D8</f>
        <v>0.25</v>
      </c>
      <c r="F13" s="54" t="n">
        <f aca="false">F8*'Vessel Assumptions'!$C$13</f>
        <v>2510</v>
      </c>
      <c r="G13" s="55" t="n">
        <f aca="false">F13/F8</f>
        <v>0.25</v>
      </c>
      <c r="H13" s="54" t="n">
        <f aca="false">H8*'Vessel Assumptions'!$C$13</f>
        <v>753</v>
      </c>
      <c r="I13" s="55" t="n">
        <f aca="false">H13/H8</f>
        <v>0.25</v>
      </c>
      <c r="J13" s="54" t="n">
        <f aca="false">J8*'Vessel Assumptions'!$C$13</f>
        <v>2008</v>
      </c>
      <c r="K13" s="55" t="n">
        <f aca="false">J13/J8</f>
        <v>0.25</v>
      </c>
      <c r="L13" s="54" t="n">
        <f aca="false">L8*'Vessel Assumptions'!$C$13</f>
        <v>1757</v>
      </c>
      <c r="M13" s="55" t="n">
        <f aca="false">L13/L8</f>
        <v>0.25</v>
      </c>
      <c r="N13" s="54" t="n">
        <f aca="false">N8*'Vessel Assumptions'!$C$13</f>
        <v>1757</v>
      </c>
      <c r="O13" s="55" t="n">
        <f aca="false">N13/N8</f>
        <v>0.25</v>
      </c>
      <c r="P13" s="54" t="n">
        <f aca="false">P8*'Vessel Assumptions'!$C$13</f>
        <v>1757</v>
      </c>
      <c r="Q13" s="55" t="n">
        <f aca="false">P13/P8</f>
        <v>0.25</v>
      </c>
      <c r="R13" s="54" t="n">
        <f aca="false">R8*'Vessel Assumptions'!$C$13</f>
        <v>1757</v>
      </c>
      <c r="S13" s="55" t="n">
        <f aca="false">R13/R8</f>
        <v>0.25</v>
      </c>
      <c r="T13" s="54" t="n">
        <f aca="false">T8*'Vessel Assumptions'!$C$13</f>
        <v>1757</v>
      </c>
      <c r="U13" s="55" t="n">
        <f aca="false">T13/T8</f>
        <v>0.25</v>
      </c>
      <c r="V13" s="54" t="n">
        <f aca="false">V8*'Vessel Assumptions'!$C$13</f>
        <v>1757</v>
      </c>
      <c r="W13" s="55" t="n">
        <f aca="false">V13/V8</f>
        <v>0.25</v>
      </c>
      <c r="X13" s="54" t="n">
        <f aca="false">X8*'Vessel Assumptions'!$C$13</f>
        <v>1757</v>
      </c>
      <c r="Y13" s="55" t="n">
        <f aca="false">X13/X8</f>
        <v>0.25</v>
      </c>
      <c r="Z13" s="77" t="n">
        <f aca="false">B13+D13+F13+H13+J13+L13+N13+P13+R13+T13+V13+X13</f>
        <v>20833</v>
      </c>
      <c r="AA13" s="78" t="n">
        <f aca="false">Z13/Z8</f>
        <v>0.25</v>
      </c>
    </row>
    <row r="14" customFormat="false" ht="15" hidden="false" customHeight="true" outlineLevel="0" collapsed="false">
      <c r="A14" s="23" t="s">
        <v>146</v>
      </c>
      <c r="B14" s="43" t="n">
        <f aca="false">B12+B13</f>
        <v>20486</v>
      </c>
      <c r="C14" s="25" t="n">
        <f aca="false">B14/B10</f>
        <v>0.426791666666667</v>
      </c>
      <c r="D14" s="43" t="n">
        <f aca="false">D12+D13</f>
        <v>6145.8</v>
      </c>
      <c r="E14" s="25" t="n">
        <f aca="false">D14/D10</f>
        <v>0.426791666666667</v>
      </c>
      <c r="F14" s="43" t="n">
        <f aca="false">F12+F13</f>
        <v>20486</v>
      </c>
      <c r="G14" s="25" t="n">
        <f aca="false">F14/F10</f>
        <v>0.426791666666667</v>
      </c>
      <c r="H14" s="43" t="n">
        <f aca="false">H12+H13</f>
        <v>6145.8</v>
      </c>
      <c r="I14" s="25" t="n">
        <f aca="false">H14/H10</f>
        <v>0.426791666666667</v>
      </c>
      <c r="J14" s="43" t="n">
        <f aca="false">J12+J13</f>
        <v>16388.8</v>
      </c>
      <c r="K14" s="25" t="n">
        <f aca="false">J14/J10</f>
        <v>0.426791666666667</v>
      </c>
      <c r="L14" s="43" t="n">
        <f aca="false">L12+L13</f>
        <v>14340.2</v>
      </c>
      <c r="M14" s="25" t="n">
        <f aca="false">L14/L10</f>
        <v>0.426791666666667</v>
      </c>
      <c r="N14" s="43" t="n">
        <f aca="false">N12+N13</f>
        <v>14340.2</v>
      </c>
      <c r="O14" s="25" t="n">
        <f aca="false">N14/N10</f>
        <v>0.426791666666667</v>
      </c>
      <c r="P14" s="43" t="n">
        <f aca="false">P12+P13</f>
        <v>14340.2</v>
      </c>
      <c r="Q14" s="25" t="n">
        <f aca="false">P14/P10</f>
        <v>0.426791666666667</v>
      </c>
      <c r="R14" s="43" t="n">
        <f aca="false">R12+R13</f>
        <v>14340.2</v>
      </c>
      <c r="S14" s="25" t="n">
        <f aca="false">R14/R10</f>
        <v>0.426791666666667</v>
      </c>
      <c r="T14" s="43" t="n">
        <f aca="false">T12+T13</f>
        <v>14340.2</v>
      </c>
      <c r="U14" s="25" t="n">
        <f aca="false">T14/T10</f>
        <v>0.426791666666667</v>
      </c>
      <c r="V14" s="43" t="n">
        <f aca="false">V12+V13</f>
        <v>14340.2</v>
      </c>
      <c r="W14" s="25" t="n">
        <f aca="false">V14/V10</f>
        <v>0.426791666666667</v>
      </c>
      <c r="X14" s="43" t="n">
        <f aca="false">X12+X13</f>
        <v>14340.2</v>
      </c>
      <c r="Y14" s="25" t="n">
        <f aca="false">X14/X10</f>
        <v>0.426791666666667</v>
      </c>
      <c r="Z14" s="79" t="n">
        <f aca="false">B14+D14+F14+H14+J14+L14+N14+P14+R14+T14+V14+X14</f>
        <v>170033.8</v>
      </c>
      <c r="AA14" s="80" t="n">
        <f aca="false">Z14/Z10</f>
        <v>0.426791666666667</v>
      </c>
    </row>
    <row r="15" customFormat="false" ht="15" hidden="false" customHeight="true" outlineLevel="0" collapsed="false">
      <c r="A15" s="23" t="s">
        <v>9</v>
      </c>
      <c r="B15" s="43" t="n">
        <f aca="false">B10-B14</f>
        <v>27514</v>
      </c>
      <c r="C15" s="25" t="n">
        <f aca="false">B15/B10</f>
        <v>0.573208333333333</v>
      </c>
      <c r="D15" s="43" t="n">
        <f aca="false">D10-D14</f>
        <v>8254.2</v>
      </c>
      <c r="E15" s="25" t="n">
        <f aca="false">D15/D10</f>
        <v>0.573208333333333</v>
      </c>
      <c r="F15" s="43" t="n">
        <f aca="false">F10-F14</f>
        <v>27514</v>
      </c>
      <c r="G15" s="25" t="n">
        <f aca="false">F15/F10</f>
        <v>0.573208333333333</v>
      </c>
      <c r="H15" s="43" t="n">
        <f aca="false">H10-H14</f>
        <v>8254.2</v>
      </c>
      <c r="I15" s="25" t="n">
        <f aca="false">H15/H10</f>
        <v>0.573208333333333</v>
      </c>
      <c r="J15" s="43" t="n">
        <f aca="false">J10-J14</f>
        <v>22011.2</v>
      </c>
      <c r="K15" s="25" t="n">
        <f aca="false">J15/J10</f>
        <v>0.573208333333333</v>
      </c>
      <c r="L15" s="43" t="n">
        <f aca="false">L10-L14</f>
        <v>19259.8</v>
      </c>
      <c r="M15" s="25" t="n">
        <f aca="false">L15/L10</f>
        <v>0.573208333333333</v>
      </c>
      <c r="N15" s="43" t="n">
        <f aca="false">N10-N14</f>
        <v>19259.8</v>
      </c>
      <c r="O15" s="25" t="n">
        <f aca="false">N15/N10</f>
        <v>0.573208333333333</v>
      </c>
      <c r="P15" s="43" t="n">
        <f aca="false">P10-P14</f>
        <v>19259.8</v>
      </c>
      <c r="Q15" s="25" t="n">
        <f aca="false">P15/P10</f>
        <v>0.573208333333333</v>
      </c>
      <c r="R15" s="43" t="n">
        <f aca="false">R10-R14</f>
        <v>19259.8</v>
      </c>
      <c r="S15" s="25" t="n">
        <f aca="false">R15/R10</f>
        <v>0.573208333333333</v>
      </c>
      <c r="T15" s="43" t="n">
        <f aca="false">T10-T14</f>
        <v>19259.8</v>
      </c>
      <c r="U15" s="25" t="n">
        <f aca="false">T15/T10</f>
        <v>0.573208333333333</v>
      </c>
      <c r="V15" s="43" t="n">
        <f aca="false">V10-V14</f>
        <v>19259.8</v>
      </c>
      <c r="W15" s="25" t="n">
        <f aca="false">V15/V10</f>
        <v>0.573208333333333</v>
      </c>
      <c r="X15" s="43" t="n">
        <f aca="false">X10-X14</f>
        <v>19259.8</v>
      </c>
      <c r="Y15" s="25" t="n">
        <f aca="false">X15/X10</f>
        <v>0.573208333333333</v>
      </c>
      <c r="Z15" s="79" t="n">
        <f aca="false">B15+D15+F15+H15+J15+L15+N15+P15+R15+T15+V15+X15</f>
        <v>228366.2</v>
      </c>
      <c r="AA15" s="80" t="n">
        <f aca="false">Z15/Z10</f>
        <v>0.573208333333333</v>
      </c>
    </row>
    <row r="17" customFormat="false" ht="15" hidden="false" customHeight="true" outlineLevel="0" collapsed="false">
      <c r="A17" s="53" t="str">
        <f aca="false">"Hourly labor  ("&amp;'Vessel Assumptions'!$C$16&amp;" bartender"&amp;IF('Vessel Assumptions'!$C$16=1,"","s")&amp;" + "&amp;'Vessel Assumptions'!$C$17&amp;" server"&amp;IF('Vessel Assumptions'!$C$17=1,"","s")&amp;")"</f>
        <v>Hourly labor  (1 bartender + 2 servers)</v>
      </c>
      <c r="B17" s="54" t="n">
        <f aca="false">B6*'Vessel Assumptions'!$C$20</f>
        <v>5250</v>
      </c>
      <c r="C17" s="55" t="n">
        <f aca="false">B17/B10</f>
        <v>0.109375</v>
      </c>
      <c r="D17" s="54" t="n">
        <f aca="false">D6*'Vessel Assumptions'!$C$20</f>
        <v>1575</v>
      </c>
      <c r="E17" s="55" t="n">
        <f aca="false">D17/D10</f>
        <v>0.109375</v>
      </c>
      <c r="F17" s="54" t="n">
        <f aca="false">F6*'Vessel Assumptions'!$C$20</f>
        <v>5250</v>
      </c>
      <c r="G17" s="55" t="n">
        <f aca="false">F17/F10</f>
        <v>0.109375</v>
      </c>
      <c r="H17" s="54" t="n">
        <f aca="false">H6*'Vessel Assumptions'!$C$20</f>
        <v>1575</v>
      </c>
      <c r="I17" s="55" t="n">
        <f aca="false">H17/H10</f>
        <v>0.109375</v>
      </c>
      <c r="J17" s="54" t="n">
        <f aca="false">J6*'Vessel Assumptions'!$C$20</f>
        <v>4200</v>
      </c>
      <c r="K17" s="55" t="n">
        <f aca="false">J17/J10</f>
        <v>0.109375</v>
      </c>
      <c r="L17" s="54" t="n">
        <f aca="false">L6*'Vessel Assumptions'!$C$20</f>
        <v>3675</v>
      </c>
      <c r="M17" s="55" t="n">
        <f aca="false">L17/L10</f>
        <v>0.109375</v>
      </c>
      <c r="N17" s="54" t="n">
        <f aca="false">N6*'Vessel Assumptions'!$C$20</f>
        <v>3675</v>
      </c>
      <c r="O17" s="55" t="n">
        <f aca="false">N17/N10</f>
        <v>0.109375</v>
      </c>
      <c r="P17" s="54" t="n">
        <f aca="false">P6*'Vessel Assumptions'!$C$20</f>
        <v>3675</v>
      </c>
      <c r="Q17" s="55" t="n">
        <f aca="false">P17/P10</f>
        <v>0.109375</v>
      </c>
      <c r="R17" s="54" t="n">
        <f aca="false">R6*'Vessel Assumptions'!$C$20</f>
        <v>3675</v>
      </c>
      <c r="S17" s="55" t="n">
        <f aca="false">R17/R10</f>
        <v>0.109375</v>
      </c>
      <c r="T17" s="54" t="n">
        <f aca="false">T6*'Vessel Assumptions'!$C$20</f>
        <v>3675</v>
      </c>
      <c r="U17" s="55" t="n">
        <f aca="false">T17/T10</f>
        <v>0.109375</v>
      </c>
      <c r="V17" s="54" t="n">
        <f aca="false">V6*'Vessel Assumptions'!$C$20</f>
        <v>3675</v>
      </c>
      <c r="W17" s="55" t="n">
        <f aca="false">V17/V10</f>
        <v>0.109375</v>
      </c>
      <c r="X17" s="54" t="n">
        <f aca="false">X6*'Vessel Assumptions'!$C$20</f>
        <v>3675</v>
      </c>
      <c r="Y17" s="55" t="n">
        <f aca="false">X17/X10</f>
        <v>0.109375</v>
      </c>
      <c r="Z17" s="77" t="n">
        <f aca="false">B17+D17+F17+H17+J17+L17+N17+P17+R17+T17+V17+X17</f>
        <v>43575</v>
      </c>
      <c r="AA17" s="78" t="n">
        <f aca="false">Z17/Z10</f>
        <v>0.109375</v>
      </c>
    </row>
    <row r="18" customFormat="false" ht="15" hidden="false" customHeight="true" outlineLevel="0" collapsed="false">
      <c r="A18" s="53" t="s">
        <v>147</v>
      </c>
      <c r="B18" s="54" t="n">
        <f aca="false">'Vessel Assumptions'!$C$21</f>
        <v>1182.33333333333</v>
      </c>
      <c r="C18" s="55" t="n">
        <f aca="false">B18/B10</f>
        <v>0.0246319444444444</v>
      </c>
      <c r="D18" s="54" t="n">
        <f aca="false">'Vessel Assumptions'!$C$21</f>
        <v>1182.33333333333</v>
      </c>
      <c r="E18" s="55" t="n">
        <f aca="false">D18/D10</f>
        <v>0.0821064814814815</v>
      </c>
      <c r="F18" s="54" t="n">
        <f aca="false">'Vessel Assumptions'!$C$21</f>
        <v>1182.33333333333</v>
      </c>
      <c r="G18" s="55" t="n">
        <f aca="false">F18/F10</f>
        <v>0.0246319444444444</v>
      </c>
      <c r="H18" s="54" t="n">
        <f aca="false">'Vessel Assumptions'!$C$21</f>
        <v>1182.33333333333</v>
      </c>
      <c r="I18" s="55" t="n">
        <f aca="false">H18/H10</f>
        <v>0.0821064814814815</v>
      </c>
      <c r="J18" s="54" t="n">
        <f aca="false">'Vessel Assumptions'!$C$21</f>
        <v>1182.33333333333</v>
      </c>
      <c r="K18" s="55" t="n">
        <f aca="false">J18/J10</f>
        <v>0.0307899305555556</v>
      </c>
      <c r="L18" s="54" t="n">
        <f aca="false">'Vessel Assumptions'!$C$21</f>
        <v>1182.33333333333</v>
      </c>
      <c r="M18" s="55" t="n">
        <f aca="false">L18/L10</f>
        <v>0.0351884920634921</v>
      </c>
      <c r="N18" s="54" t="n">
        <f aca="false">'Vessel Assumptions'!$C$21</f>
        <v>1182.33333333333</v>
      </c>
      <c r="O18" s="55" t="n">
        <f aca="false">N18/N10</f>
        <v>0.0351884920634921</v>
      </c>
      <c r="P18" s="54" t="n">
        <f aca="false">'Vessel Assumptions'!$C$21</f>
        <v>1182.33333333333</v>
      </c>
      <c r="Q18" s="55" t="n">
        <f aca="false">P18/P10</f>
        <v>0.0351884920634921</v>
      </c>
      <c r="R18" s="54" t="n">
        <f aca="false">'Vessel Assumptions'!$C$21</f>
        <v>1182.33333333333</v>
      </c>
      <c r="S18" s="55" t="n">
        <f aca="false">R18/R10</f>
        <v>0.0351884920634921</v>
      </c>
      <c r="T18" s="54" t="n">
        <f aca="false">'Vessel Assumptions'!$C$21</f>
        <v>1182.33333333333</v>
      </c>
      <c r="U18" s="55" t="n">
        <f aca="false">T18/T10</f>
        <v>0.0351884920634921</v>
      </c>
      <c r="V18" s="54" t="n">
        <f aca="false">'Vessel Assumptions'!$C$21</f>
        <v>1182.33333333333</v>
      </c>
      <c r="W18" s="55" t="n">
        <f aca="false">V18/V10</f>
        <v>0.0351884920634921</v>
      </c>
      <c r="X18" s="54" t="n">
        <f aca="false">'Vessel Assumptions'!$C$21</f>
        <v>1182.33333333333</v>
      </c>
      <c r="Y18" s="55" t="n">
        <f aca="false">X18/X10</f>
        <v>0.0351884920634921</v>
      </c>
      <c r="Z18" s="77" t="n">
        <f aca="false">B18+D18+F18+H18+J18+L18+N18+P18+R18+T18+V18+X18</f>
        <v>14188</v>
      </c>
      <c r="AA18" s="78" t="n">
        <f aca="false">Z18/Z10</f>
        <v>0.0356124497991968</v>
      </c>
    </row>
    <row r="19" customFormat="false" ht="15" hidden="false" customHeight="true" outlineLevel="0" collapsed="false">
      <c r="A19" s="53" t="s">
        <v>148</v>
      </c>
      <c r="B19" s="54" t="n">
        <f aca="false">(B17+B18)*'Vessel Assumptions'!$C$22</f>
        <v>1035.60566666667</v>
      </c>
      <c r="C19" s="55" t="n">
        <f aca="false">B19/B10</f>
        <v>0.0215751180555556</v>
      </c>
      <c r="D19" s="54" t="n">
        <f aca="false">(D17+D18)*'Vessel Assumptions'!$C$22</f>
        <v>443.930666666667</v>
      </c>
      <c r="E19" s="55" t="n">
        <f aca="false">D19/D10</f>
        <v>0.0308285185185185</v>
      </c>
      <c r="F19" s="54" t="n">
        <f aca="false">(F17+F18)*'Vessel Assumptions'!$C$22</f>
        <v>1035.60566666667</v>
      </c>
      <c r="G19" s="55" t="n">
        <f aca="false">F19/F10</f>
        <v>0.0215751180555556</v>
      </c>
      <c r="H19" s="54" t="n">
        <f aca="false">(H17+H18)*'Vessel Assumptions'!$C$22</f>
        <v>443.930666666667</v>
      </c>
      <c r="I19" s="55" t="n">
        <f aca="false">H19/H10</f>
        <v>0.0308285185185185</v>
      </c>
      <c r="J19" s="54" t="n">
        <f aca="false">(J17+J18)*'Vessel Assumptions'!$C$22</f>
        <v>866.555666666667</v>
      </c>
      <c r="K19" s="55" t="n">
        <f aca="false">J19/J10</f>
        <v>0.0225665538194444</v>
      </c>
      <c r="L19" s="54" t="n">
        <f aca="false">(L17+L18)*'Vessel Assumptions'!$C$22</f>
        <v>782.030666666667</v>
      </c>
      <c r="M19" s="55" t="n">
        <f aca="false">L19/L10</f>
        <v>0.0232747222222222</v>
      </c>
      <c r="N19" s="54" t="n">
        <f aca="false">(N17+N18)*'Vessel Assumptions'!$C$22</f>
        <v>782.030666666667</v>
      </c>
      <c r="O19" s="55" t="n">
        <f aca="false">N19/N10</f>
        <v>0.0232747222222222</v>
      </c>
      <c r="P19" s="54" t="n">
        <f aca="false">(P17+P18)*'Vessel Assumptions'!$C$22</f>
        <v>782.030666666667</v>
      </c>
      <c r="Q19" s="55" t="n">
        <f aca="false">P19/P10</f>
        <v>0.0232747222222222</v>
      </c>
      <c r="R19" s="54" t="n">
        <f aca="false">(R17+R18)*'Vessel Assumptions'!$C$22</f>
        <v>782.030666666667</v>
      </c>
      <c r="S19" s="55" t="n">
        <f aca="false">R19/R10</f>
        <v>0.0232747222222222</v>
      </c>
      <c r="T19" s="54" t="n">
        <f aca="false">(T17+T18)*'Vessel Assumptions'!$C$22</f>
        <v>782.030666666667</v>
      </c>
      <c r="U19" s="55" t="n">
        <f aca="false">T19/T10</f>
        <v>0.0232747222222222</v>
      </c>
      <c r="V19" s="54" t="n">
        <f aca="false">(V17+V18)*'Vessel Assumptions'!$C$22</f>
        <v>782.030666666667</v>
      </c>
      <c r="W19" s="55" t="n">
        <f aca="false">V19/V10</f>
        <v>0.0232747222222222</v>
      </c>
      <c r="X19" s="54" t="n">
        <f aca="false">(X17+X18)*'Vessel Assumptions'!$C$22</f>
        <v>782.030666666667</v>
      </c>
      <c r="Y19" s="55" t="n">
        <f aca="false">X19/X10</f>
        <v>0.0232747222222222</v>
      </c>
      <c r="Z19" s="77" t="n">
        <f aca="false">B19+D19+F19+H19+J19+L19+N19+P19+R19+T19+V19+X19</f>
        <v>9299.843</v>
      </c>
      <c r="AA19" s="78" t="n">
        <f aca="false">Z19/Z10</f>
        <v>0.0233429794176707</v>
      </c>
    </row>
    <row r="20" customFormat="false" ht="15" hidden="false" customHeight="true" outlineLevel="0" collapsed="false">
      <c r="A20" s="23" t="s">
        <v>149</v>
      </c>
      <c r="B20" s="43" t="n">
        <f aca="false">B17+B18+B19</f>
        <v>7467.939</v>
      </c>
      <c r="C20" s="25" t="n">
        <f aca="false">B20/B10</f>
        <v>0.1555820625</v>
      </c>
      <c r="D20" s="43" t="n">
        <f aca="false">D17+D18+D19</f>
        <v>3201.264</v>
      </c>
      <c r="E20" s="25" t="n">
        <f aca="false">D20/D10</f>
        <v>0.22231</v>
      </c>
      <c r="F20" s="43" t="n">
        <f aca="false">F17+F18+F19</f>
        <v>7467.939</v>
      </c>
      <c r="G20" s="25" t="n">
        <f aca="false">F20/F10</f>
        <v>0.1555820625</v>
      </c>
      <c r="H20" s="43" t="n">
        <f aca="false">H17+H18+H19</f>
        <v>3201.264</v>
      </c>
      <c r="I20" s="25" t="n">
        <f aca="false">H20/H10</f>
        <v>0.22231</v>
      </c>
      <c r="J20" s="43" t="n">
        <f aca="false">J17+J18+J19</f>
        <v>6248.889</v>
      </c>
      <c r="K20" s="25" t="n">
        <f aca="false">J20/J10</f>
        <v>0.162731484375</v>
      </c>
      <c r="L20" s="43" t="n">
        <f aca="false">L17+L18+L19</f>
        <v>5639.364</v>
      </c>
      <c r="M20" s="25" t="n">
        <f aca="false">L20/L10</f>
        <v>0.167838214285714</v>
      </c>
      <c r="N20" s="43" t="n">
        <f aca="false">N17+N18+N19</f>
        <v>5639.364</v>
      </c>
      <c r="O20" s="25" t="n">
        <f aca="false">N20/N10</f>
        <v>0.167838214285714</v>
      </c>
      <c r="P20" s="43" t="n">
        <f aca="false">P17+P18+P19</f>
        <v>5639.364</v>
      </c>
      <c r="Q20" s="25" t="n">
        <f aca="false">P20/P10</f>
        <v>0.167838214285714</v>
      </c>
      <c r="R20" s="43" t="n">
        <f aca="false">R17+R18+R19</f>
        <v>5639.364</v>
      </c>
      <c r="S20" s="25" t="n">
        <f aca="false">R20/R10</f>
        <v>0.167838214285714</v>
      </c>
      <c r="T20" s="43" t="n">
        <f aca="false">T17+T18+T19</f>
        <v>5639.364</v>
      </c>
      <c r="U20" s="25" t="n">
        <f aca="false">T20/T10</f>
        <v>0.167838214285714</v>
      </c>
      <c r="V20" s="43" t="n">
        <f aca="false">V17+V18+V19</f>
        <v>5639.364</v>
      </c>
      <c r="W20" s="25" t="n">
        <f aca="false">V20/V10</f>
        <v>0.167838214285714</v>
      </c>
      <c r="X20" s="43" t="n">
        <f aca="false">X17+X18+X19</f>
        <v>5639.364</v>
      </c>
      <c r="Y20" s="25" t="n">
        <f aca="false">X20/X10</f>
        <v>0.167838214285714</v>
      </c>
      <c r="Z20" s="79" t="n">
        <f aca="false">B20+D20+F20+H20+J20+L20+N20+P20+R20+T20+V20+X20</f>
        <v>67062.843</v>
      </c>
      <c r="AA20" s="80" t="n">
        <f aca="false">Z20/Z10</f>
        <v>0.168330429216868</v>
      </c>
    </row>
    <row r="21" customFormat="false" ht="15" hidden="false" customHeight="true" outlineLevel="0" collapsed="false">
      <c r="A21" s="23" t="s">
        <v>150</v>
      </c>
      <c r="B21" s="43" t="n">
        <f aca="false">B14+B20</f>
        <v>27953.939</v>
      </c>
      <c r="C21" s="25" t="n">
        <f aca="false">B21/B10</f>
        <v>0.582373729166667</v>
      </c>
      <c r="D21" s="43" t="n">
        <f aca="false">D14+D20</f>
        <v>9347.064</v>
      </c>
      <c r="E21" s="25" t="n">
        <f aca="false">D21/D10</f>
        <v>0.649101666666667</v>
      </c>
      <c r="F21" s="43" t="n">
        <f aca="false">F14+F20</f>
        <v>27953.939</v>
      </c>
      <c r="G21" s="25" t="n">
        <f aca="false">F21/F10</f>
        <v>0.582373729166667</v>
      </c>
      <c r="H21" s="43" t="n">
        <f aca="false">H14+H20</f>
        <v>9347.064</v>
      </c>
      <c r="I21" s="25" t="n">
        <f aca="false">H21/H10</f>
        <v>0.649101666666667</v>
      </c>
      <c r="J21" s="43" t="n">
        <f aca="false">J14+J20</f>
        <v>22637.689</v>
      </c>
      <c r="K21" s="25" t="n">
        <f aca="false">J21/J10</f>
        <v>0.589523151041667</v>
      </c>
      <c r="L21" s="43" t="n">
        <f aca="false">L14+L20</f>
        <v>19979.564</v>
      </c>
      <c r="M21" s="25" t="n">
        <f aca="false">L21/L10</f>
        <v>0.594629880952381</v>
      </c>
      <c r="N21" s="43" t="n">
        <f aca="false">N14+N20</f>
        <v>19979.564</v>
      </c>
      <c r="O21" s="25" t="n">
        <f aca="false">N21/N10</f>
        <v>0.594629880952381</v>
      </c>
      <c r="P21" s="43" t="n">
        <f aca="false">P14+P20</f>
        <v>19979.564</v>
      </c>
      <c r="Q21" s="25" t="n">
        <f aca="false">P21/P10</f>
        <v>0.594629880952381</v>
      </c>
      <c r="R21" s="43" t="n">
        <f aca="false">R14+R20</f>
        <v>19979.564</v>
      </c>
      <c r="S21" s="25" t="n">
        <f aca="false">R21/R10</f>
        <v>0.594629880952381</v>
      </c>
      <c r="T21" s="43" t="n">
        <f aca="false">T14+T20</f>
        <v>19979.564</v>
      </c>
      <c r="U21" s="25" t="n">
        <f aca="false">T21/T10</f>
        <v>0.594629880952381</v>
      </c>
      <c r="V21" s="43" t="n">
        <f aca="false">V14+V20</f>
        <v>19979.564</v>
      </c>
      <c r="W21" s="25" t="n">
        <f aca="false">V21/V10</f>
        <v>0.594629880952381</v>
      </c>
      <c r="X21" s="43" t="n">
        <f aca="false">X14+X20</f>
        <v>19979.564</v>
      </c>
      <c r="Y21" s="25" t="n">
        <f aca="false">X21/X10</f>
        <v>0.594629880952381</v>
      </c>
      <c r="Z21" s="79" t="n">
        <f aca="false">B21+D21+F21+H21+J21+L21+N21+P21+R21+T21+V21+X21</f>
        <v>237096.643</v>
      </c>
      <c r="AA21" s="80" t="n">
        <f aca="false">Z21/Z10</f>
        <v>0.595122095883534</v>
      </c>
    </row>
    <row r="23" customFormat="false" ht="15" hidden="false" customHeight="true" outlineLevel="0" collapsed="false">
      <c r="A23" s="53" t="s">
        <v>151</v>
      </c>
      <c r="B23" s="54" t="n">
        <f aca="false">'Vessel Assumptions'!$C$25</f>
        <v>6738.33333333333</v>
      </c>
      <c r="C23" s="55" t="n">
        <f aca="false">B23/B10</f>
        <v>0.140381944444444</v>
      </c>
      <c r="D23" s="54" t="n">
        <f aca="false">'Vessel Assumptions'!$C$25</f>
        <v>6738.33333333333</v>
      </c>
      <c r="E23" s="55" t="n">
        <f aca="false">D23/D10</f>
        <v>0.467939814814815</v>
      </c>
      <c r="F23" s="54" t="n">
        <f aca="false">'Vessel Assumptions'!$C$25</f>
        <v>6738.33333333333</v>
      </c>
      <c r="G23" s="55" t="n">
        <f aca="false">F23/F10</f>
        <v>0.140381944444444</v>
      </c>
      <c r="H23" s="54" t="n">
        <f aca="false">'Vessel Assumptions'!$C$25</f>
        <v>6738.33333333333</v>
      </c>
      <c r="I23" s="55" t="n">
        <f aca="false">H23/H10</f>
        <v>0.467939814814815</v>
      </c>
      <c r="J23" s="54" t="n">
        <f aca="false">'Vessel Assumptions'!$C$25</f>
        <v>6738.33333333333</v>
      </c>
      <c r="K23" s="55" t="n">
        <f aca="false">J23/J10</f>
        <v>0.175477430555556</v>
      </c>
      <c r="L23" s="54" t="n">
        <f aca="false">'Vessel Assumptions'!$C$25</f>
        <v>6738.33333333333</v>
      </c>
      <c r="M23" s="55" t="n">
        <f aca="false">L23/L10</f>
        <v>0.200545634920635</v>
      </c>
      <c r="N23" s="54" t="n">
        <f aca="false">'Vessel Assumptions'!$C$25</f>
        <v>6738.33333333333</v>
      </c>
      <c r="O23" s="55" t="n">
        <f aca="false">N23/N10</f>
        <v>0.200545634920635</v>
      </c>
      <c r="P23" s="54" t="n">
        <f aca="false">'Vessel Assumptions'!$C$25</f>
        <v>6738.33333333333</v>
      </c>
      <c r="Q23" s="55" t="n">
        <f aca="false">P23/P10</f>
        <v>0.200545634920635</v>
      </c>
      <c r="R23" s="54" t="n">
        <f aca="false">'Vessel Assumptions'!$C$25</f>
        <v>6738.33333333333</v>
      </c>
      <c r="S23" s="55" t="n">
        <f aca="false">R23/R10</f>
        <v>0.200545634920635</v>
      </c>
      <c r="T23" s="54" t="n">
        <f aca="false">'Vessel Assumptions'!$C$25</f>
        <v>6738.33333333333</v>
      </c>
      <c r="U23" s="55" t="n">
        <f aca="false">T23/T10</f>
        <v>0.200545634920635</v>
      </c>
      <c r="V23" s="54" t="n">
        <f aca="false">'Vessel Assumptions'!$C$25</f>
        <v>6738.33333333333</v>
      </c>
      <c r="W23" s="55" t="n">
        <f aca="false">V23/V10</f>
        <v>0.200545634920635</v>
      </c>
      <c r="X23" s="54" t="n">
        <f aca="false">'Vessel Assumptions'!$C$25</f>
        <v>6738.33333333333</v>
      </c>
      <c r="Y23" s="55" t="n">
        <f aca="false">X23/X10</f>
        <v>0.200545634920635</v>
      </c>
      <c r="Z23" s="77" t="n">
        <f aca="false">B23+D23+F23+H23+J23+L23+N23+P23+R23+T23+V23+X23</f>
        <v>80860</v>
      </c>
      <c r="AA23" s="78" t="n">
        <f aca="false">Z23/Z10</f>
        <v>0.202961847389558</v>
      </c>
    </row>
    <row r="24" customFormat="false" ht="15" hidden="false" customHeight="true" outlineLevel="0" collapsed="false">
      <c r="A24" s="53" t="s">
        <v>152</v>
      </c>
      <c r="B24" s="54" t="n">
        <f aca="false">B10*'Vessel Assumptions'!$C$27</f>
        <v>1200</v>
      </c>
      <c r="C24" s="55" t="n">
        <f aca="false">B24/B10</f>
        <v>0.025</v>
      </c>
      <c r="D24" s="54" t="n">
        <f aca="false">D10*'Vessel Assumptions'!$C$27</f>
        <v>360</v>
      </c>
      <c r="E24" s="55" t="n">
        <f aca="false">D24/D10</f>
        <v>0.025</v>
      </c>
      <c r="F24" s="54" t="n">
        <f aca="false">F10*'Vessel Assumptions'!$C$27</f>
        <v>1200</v>
      </c>
      <c r="G24" s="55" t="n">
        <f aca="false">F24/F10</f>
        <v>0.025</v>
      </c>
      <c r="H24" s="54" t="n">
        <f aca="false">H10*'Vessel Assumptions'!$C$27</f>
        <v>360</v>
      </c>
      <c r="I24" s="55" t="n">
        <f aca="false">H24/H10</f>
        <v>0.025</v>
      </c>
      <c r="J24" s="54" t="n">
        <f aca="false">J10*'Vessel Assumptions'!$C$27</f>
        <v>960</v>
      </c>
      <c r="K24" s="55" t="n">
        <f aca="false">J24/J10</f>
        <v>0.025</v>
      </c>
      <c r="L24" s="54" t="n">
        <f aca="false">L10*'Vessel Assumptions'!$C$27</f>
        <v>840</v>
      </c>
      <c r="M24" s="55" t="n">
        <f aca="false">L24/L10</f>
        <v>0.025</v>
      </c>
      <c r="N24" s="54" t="n">
        <f aca="false">N10*'Vessel Assumptions'!$C$27</f>
        <v>840</v>
      </c>
      <c r="O24" s="55" t="n">
        <f aca="false">N24/N10</f>
        <v>0.025</v>
      </c>
      <c r="P24" s="54" t="n">
        <f aca="false">P10*'Vessel Assumptions'!$C$27</f>
        <v>840</v>
      </c>
      <c r="Q24" s="55" t="n">
        <f aca="false">P24/P10</f>
        <v>0.025</v>
      </c>
      <c r="R24" s="54" t="n">
        <f aca="false">R10*'Vessel Assumptions'!$C$27</f>
        <v>840</v>
      </c>
      <c r="S24" s="55" t="n">
        <f aca="false">R24/R10</f>
        <v>0.025</v>
      </c>
      <c r="T24" s="54" t="n">
        <f aca="false">T10*'Vessel Assumptions'!$C$27</f>
        <v>840</v>
      </c>
      <c r="U24" s="55" t="n">
        <f aca="false">T24/T10</f>
        <v>0.025</v>
      </c>
      <c r="V24" s="54" t="n">
        <f aca="false">V10*'Vessel Assumptions'!$C$27</f>
        <v>840</v>
      </c>
      <c r="W24" s="55" t="n">
        <f aca="false">V24/V10</f>
        <v>0.025</v>
      </c>
      <c r="X24" s="54" t="n">
        <f aca="false">X10*'Vessel Assumptions'!$C$27</f>
        <v>840</v>
      </c>
      <c r="Y24" s="55" t="n">
        <f aca="false">X24/X10</f>
        <v>0.025</v>
      </c>
      <c r="Z24" s="77" t="n">
        <f aca="false">B24+D24+F24+H24+J24+L24+N24+P24+R24+T24+V24+X24</f>
        <v>9960</v>
      </c>
      <c r="AA24" s="78" t="n">
        <f aca="false">Z24/Z10</f>
        <v>0.025</v>
      </c>
    </row>
    <row r="25" customFormat="false" ht="15" hidden="false" customHeight="true" outlineLevel="0" collapsed="false">
      <c r="A25" s="53" t="s">
        <v>153</v>
      </c>
      <c r="B25" s="54" t="n">
        <f aca="false">'Vessel Assumptions'!$C$26</f>
        <v>730.083333333333</v>
      </c>
      <c r="C25" s="55" t="n">
        <f aca="false">B25/B10</f>
        <v>0.0152100694444444</v>
      </c>
      <c r="D25" s="54" t="n">
        <f aca="false">'Vessel Assumptions'!$C$26</f>
        <v>730.083333333333</v>
      </c>
      <c r="E25" s="55" t="n">
        <f aca="false">D25/D10</f>
        <v>0.0507002314814815</v>
      </c>
      <c r="F25" s="54" t="n">
        <f aca="false">'Vessel Assumptions'!$C$26</f>
        <v>730.083333333333</v>
      </c>
      <c r="G25" s="55" t="n">
        <f aca="false">F25/F10</f>
        <v>0.0152100694444444</v>
      </c>
      <c r="H25" s="54" t="n">
        <f aca="false">'Vessel Assumptions'!$C$26</f>
        <v>730.083333333333</v>
      </c>
      <c r="I25" s="55" t="n">
        <f aca="false">H25/H10</f>
        <v>0.0507002314814815</v>
      </c>
      <c r="J25" s="54" t="n">
        <f aca="false">'Vessel Assumptions'!$C$26</f>
        <v>730.083333333333</v>
      </c>
      <c r="K25" s="55" t="n">
        <f aca="false">J25/J10</f>
        <v>0.0190125868055556</v>
      </c>
      <c r="L25" s="54" t="n">
        <f aca="false">'Vessel Assumptions'!$C$26</f>
        <v>730.083333333333</v>
      </c>
      <c r="M25" s="55" t="n">
        <f aca="false">L25/L10</f>
        <v>0.0217286706349206</v>
      </c>
      <c r="N25" s="54" t="n">
        <f aca="false">'Vessel Assumptions'!$C$26</f>
        <v>730.083333333333</v>
      </c>
      <c r="O25" s="55" t="n">
        <f aca="false">N25/N10</f>
        <v>0.0217286706349206</v>
      </c>
      <c r="P25" s="54" t="n">
        <f aca="false">'Vessel Assumptions'!$C$26</f>
        <v>730.083333333333</v>
      </c>
      <c r="Q25" s="55" t="n">
        <f aca="false">P25/P10</f>
        <v>0.0217286706349206</v>
      </c>
      <c r="R25" s="54" t="n">
        <f aca="false">'Vessel Assumptions'!$C$26</f>
        <v>730.083333333333</v>
      </c>
      <c r="S25" s="55" t="n">
        <f aca="false">R25/R10</f>
        <v>0.0217286706349206</v>
      </c>
      <c r="T25" s="54" t="n">
        <f aca="false">'Vessel Assumptions'!$C$26</f>
        <v>730.083333333333</v>
      </c>
      <c r="U25" s="55" t="n">
        <f aca="false">T25/T10</f>
        <v>0.0217286706349206</v>
      </c>
      <c r="V25" s="54" t="n">
        <f aca="false">'Vessel Assumptions'!$C$26</f>
        <v>730.083333333333</v>
      </c>
      <c r="W25" s="55" t="n">
        <f aca="false">V25/V10</f>
        <v>0.0217286706349206</v>
      </c>
      <c r="X25" s="54" t="n">
        <f aca="false">'Vessel Assumptions'!$C$26</f>
        <v>730.083333333333</v>
      </c>
      <c r="Y25" s="55" t="n">
        <f aca="false">X25/X10</f>
        <v>0.0217286706349206</v>
      </c>
      <c r="Z25" s="77" t="n">
        <f aca="false">B25+D25+F25+H25+J25+L25+N25+P25+R25+T25+V25+X25</f>
        <v>8761</v>
      </c>
      <c r="AA25" s="78" t="n">
        <f aca="false">Z25/Z10</f>
        <v>0.0219904618473896</v>
      </c>
    </row>
    <row r="26" customFormat="false" ht="15" hidden="false" customHeight="true" outlineLevel="0" collapsed="false">
      <c r="A26" s="23" t="s">
        <v>154</v>
      </c>
      <c r="B26" s="43" t="n">
        <f aca="false">B10*'Vessel Assumptions'!$C$30</f>
        <v>1920</v>
      </c>
      <c r="C26" s="25" t="n">
        <f aca="false">B26/B10</f>
        <v>0.04</v>
      </c>
      <c r="D26" s="43" t="n">
        <f aca="false">D10*'Vessel Assumptions'!$C$30</f>
        <v>576</v>
      </c>
      <c r="E26" s="25" t="n">
        <f aca="false">D26/D10</f>
        <v>0.04</v>
      </c>
      <c r="F26" s="43" t="n">
        <f aca="false">F10*'Vessel Assumptions'!$C$30</f>
        <v>1920</v>
      </c>
      <c r="G26" s="25" t="n">
        <f aca="false">F26/F10</f>
        <v>0.04</v>
      </c>
      <c r="H26" s="43" t="n">
        <f aca="false">H10*'Vessel Assumptions'!$C$30</f>
        <v>576</v>
      </c>
      <c r="I26" s="25" t="n">
        <f aca="false">H26/H10</f>
        <v>0.04</v>
      </c>
      <c r="J26" s="43" t="n">
        <f aca="false">J10*'Vessel Assumptions'!$C$30</f>
        <v>1536</v>
      </c>
      <c r="K26" s="25" t="n">
        <f aca="false">J26/J10</f>
        <v>0.04</v>
      </c>
      <c r="L26" s="43" t="n">
        <f aca="false">L10*'Vessel Assumptions'!$C$30</f>
        <v>1344</v>
      </c>
      <c r="M26" s="25" t="n">
        <f aca="false">L26/L10</f>
        <v>0.04</v>
      </c>
      <c r="N26" s="43" t="n">
        <f aca="false">N10*'Vessel Assumptions'!$C$30</f>
        <v>1344</v>
      </c>
      <c r="O26" s="25" t="n">
        <f aca="false">N26/N10</f>
        <v>0.04</v>
      </c>
      <c r="P26" s="43" t="n">
        <f aca="false">P10*'Vessel Assumptions'!$C$30</f>
        <v>1344</v>
      </c>
      <c r="Q26" s="25" t="n">
        <f aca="false">P26/P10</f>
        <v>0.04</v>
      </c>
      <c r="R26" s="43" t="n">
        <f aca="false">R10*'Vessel Assumptions'!$C$30</f>
        <v>1344</v>
      </c>
      <c r="S26" s="25" t="n">
        <f aca="false">R26/R10</f>
        <v>0.04</v>
      </c>
      <c r="T26" s="43" t="n">
        <f aca="false">T10*'Vessel Assumptions'!$C$30</f>
        <v>1344</v>
      </c>
      <c r="U26" s="25" t="n">
        <f aca="false">T26/T10</f>
        <v>0.04</v>
      </c>
      <c r="V26" s="43" t="n">
        <f aca="false">V10*'Vessel Assumptions'!$C$30</f>
        <v>1344</v>
      </c>
      <c r="W26" s="25" t="n">
        <f aca="false">V26/V10</f>
        <v>0.04</v>
      </c>
      <c r="X26" s="43" t="n">
        <f aca="false">X10*'Vessel Assumptions'!$C$30</f>
        <v>1344</v>
      </c>
      <c r="Y26" s="25" t="n">
        <f aca="false">X26/X10</f>
        <v>0.04</v>
      </c>
      <c r="Z26" s="79" t="n">
        <f aca="false">B26+D26+F26+H26+J26+L26+N26+P26+R26+T26+V26+X26</f>
        <v>15936</v>
      </c>
      <c r="AA26" s="80" t="n">
        <f aca="false">Z26/Z10</f>
        <v>0.04</v>
      </c>
    </row>
    <row r="27" customFormat="false" ht="15" hidden="false" customHeight="true" outlineLevel="0" collapsed="false">
      <c r="A27" s="1" t="s">
        <v>155</v>
      </c>
      <c r="B27" s="81" t="n">
        <f aca="false">(B7+B8)*'Vessel Assumptions'!$C$32</f>
        <v>2000</v>
      </c>
      <c r="D27" s="81" t="n">
        <f aca="false">(D7+D8)*'Vessel Assumptions'!$C$32</f>
        <v>600</v>
      </c>
      <c r="F27" s="81" t="n">
        <f aca="false">(F7+F8)*'Vessel Assumptions'!$C$32</f>
        <v>2000</v>
      </c>
      <c r="H27" s="81" t="n">
        <f aca="false">(H7+H8)*'Vessel Assumptions'!$C$32</f>
        <v>600</v>
      </c>
      <c r="J27" s="81" t="n">
        <f aca="false">(J7+J8)*'Vessel Assumptions'!$C$32</f>
        <v>1600</v>
      </c>
      <c r="L27" s="81" t="n">
        <f aca="false">(L7+L8)*'Vessel Assumptions'!$C$32</f>
        <v>1400</v>
      </c>
      <c r="N27" s="81" t="n">
        <f aca="false">(N7+N8)*'Vessel Assumptions'!$C$32</f>
        <v>1400</v>
      </c>
      <c r="P27" s="81" t="n">
        <f aca="false">(P7+P8)*'Vessel Assumptions'!$C$32</f>
        <v>1400</v>
      </c>
      <c r="R27" s="81" t="n">
        <f aca="false">(R7+R8)*'Vessel Assumptions'!$C$32</f>
        <v>1400</v>
      </c>
      <c r="T27" s="81" t="n">
        <f aca="false">(T7+T8)*'Vessel Assumptions'!$C$32</f>
        <v>1400</v>
      </c>
      <c r="V27" s="81" t="n">
        <f aca="false">(V7+V8)*'Vessel Assumptions'!$C$32</f>
        <v>1400</v>
      </c>
      <c r="X27" s="81" t="n">
        <f aca="false">(X7+X8)*'Vessel Assumptions'!$C$32</f>
        <v>1400</v>
      </c>
      <c r="Z27" s="81" t="n">
        <f aca="false">B27+D27+F27+H27+J27+L27+N27+P27+R27+T27+V27+X27</f>
        <v>16600</v>
      </c>
    </row>
    <row r="28" customFormat="false" ht="15" hidden="false" customHeight="true" outlineLevel="0" collapsed="false">
      <c r="A28" s="82" t="s">
        <v>156</v>
      </c>
      <c r="B28" s="44" t="n">
        <f aca="false">B10*'Vessel Assumptions'!$C$31</f>
        <v>0</v>
      </c>
      <c r="C28" s="31" t="n">
        <f aca="false">B28/B10</f>
        <v>0</v>
      </c>
      <c r="D28" s="44" t="n">
        <f aca="false">D10*'Vessel Assumptions'!$C$31</f>
        <v>0</v>
      </c>
      <c r="E28" s="31" t="n">
        <f aca="false">D28/D10</f>
        <v>0</v>
      </c>
      <c r="F28" s="44" t="n">
        <f aca="false">F10*'Vessel Assumptions'!$C$31</f>
        <v>0</v>
      </c>
      <c r="G28" s="31" t="n">
        <f aca="false">F28/F10</f>
        <v>0</v>
      </c>
      <c r="H28" s="44" t="n">
        <f aca="false">H10*'Vessel Assumptions'!$C$31</f>
        <v>0</v>
      </c>
      <c r="I28" s="31" t="n">
        <f aca="false">H28/H10</f>
        <v>0</v>
      </c>
      <c r="J28" s="44" t="n">
        <f aca="false">J10*'Vessel Assumptions'!$C$31</f>
        <v>0</v>
      </c>
      <c r="K28" s="31" t="n">
        <f aca="false">J28/J10</f>
        <v>0</v>
      </c>
      <c r="L28" s="44" t="n">
        <f aca="false">L10*'Vessel Assumptions'!$C$31</f>
        <v>0</v>
      </c>
      <c r="M28" s="31" t="n">
        <f aca="false">L28/L10</f>
        <v>0</v>
      </c>
      <c r="N28" s="44" t="n">
        <f aca="false">N10*'Vessel Assumptions'!$C$31</f>
        <v>0</v>
      </c>
      <c r="O28" s="31" t="n">
        <f aca="false">N28/N10</f>
        <v>0</v>
      </c>
      <c r="P28" s="44" t="n">
        <f aca="false">P10*'Vessel Assumptions'!$C$31</f>
        <v>0</v>
      </c>
      <c r="Q28" s="31" t="n">
        <f aca="false">P28/P10</f>
        <v>0</v>
      </c>
      <c r="R28" s="44" t="n">
        <f aca="false">R10*'Vessel Assumptions'!$C$31</f>
        <v>0</v>
      </c>
      <c r="S28" s="31" t="n">
        <f aca="false">R28/R10</f>
        <v>0</v>
      </c>
      <c r="T28" s="44" t="n">
        <f aca="false">T10*'Vessel Assumptions'!$C$31</f>
        <v>0</v>
      </c>
      <c r="U28" s="31" t="n">
        <f aca="false">T28/T10</f>
        <v>0</v>
      </c>
      <c r="V28" s="44" t="n">
        <f aca="false">V10*'Vessel Assumptions'!$C$31</f>
        <v>0</v>
      </c>
      <c r="W28" s="31" t="n">
        <f aca="false">V28/V10</f>
        <v>0</v>
      </c>
      <c r="X28" s="44" t="n">
        <f aca="false">X10*'Vessel Assumptions'!$C$31</f>
        <v>0</v>
      </c>
      <c r="Y28" s="31" t="n">
        <f aca="false">X28/X10</f>
        <v>0</v>
      </c>
      <c r="Z28" s="83" t="n">
        <f aca="false">B28+D28+F28+H28+J28+L28+N28+P28+R28+T28+V28+X28</f>
        <v>0</v>
      </c>
      <c r="AA28" s="84" t="n">
        <f aca="false">Z28/Z10</f>
        <v>0</v>
      </c>
    </row>
    <row r="29" customFormat="false" ht="15" hidden="false" customHeight="true" outlineLevel="0" collapsed="false">
      <c r="A29" s="1" t="s">
        <v>59</v>
      </c>
      <c r="B29" s="81" t="n">
        <f aca="false">B15-B20-(B23+B24+B25+B26+B27+B28)</f>
        <v>7457.64433333334</v>
      </c>
      <c r="D29" s="81" t="n">
        <f aca="false">D15-D20-(D23+D24+D25+D26+D27+D28)</f>
        <v>-3951.48066666666</v>
      </c>
      <c r="F29" s="81" t="n">
        <f aca="false">F15-F20-(F23+F24+F25+F26+F27+F28)</f>
        <v>7457.64433333334</v>
      </c>
      <c r="H29" s="81" t="n">
        <f aca="false">H15-H20-(H23+H24+H25+H26+H27+H28)</f>
        <v>-3951.48066666666</v>
      </c>
      <c r="J29" s="81" t="n">
        <f aca="false">J15-J20-(J23+J24+J25+J26+J27+J28)</f>
        <v>4197.89433333334</v>
      </c>
      <c r="L29" s="81" t="n">
        <f aca="false">L15-L20-(L23+L24+L25+L26+L27+L28)</f>
        <v>2568.01933333334</v>
      </c>
      <c r="N29" s="81" t="n">
        <f aca="false">N15-N20-(N23+N24+N25+N26+N27+N28)</f>
        <v>2568.01933333334</v>
      </c>
      <c r="P29" s="81" t="n">
        <f aca="false">P15-P20-(P23+P24+P25+P26+P27+P28)</f>
        <v>2568.01933333334</v>
      </c>
      <c r="R29" s="81" t="n">
        <f aca="false">R15-R20-(R23+R24+R25+R26+R27+R28)</f>
        <v>2568.01933333334</v>
      </c>
      <c r="T29" s="81" t="n">
        <f aca="false">T15-T20-(T23+T24+T25+T26+T27+T28)</f>
        <v>2568.01933333334</v>
      </c>
      <c r="V29" s="81" t="n">
        <f aca="false">V15-V20-(V23+V24+V25+V26+V27+V28)</f>
        <v>2568.01933333334</v>
      </c>
      <c r="X29" s="81" t="n">
        <f aca="false">X15-X20-(X23+X24+X25+X26+X27+X28)</f>
        <v>2568.01933333334</v>
      </c>
      <c r="Z29" s="81" t="n">
        <f aca="false">Z15-Z20-(Z23+Z24+Z25+Z26+Z27+Z28)</f>
        <v>29186.357</v>
      </c>
    </row>
    <row r="30" customFormat="false" ht="15" hidden="false" customHeight="true" outlineLevel="0" collapsed="false">
      <c r="A30" s="23"/>
      <c r="B30" s="57"/>
      <c r="C30" s="85" t="n">
        <f aca="false">B30/B10</f>
        <v>0</v>
      </c>
      <c r="D30" s="57"/>
      <c r="E30" s="85" t="n">
        <f aca="false">D30/D10</f>
        <v>0</v>
      </c>
      <c r="F30" s="57"/>
      <c r="G30" s="85" t="n">
        <f aca="false">F30/F10</f>
        <v>0</v>
      </c>
      <c r="H30" s="57"/>
      <c r="I30" s="85" t="n">
        <f aca="false">H30/H10</f>
        <v>0</v>
      </c>
      <c r="J30" s="57"/>
      <c r="K30" s="85" t="n">
        <f aca="false">J30/J10</f>
        <v>0</v>
      </c>
      <c r="L30" s="57"/>
      <c r="M30" s="85" t="n">
        <f aca="false">L30/L10</f>
        <v>0</v>
      </c>
      <c r="N30" s="57"/>
      <c r="O30" s="85" t="n">
        <f aca="false">N30/N10</f>
        <v>0</v>
      </c>
      <c r="P30" s="57"/>
      <c r="Q30" s="85" t="n">
        <f aca="false">P30/P10</f>
        <v>0</v>
      </c>
      <c r="R30" s="57"/>
      <c r="S30" s="85" t="n">
        <f aca="false">R30/R10</f>
        <v>0</v>
      </c>
      <c r="T30" s="57"/>
      <c r="U30" s="85" t="n">
        <f aca="false">T30/T10</f>
        <v>0</v>
      </c>
      <c r="V30" s="57"/>
      <c r="W30" s="85" t="n">
        <f aca="false">V30/V10</f>
        <v>0</v>
      </c>
      <c r="X30" s="57"/>
      <c r="Y30" s="85" t="n">
        <f aca="false">X30/X10</f>
        <v>0</v>
      </c>
      <c r="Z30" s="86"/>
      <c r="AA30" s="87" t="n">
        <f aca="false">Z30/Z10</f>
        <v>0</v>
      </c>
    </row>
    <row r="31" customFormat="false" ht="15" hidden="false" customHeight="true" outlineLevel="0" collapsed="false">
      <c r="A31" s="23"/>
      <c r="B31" s="57"/>
      <c r="C31" s="85" t="n">
        <f aca="false">B31/B10</f>
        <v>0</v>
      </c>
      <c r="D31" s="57"/>
      <c r="E31" s="85" t="n">
        <f aca="false">D31/D10</f>
        <v>0</v>
      </c>
      <c r="F31" s="57"/>
      <c r="G31" s="85" t="n">
        <f aca="false">F31/F10</f>
        <v>0</v>
      </c>
      <c r="H31" s="57"/>
      <c r="I31" s="85" t="n">
        <f aca="false">H31/H10</f>
        <v>0</v>
      </c>
      <c r="J31" s="57"/>
      <c r="K31" s="85" t="n">
        <f aca="false">J31/J10</f>
        <v>0</v>
      </c>
      <c r="L31" s="57"/>
      <c r="M31" s="85" t="n">
        <f aca="false">L31/L10</f>
        <v>0</v>
      </c>
      <c r="N31" s="57"/>
      <c r="O31" s="85" t="n">
        <f aca="false">N31/N10</f>
        <v>0</v>
      </c>
      <c r="P31" s="57"/>
      <c r="Q31" s="85" t="n">
        <f aca="false">P31/P10</f>
        <v>0</v>
      </c>
      <c r="R31" s="57"/>
      <c r="S31" s="85" t="n">
        <f aca="false">R31/R10</f>
        <v>0</v>
      </c>
      <c r="T31" s="57"/>
      <c r="U31" s="85" t="n">
        <f aca="false">T31/T10</f>
        <v>0</v>
      </c>
      <c r="V31" s="57"/>
      <c r="W31" s="85" t="n">
        <f aca="false">V31/V10</f>
        <v>0</v>
      </c>
      <c r="X31" s="57"/>
      <c r="Y31" s="85" t="n">
        <f aca="false">X31/X10</f>
        <v>0</v>
      </c>
      <c r="Z31" s="86"/>
      <c r="AA31" s="87" t="n">
        <f aca="false">Z31/Z10</f>
        <v>0</v>
      </c>
    </row>
    <row r="33" customFormat="false" ht="15" hidden="false" customHeight="true" outlineLevel="0" collapsed="false">
      <c r="A33" s="66" t="s">
        <v>157</v>
      </c>
    </row>
  </sheetData>
  <mergeCells count="15">
    <mergeCell ref="A1:AA1"/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6" t="s">
        <v>158</v>
      </c>
      <c r="B1" s="46"/>
      <c r="C1" s="46"/>
      <c r="D1" s="46"/>
    </row>
    <row r="2" customFormat="false" ht="15" hidden="false" customHeight="true" outlineLevel="0" collapsed="false">
      <c r="A2" s="47" t="s">
        <v>159</v>
      </c>
      <c r="B2" s="47"/>
      <c r="C2" s="47"/>
      <c r="D2" s="47"/>
    </row>
    <row r="4" customFormat="false" ht="15" hidden="false" customHeight="true" outlineLevel="0" collapsed="false">
      <c r="B4" s="17" t="s">
        <v>160</v>
      </c>
      <c r="C4" s="49" t="s">
        <v>161</v>
      </c>
      <c r="D4" s="49" t="s">
        <v>162</v>
      </c>
    </row>
    <row r="6" customFormat="false" ht="15" hidden="false" customHeight="true" outlineLevel="0" collapsed="false">
      <c r="B6" s="48" t="s">
        <v>163</v>
      </c>
    </row>
    <row r="8" customFormat="false" ht="15" hidden="false" customHeight="true" outlineLevel="0" collapsed="false">
      <c r="B8" s="53" t="s">
        <v>164</v>
      </c>
      <c r="C8" s="54" t="n">
        <v>14188</v>
      </c>
      <c r="D8" s="54" t="n">
        <f aca="false">C8/12</f>
        <v>1182.33333333333</v>
      </c>
    </row>
    <row r="10" customFormat="false" ht="15" hidden="false" customHeight="true" outlineLevel="0" collapsed="false">
      <c r="B10" s="48" t="s">
        <v>165</v>
      </c>
    </row>
    <row r="11" customFormat="false" ht="15" hidden="false" customHeight="true" outlineLevel="0" collapsed="false">
      <c r="B11" s="53" t="s">
        <v>166</v>
      </c>
      <c r="C11" s="54" t="n">
        <v>18543</v>
      </c>
      <c r="D11" s="54" t="n">
        <f aca="false">C11/12</f>
        <v>1545.25</v>
      </c>
    </row>
    <row r="12" customFormat="false" ht="15" hidden="false" customHeight="true" outlineLevel="0" collapsed="false">
      <c r="B12" s="53" t="s">
        <v>167</v>
      </c>
      <c r="C12" s="54" t="n">
        <v>30300</v>
      </c>
      <c r="D12" s="54" t="n">
        <f aca="false">C12/12</f>
        <v>2525</v>
      </c>
    </row>
    <row r="13" customFormat="false" ht="15" hidden="false" customHeight="true" outlineLevel="0" collapsed="false">
      <c r="B13" s="53" t="s">
        <v>168</v>
      </c>
      <c r="C13" s="54" t="n">
        <v>13917</v>
      </c>
      <c r="D13" s="54" t="n">
        <f aca="false">C13/12</f>
        <v>1159.75</v>
      </c>
    </row>
    <row r="14" customFormat="false" ht="15" hidden="false" customHeight="true" outlineLevel="0" collapsed="false">
      <c r="B14" s="53" t="s">
        <v>169</v>
      </c>
      <c r="C14" s="54" t="n">
        <v>6750</v>
      </c>
      <c r="D14" s="54" t="n">
        <f aca="false">C14/12</f>
        <v>562.5</v>
      </c>
    </row>
    <row r="15" customFormat="false" ht="15" hidden="false" customHeight="true" outlineLevel="0" collapsed="false">
      <c r="B15" s="53" t="s">
        <v>170</v>
      </c>
      <c r="C15" s="54" t="n">
        <v>5748</v>
      </c>
      <c r="D15" s="54" t="n">
        <f aca="false">C15/12</f>
        <v>479</v>
      </c>
    </row>
    <row r="16" customFormat="false" ht="15" hidden="false" customHeight="true" outlineLevel="0" collapsed="false">
      <c r="B16" s="53" t="s">
        <v>171</v>
      </c>
      <c r="C16" s="54" t="n">
        <v>5602</v>
      </c>
      <c r="D16" s="54" t="n">
        <f aca="false">C16/12</f>
        <v>466.833333333333</v>
      </c>
    </row>
    <row r="17" customFormat="false" ht="15" hidden="false" customHeight="true" outlineLevel="0" collapsed="false">
      <c r="B17" s="50" t="s">
        <v>172</v>
      </c>
      <c r="C17" s="43" t="n">
        <f aca="false">SUM(C11:C16)</f>
        <v>80860</v>
      </c>
      <c r="D17" s="43" t="n">
        <f aca="false">C17/12</f>
        <v>6738.33333333333</v>
      </c>
    </row>
    <row r="18" customFormat="false" ht="15" hidden="false" customHeight="true" outlineLevel="0" collapsed="false">
      <c r="B18" s="66" t="s">
        <v>173</v>
      </c>
      <c r="C18" s="81" t="n">
        <f aca="false">C17</f>
        <v>80860</v>
      </c>
      <c r="D18" s="41" t="n">
        <f aca="false">C17/12</f>
        <v>6738.33333333333</v>
      </c>
    </row>
    <row r="20" customFormat="false" ht="15" hidden="false" customHeight="true" outlineLevel="0" collapsed="false">
      <c r="B20" s="48" t="s">
        <v>174</v>
      </c>
    </row>
    <row r="21" customFormat="false" ht="15" hidden="false" customHeight="true" outlineLevel="0" collapsed="false">
      <c r="B21" s="53" t="s">
        <v>175</v>
      </c>
      <c r="C21" s="54" t="n">
        <v>2106</v>
      </c>
      <c r="D21" s="54" t="n">
        <f aca="false">C21/12</f>
        <v>175.5</v>
      </c>
    </row>
    <row r="22" customFormat="false" ht="15" hidden="false" customHeight="true" outlineLevel="0" collapsed="false">
      <c r="B22" s="53" t="s">
        <v>176</v>
      </c>
      <c r="C22" s="54" t="n">
        <v>1800</v>
      </c>
      <c r="D22" s="54" t="n">
        <f aca="false">C22/12</f>
        <v>150</v>
      </c>
    </row>
    <row r="23" customFormat="false" ht="15" hidden="false" customHeight="true" outlineLevel="0" collapsed="false">
      <c r="B23" s="53" t="s">
        <v>177</v>
      </c>
      <c r="C23" s="54" t="n">
        <v>4855</v>
      </c>
      <c r="D23" s="54" t="n">
        <f aca="false">C23/12</f>
        <v>404.583333333333</v>
      </c>
    </row>
    <row r="24" customFormat="false" ht="15" hidden="false" customHeight="true" outlineLevel="0" collapsed="false">
      <c r="B24" s="50" t="s">
        <v>178</v>
      </c>
      <c r="C24" s="43" t="n">
        <f aca="false">SUM(C21:C23)</f>
        <v>8761</v>
      </c>
      <c r="D24" s="43" t="n">
        <f aca="false">C24/12</f>
        <v>730.083333333333</v>
      </c>
    </row>
    <row r="26" customFormat="false" ht="15" hidden="false" customHeight="true" outlineLevel="0" collapsed="false">
      <c r="B26" s="48" t="s">
        <v>179</v>
      </c>
    </row>
    <row r="27" customFormat="false" ht="15" hidden="false" customHeight="true" outlineLevel="0" collapsed="false">
      <c r="B27" s="53" t="s">
        <v>180</v>
      </c>
      <c r="C27" s="54" t="n">
        <v>2745</v>
      </c>
      <c r="D27" s="54" t="n">
        <f aca="false">C27/12</f>
        <v>228.75</v>
      </c>
    </row>
    <row r="28" customFormat="false" ht="15" hidden="false" customHeight="true" outlineLevel="0" collapsed="false">
      <c r="B28" s="53" t="s">
        <v>181</v>
      </c>
      <c r="C28" s="54" t="n">
        <v>48000</v>
      </c>
      <c r="D28" s="54" t="n">
        <f aca="false">C28/12</f>
        <v>4000</v>
      </c>
    </row>
    <row r="29" customFormat="false" ht="15" hidden="false" customHeight="true" outlineLevel="0" collapsed="false">
      <c r="B29" s="53" t="s">
        <v>182</v>
      </c>
      <c r="C29" s="54" t="n">
        <v>21861</v>
      </c>
      <c r="D29" s="54" t="n">
        <f aca="false">C29/12</f>
        <v>1821.75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6" t="s">
        <v>183</v>
      </c>
      <c r="B1" s="46"/>
      <c r="C1" s="46"/>
      <c r="D1" s="46"/>
    </row>
    <row r="2" customFormat="false" ht="15" hidden="false" customHeight="true" outlineLevel="0" collapsed="false">
      <c r="A2" s="47" t="s">
        <v>184</v>
      </c>
      <c r="B2" s="47"/>
      <c r="C2" s="47"/>
      <c r="D2" s="47"/>
    </row>
    <row r="4" customFormat="false" ht="19.5" hidden="false" customHeight="true" outlineLevel="0" collapsed="false">
      <c r="B4" s="64" t="s">
        <v>185</v>
      </c>
      <c r="C4" s="64"/>
      <c r="D4" s="64"/>
    </row>
    <row r="5" customFormat="false" ht="15" hidden="false" customHeight="true" outlineLevel="0" collapsed="false">
      <c r="B5" s="51" t="s">
        <v>186</v>
      </c>
      <c r="C5" s="65" t="n">
        <v>106838.2</v>
      </c>
    </row>
    <row r="6" customFormat="false" ht="15" hidden="false" customHeight="true" outlineLevel="0" collapsed="false">
      <c r="B6" s="51" t="s">
        <v>187</v>
      </c>
      <c r="C6" s="65" t="n">
        <v>131727.36</v>
      </c>
      <c r="D6" s="66" t="s">
        <v>188</v>
      </c>
    </row>
    <row r="7" customFormat="false" ht="15" hidden="false" customHeight="true" outlineLevel="0" collapsed="false">
      <c r="B7" s="51" t="s">
        <v>189</v>
      </c>
      <c r="C7" s="65" t="n">
        <v>13996.3</v>
      </c>
    </row>
    <row r="8" customFormat="false" ht="15" hidden="false" customHeight="true" outlineLevel="0" collapsed="false">
      <c r="B8" s="51" t="s">
        <v>190</v>
      </c>
      <c r="C8" s="65" t="n">
        <v>5847.56</v>
      </c>
    </row>
    <row r="9" customFormat="false" ht="15" hidden="false" customHeight="true" outlineLevel="0" collapsed="false">
      <c r="B9" s="51" t="s">
        <v>191</v>
      </c>
      <c r="C9" s="65" t="n">
        <v>7792.6</v>
      </c>
      <c r="D9" s="1" t="s">
        <v>192</v>
      </c>
    </row>
    <row r="10" customFormat="false" ht="15" hidden="false" customHeight="true" outlineLevel="0" collapsed="false">
      <c r="B10" s="42" t="s">
        <v>143</v>
      </c>
      <c r="C10" s="69" t="n">
        <f aca="false">SUM(C5:C9)</f>
        <v>266202.02</v>
      </c>
    </row>
    <row r="12" customFormat="false" ht="19.5" hidden="false" customHeight="true" outlineLevel="0" collapsed="false">
      <c r="B12" s="64" t="s">
        <v>193</v>
      </c>
      <c r="C12" s="64"/>
      <c r="D12" s="64"/>
    </row>
    <row r="13" customFormat="false" ht="15" hidden="false" customHeight="true" outlineLevel="0" collapsed="false">
      <c r="B13" s="51" t="s">
        <v>194</v>
      </c>
      <c r="C13" s="67" t="n">
        <v>0.4407</v>
      </c>
      <c r="D13" s="1" t="s">
        <v>195</v>
      </c>
    </row>
    <row r="14" customFormat="false" ht="15" hidden="false" customHeight="true" outlineLevel="0" collapsed="false">
      <c r="B14" s="51" t="s">
        <v>196</v>
      </c>
      <c r="C14" s="67" t="n">
        <v>0.2216</v>
      </c>
    </row>
    <row r="15" customFormat="false" ht="15" hidden="false" customHeight="true" outlineLevel="0" collapsed="false">
      <c r="B15" s="51" t="s">
        <v>197</v>
      </c>
      <c r="C15" s="67" t="n">
        <v>0.3328</v>
      </c>
    </row>
    <row r="16" customFormat="false" ht="15" hidden="false" customHeight="true" outlineLevel="0" collapsed="false">
      <c r="B16" s="51" t="s">
        <v>198</v>
      </c>
      <c r="C16" s="67" t="n">
        <v>0</v>
      </c>
      <c r="D16" s="1" t="s">
        <v>199</v>
      </c>
    </row>
    <row r="17" customFormat="false" ht="15" hidden="false" customHeight="true" outlineLevel="0" collapsed="false">
      <c r="B17" s="51" t="s">
        <v>200</v>
      </c>
      <c r="C17" s="67" t="n">
        <v>0</v>
      </c>
      <c r="D17" s="1" t="s">
        <v>201</v>
      </c>
    </row>
    <row r="19" customFormat="false" ht="19.5" hidden="false" customHeight="true" outlineLevel="0" collapsed="false">
      <c r="B19" s="64" t="s">
        <v>202</v>
      </c>
      <c r="C19" s="64"/>
      <c r="D19" s="64"/>
    </row>
    <row r="20" customFormat="false" ht="15" hidden="false" customHeight="true" outlineLevel="0" collapsed="false">
      <c r="B20" s="51" t="s">
        <v>203</v>
      </c>
      <c r="C20" s="68" t="n">
        <v>10</v>
      </c>
      <c r="D20" s="66" t="s">
        <v>204</v>
      </c>
    </row>
    <row r="21" customFormat="false" ht="15" hidden="false" customHeight="true" outlineLevel="0" collapsed="false">
      <c r="B21" s="51" t="s">
        <v>205</v>
      </c>
      <c r="C21" s="68" t="n">
        <f aca="false">2*4/7</f>
        <v>1.14285714285714</v>
      </c>
      <c r="D21" s="66" t="s">
        <v>206</v>
      </c>
    </row>
    <row r="22" customFormat="false" ht="15" hidden="false" customHeight="true" outlineLevel="0" collapsed="false">
      <c r="B22" s="51" t="s">
        <v>207</v>
      </c>
      <c r="C22" s="68" t="n">
        <v>7</v>
      </c>
    </row>
    <row r="23" customFormat="false" ht="15" hidden="false" customHeight="true" outlineLevel="0" collapsed="false">
      <c r="B23" s="51" t="s">
        <v>208</v>
      </c>
      <c r="C23" s="65" t="n">
        <v>20</v>
      </c>
      <c r="D23" s="66" t="s">
        <v>209</v>
      </c>
    </row>
    <row r="24" customFormat="false" ht="15" hidden="false" customHeight="true" outlineLevel="0" collapsed="false">
      <c r="B24" s="51" t="s">
        <v>121</v>
      </c>
      <c r="C24" s="67" t="n">
        <v>0.16</v>
      </c>
    </row>
    <row r="25" customFormat="false" ht="15" hidden="false" customHeight="true" outlineLevel="0" collapsed="false">
      <c r="B25" s="42" t="s">
        <v>210</v>
      </c>
      <c r="C25" s="69" t="n">
        <f aca="false">(C20+C21)*C22*52*C23*(1+C24)</f>
        <v>94099.2</v>
      </c>
      <c r="D25" s="66" t="s">
        <v>211</v>
      </c>
    </row>
    <row r="27" customFormat="false" ht="19.5" hidden="false" customHeight="true" outlineLevel="0" collapsed="false">
      <c r="B27" s="64" t="s">
        <v>212</v>
      </c>
      <c r="C27" s="64"/>
      <c r="D27" s="64"/>
    </row>
    <row r="28" customFormat="false" ht="15" hidden="false" customHeight="true" outlineLevel="0" collapsed="false">
      <c r="B28" s="51" t="s">
        <v>213</v>
      </c>
      <c r="C28" s="65" t="n">
        <v>164857</v>
      </c>
      <c r="D28" s="66" t="s">
        <v>214</v>
      </c>
    </row>
    <row r="30" customFormat="false" ht="19.5" hidden="false" customHeight="true" outlineLevel="0" collapsed="false">
      <c r="B30" s="64" t="s">
        <v>215</v>
      </c>
      <c r="C30" s="64"/>
      <c r="D30" s="64"/>
    </row>
    <row r="31" customFormat="false" ht="15" hidden="false" customHeight="true" outlineLevel="0" collapsed="false">
      <c r="B31" s="51" t="s">
        <v>126</v>
      </c>
      <c r="C31" s="67" t="n">
        <v>0.025</v>
      </c>
      <c r="D31" s="66" t="s">
        <v>216</v>
      </c>
    </row>
    <row r="32" customFormat="false" ht="15" hidden="false" customHeight="true" outlineLevel="0" collapsed="false">
      <c r="B32" s="51" t="s">
        <v>217</v>
      </c>
      <c r="C32" s="65" t="n">
        <v>89675</v>
      </c>
      <c r="D32" s="66" t="s">
        <v>218</v>
      </c>
    </row>
    <row r="33" customFormat="false" ht="15" hidden="false" customHeight="true" outlineLevel="0" collapsed="false">
      <c r="B33" s="51" t="s">
        <v>96</v>
      </c>
      <c r="C33" s="65" t="n">
        <v>5657</v>
      </c>
      <c r="D33" s="66" t="s">
        <v>219</v>
      </c>
    </row>
    <row r="35" customFormat="false" ht="19.5" hidden="false" customHeight="true" outlineLevel="0" collapsed="false">
      <c r="B35" s="64" t="s">
        <v>220</v>
      </c>
      <c r="C35" s="64"/>
      <c r="D35" s="64"/>
    </row>
    <row r="36" customFormat="false" ht="15" hidden="false" customHeight="true" outlineLevel="0" collapsed="false">
      <c r="B36" s="51"/>
      <c r="C36" s="67" t="n">
        <v>0</v>
      </c>
    </row>
    <row r="37" customFormat="false" ht="15" hidden="false" customHeight="true" outlineLevel="0" collapsed="false">
      <c r="B37" s="42"/>
      <c r="C37" s="88" t="n">
        <v>0</v>
      </c>
    </row>
    <row r="39" customFormat="false" ht="15" hidden="false" customHeight="true" outlineLevel="0" collapsed="false">
      <c r="B39" s="89" t="s">
        <v>221</v>
      </c>
      <c r="C39" s="89"/>
      <c r="D39" s="89"/>
    </row>
    <row r="40" customFormat="false" ht="15" hidden="false" customHeight="true" outlineLevel="0" collapsed="false">
      <c r="B40" s="51" t="s">
        <v>129</v>
      </c>
      <c r="C40" s="90" t="n">
        <v>0.04</v>
      </c>
      <c r="D40" s="66" t="s">
        <v>222</v>
      </c>
    </row>
    <row r="41" customFormat="false" ht="15" hidden="false" customHeight="true" outlineLevel="0" collapsed="false">
      <c r="B41" s="51" t="s">
        <v>131</v>
      </c>
      <c r="C41" s="90" t="n">
        <v>0.06</v>
      </c>
      <c r="D41" s="66" t="s">
        <v>223</v>
      </c>
    </row>
    <row r="42" customFormat="false" ht="15" hidden="false" customHeight="true" outlineLevel="0" collapsed="false">
      <c r="B42" s="51" t="s">
        <v>224</v>
      </c>
      <c r="C42" s="91" t="n">
        <v>10012</v>
      </c>
      <c r="D42" s="66" t="s">
        <v>225</v>
      </c>
    </row>
    <row r="43" customFormat="false" ht="15" hidden="false" customHeight="true" outlineLevel="0" collapsed="false">
      <c r="B43" s="51" t="s">
        <v>226</v>
      </c>
      <c r="C43" s="91" t="n">
        <f aca="false">'LW Menu Pricing'!$C$53</f>
        <v>17614.35</v>
      </c>
      <c r="D43" s="66" t="s">
        <v>227</v>
      </c>
    </row>
    <row r="44" customFormat="false" ht="15" hidden="false" customHeight="true" outlineLevel="0" collapsed="false">
      <c r="B44" s="51" t="s">
        <v>228</v>
      </c>
      <c r="C44" s="92" t="n">
        <v>1</v>
      </c>
      <c r="D44" s="66" t="s">
        <v>229</v>
      </c>
    </row>
    <row r="45" customFormat="false" ht="15" hidden="false" customHeight="true" outlineLevel="0" collapsed="false">
      <c r="B45" s="51" t="s">
        <v>230</v>
      </c>
      <c r="C45" s="91" t="n">
        <v>12880</v>
      </c>
      <c r="D45" s="66" t="s">
        <v>231</v>
      </c>
    </row>
    <row r="46" customFormat="false" ht="15" hidden="false" customHeight="true" outlineLevel="0" collapsed="false">
      <c r="B46" s="1" t="s">
        <v>232</v>
      </c>
      <c r="C46" s="93" t="n">
        <v>0.5</v>
      </c>
      <c r="D46" s="1" t="s">
        <v>233</v>
      </c>
    </row>
    <row r="47" customFormat="false" ht="15" hidden="false" customHeight="true" outlineLevel="0" collapsed="false">
      <c r="B47" s="1" t="s">
        <v>234</v>
      </c>
      <c r="C47" s="81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3"/>
  </cols>
  <sheetData>
    <row r="1" customFormat="false" ht="37.5" hidden="false" customHeight="true" outlineLevel="0" collapsed="false">
      <c r="A1" s="46" t="s">
        <v>235</v>
      </c>
      <c r="B1" s="46"/>
      <c r="C1" s="46"/>
      <c r="D1" s="46"/>
      <c r="E1" s="46"/>
      <c r="F1" s="46"/>
    </row>
    <row r="2" customFormat="false" ht="15" hidden="false" customHeight="true" outlineLevel="0" collapsed="false">
      <c r="A2" s="47" t="s">
        <v>236</v>
      </c>
      <c r="B2" s="47"/>
      <c r="C2" s="47"/>
      <c r="D2" s="47"/>
      <c r="E2" s="47"/>
      <c r="F2" s="47"/>
    </row>
    <row r="4" customFormat="false" ht="18" hidden="false" customHeight="true" outlineLevel="0" collapsed="false">
      <c r="A4" s="17"/>
      <c r="B4" s="94" t="s">
        <v>237</v>
      </c>
      <c r="C4" s="94" t="s">
        <v>51</v>
      </c>
      <c r="D4" s="95" t="s">
        <v>238</v>
      </c>
      <c r="E4" s="95" t="s">
        <v>51</v>
      </c>
      <c r="F4" s="94" t="s">
        <v>22</v>
      </c>
    </row>
    <row r="5" customFormat="false" ht="15" hidden="false" customHeight="true" outlineLevel="0" collapsed="false">
      <c r="A5" s="53" t="s">
        <v>140</v>
      </c>
      <c r="B5" s="54" t="n">
        <f aca="false">'LW Assumptions'!C5</f>
        <v>106838.2</v>
      </c>
      <c r="C5" s="55" t="n">
        <f aca="false">B5/B10</f>
        <v>0.401342559308904</v>
      </c>
      <c r="D5" s="54" t="n">
        <f aca="false">'LW Assumptions'!C5</f>
        <v>106838.2</v>
      </c>
      <c r="E5" s="55" t="n">
        <f aca="false">D5/D10</f>
        <v>0.401342559308904</v>
      </c>
      <c r="F5" s="96" t="n">
        <f aca="false">D5-B5</f>
        <v>0</v>
      </c>
    </row>
    <row r="6" customFormat="false" ht="15" hidden="false" customHeight="true" outlineLevel="0" collapsed="false">
      <c r="A6" s="53" t="s">
        <v>239</v>
      </c>
      <c r="B6" s="54" t="n">
        <f aca="false">'LW Assumptions'!C6</f>
        <v>131727.36</v>
      </c>
      <c r="C6" s="55" t="n">
        <f aca="false">B6/B10</f>
        <v>0.494839821275586</v>
      </c>
      <c r="D6" s="54" t="n">
        <f aca="false">'LW Assumptions'!C6</f>
        <v>131727.36</v>
      </c>
      <c r="E6" s="55" t="n">
        <f aca="false">D6/D10</f>
        <v>0.494839821275586</v>
      </c>
      <c r="F6" s="96" t="n">
        <f aca="false">D6-B6</f>
        <v>0</v>
      </c>
    </row>
    <row r="7" customFormat="false" ht="15" hidden="false" customHeight="true" outlineLevel="0" collapsed="false">
      <c r="A7" s="53" t="s">
        <v>240</v>
      </c>
      <c r="B7" s="54" t="n">
        <f aca="false">'LW Assumptions'!C7</f>
        <v>13996.3</v>
      </c>
      <c r="C7" s="55" t="n">
        <f aca="false">B7/B10</f>
        <v>0.0525777377647247</v>
      </c>
      <c r="D7" s="54" t="n">
        <f aca="false">'LW Assumptions'!C7</f>
        <v>13996.3</v>
      </c>
      <c r="E7" s="55" t="n">
        <f aca="false">D7/D10</f>
        <v>0.0525777377647247</v>
      </c>
      <c r="F7" s="96" t="n">
        <f aca="false">D7-B7</f>
        <v>0</v>
      </c>
    </row>
    <row r="8" customFormat="false" ht="15" hidden="false" customHeight="true" outlineLevel="0" collapsed="false">
      <c r="A8" s="53" t="s">
        <v>241</v>
      </c>
      <c r="B8" s="54" t="n">
        <f aca="false">'LW Assumptions'!C8</f>
        <v>5847.56</v>
      </c>
      <c r="C8" s="55" t="n">
        <f aca="false">B8/B10</f>
        <v>0.0219666251969087</v>
      </c>
      <c r="D8" s="54" t="n">
        <f aca="false">'LW Assumptions'!C8</f>
        <v>5847.56</v>
      </c>
      <c r="E8" s="55" t="n">
        <f aca="false">D8/D10</f>
        <v>0.0219666251969087</v>
      </c>
      <c r="F8" s="96" t="n">
        <f aca="false">D8-B8</f>
        <v>0</v>
      </c>
    </row>
    <row r="9" customFormat="false" ht="15" hidden="false" customHeight="true" outlineLevel="0" collapsed="false">
      <c r="A9" s="53" t="s">
        <v>242</v>
      </c>
      <c r="B9" s="54" t="n">
        <f aca="false">'LW Assumptions'!C9</f>
        <v>7792.6</v>
      </c>
      <c r="C9" s="55" t="n">
        <f aca="false">B9/B10</f>
        <v>0.0292732564538767</v>
      </c>
      <c r="D9" s="54" t="n">
        <f aca="false">'LW Assumptions'!C9</f>
        <v>7792.6</v>
      </c>
      <c r="E9" s="55" t="n">
        <f aca="false">D9/D10</f>
        <v>0.0292732564538767</v>
      </c>
      <c r="F9" s="96" t="n">
        <f aca="false">D9-B9</f>
        <v>0</v>
      </c>
    </row>
    <row r="10" customFormat="false" ht="15" hidden="false" customHeight="true" outlineLevel="0" collapsed="false">
      <c r="A10" s="50" t="s">
        <v>143</v>
      </c>
      <c r="B10" s="43" t="n">
        <f aca="false">SUM(B5:B9)</f>
        <v>266202.02</v>
      </c>
      <c r="C10" s="25" t="n">
        <f aca="false">B10/B10</f>
        <v>1</v>
      </c>
      <c r="D10" s="43" t="n">
        <f aca="false">SUM(D5:D9)</f>
        <v>266202.02</v>
      </c>
      <c r="E10" s="25" t="n">
        <f aca="false">D10/D10</f>
        <v>1</v>
      </c>
      <c r="F10" s="97" t="n">
        <f aca="false">D10-B10</f>
        <v>0</v>
      </c>
    </row>
    <row r="12" customFormat="false" ht="15" hidden="false" customHeight="true" outlineLevel="0" collapsed="false">
      <c r="A12" s="53" t="s">
        <v>243</v>
      </c>
      <c r="B12" s="54" t="n">
        <f aca="false">B5*'LW Assumptions'!C13</f>
        <v>47083.59474</v>
      </c>
      <c r="C12" s="55" t="n">
        <f aca="false">B12/B5</f>
        <v>0.4407</v>
      </c>
      <c r="D12" s="54" t="n">
        <f aca="false">D5*'LW Assumptions'!C13</f>
        <v>47083.59474</v>
      </c>
      <c r="E12" s="55" t="n">
        <f aca="false">D12/D5</f>
        <v>0.4407</v>
      </c>
      <c r="F12" s="96" t="n">
        <f aca="false">D12-B12</f>
        <v>0</v>
      </c>
    </row>
    <row r="13" customFormat="false" ht="15" hidden="false" customHeight="true" outlineLevel="0" collapsed="false">
      <c r="A13" s="53" t="s">
        <v>244</v>
      </c>
      <c r="B13" s="54" t="n">
        <f aca="false">B6*'LW Assumptions'!C14</f>
        <v>29190.782976</v>
      </c>
      <c r="C13" s="55" t="n">
        <f aca="false">B13/B6</f>
        <v>0.2216</v>
      </c>
      <c r="D13" s="54" t="n">
        <f aca="false">D6*'LW Assumptions'!C14</f>
        <v>29190.782976</v>
      </c>
      <c r="E13" s="55" t="n">
        <f aca="false">D13/D6</f>
        <v>0.2216</v>
      </c>
      <c r="F13" s="96" t="n">
        <f aca="false">D13-B13</f>
        <v>0</v>
      </c>
    </row>
    <row r="14" customFormat="false" ht="15" hidden="false" customHeight="true" outlineLevel="0" collapsed="false">
      <c r="A14" s="53" t="s">
        <v>245</v>
      </c>
      <c r="B14" s="54" t="n">
        <f aca="false">B7*'LW Assumptions'!C15</f>
        <v>4657.96864</v>
      </c>
      <c r="C14" s="55" t="n">
        <f aca="false">B14/B7</f>
        <v>0.3328</v>
      </c>
      <c r="D14" s="54" t="n">
        <f aca="false">D7*'LW Assumptions'!C15</f>
        <v>4657.96864</v>
      </c>
      <c r="E14" s="55" t="n">
        <f aca="false">D14/D7</f>
        <v>0.3328</v>
      </c>
      <c r="F14" s="96" t="n">
        <f aca="false">D14-B14</f>
        <v>0</v>
      </c>
    </row>
    <row r="15" customFormat="false" ht="15" hidden="false" customHeight="true" outlineLevel="0" collapsed="false">
      <c r="A15" s="53" t="s">
        <v>246</v>
      </c>
      <c r="B15" s="54" t="n">
        <f aca="false">B8*'LW Assumptions'!C16</f>
        <v>0</v>
      </c>
      <c r="C15" s="55" t="n">
        <f aca="false">B15/B8</f>
        <v>0</v>
      </c>
      <c r="D15" s="54" t="n">
        <f aca="false">D8*'LW Assumptions'!C16</f>
        <v>0</v>
      </c>
      <c r="E15" s="55" t="n">
        <f aca="false">D15/D8</f>
        <v>0</v>
      </c>
      <c r="F15" s="96" t="n">
        <f aca="false">D15-B15</f>
        <v>0</v>
      </c>
    </row>
    <row r="16" customFormat="false" ht="15" hidden="false" customHeight="true" outlineLevel="0" collapsed="false">
      <c r="A16" s="53" t="s">
        <v>247</v>
      </c>
      <c r="B16" s="54" t="n">
        <f aca="false">B9*'LW Assumptions'!C17</f>
        <v>0</v>
      </c>
      <c r="C16" s="55" t="n">
        <f aca="false">B16/B9</f>
        <v>0</v>
      </c>
      <c r="D16" s="54" t="n">
        <f aca="false">D9*'LW Assumptions'!C17</f>
        <v>0</v>
      </c>
      <c r="E16" s="55" t="n">
        <f aca="false">D16/D9</f>
        <v>0</v>
      </c>
      <c r="F16" s="96" t="n">
        <f aca="false">D16-B16</f>
        <v>0</v>
      </c>
    </row>
    <row r="17" customFormat="false" ht="15" hidden="false" customHeight="true" outlineLevel="0" collapsed="false">
      <c r="A17" s="50" t="s">
        <v>146</v>
      </c>
      <c r="B17" s="43" t="n">
        <f aca="false">SUM(B12:B16)</f>
        <v>80932.346356</v>
      </c>
      <c r="C17" s="25" t="n">
        <f aca="false">B17/B10</f>
        <v>0.304026041410204</v>
      </c>
      <c r="D17" s="43" t="n">
        <f aca="false">SUM(D12:D16)</f>
        <v>80932.346356</v>
      </c>
      <c r="E17" s="25" t="n">
        <f aca="false">D17/D10</f>
        <v>0.304026041410204</v>
      </c>
      <c r="F17" s="97" t="n">
        <f aca="false">D17-B17</f>
        <v>0</v>
      </c>
    </row>
    <row r="18" customFormat="false" ht="15" hidden="false" customHeight="true" outlineLevel="0" collapsed="false">
      <c r="A18" s="50" t="s">
        <v>9</v>
      </c>
      <c r="B18" s="43" t="n">
        <f aca="false">B10-B17</f>
        <v>185269.673644</v>
      </c>
      <c r="C18" s="25" t="n">
        <f aca="false">B18/B10</f>
        <v>0.695973958589796</v>
      </c>
      <c r="D18" s="43" t="n">
        <f aca="false">D10-D17</f>
        <v>185269.673644</v>
      </c>
      <c r="E18" s="25" t="n">
        <f aca="false">D18/D10</f>
        <v>0.695973958589796</v>
      </c>
      <c r="F18" s="97" t="n">
        <f aca="false">D18-B18</f>
        <v>0</v>
      </c>
    </row>
    <row r="20" customFormat="false" ht="15" hidden="false" customHeight="true" outlineLevel="0" collapsed="false">
      <c r="A20" s="98" t="s">
        <v>10</v>
      </c>
      <c r="B20" s="99" t="n">
        <f aca="false">'LW Assumptions'!C28</f>
        <v>164857</v>
      </c>
      <c r="C20" s="100" t="n">
        <f aca="false">B20/B10</f>
        <v>0.619292821294144</v>
      </c>
      <c r="D20" s="101" t="n">
        <f aca="false">'LW Assumptions'!C25</f>
        <v>94099.2</v>
      </c>
      <c r="E20" s="100" t="n">
        <f aca="false">D20/D10</f>
        <v>0.353487926199809</v>
      </c>
      <c r="F20" s="102" t="n">
        <f aca="false">D20-B20</f>
        <v>-70757.8</v>
      </c>
    </row>
    <row r="21" customFormat="false" ht="15" hidden="false" customHeight="true" outlineLevel="0" collapsed="false">
      <c r="A21" s="53" t="s">
        <v>52</v>
      </c>
      <c r="B21" s="58" t="n">
        <f aca="false">'LW Assumptions'!$C$42</f>
        <v>10012</v>
      </c>
      <c r="C21" s="55" t="n">
        <f aca="false">B21/B10</f>
        <v>0.0376105335338928</v>
      </c>
      <c r="D21" s="58" t="n">
        <f aca="false">D10*'LW Assumptions'!C31</f>
        <v>6655.0505</v>
      </c>
      <c r="E21" s="55" t="n">
        <f aca="false">D21/D10</f>
        <v>0.025</v>
      </c>
      <c r="F21" s="58" t="n">
        <f aca="false">D21-B21</f>
        <v>-3356.9495</v>
      </c>
    </row>
    <row r="22" customFormat="false" ht="15" hidden="false" customHeight="true" outlineLevel="0" collapsed="false">
      <c r="A22" s="53" t="s">
        <v>93</v>
      </c>
      <c r="B22" s="58" t="n">
        <f aca="false">'LW Assumptions'!C32</f>
        <v>89675</v>
      </c>
      <c r="C22" s="55" t="n">
        <f aca="false">B22/B10</f>
        <v>0.336868217604059</v>
      </c>
      <c r="D22" s="58" t="n">
        <f aca="false">'LW Assumptions'!C32</f>
        <v>89675</v>
      </c>
      <c r="E22" s="55" t="n">
        <f aca="false">D22/D10</f>
        <v>0.336868217604059</v>
      </c>
      <c r="F22" s="58" t="n">
        <f aca="false">D22-B22</f>
        <v>0</v>
      </c>
    </row>
    <row r="23" customFormat="false" ht="15" hidden="false" customHeight="true" outlineLevel="0" collapsed="false">
      <c r="A23" s="53" t="s">
        <v>96</v>
      </c>
      <c r="B23" s="58" t="n">
        <f aca="false">'LW Assumptions'!C33</f>
        <v>5657</v>
      </c>
      <c r="C23" s="55" t="n">
        <f aca="false">B23/B10</f>
        <v>0.0212507778866592</v>
      </c>
      <c r="D23" s="58" t="n">
        <f aca="false">'LW Assumptions'!C33</f>
        <v>5657</v>
      </c>
      <c r="E23" s="55" t="n">
        <f aca="false">D23/D10</f>
        <v>0.0212507778866592</v>
      </c>
      <c r="F23" s="58" t="n">
        <f aca="false">D23-B23</f>
        <v>0</v>
      </c>
    </row>
    <row r="24" customFormat="false" ht="15" hidden="false" customHeight="true" outlineLevel="0" collapsed="false">
      <c r="A24" s="50" t="s">
        <v>55</v>
      </c>
      <c r="B24" s="24" t="n">
        <f aca="false">B10*'LW Assumptions'!$C$40</f>
        <v>10648.0808</v>
      </c>
      <c r="C24" s="25" t="n">
        <f aca="false">B24/B10</f>
        <v>0.04</v>
      </c>
      <c r="D24" s="24" t="n">
        <f aca="false">D10*'LW Assumptions'!$C$40</f>
        <v>10648.0808</v>
      </c>
      <c r="E24" s="25" t="n">
        <f aca="false">D24/D10</f>
        <v>0.04</v>
      </c>
      <c r="F24" s="24" t="n">
        <f aca="false">D24-B24</f>
        <v>0</v>
      </c>
    </row>
    <row r="25" customFormat="false" ht="15" hidden="false" customHeight="true" outlineLevel="0" collapsed="false">
      <c r="A25" s="1" t="s">
        <v>248</v>
      </c>
      <c r="B25" s="7" t="n">
        <f aca="false">B10*'LW Assumptions'!$C$41</f>
        <v>15972.1212</v>
      </c>
      <c r="C25" s="10" t="n">
        <f aca="false">B25/B10</f>
        <v>0.06</v>
      </c>
      <c r="D25" s="7" t="n">
        <f aca="false">D10*'LW Assumptions'!$C$41</f>
        <v>15972.1212</v>
      </c>
      <c r="E25" s="10" t="n">
        <f aca="false">D25/D10</f>
        <v>0.06</v>
      </c>
      <c r="F25" s="7" t="n">
        <f aca="false">D25-B25</f>
        <v>0</v>
      </c>
    </row>
    <row r="26" customFormat="false" ht="15" hidden="false" customHeight="true" outlineLevel="0" collapsed="false">
      <c r="A26" s="103" t="s">
        <v>249</v>
      </c>
      <c r="B26" s="104" t="n">
        <f aca="false">SUM(B20:B25)</f>
        <v>296821.202</v>
      </c>
      <c r="C26" s="105" t="n">
        <f aca="false">B26/B10</f>
        <v>1.11502235031875</v>
      </c>
      <c r="D26" s="104" t="n">
        <f aca="false">SUM(D20:D25)</f>
        <v>222706.4525</v>
      </c>
      <c r="E26" s="105" t="n">
        <f aca="false">D26/D10</f>
        <v>0.836606921690527</v>
      </c>
      <c r="F26" s="104" t="n">
        <f aca="false">D26-B26</f>
        <v>-74114.7495</v>
      </c>
    </row>
    <row r="27" customFormat="false" ht="15" hidden="false" customHeight="true" outlineLevel="0" collapsed="false">
      <c r="A27" s="26"/>
      <c r="B27" s="40"/>
      <c r="C27" s="28"/>
      <c r="D27" s="40"/>
      <c r="E27" s="28"/>
      <c r="F27" s="40"/>
    </row>
    <row r="28" customFormat="false" ht="15" hidden="false" customHeight="true" outlineLevel="0" collapsed="false">
      <c r="A28" s="26" t="s">
        <v>250</v>
      </c>
      <c r="B28" s="27" t="n">
        <f aca="false">B18-B26</f>
        <v>-111551.528356</v>
      </c>
      <c r="C28" s="28" t="n">
        <f aca="false">B28/B10</f>
        <v>-0.419048391728958</v>
      </c>
      <c r="D28" s="27" t="n">
        <f aca="false">D18-D26</f>
        <v>-37436.778856</v>
      </c>
      <c r="E28" s="28" t="n">
        <f aca="false">D28/D10</f>
        <v>-0.140632963100731</v>
      </c>
      <c r="F28" s="27" t="n">
        <f aca="false">D28-B28</f>
        <v>74114.7495</v>
      </c>
    </row>
    <row r="29" customFormat="false" ht="15" hidden="false" customHeight="true" outlineLevel="0" collapsed="false">
      <c r="A29" s="82"/>
      <c r="B29" s="44"/>
      <c r="C29" s="31"/>
      <c r="D29" s="44"/>
      <c r="E29" s="31"/>
      <c r="F29" s="44"/>
    </row>
    <row r="31" customFormat="false" ht="15" hidden="false" customHeight="true" outlineLevel="0" collapsed="false">
      <c r="A31" s="32"/>
      <c r="B31" s="57"/>
      <c r="C31" s="106"/>
      <c r="D31" s="57"/>
      <c r="E31" s="106"/>
      <c r="F31" s="57"/>
    </row>
    <row r="32" customFormat="false" ht="15" hidden="false" customHeight="true" outlineLevel="0" collapsed="false">
      <c r="A32" s="32"/>
      <c r="B32" s="57"/>
      <c r="C32" s="106"/>
      <c r="D32" s="57"/>
      <c r="E32" s="106"/>
      <c r="F32" s="57"/>
    </row>
    <row r="34" customFormat="false" ht="15" hidden="false" customHeight="true" outlineLevel="0" collapsed="false">
      <c r="A34" s="73" t="s">
        <v>251</v>
      </c>
      <c r="F34" s="107" t="n">
        <f aca="false">B20-D20</f>
        <v>70757.8</v>
      </c>
    </row>
    <row r="35" customFormat="false" ht="15" hidden="false" customHeight="true" outlineLevel="0" collapsed="false">
      <c r="A35" s="108" t="s">
        <v>252</v>
      </c>
      <c r="B35" s="108"/>
      <c r="C35" s="108"/>
      <c r="D35" s="108"/>
      <c r="E35" s="108"/>
      <c r="F35" s="108"/>
    </row>
    <row r="36" customFormat="false" ht="15" hidden="false" customHeight="true" outlineLevel="0" collapsed="false">
      <c r="A36" s="108"/>
      <c r="B36" s="108"/>
      <c r="C36" s="108"/>
      <c r="D36" s="108"/>
      <c r="E36" s="108"/>
      <c r="F36" s="108"/>
    </row>
  </sheetData>
  <mergeCells count="3">
    <mergeCell ref="A1:F1"/>
    <mergeCell ref="A2:F2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0" hidden="false" customHeight="true" outlineLevel="0" collapsed="false">
      <c r="A1" s="14" t="s">
        <v>253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5" hidden="false" customHeight="true" outlineLevel="0" collapsed="false">
      <c r="A2" s="16" t="s">
        <v>254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4" customFormat="false" ht="15" hidden="false" customHeight="true" outlineLevel="0" collapsed="false">
      <c r="A4" s="17" t="s">
        <v>137</v>
      </c>
      <c r="B4" s="18" t="s">
        <v>63</v>
      </c>
      <c r="C4" s="18"/>
      <c r="D4" s="18" t="s">
        <v>64</v>
      </c>
      <c r="E4" s="18"/>
      <c r="F4" s="18" t="s">
        <v>65</v>
      </c>
      <c r="G4" s="18"/>
      <c r="H4" s="18" t="s">
        <v>66</v>
      </c>
      <c r="I4" s="18"/>
      <c r="J4" s="18" t="s">
        <v>67</v>
      </c>
      <c r="K4" s="18"/>
      <c r="L4" s="18" t="s">
        <v>68</v>
      </c>
      <c r="M4" s="18"/>
      <c r="N4" s="18" t="s">
        <v>69</v>
      </c>
      <c r="O4" s="18"/>
      <c r="P4" s="18" t="s">
        <v>70</v>
      </c>
      <c r="Q4" s="18"/>
      <c r="R4" s="18" t="s">
        <v>71</v>
      </c>
      <c r="S4" s="18"/>
      <c r="T4" s="18" t="s">
        <v>72</v>
      </c>
      <c r="U4" s="18"/>
      <c r="V4" s="18" t="s">
        <v>73</v>
      </c>
      <c r="W4" s="18"/>
      <c r="X4" s="18" t="s">
        <v>74</v>
      </c>
      <c r="Y4" s="18"/>
      <c r="Z4" s="19" t="s">
        <v>46</v>
      </c>
      <c r="AA4" s="19"/>
    </row>
    <row r="5" customFormat="false" ht="15" hidden="false" customHeight="true" outlineLevel="0" collapsed="false">
      <c r="A5" s="73" t="s">
        <v>255</v>
      </c>
      <c r="B5" s="109" t="n">
        <v>0.7037</v>
      </c>
      <c r="D5" s="109" t="n">
        <v>0.81</v>
      </c>
      <c r="F5" s="109" t="n">
        <v>1.2058</v>
      </c>
      <c r="H5" s="109" t="n">
        <v>0.9305</v>
      </c>
      <c r="J5" s="109" t="n">
        <v>1.123</v>
      </c>
      <c r="L5" s="110" t="n">
        <v>1.227</v>
      </c>
      <c r="N5" s="110" t="n">
        <f aca="false">AVERAGE($B5,$D5,$F5,$H5,$J5,$L5)</f>
        <v>1</v>
      </c>
      <c r="P5" s="110" t="n">
        <f aca="false">AVERAGE($B5,$D5,$F5,$H5,$J5,$L5)</f>
        <v>1</v>
      </c>
      <c r="R5" s="110" t="n">
        <f aca="false">AVERAGE($B5,$D5,$F5,$H5,$J5,$L5)</f>
        <v>1</v>
      </c>
      <c r="T5" s="110" t="n">
        <f aca="false">AVERAGE($B5,$D5,$F5,$H5,$J5,$L5)</f>
        <v>1</v>
      </c>
      <c r="V5" s="110" t="n">
        <f aca="false">AVERAGE($B5,$D5,$F5,$H5,$J5,$L5)</f>
        <v>1</v>
      </c>
      <c r="X5" s="110" t="n">
        <f aca="false">AVERAGE($B5,$D5,$F5,$H5,$J5,$L5)</f>
        <v>1</v>
      </c>
      <c r="Z5" s="110" t="n">
        <f aca="false">AVERAGE(B5,D5,F5,H5,J5,L5,N5,P5,R5,T5,V5,X5)</f>
        <v>1</v>
      </c>
    </row>
    <row r="6" customFormat="false" ht="15" hidden="false" customHeight="true" outlineLevel="0" collapsed="false">
      <c r="A6" s="26" t="s">
        <v>140</v>
      </c>
      <c r="B6" s="40" t="n">
        <f aca="false">('LW Assumptions'!$C$5/12)*B5</f>
        <v>6265.17011166667</v>
      </c>
      <c r="C6" s="28" t="n">
        <f aca="false">B6/B11</f>
        <v>0.372595885159438</v>
      </c>
      <c r="D6" s="40" t="n">
        <f aca="false">('LW Assumptions'!$C$5/12)*D5</f>
        <v>7211.5785</v>
      </c>
      <c r="E6" s="28" t="n">
        <f aca="false">D6/D11</f>
        <v>0.372595885159438</v>
      </c>
      <c r="F6" s="40" t="n">
        <f aca="false">('LW Assumptions'!$C$5/12)*F5</f>
        <v>10735.4584633333</v>
      </c>
      <c r="G6" s="28" t="n">
        <f aca="false">F6/F11</f>
        <v>0.372595885159438</v>
      </c>
      <c r="H6" s="40" t="n">
        <f aca="false">('LW Assumptions'!$C$5/12)*H5</f>
        <v>8284.41209166667</v>
      </c>
      <c r="I6" s="28" t="n">
        <f aca="false">H6/H11</f>
        <v>0.372595885159438</v>
      </c>
      <c r="J6" s="40" t="n">
        <f aca="false">('LW Assumptions'!$C$5/12)*J5</f>
        <v>9998.27488333333</v>
      </c>
      <c r="K6" s="28" t="n">
        <f aca="false">J6/J11</f>
        <v>0.372595885159438</v>
      </c>
      <c r="L6" s="40" t="n">
        <f aca="false">('LW Assumptions'!$C$5/12)*L5</f>
        <v>10924.20595</v>
      </c>
      <c r="M6" s="28" t="n">
        <f aca="false">L6/L11</f>
        <v>0.372595885159438</v>
      </c>
      <c r="N6" s="40" t="n">
        <f aca="false">('LW Assumptions'!$C$5/12)*N5</f>
        <v>8903.18333333333</v>
      </c>
      <c r="O6" s="28" t="n">
        <f aca="false">N6/N11</f>
        <v>0.372595885159438</v>
      </c>
      <c r="P6" s="40" t="n">
        <f aca="false">('LW Assumptions'!$C$5/12)*P5</f>
        <v>8903.18333333333</v>
      </c>
      <c r="Q6" s="28" t="n">
        <f aca="false">P6/P11</f>
        <v>0.372595885159438</v>
      </c>
      <c r="R6" s="40" t="n">
        <f aca="false">('LW Assumptions'!$C$5/12)*R5</f>
        <v>8903.18333333333</v>
      </c>
      <c r="S6" s="28" t="n">
        <f aca="false">R6/R11</f>
        <v>0.372595885159438</v>
      </c>
      <c r="T6" s="40" t="n">
        <f aca="false">('LW Assumptions'!$C$5/12)*T5</f>
        <v>8903.18333333333</v>
      </c>
      <c r="U6" s="28" t="n">
        <f aca="false">T6/T11</f>
        <v>0.372595885159438</v>
      </c>
      <c r="V6" s="40" t="n">
        <f aca="false">('LW Assumptions'!$C$5/12)*V5</f>
        <v>8903.18333333333</v>
      </c>
      <c r="W6" s="28" t="n">
        <f aca="false">V6/V11</f>
        <v>0.372595885159438</v>
      </c>
      <c r="X6" s="40" t="n">
        <f aca="false">('LW Assumptions'!$C$5/12)*X5</f>
        <v>8903.18333333333</v>
      </c>
      <c r="Y6" s="28" t="n">
        <f aca="false">X6/X11</f>
        <v>0.372595885159438</v>
      </c>
      <c r="Z6" s="40" t="n">
        <f aca="false">B6+D6+F6+H6+J6+L6+N6+P6+R6+T6+V6+X6</f>
        <v>106838.2</v>
      </c>
      <c r="AA6" s="28" t="n">
        <f aca="false">Z6/Z11</f>
        <v>0.372595885159438</v>
      </c>
    </row>
    <row r="7" customFormat="false" ht="15" hidden="false" customHeight="true" outlineLevel="0" collapsed="false">
      <c r="A7" s="26" t="s">
        <v>239</v>
      </c>
      <c r="B7" s="40" t="n">
        <f aca="false">('LW Assumptions'!$C$6/12)*B5</f>
        <v>7724.711936</v>
      </c>
      <c r="C7" s="28" t="n">
        <f aca="false">B7/B11</f>
        <v>0.459396286149672</v>
      </c>
      <c r="D7" s="40" t="n">
        <f aca="false">('LW Assumptions'!$C$6/12)*D5</f>
        <v>8891.5968</v>
      </c>
      <c r="E7" s="28" t="n">
        <f aca="false">D7/D11</f>
        <v>0.459396286149673</v>
      </c>
      <c r="F7" s="40" t="n">
        <f aca="false">('LW Assumptions'!$C$6/12)*F5</f>
        <v>13236.404224</v>
      </c>
      <c r="G7" s="28" t="n">
        <f aca="false">F7/F11</f>
        <v>0.459396286149672</v>
      </c>
      <c r="H7" s="40" t="n">
        <f aca="false">('LW Assumptions'!$C$6/12)*H5</f>
        <v>10214.35904</v>
      </c>
      <c r="I7" s="28" t="n">
        <f aca="false">H7/H11</f>
        <v>0.459396286149673</v>
      </c>
      <c r="J7" s="40" t="n">
        <f aca="false">('LW Assumptions'!$C$6/12)*J5</f>
        <v>12327.48544</v>
      </c>
      <c r="K7" s="28" t="n">
        <f aca="false">J7/J11</f>
        <v>0.459396286149672</v>
      </c>
      <c r="L7" s="40" t="n">
        <f aca="false">('LW Assumptions'!$C$6/12)*L5</f>
        <v>13469.12256</v>
      </c>
      <c r="M7" s="28" t="n">
        <f aca="false">L7/L11</f>
        <v>0.459396286149672</v>
      </c>
      <c r="N7" s="40" t="n">
        <f aca="false">('LW Assumptions'!$C$6/12)*N5</f>
        <v>10977.28</v>
      </c>
      <c r="O7" s="28" t="n">
        <f aca="false">N7/N11</f>
        <v>0.459396286149672</v>
      </c>
      <c r="P7" s="40" t="n">
        <f aca="false">('LW Assumptions'!$C$6/12)*P5</f>
        <v>10977.28</v>
      </c>
      <c r="Q7" s="28" t="n">
        <f aca="false">P7/P11</f>
        <v>0.459396286149672</v>
      </c>
      <c r="R7" s="40" t="n">
        <f aca="false">('LW Assumptions'!$C$6/12)*R5</f>
        <v>10977.28</v>
      </c>
      <c r="S7" s="28" t="n">
        <f aca="false">R7/R11</f>
        <v>0.459396286149672</v>
      </c>
      <c r="T7" s="40" t="n">
        <f aca="false">('LW Assumptions'!$C$6/12)*T5</f>
        <v>10977.28</v>
      </c>
      <c r="U7" s="28" t="n">
        <f aca="false">T7/T11</f>
        <v>0.459396286149672</v>
      </c>
      <c r="V7" s="40" t="n">
        <f aca="false">('LW Assumptions'!$C$6/12)*V5</f>
        <v>10977.28</v>
      </c>
      <c r="W7" s="28" t="n">
        <f aca="false">V7/V11</f>
        <v>0.459396286149672</v>
      </c>
      <c r="X7" s="40" t="n">
        <f aca="false">('LW Assumptions'!$C$6/12)*X5</f>
        <v>10977.28</v>
      </c>
      <c r="Y7" s="28" t="n">
        <f aca="false">X7/X11</f>
        <v>0.459396286149672</v>
      </c>
      <c r="Z7" s="40" t="n">
        <f aca="false">B7+D7+F7+H7+J7+L7+N7+P7+R7+T7+V7+X7</f>
        <v>131727.36</v>
      </c>
      <c r="AA7" s="28" t="n">
        <f aca="false">Z7/Z11</f>
        <v>0.459396286149672</v>
      </c>
    </row>
    <row r="8" customFormat="false" ht="15" hidden="false" customHeight="true" outlineLevel="0" collapsed="false">
      <c r="A8" s="26" t="s">
        <v>240</v>
      </c>
      <c r="B8" s="40" t="n">
        <f aca="false">('LW Assumptions'!$C$7/12)*B5</f>
        <v>820.766359166667</v>
      </c>
      <c r="C8" s="28" t="n">
        <f aca="false">B8/B11</f>
        <v>0.0488117900475396</v>
      </c>
      <c r="D8" s="40" t="n">
        <f aca="false">('LW Assumptions'!$C$7/12)*D5</f>
        <v>944.75025</v>
      </c>
      <c r="E8" s="28" t="n">
        <f aca="false">D8/D11</f>
        <v>0.0488117900475396</v>
      </c>
      <c r="F8" s="40" t="n">
        <f aca="false">('LW Assumptions'!$C$7/12)*F5</f>
        <v>1406.39487833333</v>
      </c>
      <c r="G8" s="28" t="n">
        <f aca="false">F8/F11</f>
        <v>0.0488117900475396</v>
      </c>
      <c r="H8" s="40" t="n">
        <f aca="false">('LW Assumptions'!$C$7/12)*H5</f>
        <v>1085.29642916667</v>
      </c>
      <c r="I8" s="28" t="n">
        <f aca="false">H8/H11</f>
        <v>0.0488117900475396</v>
      </c>
      <c r="J8" s="40" t="n">
        <f aca="false">('LW Assumptions'!$C$7/12)*J5</f>
        <v>1309.82040833333</v>
      </c>
      <c r="K8" s="28" t="n">
        <f aca="false">J8/J11</f>
        <v>0.0488117900475396</v>
      </c>
      <c r="L8" s="40" t="n">
        <f aca="false">('LW Assumptions'!$C$7/12)*L5</f>
        <v>1431.121675</v>
      </c>
      <c r="M8" s="28" t="n">
        <f aca="false">L8/L11</f>
        <v>0.0488117900475396</v>
      </c>
      <c r="N8" s="40" t="n">
        <f aca="false">('LW Assumptions'!$C$7/12)*N5</f>
        <v>1166.35833333333</v>
      </c>
      <c r="O8" s="28" t="n">
        <f aca="false">N8/N11</f>
        <v>0.0488117900475396</v>
      </c>
      <c r="P8" s="40" t="n">
        <f aca="false">('LW Assumptions'!$C$7/12)*P5</f>
        <v>1166.35833333333</v>
      </c>
      <c r="Q8" s="28" t="n">
        <f aca="false">P8/P11</f>
        <v>0.0488117900475396</v>
      </c>
      <c r="R8" s="40" t="n">
        <f aca="false">('LW Assumptions'!$C$7/12)*R5</f>
        <v>1166.35833333333</v>
      </c>
      <c r="S8" s="28" t="n">
        <f aca="false">R8/R11</f>
        <v>0.0488117900475396</v>
      </c>
      <c r="T8" s="40" t="n">
        <f aca="false">('LW Assumptions'!$C$7/12)*T5</f>
        <v>1166.35833333333</v>
      </c>
      <c r="U8" s="28" t="n">
        <f aca="false">T8/T11</f>
        <v>0.0488117900475396</v>
      </c>
      <c r="V8" s="40" t="n">
        <f aca="false">('LW Assumptions'!$C$7/12)*V5</f>
        <v>1166.35833333333</v>
      </c>
      <c r="W8" s="28" t="n">
        <f aca="false">V8/V11</f>
        <v>0.0488117900475396</v>
      </c>
      <c r="X8" s="40" t="n">
        <f aca="false">('LW Assumptions'!$C$7/12)*X5</f>
        <v>1166.35833333333</v>
      </c>
      <c r="Y8" s="28" t="n">
        <f aca="false">X8/X11</f>
        <v>0.0488117900475396</v>
      </c>
      <c r="Z8" s="40" t="n">
        <f aca="false">B8+D8+F8+H8+J8+L8+N8+P8+R8+T8+V8+X8</f>
        <v>13996.3</v>
      </c>
      <c r="AA8" s="28" t="n">
        <f aca="false">Z8/Z11</f>
        <v>0.0488117900475396</v>
      </c>
    </row>
    <row r="9" customFormat="false" ht="15" hidden="false" customHeight="true" outlineLevel="0" collapsed="false">
      <c r="A9" s="26" t="s">
        <v>256</v>
      </c>
      <c r="B9" s="40" t="n">
        <f aca="false">('LW Assumptions'!$C$8/12)*B5*(1+'LW Assumptions'!$C$46)</f>
        <v>514.3659965</v>
      </c>
      <c r="C9" s="28" t="n">
        <f aca="false">B9/B11</f>
        <v>0.0305898563560073</v>
      </c>
      <c r="D9" s="40" t="n">
        <f aca="false">('LW Assumptions'!$C$8/12)*D5*(1+'LW Assumptions'!$C$46)</f>
        <v>592.06545</v>
      </c>
      <c r="E9" s="28" t="n">
        <f aca="false">D9/D11</f>
        <v>0.0305898563560074</v>
      </c>
      <c r="F9" s="40" t="n">
        <f aca="false">('LW Assumptions'!$C$8/12)*F5*(1+'LW Assumptions'!$C$46)</f>
        <v>881.373481</v>
      </c>
      <c r="G9" s="28" t="n">
        <f aca="false">F9/F11</f>
        <v>0.0305898563560073</v>
      </c>
      <c r="H9" s="40" t="n">
        <f aca="false">('LW Assumptions'!$C$8/12)*H5*(1+'LW Assumptions'!$C$46)</f>
        <v>680.1443225</v>
      </c>
      <c r="I9" s="28" t="n">
        <f aca="false">H9/H11</f>
        <v>0.0305898563560074</v>
      </c>
      <c r="J9" s="40" t="n">
        <f aca="false">('LW Assumptions'!$C$8/12)*J5*(1+'LW Assumptions'!$C$46)</f>
        <v>820.851235</v>
      </c>
      <c r="K9" s="28" t="n">
        <f aca="false">J9/J11</f>
        <v>0.0305898563560074</v>
      </c>
      <c r="L9" s="40" t="n">
        <f aca="false">('LW Assumptions'!$C$8/12)*L5*(1+'LW Assumptions'!$C$46)</f>
        <v>896.869515</v>
      </c>
      <c r="M9" s="28" t="n">
        <f aca="false">L9/L11</f>
        <v>0.0305898563560073</v>
      </c>
      <c r="N9" s="40" t="n">
        <f aca="false">('LW Assumptions'!$C$8/12)*N5*(1+'LW Assumptions'!$C$46)</f>
        <v>730.945</v>
      </c>
      <c r="O9" s="28" t="n">
        <f aca="false">N9/N11</f>
        <v>0.0305898563560073</v>
      </c>
      <c r="P9" s="40" t="n">
        <f aca="false">('LW Assumptions'!$C$8/12)*P5*(1+'LW Assumptions'!$C$46)</f>
        <v>730.945</v>
      </c>
      <c r="Q9" s="28" t="n">
        <f aca="false">P9/P11</f>
        <v>0.0305898563560073</v>
      </c>
      <c r="R9" s="40" t="n">
        <f aca="false">('LW Assumptions'!$C$8/12)*R5*(1+'LW Assumptions'!$C$46)</f>
        <v>730.945</v>
      </c>
      <c r="S9" s="28" t="n">
        <f aca="false">R9/R11</f>
        <v>0.0305898563560073</v>
      </c>
      <c r="T9" s="40" t="n">
        <f aca="false">('LW Assumptions'!$C$8/12)*T5*(1+'LW Assumptions'!$C$46)</f>
        <v>730.945</v>
      </c>
      <c r="U9" s="28" t="n">
        <f aca="false">T9/T11</f>
        <v>0.0305898563560073</v>
      </c>
      <c r="V9" s="40" t="n">
        <f aca="false">('LW Assumptions'!$C$8/12)*V5*(1+'LW Assumptions'!$C$46)</f>
        <v>730.945</v>
      </c>
      <c r="W9" s="28" t="n">
        <f aca="false">V9/V11</f>
        <v>0.0305898563560073</v>
      </c>
      <c r="X9" s="40" t="n">
        <f aca="false">('LW Assumptions'!$C$8/12)*X5*(1+'LW Assumptions'!$C$46)</f>
        <v>730.945</v>
      </c>
      <c r="Y9" s="28" t="n">
        <f aca="false">X9/X11</f>
        <v>0.0305898563560073</v>
      </c>
      <c r="Z9" s="40" t="n">
        <f aca="false">B9+D9+F9+H9+J9+L9+N9+P9+R9+T9+V9+X9</f>
        <v>8771.34</v>
      </c>
      <c r="AA9" s="28" t="n">
        <f aca="false">Z9/Z11</f>
        <v>0.0305898563560073</v>
      </c>
    </row>
    <row r="10" customFormat="false" ht="15" hidden="false" customHeight="true" outlineLevel="0" collapsed="false">
      <c r="A10" s="26" t="s">
        <v>242</v>
      </c>
      <c r="B10" s="40" t="n">
        <f aca="false">('LW Assumptions'!$C$9/12)*B5</f>
        <v>456.971051666667</v>
      </c>
      <c r="C10" s="28" t="n">
        <f aca="false">B10/B11</f>
        <v>0.0271765220182803</v>
      </c>
      <c r="D10" s="40" t="n">
        <f aca="false">('LW Assumptions'!$C$9/12)*D5</f>
        <v>526.0005</v>
      </c>
      <c r="E10" s="28" t="n">
        <f aca="false">D10/D11</f>
        <v>0.0271765220182803</v>
      </c>
      <c r="F10" s="40" t="n">
        <f aca="false">('LW Assumptions'!$C$9/12)*F5</f>
        <v>783.026423333333</v>
      </c>
      <c r="G10" s="28" t="n">
        <f aca="false">F10/F11</f>
        <v>0.0271765220182803</v>
      </c>
      <c r="H10" s="40" t="n">
        <f aca="false">('LW Assumptions'!$C$9/12)*H5</f>
        <v>604.251191666667</v>
      </c>
      <c r="I10" s="28" t="n">
        <f aca="false">H10/H11</f>
        <v>0.0271765220182803</v>
      </c>
      <c r="J10" s="40" t="n">
        <f aca="false">('LW Assumptions'!$C$9/12)*J5</f>
        <v>729.257483333333</v>
      </c>
      <c r="K10" s="28" t="n">
        <f aca="false">J10/J11</f>
        <v>0.0271765220182803</v>
      </c>
      <c r="L10" s="40" t="n">
        <f aca="false">('LW Assumptions'!$C$9/12)*L5</f>
        <v>796.79335</v>
      </c>
      <c r="M10" s="28" t="n">
        <f aca="false">L10/L11</f>
        <v>0.0271765220182803</v>
      </c>
      <c r="N10" s="40" t="n">
        <f aca="false">('LW Assumptions'!$C$9/12)*N5</f>
        <v>649.383333333333</v>
      </c>
      <c r="O10" s="28" t="n">
        <f aca="false">N10/N11</f>
        <v>0.0271765220182803</v>
      </c>
      <c r="P10" s="40" t="n">
        <f aca="false">('LW Assumptions'!$C$9/12)*P5</f>
        <v>649.383333333333</v>
      </c>
      <c r="Q10" s="28" t="n">
        <f aca="false">P10/P11</f>
        <v>0.0271765220182803</v>
      </c>
      <c r="R10" s="40" t="n">
        <f aca="false">('LW Assumptions'!$C$9/12)*R5</f>
        <v>649.383333333333</v>
      </c>
      <c r="S10" s="28" t="n">
        <f aca="false">R10/R11</f>
        <v>0.0271765220182803</v>
      </c>
      <c r="T10" s="40" t="n">
        <f aca="false">('LW Assumptions'!$C$9/12)*T5</f>
        <v>649.383333333333</v>
      </c>
      <c r="U10" s="28" t="n">
        <f aca="false">T10/T11</f>
        <v>0.0271765220182803</v>
      </c>
      <c r="V10" s="40" t="n">
        <f aca="false">('LW Assumptions'!$C$9/12)*V5</f>
        <v>649.383333333333</v>
      </c>
      <c r="W10" s="28" t="n">
        <f aca="false">V10/V11</f>
        <v>0.0271765220182803</v>
      </c>
      <c r="X10" s="40" t="n">
        <f aca="false">('LW Assumptions'!$C$9/12)*X5</f>
        <v>649.383333333333</v>
      </c>
      <c r="Y10" s="28" t="n">
        <f aca="false">X10/X11</f>
        <v>0.0271765220182803</v>
      </c>
      <c r="Z10" s="40" t="n">
        <f aca="false">B10+D10+F10+H10+J10+L10+N10+P10+R10+T10+V10+X10</f>
        <v>7792.6</v>
      </c>
      <c r="AA10" s="28" t="n">
        <f aca="false">Z10/Z11</f>
        <v>0.0271765220182803</v>
      </c>
    </row>
    <row r="11" customFormat="false" ht="15" hidden="false" customHeight="true" outlineLevel="0" collapsed="false">
      <c r="A11" s="23" t="s">
        <v>257</v>
      </c>
      <c r="B11" s="43" t="n">
        <f aca="false">SUM(B6:B10)+('LW Assumptions'!$C$43*'LW Assumptions'!$C$44/12)*B5</f>
        <v>16814.92029625</v>
      </c>
      <c r="C11" s="25" t="n">
        <f aca="false">B11/B11</f>
        <v>1</v>
      </c>
      <c r="D11" s="43" t="n">
        <f aca="false">SUM(D6:D10)+('LW Assumptions'!$C$43*'LW Assumptions'!$C$44/12)*D5</f>
        <v>19354.960125</v>
      </c>
      <c r="E11" s="25" t="n">
        <f aca="false">D11/D11</f>
        <v>1</v>
      </c>
      <c r="F11" s="43" t="n">
        <f aca="false">SUM(F6:F10)+('LW Assumptions'!$C$43*'LW Assumptions'!$C$44/12)*F5</f>
        <v>28812.6060725</v>
      </c>
      <c r="G11" s="25" t="n">
        <f aca="false">F11/F11</f>
        <v>1</v>
      </c>
      <c r="H11" s="43" t="n">
        <f aca="false">SUM(H6:H10)+('LW Assumptions'!$C$43*'LW Assumptions'!$C$44/12)*H5</f>
        <v>22234.30913125</v>
      </c>
      <c r="I11" s="25" t="n">
        <f aca="false">H11/H11</f>
        <v>1</v>
      </c>
      <c r="J11" s="43" t="n">
        <f aca="false">SUM(J6:J10)+('LW Assumptions'!$C$43*'LW Assumptions'!$C$44/12)*J5</f>
        <v>26834.0990375</v>
      </c>
      <c r="K11" s="25" t="n">
        <f aca="false">J11/J11</f>
        <v>1</v>
      </c>
      <c r="L11" s="43" t="n">
        <f aca="false">SUM(L6:L10)+('LW Assumptions'!$C$43*'LW Assumptions'!$C$44/12)*L5</f>
        <v>29319.1803375</v>
      </c>
      <c r="M11" s="25" t="n">
        <f aca="false">L11/L11</f>
        <v>1</v>
      </c>
      <c r="N11" s="43" t="n">
        <f aca="false">SUM(N6:N10)+('LW Assumptions'!$C$43*'LW Assumptions'!$C$44/12)*N5</f>
        <v>23895.0125</v>
      </c>
      <c r="O11" s="25" t="n">
        <f aca="false">N11/N11</f>
        <v>1</v>
      </c>
      <c r="P11" s="43" t="n">
        <f aca="false">SUM(P6:P10)+('LW Assumptions'!$C$43*'LW Assumptions'!$C$44/12)*P5</f>
        <v>23895.0125</v>
      </c>
      <c r="Q11" s="25" t="n">
        <f aca="false">P11/P11</f>
        <v>1</v>
      </c>
      <c r="R11" s="43" t="n">
        <f aca="false">SUM(R6:R10)+('LW Assumptions'!$C$43*'LW Assumptions'!$C$44/12)*R5</f>
        <v>23895.0125</v>
      </c>
      <c r="S11" s="25" t="n">
        <f aca="false">R11/R11</f>
        <v>1</v>
      </c>
      <c r="T11" s="43" t="n">
        <f aca="false">SUM(T6:T10)+('LW Assumptions'!$C$43*'LW Assumptions'!$C$44/12)*T5</f>
        <v>23895.0125</v>
      </c>
      <c r="U11" s="25" t="n">
        <f aca="false">T11/T11</f>
        <v>1</v>
      </c>
      <c r="V11" s="43" t="n">
        <f aca="false">SUM(V6:V10)+('LW Assumptions'!$C$43*'LW Assumptions'!$C$44/12)*V5</f>
        <v>23895.0125</v>
      </c>
      <c r="W11" s="25" t="n">
        <f aca="false">V11/V11</f>
        <v>1</v>
      </c>
      <c r="X11" s="43" t="n">
        <f aca="false">SUM(X6:X10)+('LW Assumptions'!$C$43*'LW Assumptions'!$C$44/12)*X5</f>
        <v>23895.0125</v>
      </c>
      <c r="Y11" s="25" t="n">
        <f aca="false">X11/X11</f>
        <v>1</v>
      </c>
      <c r="Z11" s="43" t="n">
        <f aca="false">B11+D11+F11+H11+J11+L11+N11+P11+R11+T11+V11+X11</f>
        <v>286740.15</v>
      </c>
      <c r="AA11" s="25" t="n">
        <f aca="false">Z11/Z11</f>
        <v>1</v>
      </c>
    </row>
    <row r="13" customFormat="false" ht="15" hidden="false" customHeight="true" outlineLevel="0" collapsed="false">
      <c r="A13" s="26" t="s">
        <v>144</v>
      </c>
      <c r="B13" s="40" t="n">
        <f aca="false">B6*'LW Assumptions'!$C$13</f>
        <v>2761.0604682115</v>
      </c>
      <c r="C13" s="28" t="n">
        <f aca="false">B13/B6</f>
        <v>0.4407</v>
      </c>
      <c r="D13" s="40" t="n">
        <f aca="false">D6*'LW Assumptions'!$C$13</f>
        <v>3178.14264495</v>
      </c>
      <c r="E13" s="28" t="n">
        <f aca="false">D13/D6</f>
        <v>0.4407</v>
      </c>
      <c r="F13" s="40" t="n">
        <f aca="false">F6*'LW Assumptions'!$C$13</f>
        <v>4731.116544791</v>
      </c>
      <c r="G13" s="28" t="n">
        <f aca="false">F13/F6</f>
        <v>0.4407</v>
      </c>
      <c r="H13" s="40" t="n">
        <f aca="false">H6*'LW Assumptions'!$C$13</f>
        <v>3650.9404087975</v>
      </c>
      <c r="I13" s="28" t="n">
        <f aca="false">H13/H6</f>
        <v>0.4407</v>
      </c>
      <c r="J13" s="40" t="n">
        <f aca="false">J6*'LW Assumptions'!$C$13</f>
        <v>4406.239741085</v>
      </c>
      <c r="K13" s="28" t="n">
        <f aca="false">J13/J6</f>
        <v>0.4407</v>
      </c>
      <c r="L13" s="40" t="n">
        <f aca="false">L6*'LW Assumptions'!$C$13</f>
        <v>4814.297562165</v>
      </c>
      <c r="M13" s="28" t="n">
        <f aca="false">L13/L6</f>
        <v>0.4407</v>
      </c>
      <c r="N13" s="40" t="n">
        <f aca="false">N6*'LW Assumptions'!$C$13</f>
        <v>3923.632895</v>
      </c>
      <c r="O13" s="28" t="n">
        <f aca="false">N13/N6</f>
        <v>0.4407</v>
      </c>
      <c r="P13" s="40" t="n">
        <f aca="false">P6*'LW Assumptions'!$C$13</f>
        <v>3923.632895</v>
      </c>
      <c r="Q13" s="28" t="n">
        <f aca="false">P13/P6</f>
        <v>0.4407</v>
      </c>
      <c r="R13" s="40" t="n">
        <f aca="false">R6*'LW Assumptions'!$C$13</f>
        <v>3923.632895</v>
      </c>
      <c r="S13" s="28" t="n">
        <f aca="false">R13/R6</f>
        <v>0.4407</v>
      </c>
      <c r="T13" s="40" t="n">
        <f aca="false">T6*'LW Assumptions'!$C$13</f>
        <v>3923.632895</v>
      </c>
      <c r="U13" s="28" t="n">
        <f aca="false">T13/T6</f>
        <v>0.4407</v>
      </c>
      <c r="V13" s="40" t="n">
        <f aca="false">V6*'LW Assumptions'!$C$13</f>
        <v>3923.632895</v>
      </c>
      <c r="W13" s="28" t="n">
        <f aca="false">V13/V6</f>
        <v>0.4407</v>
      </c>
      <c r="X13" s="40" t="n">
        <f aca="false">X6*'LW Assumptions'!$C$13</f>
        <v>3923.632895</v>
      </c>
      <c r="Y13" s="28" t="n">
        <f aca="false">X13/X6</f>
        <v>0.4407</v>
      </c>
      <c r="Z13" s="40" t="n">
        <f aca="false">B13+D13+F13+H13+J13+L13+N13+P13+R13+T13+V13+X13</f>
        <v>47083.59474</v>
      </c>
      <c r="AA13" s="28" t="n">
        <f aca="false">Z13/Z6</f>
        <v>0.4407</v>
      </c>
    </row>
    <row r="14" customFormat="false" ht="15" hidden="false" customHeight="true" outlineLevel="0" collapsed="false">
      <c r="A14" s="26" t="s">
        <v>258</v>
      </c>
      <c r="B14" s="40" t="n">
        <f aca="false">B7*'LW Assumptions'!$C$14</f>
        <v>1711.7961650176</v>
      </c>
      <c r="C14" s="28" t="n">
        <f aca="false">B14/B7</f>
        <v>0.2216</v>
      </c>
      <c r="D14" s="40" t="n">
        <f aca="false">D7*'LW Assumptions'!$C$14</f>
        <v>1970.37785088</v>
      </c>
      <c r="E14" s="28" t="n">
        <f aca="false">D14/D7</f>
        <v>0.2216</v>
      </c>
      <c r="F14" s="40" t="n">
        <f aca="false">F7*'LW Assumptions'!$C$14</f>
        <v>2933.1871760384</v>
      </c>
      <c r="G14" s="28" t="n">
        <f aca="false">F14/F7</f>
        <v>0.2216</v>
      </c>
      <c r="H14" s="40" t="n">
        <f aca="false">H7*'LW Assumptions'!$C$14</f>
        <v>2263.501963264</v>
      </c>
      <c r="I14" s="28" t="n">
        <f aca="false">H14/H7</f>
        <v>0.2216</v>
      </c>
      <c r="J14" s="40" t="n">
        <f aca="false">J7*'LW Assumptions'!$C$14</f>
        <v>2731.770773504</v>
      </c>
      <c r="K14" s="28" t="n">
        <f aca="false">J14/J7</f>
        <v>0.2216</v>
      </c>
      <c r="L14" s="40" t="n">
        <f aca="false">L7*'LW Assumptions'!$C$14</f>
        <v>2984.757559296</v>
      </c>
      <c r="M14" s="28" t="n">
        <f aca="false">L14/L7</f>
        <v>0.2216</v>
      </c>
      <c r="N14" s="40" t="n">
        <f aca="false">N7*'LW Assumptions'!$C$14</f>
        <v>2432.565248</v>
      </c>
      <c r="O14" s="28" t="n">
        <f aca="false">N14/N7</f>
        <v>0.2216</v>
      </c>
      <c r="P14" s="40" t="n">
        <f aca="false">P7*'LW Assumptions'!$C$14</f>
        <v>2432.565248</v>
      </c>
      <c r="Q14" s="28" t="n">
        <f aca="false">P14/P7</f>
        <v>0.2216</v>
      </c>
      <c r="R14" s="40" t="n">
        <f aca="false">R7*'LW Assumptions'!$C$14</f>
        <v>2432.565248</v>
      </c>
      <c r="S14" s="28" t="n">
        <f aca="false">R14/R7</f>
        <v>0.2216</v>
      </c>
      <c r="T14" s="40" t="n">
        <f aca="false">T7*'LW Assumptions'!$C$14</f>
        <v>2432.565248</v>
      </c>
      <c r="U14" s="28" t="n">
        <f aca="false">T14/T7</f>
        <v>0.2216</v>
      </c>
      <c r="V14" s="40" t="n">
        <f aca="false">V7*'LW Assumptions'!$C$14</f>
        <v>2432.565248</v>
      </c>
      <c r="W14" s="28" t="n">
        <f aca="false">V14/V7</f>
        <v>0.2216</v>
      </c>
      <c r="X14" s="40" t="n">
        <f aca="false">X7*'LW Assumptions'!$C$14</f>
        <v>2432.565248</v>
      </c>
      <c r="Y14" s="28" t="n">
        <f aca="false">X14/X7</f>
        <v>0.2216</v>
      </c>
      <c r="Z14" s="40" t="n">
        <f aca="false">B14+D14+F14+H14+J14+L14+N14+P14+R14+T14+V14+X14</f>
        <v>29190.782976</v>
      </c>
      <c r="AA14" s="28" t="n">
        <f aca="false">Z14/Z7</f>
        <v>0.2216</v>
      </c>
    </row>
    <row r="15" customFormat="false" ht="15" hidden="false" customHeight="true" outlineLevel="0" collapsed="false">
      <c r="A15" s="26" t="s">
        <v>259</v>
      </c>
      <c r="B15" s="40" t="n">
        <f aca="false">B8*'LW Assumptions'!$C$15</f>
        <v>273.151044330667</v>
      </c>
      <c r="C15" s="28" t="n">
        <f aca="false">B15/B8</f>
        <v>0.3328</v>
      </c>
      <c r="D15" s="40" t="n">
        <f aca="false">D8*'LW Assumptions'!$C$15</f>
        <v>314.4128832</v>
      </c>
      <c r="E15" s="28" t="n">
        <f aca="false">D15/D8</f>
        <v>0.3328</v>
      </c>
      <c r="F15" s="40" t="n">
        <f aca="false">F8*'LW Assumptions'!$C$15</f>
        <v>468.048215509333</v>
      </c>
      <c r="G15" s="28" t="n">
        <f aca="false">F15/F8</f>
        <v>0.3328</v>
      </c>
      <c r="H15" s="40" t="n">
        <f aca="false">H8*'LW Assumptions'!$C$15</f>
        <v>361.186651626667</v>
      </c>
      <c r="I15" s="28" t="n">
        <f aca="false">H15/H8</f>
        <v>0.3328</v>
      </c>
      <c r="J15" s="40" t="n">
        <f aca="false">J8*'LW Assumptions'!$C$15</f>
        <v>435.908231893333</v>
      </c>
      <c r="K15" s="28" t="n">
        <f aca="false">J15/J8</f>
        <v>0.3328</v>
      </c>
      <c r="L15" s="40" t="n">
        <f aca="false">L8*'LW Assumptions'!$C$15</f>
        <v>476.27729344</v>
      </c>
      <c r="M15" s="28" t="n">
        <f aca="false">L15/L8</f>
        <v>0.3328</v>
      </c>
      <c r="N15" s="40" t="n">
        <f aca="false">N8*'LW Assumptions'!$C$15</f>
        <v>388.164053333333</v>
      </c>
      <c r="O15" s="28" t="n">
        <f aca="false">N15/N8</f>
        <v>0.3328</v>
      </c>
      <c r="P15" s="40" t="n">
        <f aca="false">P8*'LW Assumptions'!$C$15</f>
        <v>388.164053333333</v>
      </c>
      <c r="Q15" s="28" t="n">
        <f aca="false">P15/P8</f>
        <v>0.3328</v>
      </c>
      <c r="R15" s="40" t="n">
        <f aca="false">R8*'LW Assumptions'!$C$15</f>
        <v>388.164053333333</v>
      </c>
      <c r="S15" s="28" t="n">
        <f aca="false">R15/R8</f>
        <v>0.3328</v>
      </c>
      <c r="T15" s="40" t="n">
        <f aca="false">T8*'LW Assumptions'!$C$15</f>
        <v>388.164053333333</v>
      </c>
      <c r="U15" s="28" t="n">
        <f aca="false">T15/T8</f>
        <v>0.3328</v>
      </c>
      <c r="V15" s="40" t="n">
        <f aca="false">V8*'LW Assumptions'!$C$15</f>
        <v>388.164053333333</v>
      </c>
      <c r="W15" s="28" t="n">
        <f aca="false">V15/V8</f>
        <v>0.3328</v>
      </c>
      <c r="X15" s="40" t="n">
        <f aca="false">X8*'LW Assumptions'!$C$15</f>
        <v>388.164053333333</v>
      </c>
      <c r="Y15" s="28" t="n">
        <f aca="false">X15/X8</f>
        <v>0.3328</v>
      </c>
      <c r="Z15" s="40" t="n">
        <f aca="false">B15+D15+F15+H15+J15+L15+N15+P15+R15+T15+V15+X15</f>
        <v>4657.96864</v>
      </c>
      <c r="AA15" s="28" t="n">
        <f aca="false">Z15/Z8</f>
        <v>0.3328</v>
      </c>
    </row>
    <row r="16" customFormat="false" ht="15" hidden="false" customHeight="true" outlineLevel="0" collapsed="false">
      <c r="A16" s="26" t="s">
        <v>260</v>
      </c>
      <c r="B16" s="40" t="n">
        <f aca="false">B9*'LW Assumptions'!$C$16</f>
        <v>0</v>
      </c>
      <c r="C16" s="28" t="n">
        <f aca="false">B16/B9</f>
        <v>0</v>
      </c>
      <c r="D16" s="40" t="n">
        <f aca="false">D9*'LW Assumptions'!$C$16</f>
        <v>0</v>
      </c>
      <c r="E16" s="28" t="n">
        <f aca="false">D16/D9</f>
        <v>0</v>
      </c>
      <c r="F16" s="40" t="n">
        <f aca="false">F9*'LW Assumptions'!$C$16</f>
        <v>0</v>
      </c>
      <c r="G16" s="28" t="n">
        <f aca="false">F16/F9</f>
        <v>0</v>
      </c>
      <c r="H16" s="40" t="n">
        <f aca="false">H9*'LW Assumptions'!$C$16</f>
        <v>0</v>
      </c>
      <c r="I16" s="28" t="n">
        <f aca="false">H16/H9</f>
        <v>0</v>
      </c>
      <c r="J16" s="40" t="n">
        <f aca="false">J9*'LW Assumptions'!$C$16</f>
        <v>0</v>
      </c>
      <c r="K16" s="28" t="n">
        <f aca="false">J16/J9</f>
        <v>0</v>
      </c>
      <c r="L16" s="40" t="n">
        <f aca="false">L9*'LW Assumptions'!$C$16</f>
        <v>0</v>
      </c>
      <c r="M16" s="28" t="n">
        <f aca="false">L16/L9</f>
        <v>0</v>
      </c>
      <c r="N16" s="40" t="n">
        <f aca="false">N9*'LW Assumptions'!$C$16</f>
        <v>0</v>
      </c>
      <c r="O16" s="28" t="n">
        <f aca="false">N16/N9</f>
        <v>0</v>
      </c>
      <c r="P16" s="40" t="n">
        <f aca="false">P9*'LW Assumptions'!$C$16</f>
        <v>0</v>
      </c>
      <c r="Q16" s="28" t="n">
        <f aca="false">P16/P9</f>
        <v>0</v>
      </c>
      <c r="R16" s="40" t="n">
        <f aca="false">R9*'LW Assumptions'!$C$16</f>
        <v>0</v>
      </c>
      <c r="S16" s="28" t="n">
        <f aca="false">R16/R9</f>
        <v>0</v>
      </c>
      <c r="T16" s="40" t="n">
        <f aca="false">T9*'LW Assumptions'!$C$16</f>
        <v>0</v>
      </c>
      <c r="U16" s="28" t="n">
        <f aca="false">T16/T9</f>
        <v>0</v>
      </c>
      <c r="V16" s="40" t="n">
        <f aca="false">V9*'LW Assumptions'!$C$16</f>
        <v>0</v>
      </c>
      <c r="W16" s="28" t="n">
        <f aca="false">V16/V9</f>
        <v>0</v>
      </c>
      <c r="X16" s="40" t="n">
        <f aca="false">X9*'LW Assumptions'!$C$16</f>
        <v>0</v>
      </c>
      <c r="Y16" s="28" t="n">
        <f aca="false">X16/X9</f>
        <v>0</v>
      </c>
      <c r="Z16" s="40" t="n">
        <f aca="false">B16+D16+F16+H16+J16+L16+N16+P16+R16+T16+V16+X16</f>
        <v>0</v>
      </c>
      <c r="AA16" s="28" t="n">
        <f aca="false">Z16/Z9</f>
        <v>0</v>
      </c>
    </row>
    <row r="17" customFormat="false" ht="15" hidden="false" customHeight="true" outlineLevel="0" collapsed="false">
      <c r="A17" s="26" t="s">
        <v>261</v>
      </c>
      <c r="B17" s="40" t="n">
        <f aca="false">B10*'LW Assumptions'!$C$17</f>
        <v>0</v>
      </c>
      <c r="C17" s="28" t="n">
        <f aca="false">B17/B10</f>
        <v>0</v>
      </c>
      <c r="D17" s="40" t="n">
        <f aca="false">D10*'LW Assumptions'!$C$17</f>
        <v>0</v>
      </c>
      <c r="E17" s="28" t="n">
        <f aca="false">D17/D10</f>
        <v>0</v>
      </c>
      <c r="F17" s="40" t="n">
        <f aca="false">F10*'LW Assumptions'!$C$17</f>
        <v>0</v>
      </c>
      <c r="G17" s="28" t="n">
        <f aca="false">F17/F10</f>
        <v>0</v>
      </c>
      <c r="H17" s="40" t="n">
        <f aca="false">H10*'LW Assumptions'!$C$17</f>
        <v>0</v>
      </c>
      <c r="I17" s="28" t="n">
        <f aca="false">H17/H10</f>
        <v>0</v>
      </c>
      <c r="J17" s="40" t="n">
        <f aca="false">J10*'LW Assumptions'!$C$17</f>
        <v>0</v>
      </c>
      <c r="K17" s="28" t="n">
        <f aca="false">J17/J10</f>
        <v>0</v>
      </c>
      <c r="L17" s="40" t="n">
        <f aca="false">L10*'LW Assumptions'!$C$17</f>
        <v>0</v>
      </c>
      <c r="M17" s="28" t="n">
        <f aca="false">L17/L10</f>
        <v>0</v>
      </c>
      <c r="N17" s="40" t="n">
        <f aca="false">N10*'LW Assumptions'!$C$17</f>
        <v>0</v>
      </c>
      <c r="O17" s="28" t="n">
        <f aca="false">N17/N10</f>
        <v>0</v>
      </c>
      <c r="P17" s="40" t="n">
        <f aca="false">P10*'LW Assumptions'!$C$17</f>
        <v>0</v>
      </c>
      <c r="Q17" s="28" t="n">
        <f aca="false">P17/P10</f>
        <v>0</v>
      </c>
      <c r="R17" s="40" t="n">
        <f aca="false">R10*'LW Assumptions'!$C$17</f>
        <v>0</v>
      </c>
      <c r="S17" s="28" t="n">
        <f aca="false">R17/R10</f>
        <v>0</v>
      </c>
      <c r="T17" s="40" t="n">
        <f aca="false">T10*'LW Assumptions'!$C$17</f>
        <v>0</v>
      </c>
      <c r="U17" s="28" t="n">
        <f aca="false">T17/T10</f>
        <v>0</v>
      </c>
      <c r="V17" s="40" t="n">
        <f aca="false">V10*'LW Assumptions'!$C$17</f>
        <v>0</v>
      </c>
      <c r="W17" s="28" t="n">
        <f aca="false">V17/V10</f>
        <v>0</v>
      </c>
      <c r="X17" s="40" t="n">
        <f aca="false">X10*'LW Assumptions'!$C$17</f>
        <v>0</v>
      </c>
      <c r="Y17" s="28" t="n">
        <f aca="false">X17/X10</f>
        <v>0</v>
      </c>
      <c r="Z17" s="40" t="n">
        <f aca="false">B17+D17+F17+H17+J17+L17+N17+P17+R17+T17+V17+X17</f>
        <v>0</v>
      </c>
      <c r="AA17" s="28" t="n">
        <f aca="false">Z17/Z10</f>
        <v>0</v>
      </c>
    </row>
    <row r="18" customFormat="false" ht="15" hidden="false" customHeight="true" outlineLevel="0" collapsed="false">
      <c r="A18" s="23" t="s">
        <v>146</v>
      </c>
      <c r="B18" s="43" t="n">
        <f aca="false">SUM(B13:B17)</f>
        <v>4746.00767755977</v>
      </c>
      <c r="C18" s="25" t="n">
        <f aca="false">B18/B11</f>
        <v>0.282249787328353</v>
      </c>
      <c r="D18" s="43" t="n">
        <f aca="false">SUM(D13:D17)</f>
        <v>5462.93337903</v>
      </c>
      <c r="E18" s="25" t="n">
        <f aca="false">D18/D11</f>
        <v>0.282249787328353</v>
      </c>
      <c r="F18" s="43" t="n">
        <f aca="false">SUM(F13:F17)</f>
        <v>8132.35193633873</v>
      </c>
      <c r="G18" s="25" t="n">
        <f aca="false">F18/F11</f>
        <v>0.282249787328353</v>
      </c>
      <c r="H18" s="43" t="n">
        <f aca="false">SUM(H13:H17)</f>
        <v>6275.62902368817</v>
      </c>
      <c r="I18" s="25" t="n">
        <f aca="false">H18/H11</f>
        <v>0.282249787328353</v>
      </c>
      <c r="J18" s="43" t="n">
        <f aca="false">SUM(J13:J17)</f>
        <v>7573.91874648233</v>
      </c>
      <c r="K18" s="25" t="n">
        <f aca="false">J18/J11</f>
        <v>0.282249787328353</v>
      </c>
      <c r="L18" s="43" t="n">
        <f aca="false">SUM(L13:L17)</f>
        <v>8275.332414901</v>
      </c>
      <c r="M18" s="25" t="n">
        <f aca="false">L18/L11</f>
        <v>0.282249787328353</v>
      </c>
      <c r="N18" s="43" t="n">
        <f aca="false">SUM(N13:N17)</f>
        <v>6744.36219633333</v>
      </c>
      <c r="O18" s="25" t="n">
        <f aca="false">N18/N11</f>
        <v>0.282249787328353</v>
      </c>
      <c r="P18" s="43" t="n">
        <f aca="false">SUM(P13:P17)</f>
        <v>6744.36219633333</v>
      </c>
      <c r="Q18" s="25" t="n">
        <f aca="false">P18/P11</f>
        <v>0.282249787328353</v>
      </c>
      <c r="R18" s="43" t="n">
        <f aca="false">SUM(R13:R17)</f>
        <v>6744.36219633333</v>
      </c>
      <c r="S18" s="25" t="n">
        <f aca="false">R18/R11</f>
        <v>0.282249787328353</v>
      </c>
      <c r="T18" s="43" t="n">
        <f aca="false">SUM(T13:T17)</f>
        <v>6744.36219633333</v>
      </c>
      <c r="U18" s="25" t="n">
        <f aca="false">T18/T11</f>
        <v>0.282249787328353</v>
      </c>
      <c r="V18" s="43" t="n">
        <f aca="false">SUM(V13:V17)</f>
        <v>6744.36219633333</v>
      </c>
      <c r="W18" s="25" t="n">
        <f aca="false">V18/V11</f>
        <v>0.282249787328353</v>
      </c>
      <c r="X18" s="43" t="n">
        <f aca="false">SUM(X13:X17)</f>
        <v>6744.36219633333</v>
      </c>
      <c r="Y18" s="25" t="n">
        <f aca="false">X18/X11</f>
        <v>0.282249787328353</v>
      </c>
      <c r="Z18" s="43" t="n">
        <f aca="false">B18+D18+F18+H18+J18+L18+N18+P18+R18+T18+V18+X18</f>
        <v>80932.346356</v>
      </c>
      <c r="AA18" s="25" t="n">
        <f aca="false">Z18/Z11</f>
        <v>0.282249787328353</v>
      </c>
    </row>
    <row r="19" customFormat="false" ht="15" hidden="false" customHeight="true" outlineLevel="0" collapsed="false">
      <c r="A19" s="23" t="s">
        <v>9</v>
      </c>
      <c r="B19" s="43" t="n">
        <f aca="false">B11-B18</f>
        <v>12068.9126186902</v>
      </c>
      <c r="C19" s="25" t="n">
        <f aca="false">B19/B11</f>
        <v>0.717750212671647</v>
      </c>
      <c r="D19" s="43" t="n">
        <f aca="false">D11-D18</f>
        <v>13892.02674597</v>
      </c>
      <c r="E19" s="25" t="n">
        <f aca="false">D19/D11</f>
        <v>0.717750212671647</v>
      </c>
      <c r="F19" s="43" t="n">
        <f aca="false">F11-F18</f>
        <v>20680.2541361613</v>
      </c>
      <c r="G19" s="25" t="n">
        <f aca="false">F19/F11</f>
        <v>0.717750212671647</v>
      </c>
      <c r="H19" s="43" t="n">
        <f aca="false">H11-H18</f>
        <v>15958.6801075618</v>
      </c>
      <c r="I19" s="25" t="n">
        <f aca="false">H19/H11</f>
        <v>0.717750212671647</v>
      </c>
      <c r="J19" s="43" t="n">
        <f aca="false">J11-J18</f>
        <v>19260.1802910177</v>
      </c>
      <c r="K19" s="25" t="n">
        <f aca="false">J19/J11</f>
        <v>0.717750212671647</v>
      </c>
      <c r="L19" s="43" t="n">
        <f aca="false">L11-L18</f>
        <v>21043.847922599</v>
      </c>
      <c r="M19" s="25" t="n">
        <f aca="false">L19/L11</f>
        <v>0.717750212671647</v>
      </c>
      <c r="N19" s="43" t="n">
        <f aca="false">N11-N18</f>
        <v>17150.6503036667</v>
      </c>
      <c r="O19" s="25" t="n">
        <f aca="false">N19/N11</f>
        <v>0.717750212671647</v>
      </c>
      <c r="P19" s="43" t="n">
        <f aca="false">P11-P18</f>
        <v>17150.6503036667</v>
      </c>
      <c r="Q19" s="25" t="n">
        <f aca="false">P19/P11</f>
        <v>0.717750212671647</v>
      </c>
      <c r="R19" s="43" t="n">
        <f aca="false">R11-R18</f>
        <v>17150.6503036667</v>
      </c>
      <c r="S19" s="25" t="n">
        <f aca="false">R19/R11</f>
        <v>0.717750212671647</v>
      </c>
      <c r="T19" s="43" t="n">
        <f aca="false">T11-T18</f>
        <v>17150.6503036667</v>
      </c>
      <c r="U19" s="25" t="n">
        <f aca="false">T19/T11</f>
        <v>0.717750212671647</v>
      </c>
      <c r="V19" s="43" t="n">
        <f aca="false">V11-V18</f>
        <v>17150.6503036667</v>
      </c>
      <c r="W19" s="25" t="n">
        <f aca="false">V19/V11</f>
        <v>0.717750212671647</v>
      </c>
      <c r="X19" s="43" t="n">
        <f aca="false">X11-X18</f>
        <v>17150.6503036667</v>
      </c>
      <c r="Y19" s="25" t="n">
        <f aca="false">X19/X11</f>
        <v>0.717750212671647</v>
      </c>
      <c r="Z19" s="43" t="n">
        <f aca="false">Z11-Z18</f>
        <v>205807.803644</v>
      </c>
      <c r="AA19" s="25" t="n">
        <f aca="false">Z19/Z11</f>
        <v>0.717750212671647</v>
      </c>
    </row>
    <row r="21" customFormat="false" ht="15" hidden="false" customHeight="true" outlineLevel="0" collapsed="false">
      <c r="A21" s="26" t="s">
        <v>262</v>
      </c>
      <c r="B21" s="40" t="n">
        <f aca="false">'LW Assumptions'!$C$25/12</f>
        <v>7841.6</v>
      </c>
      <c r="C21" s="28" t="n">
        <f aca="false">B21/B11</f>
        <v>0.466347735335314</v>
      </c>
      <c r="D21" s="40" t="n">
        <f aca="false">'LW Assumptions'!$C$25/12</f>
        <v>7841.6</v>
      </c>
      <c r="E21" s="28" t="n">
        <f aca="false">D21/D11</f>
        <v>0.405146791796865</v>
      </c>
      <c r="F21" s="40" t="n">
        <f aca="false">'LW Assumptions'!$C$25/12</f>
        <v>7841.6</v>
      </c>
      <c r="G21" s="28" t="n">
        <f aca="false">F21/F11</f>
        <v>0.272158650983132</v>
      </c>
      <c r="H21" s="40" t="n">
        <f aca="false">'LW Assumptions'!$C$25/12</f>
        <v>7841.6</v>
      </c>
      <c r="I21" s="28" t="n">
        <f aca="false">H21/H11</f>
        <v>0.352680173407266</v>
      </c>
      <c r="J21" s="40" t="n">
        <f aca="false">'LW Assumptions'!$C$25/12</f>
        <v>7841.6</v>
      </c>
      <c r="K21" s="28" t="n">
        <f aca="false">J21/J11</f>
        <v>0.292225201563189</v>
      </c>
      <c r="L21" s="40" t="n">
        <f aca="false">'LW Assumptions'!$C$25/12</f>
        <v>7841.6</v>
      </c>
      <c r="M21" s="28" t="n">
        <f aca="false">L21/L11</f>
        <v>0.267456317323114</v>
      </c>
      <c r="N21" s="40" t="n">
        <f aca="false">'LW Assumptions'!$C$25/12</f>
        <v>7841.6</v>
      </c>
      <c r="O21" s="28" t="n">
        <f aca="false">N21/N11</f>
        <v>0.328168901355461</v>
      </c>
      <c r="P21" s="40" t="n">
        <f aca="false">'LW Assumptions'!$C$25/12</f>
        <v>7841.6</v>
      </c>
      <c r="Q21" s="28" t="n">
        <f aca="false">P21/P11</f>
        <v>0.328168901355461</v>
      </c>
      <c r="R21" s="40" t="n">
        <f aca="false">'LW Assumptions'!$C$25/12</f>
        <v>7841.6</v>
      </c>
      <c r="S21" s="28" t="n">
        <f aca="false">R21/R11</f>
        <v>0.328168901355461</v>
      </c>
      <c r="T21" s="40" t="n">
        <f aca="false">'LW Assumptions'!$C$25/12</f>
        <v>7841.6</v>
      </c>
      <c r="U21" s="28" t="n">
        <f aca="false">T21/T11</f>
        <v>0.328168901355461</v>
      </c>
      <c r="V21" s="40" t="n">
        <f aca="false">'LW Assumptions'!$C$25/12</f>
        <v>7841.6</v>
      </c>
      <c r="W21" s="28" t="n">
        <f aca="false">V21/V11</f>
        <v>0.328168901355461</v>
      </c>
      <c r="X21" s="40" t="n">
        <f aca="false">'LW Assumptions'!$C$25/12</f>
        <v>7841.6</v>
      </c>
      <c r="Y21" s="28" t="n">
        <f aca="false">X21/X11</f>
        <v>0.328168901355461</v>
      </c>
      <c r="Z21" s="40" t="n">
        <f aca="false">B21+D21+F21+H21+J21+L21+N21+P21+R21+T21+V21+X21</f>
        <v>94099.2</v>
      </c>
      <c r="AA21" s="28" t="n">
        <f aca="false">Z21/Z11</f>
        <v>0.328168901355461</v>
      </c>
    </row>
    <row r="22" customFormat="false" ht="15" hidden="false" customHeight="true" outlineLevel="0" collapsed="false">
      <c r="A22" s="26" t="s">
        <v>152</v>
      </c>
      <c r="B22" s="40" t="n">
        <f aca="false">B11*'LW Assumptions'!$C$31</f>
        <v>420.37300740625</v>
      </c>
      <c r="C22" s="28" t="n">
        <f aca="false">B22/B11</f>
        <v>0.025</v>
      </c>
      <c r="D22" s="40" t="n">
        <f aca="false">D11*'LW Assumptions'!$C$31</f>
        <v>483.874003125</v>
      </c>
      <c r="E22" s="28" t="n">
        <f aca="false">D22/D11</f>
        <v>0.025</v>
      </c>
      <c r="F22" s="40" t="n">
        <f aca="false">F11*'LW Assumptions'!$C$31</f>
        <v>720.3151518125</v>
      </c>
      <c r="G22" s="28" t="n">
        <f aca="false">F22/F11</f>
        <v>0.025</v>
      </c>
      <c r="H22" s="40" t="n">
        <f aca="false">H11*'LW Assumptions'!$C$31</f>
        <v>555.85772828125</v>
      </c>
      <c r="I22" s="28" t="n">
        <f aca="false">H22/H11</f>
        <v>0.025</v>
      </c>
      <c r="J22" s="40" t="n">
        <f aca="false">J11*'LW Assumptions'!$C$31</f>
        <v>670.8524759375</v>
      </c>
      <c r="K22" s="28" t="n">
        <f aca="false">J22/J11</f>
        <v>0.025</v>
      </c>
      <c r="L22" s="40" t="n">
        <f aca="false">L11*'LW Assumptions'!$C$31</f>
        <v>732.9795084375</v>
      </c>
      <c r="M22" s="28" t="n">
        <f aca="false">L22/L11</f>
        <v>0.025</v>
      </c>
      <c r="N22" s="40" t="n">
        <f aca="false">N11*'LW Assumptions'!$C$31</f>
        <v>597.3753125</v>
      </c>
      <c r="O22" s="28" t="n">
        <f aca="false">N22/N11</f>
        <v>0.025</v>
      </c>
      <c r="P22" s="40" t="n">
        <f aca="false">P11*'LW Assumptions'!$C$31</f>
        <v>597.3753125</v>
      </c>
      <c r="Q22" s="28" t="n">
        <f aca="false">P22/P11</f>
        <v>0.025</v>
      </c>
      <c r="R22" s="40" t="n">
        <f aca="false">R11*'LW Assumptions'!$C$31</f>
        <v>597.3753125</v>
      </c>
      <c r="S22" s="28" t="n">
        <f aca="false">R22/R11</f>
        <v>0.025</v>
      </c>
      <c r="T22" s="40" t="n">
        <f aca="false">T11*'LW Assumptions'!$C$31</f>
        <v>597.3753125</v>
      </c>
      <c r="U22" s="28" t="n">
        <f aca="false">T22/T11</f>
        <v>0.025</v>
      </c>
      <c r="V22" s="40" t="n">
        <f aca="false">V11*'LW Assumptions'!$C$31</f>
        <v>597.3753125</v>
      </c>
      <c r="W22" s="28" t="n">
        <f aca="false">V22/V11</f>
        <v>0.025</v>
      </c>
      <c r="X22" s="40" t="n">
        <f aca="false">X11*'LW Assumptions'!$C$31</f>
        <v>597.3753125</v>
      </c>
      <c r="Y22" s="28" t="n">
        <f aca="false">X22/X11</f>
        <v>0.025</v>
      </c>
      <c r="Z22" s="40" t="n">
        <f aca="false">B22+D22+F22+H22+J22+L22+N22+P22+R22+T22+V22+X22</f>
        <v>7168.50375</v>
      </c>
      <c r="AA22" s="28" t="n">
        <f aca="false">Z22/Z11</f>
        <v>0.025</v>
      </c>
    </row>
    <row r="23" customFormat="false" ht="15" hidden="false" customHeight="true" outlineLevel="0" collapsed="false">
      <c r="A23" s="26" t="s">
        <v>151</v>
      </c>
      <c r="B23" s="40" t="n">
        <f aca="false">'LW Assumptions'!$C$32/12</f>
        <v>7472.91666666667</v>
      </c>
      <c r="C23" s="28" t="n">
        <f aca="false">B23/B11</f>
        <v>0.44442177155804</v>
      </c>
      <c r="D23" s="40" t="n">
        <f aca="false">'LW Assumptions'!$C$32/12</f>
        <v>7472.91666666667</v>
      </c>
      <c r="E23" s="28" t="n">
        <f aca="false">D23/D11</f>
        <v>0.386098272401719</v>
      </c>
      <c r="F23" s="40" t="n">
        <f aca="false">'LW Assumptions'!$C$32/12</f>
        <v>7472.91666666667</v>
      </c>
      <c r="G23" s="28" t="n">
        <f aca="false">F23/F11</f>
        <v>0.259362747259407</v>
      </c>
      <c r="H23" s="40" t="n">
        <f aca="false">'LW Assumptions'!$C$32/12</f>
        <v>7472.91666666667</v>
      </c>
      <c r="I23" s="28" t="n">
        <f aca="false">H23/H11</f>
        <v>0.33609844239161</v>
      </c>
      <c r="J23" s="40" t="n">
        <f aca="false">'LW Assumptions'!$C$32/12</f>
        <v>7472.91666666667</v>
      </c>
      <c r="K23" s="28" t="n">
        <f aca="false">J23/J11</f>
        <v>0.278485842070697</v>
      </c>
      <c r="L23" s="40" t="n">
        <f aca="false">'LW Assumptions'!$C$32/12</f>
        <v>7472.91666666667</v>
      </c>
      <c r="M23" s="28" t="n">
        <f aca="false">L23/L11</f>
        <v>0.254881500118495</v>
      </c>
      <c r="N23" s="40" t="n">
        <f aca="false">'LW Assumptions'!$C$32/12</f>
        <v>7472.91666666667</v>
      </c>
      <c r="O23" s="28" t="n">
        <f aca="false">N23/N11</f>
        <v>0.312739600645393</v>
      </c>
      <c r="P23" s="40" t="n">
        <f aca="false">'LW Assumptions'!$C$32/12</f>
        <v>7472.91666666667</v>
      </c>
      <c r="Q23" s="28" t="n">
        <f aca="false">P23/P11</f>
        <v>0.312739600645393</v>
      </c>
      <c r="R23" s="40" t="n">
        <f aca="false">'LW Assumptions'!$C$32/12</f>
        <v>7472.91666666667</v>
      </c>
      <c r="S23" s="28" t="n">
        <f aca="false">R23/R11</f>
        <v>0.312739600645393</v>
      </c>
      <c r="T23" s="40" t="n">
        <f aca="false">'LW Assumptions'!$C$32/12</f>
        <v>7472.91666666667</v>
      </c>
      <c r="U23" s="28" t="n">
        <f aca="false">T23/T11</f>
        <v>0.312739600645393</v>
      </c>
      <c r="V23" s="40" t="n">
        <f aca="false">'LW Assumptions'!$C$32/12</f>
        <v>7472.91666666667</v>
      </c>
      <c r="W23" s="28" t="n">
        <f aca="false">V23/V11</f>
        <v>0.312739600645393</v>
      </c>
      <c r="X23" s="40" t="n">
        <f aca="false">'LW Assumptions'!$C$32/12</f>
        <v>7472.91666666667</v>
      </c>
      <c r="Y23" s="28" t="n">
        <f aca="false">X23/X11</f>
        <v>0.312739600645393</v>
      </c>
      <c r="Z23" s="40" t="n">
        <f aca="false">B23+D23+F23+H23+J23+L23+N23+P23+R23+T23+V23+X23</f>
        <v>89675</v>
      </c>
      <c r="AA23" s="28" t="n">
        <f aca="false">Z23/Z11</f>
        <v>0.312739600645393</v>
      </c>
    </row>
    <row r="24" customFormat="false" ht="15" hidden="false" customHeight="true" outlineLevel="0" collapsed="false">
      <c r="A24" s="26" t="s">
        <v>153</v>
      </c>
      <c r="B24" s="40" t="n">
        <f aca="false">'LW Assumptions'!$C$33/12</f>
        <v>471.416666666667</v>
      </c>
      <c r="C24" s="28" t="n">
        <f aca="false">B24/B11</f>
        <v>0.0280356170806115</v>
      </c>
      <c r="D24" s="40" t="n">
        <f aca="false">'LW Assumptions'!$C$33/12</f>
        <v>471.416666666667</v>
      </c>
      <c r="E24" s="28" t="n">
        <f aca="false">D24/D11</f>
        <v>0.0243563749871929</v>
      </c>
      <c r="F24" s="40" t="n">
        <f aca="false">'LW Assumptions'!$C$33/12</f>
        <v>471.416666666667</v>
      </c>
      <c r="G24" s="28" t="n">
        <f aca="false">F24/F11</f>
        <v>0.0163614726651404</v>
      </c>
      <c r="H24" s="40" t="n">
        <f aca="false">'LW Assumptions'!$C$33/12</f>
        <v>471.416666666667</v>
      </c>
      <c r="I24" s="28" t="n">
        <f aca="false">H24/H11</f>
        <v>0.021202217882457</v>
      </c>
      <c r="J24" s="40" t="n">
        <f aca="false">'LW Assumptions'!$C$33/12</f>
        <v>471.416666666667</v>
      </c>
      <c r="K24" s="28" t="n">
        <f aca="false">J24/J11</f>
        <v>0.0175678216737545</v>
      </c>
      <c r="L24" s="40" t="n">
        <f aca="false">'LW Assumptions'!$C$33/12</f>
        <v>471.416666666667</v>
      </c>
      <c r="M24" s="28" t="n">
        <f aca="false">L24/L11</f>
        <v>0.0160787805538926</v>
      </c>
      <c r="N24" s="40" t="n">
        <f aca="false">'LW Assumptions'!$C$33/12</f>
        <v>471.416666666667</v>
      </c>
      <c r="O24" s="28" t="n">
        <f aca="false">N24/N11</f>
        <v>0.0197286637396263</v>
      </c>
      <c r="P24" s="40" t="n">
        <f aca="false">'LW Assumptions'!$C$33/12</f>
        <v>471.416666666667</v>
      </c>
      <c r="Q24" s="28" t="n">
        <f aca="false">P24/P11</f>
        <v>0.0197286637396263</v>
      </c>
      <c r="R24" s="40" t="n">
        <f aca="false">'LW Assumptions'!$C$33/12</f>
        <v>471.416666666667</v>
      </c>
      <c r="S24" s="28" t="n">
        <f aca="false">R24/R11</f>
        <v>0.0197286637396263</v>
      </c>
      <c r="T24" s="40" t="n">
        <f aca="false">'LW Assumptions'!$C$33/12</f>
        <v>471.416666666667</v>
      </c>
      <c r="U24" s="28" t="n">
        <f aca="false">T24/T11</f>
        <v>0.0197286637396263</v>
      </c>
      <c r="V24" s="40" t="n">
        <f aca="false">'LW Assumptions'!$C$33/12</f>
        <v>471.416666666667</v>
      </c>
      <c r="W24" s="28" t="n">
        <f aca="false">V24/V11</f>
        <v>0.0197286637396263</v>
      </c>
      <c r="X24" s="40" t="n">
        <f aca="false">'LW Assumptions'!$C$33/12</f>
        <v>471.416666666667</v>
      </c>
      <c r="Y24" s="28" t="n">
        <f aca="false">X24/X11</f>
        <v>0.0197286637396263</v>
      </c>
      <c r="Z24" s="40" t="n">
        <f aca="false">B24+D24+F24+H24+J24+L24+N24+P24+R24+T24+V24+X24</f>
        <v>5657</v>
      </c>
      <c r="AA24" s="28" t="n">
        <f aca="false">Z24/Z11</f>
        <v>0.0197286637396263</v>
      </c>
    </row>
    <row r="25" customFormat="false" ht="15" hidden="false" customHeight="true" outlineLevel="0" collapsed="false">
      <c r="A25" s="23" t="s">
        <v>154</v>
      </c>
      <c r="B25" s="43" t="n">
        <f aca="false">B11*'LW Assumptions'!$C$40</f>
        <v>672.59681185</v>
      </c>
      <c r="C25" s="25" t="n">
        <f aca="false">B25/B11</f>
        <v>0.04</v>
      </c>
      <c r="D25" s="43" t="n">
        <f aca="false">D11*'LW Assumptions'!$C$40</f>
        <v>774.198405</v>
      </c>
      <c r="E25" s="25" t="n">
        <f aca="false">D25/D11</f>
        <v>0.04</v>
      </c>
      <c r="F25" s="43" t="n">
        <f aca="false">F11*'LW Assumptions'!$C$40</f>
        <v>1152.5042429</v>
      </c>
      <c r="G25" s="25" t="n">
        <f aca="false">F25/F11</f>
        <v>0.04</v>
      </c>
      <c r="H25" s="43" t="n">
        <f aca="false">H11*'LW Assumptions'!$C$40</f>
        <v>889.37236525</v>
      </c>
      <c r="I25" s="25" t="n">
        <f aca="false">H25/H11</f>
        <v>0.04</v>
      </c>
      <c r="J25" s="43" t="n">
        <f aca="false">J11*'LW Assumptions'!$C$40</f>
        <v>1073.3639615</v>
      </c>
      <c r="K25" s="25" t="n">
        <f aca="false">J25/J11</f>
        <v>0.04</v>
      </c>
      <c r="L25" s="43" t="n">
        <f aca="false">L11*'LW Assumptions'!$C$40</f>
        <v>1172.7672135</v>
      </c>
      <c r="M25" s="25" t="n">
        <f aca="false">L25/L11</f>
        <v>0.04</v>
      </c>
      <c r="N25" s="43" t="n">
        <f aca="false">N11*'LW Assumptions'!$C$40</f>
        <v>955.8005</v>
      </c>
      <c r="O25" s="25" t="n">
        <f aca="false">N25/N11</f>
        <v>0.04</v>
      </c>
      <c r="P25" s="43" t="n">
        <f aca="false">P11*'LW Assumptions'!$C$40</f>
        <v>955.8005</v>
      </c>
      <c r="Q25" s="25" t="n">
        <f aca="false">P25/P11</f>
        <v>0.04</v>
      </c>
      <c r="R25" s="43" t="n">
        <f aca="false">R11*'LW Assumptions'!$C$40</f>
        <v>955.8005</v>
      </c>
      <c r="S25" s="25" t="n">
        <f aca="false">R25/R11</f>
        <v>0.04</v>
      </c>
      <c r="T25" s="43" t="n">
        <f aca="false">T11*'LW Assumptions'!$C$40</f>
        <v>955.8005</v>
      </c>
      <c r="U25" s="25" t="n">
        <f aca="false">T25/T11</f>
        <v>0.04</v>
      </c>
      <c r="V25" s="43" t="n">
        <f aca="false">V11*'LW Assumptions'!$C$40</f>
        <v>955.8005</v>
      </c>
      <c r="W25" s="25" t="n">
        <f aca="false">V25/V11</f>
        <v>0.04</v>
      </c>
      <c r="X25" s="43" t="n">
        <f aca="false">X11*'LW Assumptions'!$C$40</f>
        <v>955.8005</v>
      </c>
      <c r="Y25" s="25" t="n">
        <f aca="false">X25/X11</f>
        <v>0.04</v>
      </c>
      <c r="Z25" s="43" t="n">
        <f aca="false">B25+D25+F25+H25+J25+L25+N25+P25+R25+T25+V25+X25</f>
        <v>11469.606</v>
      </c>
      <c r="AA25" s="25" t="n">
        <f aca="false">Z25/Z11</f>
        <v>0.04</v>
      </c>
    </row>
    <row r="26" customFormat="false" ht="15" hidden="false" customHeight="true" outlineLevel="0" collapsed="false">
      <c r="A26" s="1" t="s">
        <v>248</v>
      </c>
      <c r="B26" s="81" t="n">
        <f aca="false">B11*'LW Assumptions'!$C$41</f>
        <v>1008.895217775</v>
      </c>
      <c r="D26" s="81" t="n">
        <f aca="false">D11*'LW Assumptions'!$C$41</f>
        <v>1161.2976075</v>
      </c>
      <c r="F26" s="81" t="n">
        <f aca="false">F11*'LW Assumptions'!$C$41</f>
        <v>1728.75636435</v>
      </c>
      <c r="H26" s="81" t="n">
        <f aca="false">H11*'LW Assumptions'!$C$41</f>
        <v>1334.058547875</v>
      </c>
      <c r="J26" s="81" t="n">
        <f aca="false">J11*'LW Assumptions'!$C$41</f>
        <v>1610.04594225</v>
      </c>
      <c r="L26" s="81" t="n">
        <f aca="false">L11*'LW Assumptions'!$C$41</f>
        <v>1759.15082025</v>
      </c>
      <c r="N26" s="81" t="n">
        <f aca="false">N11*'LW Assumptions'!$C$41</f>
        <v>1433.70075</v>
      </c>
      <c r="P26" s="81" t="n">
        <f aca="false">P11*'LW Assumptions'!$C$41</f>
        <v>1433.70075</v>
      </c>
      <c r="R26" s="81" t="n">
        <f aca="false">R11*'LW Assumptions'!$C$41</f>
        <v>1433.70075</v>
      </c>
      <c r="T26" s="81" t="n">
        <f aca="false">T11*'LW Assumptions'!$C$41</f>
        <v>1433.70075</v>
      </c>
      <c r="V26" s="81" t="n">
        <f aca="false">V11*'LW Assumptions'!$C$41</f>
        <v>1433.70075</v>
      </c>
      <c r="X26" s="81" t="n">
        <f aca="false">X11*'LW Assumptions'!$C$41</f>
        <v>1433.70075</v>
      </c>
      <c r="Z26" s="81" t="n">
        <f aca="false">B26+D26+F26+H26+J26+L26+N26+P26+R26+T26+V26+X26</f>
        <v>17204.409</v>
      </c>
    </row>
    <row r="27" customFormat="false" ht="15" hidden="false" customHeight="true" outlineLevel="0" collapsed="false">
      <c r="A27" s="82" t="s">
        <v>250</v>
      </c>
      <c r="B27" s="111" t="n">
        <f aca="false">B19-(B21+B22+B23+B24+B25+B26)</f>
        <v>-5818.88575167435</v>
      </c>
      <c r="C27" s="25" t="n">
        <f aca="false">B27/B11</f>
        <v>-0.346054911302319</v>
      </c>
      <c r="D27" s="111" t="n">
        <f aca="false">D19-(D21+D22+D23+D24+D25+D26)</f>
        <v>-4313.27660298834</v>
      </c>
      <c r="E27" s="25" t="n">
        <f aca="false">D27/D11</f>
        <v>-0.22285122651413</v>
      </c>
      <c r="F27" s="111" t="n">
        <f aca="false">F19-(F21+F22+F23+F24+F25+F26)</f>
        <v>1292.74504376543</v>
      </c>
      <c r="G27" s="25" t="n">
        <f aca="false">F27/F11</f>
        <v>0.0448673417639679</v>
      </c>
      <c r="H27" s="111" t="n">
        <f aca="false">H19-(H21+H22+H23+H24+H25+H26)</f>
        <v>-2606.54186717775</v>
      </c>
      <c r="I27" s="25" t="n">
        <f aca="false">H27/H11</f>
        <v>-0.117230621009685</v>
      </c>
      <c r="J27" s="111" t="n">
        <f aca="false">J19-(J21+J22+J23+J24+J25+J26)</f>
        <v>119.984577996831</v>
      </c>
      <c r="K27" s="25" t="n">
        <f aca="false">J27/J11</f>
        <v>0.0044713473640071</v>
      </c>
      <c r="L27" s="111" t="n">
        <f aca="false">L19-(L21+L22+L23+L24+L25+L26)</f>
        <v>1593.01704707817</v>
      </c>
      <c r="M27" s="25" t="n">
        <f aca="false">L27/L11</f>
        <v>0.0543336146761462</v>
      </c>
      <c r="N27" s="111" t="n">
        <f aca="false">N19-(N21+N22+N23+N24+N25+N26)</f>
        <v>-1622.15959216666</v>
      </c>
      <c r="O27" s="25" t="n">
        <f aca="false">N27/N11</f>
        <v>-0.0678869530688324</v>
      </c>
      <c r="P27" s="111" t="n">
        <f aca="false">P19-(P21+P22+P23+P24+P25+P26)</f>
        <v>-1622.15959216666</v>
      </c>
      <c r="Q27" s="25" t="n">
        <f aca="false">P27/P11</f>
        <v>-0.0678869530688324</v>
      </c>
      <c r="R27" s="111" t="n">
        <f aca="false">R19-(R21+R22+R23+R24+R25+R26)</f>
        <v>-1622.15959216666</v>
      </c>
      <c r="S27" s="25" t="n">
        <f aca="false">R27/R11</f>
        <v>-0.0678869530688324</v>
      </c>
      <c r="T27" s="111" t="n">
        <f aca="false">T19-(T21+T22+T23+T24+T25+T26)</f>
        <v>-1622.15959216666</v>
      </c>
      <c r="U27" s="25" t="n">
        <f aca="false">T27/T11</f>
        <v>-0.0678869530688324</v>
      </c>
      <c r="V27" s="111" t="n">
        <f aca="false">V19-(V21+V22+V23+V24+V25+V26)</f>
        <v>-1622.15959216666</v>
      </c>
      <c r="W27" s="25" t="n">
        <f aca="false">V27/V11</f>
        <v>-0.0678869530688324</v>
      </c>
      <c r="X27" s="111" t="n">
        <f aca="false">X19-(X21+X22+X23+X24+X25+X26)</f>
        <v>-1622.15959216666</v>
      </c>
      <c r="Y27" s="25" t="n">
        <f aca="false">X27/X11</f>
        <v>-0.0678869530688324</v>
      </c>
      <c r="Z27" s="111" t="n">
        <f aca="false">Z19-(Z21+Z22+Z23+Z24+Z25+Z26)</f>
        <v>-19465.9151059999</v>
      </c>
      <c r="AA27" s="25" t="n">
        <f aca="false">Z27/Z11</f>
        <v>-0.0678869530688323</v>
      </c>
    </row>
    <row r="28" customFormat="false" ht="15" hidden="false" customHeight="true" outlineLevel="0" collapsed="false">
      <c r="A28" s="26"/>
      <c r="B28" s="40"/>
      <c r="C28" s="28" t="n">
        <f aca="false">B28/B11</f>
        <v>0</v>
      </c>
      <c r="D28" s="40"/>
      <c r="E28" s="28" t="n">
        <f aca="false">D28/D11</f>
        <v>0</v>
      </c>
      <c r="F28" s="40"/>
      <c r="G28" s="28" t="n">
        <f aca="false">F28/F11</f>
        <v>0</v>
      </c>
      <c r="H28" s="40"/>
      <c r="I28" s="28" t="n">
        <f aca="false">H28/H11</f>
        <v>0</v>
      </c>
      <c r="J28" s="40"/>
      <c r="K28" s="28" t="n">
        <f aca="false">J28/J11</f>
        <v>0</v>
      </c>
      <c r="L28" s="40"/>
      <c r="M28" s="28" t="n">
        <f aca="false">L28/L11</f>
        <v>0</v>
      </c>
      <c r="N28" s="40"/>
      <c r="O28" s="28" t="n">
        <f aca="false">N28/N11</f>
        <v>0</v>
      </c>
      <c r="P28" s="40"/>
      <c r="Q28" s="28" t="n">
        <f aca="false">P28/P11</f>
        <v>0</v>
      </c>
      <c r="R28" s="40"/>
      <c r="S28" s="28" t="n">
        <f aca="false">R28/R11</f>
        <v>0</v>
      </c>
      <c r="T28" s="40"/>
      <c r="U28" s="28" t="n">
        <f aca="false">T28/T11</f>
        <v>0</v>
      </c>
      <c r="V28" s="40"/>
      <c r="W28" s="28" t="n">
        <f aca="false">V28/V11</f>
        <v>0</v>
      </c>
      <c r="X28" s="40"/>
      <c r="Y28" s="28" t="n">
        <f aca="false">X28/X11</f>
        <v>0</v>
      </c>
      <c r="Z28" s="40"/>
      <c r="AA28" s="28" t="n">
        <f aca="false">Z28/Z11</f>
        <v>0</v>
      </c>
    </row>
    <row r="29" customFormat="false" ht="15" hidden="false" customHeight="true" outlineLevel="0" collapsed="false">
      <c r="A29" s="26"/>
      <c r="B29" s="40"/>
      <c r="C29" s="28" t="n">
        <f aca="false">B29/B11</f>
        <v>0</v>
      </c>
      <c r="D29" s="40"/>
      <c r="E29" s="28" t="n">
        <f aca="false">D29/D11</f>
        <v>0</v>
      </c>
      <c r="F29" s="40"/>
      <c r="G29" s="28" t="n">
        <f aca="false">F29/F11</f>
        <v>0</v>
      </c>
      <c r="H29" s="40"/>
      <c r="I29" s="28" t="n">
        <f aca="false">H29/H11</f>
        <v>0</v>
      </c>
      <c r="J29" s="40"/>
      <c r="K29" s="28" t="n">
        <f aca="false">J29/J11</f>
        <v>0</v>
      </c>
      <c r="L29" s="40"/>
      <c r="M29" s="28" t="n">
        <f aca="false">L29/L11</f>
        <v>0</v>
      </c>
      <c r="N29" s="40"/>
      <c r="O29" s="28" t="n">
        <f aca="false">N29/N11</f>
        <v>0</v>
      </c>
      <c r="P29" s="40"/>
      <c r="Q29" s="28" t="n">
        <f aca="false">P29/P11</f>
        <v>0</v>
      </c>
      <c r="R29" s="40"/>
      <c r="S29" s="28" t="n">
        <f aca="false">R29/R11</f>
        <v>0</v>
      </c>
      <c r="T29" s="40"/>
      <c r="U29" s="28" t="n">
        <f aca="false">T29/T11</f>
        <v>0</v>
      </c>
      <c r="V29" s="40"/>
      <c r="W29" s="28" t="n">
        <f aca="false">V29/V11</f>
        <v>0</v>
      </c>
      <c r="X29" s="40"/>
      <c r="Y29" s="28" t="n">
        <f aca="false">X29/X11</f>
        <v>0</v>
      </c>
      <c r="Z29" s="40"/>
      <c r="AA29" s="28" t="n">
        <f aca="false">Z29/Z11</f>
        <v>0</v>
      </c>
    </row>
    <row r="30" customFormat="false" ht="15" hidden="false" customHeight="true" outlineLevel="0" collapsed="false">
      <c r="A30" s="82"/>
      <c r="B30" s="44"/>
      <c r="C30" s="31" t="n">
        <f aca="false">B30/B11</f>
        <v>0</v>
      </c>
      <c r="D30" s="44"/>
      <c r="E30" s="31" t="n">
        <f aca="false">D30/D11</f>
        <v>0</v>
      </c>
      <c r="F30" s="44"/>
      <c r="G30" s="31" t="n">
        <f aca="false">F30/F11</f>
        <v>0</v>
      </c>
      <c r="H30" s="44"/>
      <c r="I30" s="31" t="n">
        <f aca="false">H30/H11</f>
        <v>0</v>
      </c>
      <c r="J30" s="44"/>
      <c r="K30" s="31" t="n">
        <f aca="false">J30/J11</f>
        <v>0</v>
      </c>
      <c r="L30" s="44"/>
      <c r="M30" s="31" t="n">
        <f aca="false">L30/L11</f>
        <v>0</v>
      </c>
      <c r="N30" s="44"/>
      <c r="O30" s="31" t="n">
        <f aca="false">N30/N11</f>
        <v>0</v>
      </c>
      <c r="P30" s="44"/>
      <c r="Q30" s="31" t="n">
        <f aca="false">P30/P11</f>
        <v>0</v>
      </c>
      <c r="R30" s="44"/>
      <c r="S30" s="31" t="n">
        <f aca="false">R30/R11</f>
        <v>0</v>
      </c>
      <c r="T30" s="44"/>
      <c r="U30" s="31" t="n">
        <f aca="false">T30/T11</f>
        <v>0</v>
      </c>
      <c r="V30" s="44"/>
      <c r="W30" s="31" t="n">
        <f aca="false">V30/V11</f>
        <v>0</v>
      </c>
      <c r="X30" s="44"/>
      <c r="Y30" s="31" t="n">
        <f aca="false">X30/X11</f>
        <v>0</v>
      </c>
      <c r="Z30" s="44"/>
      <c r="AA30" s="31" t="n">
        <f aca="false">Z30/Z11</f>
        <v>0</v>
      </c>
    </row>
    <row r="31" customFormat="false" ht="15" hidden="false" customHeight="true" outlineLevel="0" collapsed="false">
      <c r="A31" s="32"/>
      <c r="B31" s="57"/>
      <c r="C31" s="106" t="n">
        <f aca="false">B31/B11</f>
        <v>0</v>
      </c>
      <c r="D31" s="57"/>
      <c r="E31" s="106" t="n">
        <f aca="false">D31/D11</f>
        <v>0</v>
      </c>
      <c r="F31" s="57"/>
      <c r="G31" s="106" t="n">
        <f aca="false">F31/F11</f>
        <v>0</v>
      </c>
      <c r="H31" s="57"/>
      <c r="I31" s="106" t="n">
        <f aca="false">H31/H11</f>
        <v>0</v>
      </c>
      <c r="J31" s="57"/>
      <c r="K31" s="106" t="n">
        <f aca="false">J31/J11</f>
        <v>0</v>
      </c>
      <c r="L31" s="57"/>
      <c r="M31" s="106" t="n">
        <f aca="false">L31/L11</f>
        <v>0</v>
      </c>
      <c r="N31" s="57"/>
      <c r="O31" s="106" t="n">
        <f aca="false">N31/N11</f>
        <v>0</v>
      </c>
      <c r="P31" s="57"/>
      <c r="Q31" s="106" t="n">
        <f aca="false">P31/P11</f>
        <v>0</v>
      </c>
      <c r="R31" s="57"/>
      <c r="S31" s="106" t="n">
        <f aca="false">R31/R11</f>
        <v>0</v>
      </c>
      <c r="T31" s="57"/>
      <c r="U31" s="106" t="n">
        <f aca="false">T31/T11</f>
        <v>0</v>
      </c>
      <c r="V31" s="57"/>
      <c r="W31" s="106" t="n">
        <f aca="false">V31/V11</f>
        <v>0</v>
      </c>
      <c r="X31" s="57"/>
      <c r="Y31" s="106" t="n">
        <f aca="false">X31/X11</f>
        <v>0</v>
      </c>
      <c r="Z31" s="57"/>
      <c r="AA31" s="106" t="n">
        <f aca="false">Z31/Z11</f>
        <v>0</v>
      </c>
    </row>
    <row r="32" customFormat="false" ht="15" hidden="false" customHeight="true" outlineLevel="0" collapsed="false">
      <c r="A32" s="32"/>
      <c r="B32" s="57"/>
      <c r="C32" s="106" t="n">
        <f aca="false">B32/B11</f>
        <v>0</v>
      </c>
      <c r="D32" s="57"/>
      <c r="E32" s="106" t="n">
        <f aca="false">D32/D11</f>
        <v>0</v>
      </c>
      <c r="F32" s="57"/>
      <c r="G32" s="106" t="n">
        <f aca="false">F32/F11</f>
        <v>0</v>
      </c>
      <c r="H32" s="57"/>
      <c r="I32" s="106" t="n">
        <f aca="false">H32/H11</f>
        <v>0</v>
      </c>
      <c r="J32" s="57"/>
      <c r="K32" s="106" t="n">
        <f aca="false">J32/J11</f>
        <v>0</v>
      </c>
      <c r="L32" s="57"/>
      <c r="M32" s="106" t="n">
        <f aca="false">L32/L11</f>
        <v>0</v>
      </c>
      <c r="N32" s="57"/>
      <c r="O32" s="106" t="n">
        <f aca="false">N32/N11</f>
        <v>0</v>
      </c>
      <c r="P32" s="57"/>
      <c r="Q32" s="106" t="n">
        <f aca="false">P32/P11</f>
        <v>0</v>
      </c>
      <c r="R32" s="57"/>
      <c r="S32" s="106" t="n">
        <f aca="false">R32/R11</f>
        <v>0</v>
      </c>
      <c r="T32" s="57"/>
      <c r="U32" s="106" t="n">
        <f aca="false">T32/T11</f>
        <v>0</v>
      </c>
      <c r="V32" s="57"/>
      <c r="W32" s="106" t="n">
        <f aca="false">V32/V11</f>
        <v>0</v>
      </c>
      <c r="X32" s="57"/>
      <c r="Y32" s="106" t="n">
        <f aca="false">X32/X11</f>
        <v>0</v>
      </c>
      <c r="Z32" s="57"/>
      <c r="AA32" s="106" t="n">
        <f aca="false">Z32/Z11</f>
        <v>0</v>
      </c>
    </row>
    <row r="33" customFormat="false" ht="15" hidden="false" customHeight="true" outlineLevel="0" collapsed="false">
      <c r="A33" s="108" t="s">
        <v>263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customFormat="false" ht="15" hidden="false" customHeight="true" outlineLevel="0" collapsed="false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customFormat="false" ht="15" hidden="false" customHeight="true" outlineLevel="0" collapsed="false">
      <c r="A35" s="36" t="s">
        <v>264</v>
      </c>
      <c r="B35" s="36"/>
      <c r="C35" s="36"/>
      <c r="D35" s="36"/>
      <c r="E35" s="36"/>
      <c r="F35" s="36"/>
    </row>
    <row r="36" customFormat="false" ht="15" hidden="false" customHeight="true" outlineLevel="0" collapsed="false">
      <c r="A36" s="37" t="s">
        <v>265</v>
      </c>
      <c r="B36" s="38" t="s">
        <v>266</v>
      </c>
      <c r="C36" s="38" t="s">
        <v>267</v>
      </c>
      <c r="D36" s="38" t="s">
        <v>268</v>
      </c>
      <c r="E36" s="38" t="s">
        <v>269</v>
      </c>
      <c r="F36" s="38" t="s">
        <v>270</v>
      </c>
    </row>
    <row r="37" customFormat="false" ht="15" hidden="false" customHeight="true" outlineLevel="0" collapsed="false">
      <c r="A37" s="112" t="s">
        <v>271</v>
      </c>
      <c r="B37" s="113" t="n">
        <f aca="false">'LW Assumptions'!C20+'LW Assumptions'!C21</f>
        <v>11.1428571428571</v>
      </c>
      <c r="C37" s="114" t="n">
        <f aca="false">B37*'LW Assumptions'!$C$22*52*'LW Assumptions'!$C$23*(1+'LW Assumptions'!$C$24)</f>
        <v>94099.2</v>
      </c>
      <c r="D37" s="91" t="n">
        <f aca="false">$Z$19-C37-($Z$22+$Z$23+$Z$24)</f>
        <v>9208.0998940001</v>
      </c>
      <c r="E37" s="115" t="n">
        <f aca="false">D37/$Z$11</f>
        <v>0.0321130469311678</v>
      </c>
      <c r="F37" s="114"/>
    </row>
    <row r="38" customFormat="false" ht="15" hidden="false" customHeight="true" outlineLevel="0" collapsed="false">
      <c r="A38" s="26" t="s">
        <v>272</v>
      </c>
      <c r="B38" s="116" t="n">
        <v>10</v>
      </c>
      <c r="C38" s="40" t="n">
        <f aca="false">B38*'LW Assumptions'!$C$22*52*'LW Assumptions'!$C$23*(1+'LW Assumptions'!$C$24)</f>
        <v>84448</v>
      </c>
      <c r="D38" s="41" t="n">
        <f aca="false">$Z$19-C38-($Z$22+$Z$23+$Z$24)</f>
        <v>18859.2998940001</v>
      </c>
      <c r="E38" s="28" t="n">
        <f aca="false">D38/$Z$11</f>
        <v>0.0657713957881381</v>
      </c>
      <c r="F38" s="40"/>
    </row>
    <row r="39" customFormat="false" ht="15" hidden="false" customHeight="true" outlineLevel="0" collapsed="false">
      <c r="A39" s="117" t="s">
        <v>273</v>
      </c>
      <c r="B39" s="118" t="n">
        <v>12</v>
      </c>
      <c r="C39" s="33" t="n">
        <f aca="false">B39*'LW Assumptions'!$C$22*52*'LW Assumptions'!$C$23*(1+'LW Assumptions'!$C$24)</f>
        <v>101337.6</v>
      </c>
      <c r="D39" s="57" t="n">
        <f aca="false">$Z$19-C39-($Z$22+$Z$23+$Z$24)</f>
        <v>1969.69989400011</v>
      </c>
      <c r="E39" s="34" t="n">
        <f aca="false">D39/$Z$11</f>
        <v>0.0068692852884401</v>
      </c>
      <c r="F39" s="33"/>
    </row>
    <row r="40" customFormat="false" ht="15" hidden="false" customHeight="true" outlineLevel="0" collapsed="false">
      <c r="A40" s="26" t="s">
        <v>274</v>
      </c>
      <c r="B40" s="116" t="n">
        <v>16</v>
      </c>
      <c r="C40" s="40" t="n">
        <f aca="false">B40*'LW Assumptions'!$C$22*52*'LW Assumptions'!$C$23*(1+'LW Assumptions'!$C$24)</f>
        <v>135116.8</v>
      </c>
      <c r="D40" s="41" t="n">
        <f aca="false">$Z$19-C40-($Z$22+$Z$23+$Z$24)</f>
        <v>-31809.5001059999</v>
      </c>
      <c r="E40" s="28" t="n">
        <f aca="false">D40/$Z$11</f>
        <v>-0.110934935710956</v>
      </c>
      <c r="F40" s="40"/>
    </row>
    <row r="42" customFormat="false" ht="15" hidden="false" customHeight="true" outlineLevel="0" collapsed="false">
      <c r="A42" s="108" t="s">
        <v>275</v>
      </c>
      <c r="B42" s="108"/>
      <c r="C42" s="108"/>
      <c r="D42" s="108"/>
      <c r="E42" s="108"/>
      <c r="F42" s="108"/>
    </row>
    <row r="43" customFormat="false" ht="15" hidden="false" customHeight="true" outlineLevel="0" collapsed="false">
      <c r="A43" s="108"/>
      <c r="B43" s="108"/>
      <c r="C43" s="108"/>
      <c r="D43" s="108"/>
      <c r="E43" s="108"/>
      <c r="F43" s="108"/>
    </row>
  </sheetData>
  <mergeCells count="17"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33:AA34"/>
    <mergeCell ref="A35:F35"/>
    <mergeCell ref="A42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6" t="s">
        <v>276</v>
      </c>
      <c r="B1" s="46"/>
      <c r="C1" s="46"/>
      <c r="D1" s="46"/>
      <c r="E1" s="46"/>
      <c r="F1" s="46"/>
      <c r="G1" s="46"/>
      <c r="H1" s="46"/>
    </row>
    <row r="2" customFormat="false" ht="15" hidden="false" customHeight="true" outlineLevel="0" collapsed="false">
      <c r="A2" s="47" t="s">
        <v>277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B4" s="48" t="s">
        <v>278</v>
      </c>
      <c r="F4" s="48" t="s">
        <v>279</v>
      </c>
    </row>
    <row r="5" customFormat="false" ht="15" hidden="false" customHeight="true" outlineLevel="0" collapsed="false">
      <c r="B5" s="17" t="s">
        <v>280</v>
      </c>
      <c r="C5" s="49" t="s">
        <v>161</v>
      </c>
      <c r="D5" s="49" t="s">
        <v>281</v>
      </c>
      <c r="F5" s="17" t="s">
        <v>282</v>
      </c>
      <c r="G5" s="49" t="s">
        <v>283</v>
      </c>
      <c r="H5" s="49" t="s">
        <v>284</v>
      </c>
    </row>
    <row r="6" customFormat="false" ht="15" hidden="false" customHeight="true" outlineLevel="0" collapsed="false">
      <c r="B6" s="51" t="s">
        <v>285</v>
      </c>
      <c r="C6" s="54" t="n">
        <v>42998</v>
      </c>
      <c r="D6" s="55" t="n">
        <f aca="false">C6/'LW Assumptions'!C10</f>
        <v>0.161523943357004</v>
      </c>
      <c r="F6" s="51" t="s">
        <v>286</v>
      </c>
      <c r="G6" s="54" t="n">
        <v>72907</v>
      </c>
      <c r="H6" s="55" t="n">
        <f aca="false">G6/$G$8</f>
        <v>0.692354443843005</v>
      </c>
    </row>
    <row r="7" customFormat="false" ht="15" hidden="false" customHeight="true" outlineLevel="0" collapsed="false">
      <c r="B7" s="51" t="s">
        <v>287</v>
      </c>
      <c r="C7" s="54" t="n">
        <v>54634</v>
      </c>
      <c r="D7" s="55" t="n">
        <f aca="false">C7/'LW Assumptions'!C10</f>
        <v>0.205235106780933</v>
      </c>
      <c r="F7" s="51" t="s">
        <v>288</v>
      </c>
      <c r="G7" s="54" t="n">
        <v>32396</v>
      </c>
      <c r="H7" s="55" t="n">
        <f aca="false">G7/$G$8</f>
        <v>0.307645556156995</v>
      </c>
    </row>
    <row r="8" customFormat="false" ht="15" hidden="false" customHeight="true" outlineLevel="0" collapsed="false">
      <c r="B8" s="51" t="s">
        <v>289</v>
      </c>
      <c r="C8" s="54" t="n">
        <v>30727</v>
      </c>
      <c r="D8" s="55" t="n">
        <f aca="false">C8/'LW Assumptions'!C10</f>
        <v>0.115427373541343</v>
      </c>
      <c r="F8" s="119" t="s">
        <v>290</v>
      </c>
      <c r="G8" s="43" t="n">
        <f aca="false">G6+G7</f>
        <v>105303</v>
      </c>
      <c r="H8" s="25" t="n">
        <f aca="false">G8/$G$8</f>
        <v>1</v>
      </c>
    </row>
    <row r="9" customFormat="false" ht="15" hidden="false" customHeight="true" outlineLevel="0" collapsed="false">
      <c r="B9" s="51" t="s">
        <v>291</v>
      </c>
      <c r="C9" s="54" t="n">
        <v>12880</v>
      </c>
      <c r="D9" s="55" t="n">
        <f aca="false">C9/'LW Assumptions'!C10</f>
        <v>0.0483843060244246</v>
      </c>
    </row>
    <row r="10" customFormat="false" ht="15" hidden="false" customHeight="true" outlineLevel="0" collapsed="false">
      <c r="B10" s="51" t="s">
        <v>292</v>
      </c>
      <c r="C10" s="54" t="n">
        <v>886</v>
      </c>
      <c r="D10" s="55" t="n">
        <f aca="false">C10/'LW Assumptions'!C10</f>
        <v>0.00332829931192859</v>
      </c>
      <c r="F10" s="66" t="s">
        <v>293</v>
      </c>
    </row>
    <row r="11" customFormat="false" ht="15" hidden="false" customHeight="true" outlineLevel="0" collapsed="false">
      <c r="B11" s="51" t="s">
        <v>148</v>
      </c>
      <c r="C11" s="54" t="n">
        <v>22733</v>
      </c>
      <c r="D11" s="55" t="n">
        <f aca="false">C11/'LW Assumptions'!C10</f>
        <v>0.0853975488240097</v>
      </c>
      <c r="F11" s="66" t="s">
        <v>294</v>
      </c>
    </row>
    <row r="12" customFormat="false" ht="15" hidden="false" customHeight="true" outlineLevel="0" collapsed="false">
      <c r="B12" s="119" t="s">
        <v>295</v>
      </c>
      <c r="C12" s="43" t="n">
        <f aca="false">SUM(C6:C11)</f>
        <v>164858</v>
      </c>
      <c r="D12" s="25" t="n">
        <f aca="false">C12/'LW Assumptions'!C10</f>
        <v>0.619296577839642</v>
      </c>
      <c r="F12" s="66" t="s">
        <v>296</v>
      </c>
    </row>
    <row r="14" customFormat="false" ht="15" hidden="false" customHeight="true" outlineLevel="0" collapsed="false">
      <c r="B14" s="48" t="s">
        <v>297</v>
      </c>
    </row>
    <row r="15" customFormat="false" ht="15" hidden="false" customHeight="true" outlineLevel="0" collapsed="false">
      <c r="B15" s="51" t="s">
        <v>298</v>
      </c>
      <c r="C15" s="120" t="n">
        <f aca="false">'LW Assumptions'!C20+'LW Assumptions'!C21</f>
        <v>11.1428571428571</v>
      </c>
    </row>
    <row r="16" customFormat="false" ht="15" hidden="false" customHeight="true" outlineLevel="0" collapsed="false">
      <c r="B16" s="51" t="s">
        <v>299</v>
      </c>
      <c r="C16" s="58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1" t="s">
        <v>300</v>
      </c>
      <c r="C17" s="54" t="n">
        <f aca="false">C16*'LW Assumptions'!C23</f>
        <v>81120</v>
      </c>
    </row>
    <row r="18" customFormat="false" ht="15" hidden="false" customHeight="true" outlineLevel="0" collapsed="false">
      <c r="B18" s="51" t="s">
        <v>301</v>
      </c>
      <c r="C18" s="54" t="n">
        <f aca="false">C17*'LW Assumptions'!C24</f>
        <v>12979.2</v>
      </c>
    </row>
    <row r="19" customFormat="false" ht="15" hidden="false" customHeight="true" outlineLevel="0" collapsed="false">
      <c r="B19" s="51" t="s">
        <v>302</v>
      </c>
      <c r="C19" s="58" t="n">
        <f aca="false">C17+C18</f>
        <v>94099.2</v>
      </c>
    </row>
    <row r="21" customFormat="false" ht="15" hidden="false" customHeight="true" outlineLevel="0" collapsed="false">
      <c r="B21" s="121" t="s">
        <v>303</v>
      </c>
      <c r="C21" s="122" t="n">
        <f aca="false">C12-C19</f>
        <v>70758.8</v>
      </c>
    </row>
    <row r="23" customFormat="false" ht="15" hidden="false" customHeight="true" outlineLevel="0" collapsed="false">
      <c r="B23" s="63" t="s">
        <v>304</v>
      </c>
      <c r="C23" s="63"/>
      <c r="D23" s="63"/>
      <c r="E23" s="63"/>
      <c r="F23" s="63"/>
      <c r="G23" s="63"/>
      <c r="H23" s="63"/>
    </row>
    <row r="24" customFormat="false" ht="15" hidden="false" customHeight="true" outlineLevel="0" collapsed="false">
      <c r="B24" s="63"/>
      <c r="C24" s="63"/>
      <c r="D24" s="63"/>
      <c r="E24" s="63"/>
      <c r="F24" s="63"/>
      <c r="G24" s="63"/>
      <c r="H24" s="63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23" t="s">
        <v>305</v>
      </c>
      <c r="B1" s="15"/>
      <c r="C1" s="15"/>
      <c r="D1" s="15"/>
    </row>
    <row r="2" customFormat="false" ht="15" hidden="false" customHeight="true" outlineLevel="0" collapsed="false">
      <c r="A2" s="124" t="s">
        <v>306</v>
      </c>
      <c r="B2" s="124"/>
      <c r="C2" s="124"/>
      <c r="D2" s="124"/>
    </row>
    <row r="4" customFormat="false" ht="15" hidden="false" customHeight="true" outlineLevel="0" collapsed="false">
      <c r="A4" s="17"/>
      <c r="B4" s="49" t="s">
        <v>307</v>
      </c>
      <c r="C4" s="49" t="s">
        <v>308</v>
      </c>
      <c r="D4" s="49" t="s">
        <v>309</v>
      </c>
    </row>
    <row r="5" customFormat="false" ht="15" hidden="false" customHeight="true" outlineLevel="0" collapsed="false">
      <c r="A5" s="125" t="s">
        <v>310</v>
      </c>
      <c r="B5" s="45"/>
      <c r="C5" s="45"/>
      <c r="D5" s="45"/>
    </row>
    <row r="6" customFormat="false" ht="15" hidden="false" customHeight="true" outlineLevel="0" collapsed="false">
      <c r="A6" s="126" t="s">
        <v>311</v>
      </c>
      <c r="B6" s="127" t="s">
        <v>312</v>
      </c>
      <c r="C6" s="127" t="str">
        <f aca="false">('LW Assumptions'!$C$20+'LW Assumptions'!$C$21)&amp;" (6am–2pm)"</f>
        <v>11.1428571428571 (6am–2pm)</v>
      </c>
    </row>
    <row r="7" customFormat="false" ht="15" hidden="false" customHeight="true" outlineLevel="0" collapsed="false">
      <c r="A7" s="126" t="s">
        <v>313</v>
      </c>
      <c r="B7" s="116" t="n">
        <v>7</v>
      </c>
      <c r="C7" s="116" t="n">
        <f aca="false">'LW Assumptions'!$C$22</f>
        <v>7</v>
      </c>
    </row>
    <row r="9" customFormat="false" ht="15" hidden="false" customHeight="true" outlineLevel="0" collapsed="false">
      <c r="A9" s="125" t="s">
        <v>314</v>
      </c>
      <c r="B9" s="45"/>
      <c r="C9" s="45"/>
      <c r="D9" s="45"/>
    </row>
    <row r="10" customFormat="false" ht="15" hidden="false" customHeight="true" outlineLevel="0" collapsed="false">
      <c r="A10" s="126" t="s">
        <v>315</v>
      </c>
      <c r="B10" s="128" t="n">
        <v>111.8</v>
      </c>
      <c r="C10" s="12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26" t="s">
        <v>316</v>
      </c>
      <c r="B11" s="128" t="n">
        <v>13.3</v>
      </c>
      <c r="C11" s="128" t="n">
        <v>0</v>
      </c>
    </row>
    <row r="12" customFormat="false" ht="15" hidden="false" customHeight="true" outlineLevel="0" collapsed="false">
      <c r="A12" s="129" t="s">
        <v>317</v>
      </c>
      <c r="B12" s="130" t="n">
        <v>125.1</v>
      </c>
      <c r="C12" s="130" t="n">
        <f aca="false">('LW Assumptions'!$C$20+'LW Assumptions'!$C$21)*'LW Assumptions'!$C$22</f>
        <v>78</v>
      </c>
    </row>
    <row r="13" customFormat="false" ht="15" hidden="false" customHeight="true" outlineLevel="0" collapsed="false">
      <c r="A13" s="32"/>
      <c r="B13" s="131"/>
      <c r="C13" s="131"/>
    </row>
    <row r="14" customFormat="false" ht="15" hidden="false" customHeight="true" outlineLevel="0" collapsed="false">
      <c r="A14" s="125" t="s">
        <v>318</v>
      </c>
      <c r="B14" s="45"/>
      <c r="C14" s="45"/>
      <c r="D14" s="45"/>
    </row>
    <row r="15" customFormat="false" ht="15" hidden="false" customHeight="true" outlineLevel="0" collapsed="false">
      <c r="A15" s="126" t="s">
        <v>319</v>
      </c>
      <c r="B15" s="40" t="n">
        <v>2207</v>
      </c>
      <c r="C15" s="4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26" t="s">
        <v>320</v>
      </c>
      <c r="B16" s="40" t="n">
        <v>296</v>
      </c>
      <c r="C16" s="40" t="n">
        <v>0</v>
      </c>
    </row>
    <row r="17" customFormat="false" ht="15" hidden="false" customHeight="true" outlineLevel="0" collapsed="false">
      <c r="A17" s="32" t="s">
        <v>321</v>
      </c>
      <c r="B17" s="41" t="n">
        <v>2503</v>
      </c>
      <c r="C17" s="41" t="n">
        <f aca="false">C15+C16</f>
        <v>1560</v>
      </c>
    </row>
    <row r="18" customFormat="false" ht="15" hidden="false" customHeight="true" outlineLevel="0" collapsed="false">
      <c r="A18" s="126" t="s">
        <v>322</v>
      </c>
      <c r="B18" s="40" t="n">
        <f aca="false">'LW Assumptions'!$C$45/52</f>
        <v>247.692307692308</v>
      </c>
      <c r="C18" s="40" t="n">
        <f aca="false">'LW Assumptions'!$C$45/52</f>
        <v>247.692307692308</v>
      </c>
    </row>
    <row r="19" customFormat="false" ht="15" hidden="false" customHeight="true" outlineLevel="0" collapsed="false">
      <c r="A19" s="126" t="s">
        <v>323</v>
      </c>
      <c r="B19" s="40" t="n">
        <f aca="false">(B17+B18)*'LW Assumptions'!$C$24</f>
        <v>440.110769230769</v>
      </c>
      <c r="C19" s="40" t="n">
        <f aca="false">(C17+C18)*'LW Assumptions'!$C$24</f>
        <v>289.230769230769</v>
      </c>
    </row>
    <row r="20" customFormat="false" ht="15" hidden="false" customHeight="true" outlineLevel="0" collapsed="false">
      <c r="A20" s="132" t="s">
        <v>324</v>
      </c>
      <c r="B20" s="44" t="n">
        <f aca="false">B17+B18+B19</f>
        <v>3190.80307692308</v>
      </c>
      <c r="C20" s="44" t="n">
        <f aca="false">C17+C18+C19</f>
        <v>2096.92307692308</v>
      </c>
      <c r="D20" s="44" t="n">
        <f aca="false">C20-B20</f>
        <v>-1093.88</v>
      </c>
    </row>
    <row r="21" customFormat="false" ht="15" hidden="false" customHeight="true" outlineLevel="0" collapsed="false">
      <c r="A21" s="133"/>
      <c r="B21" s="134"/>
      <c r="C21" s="134"/>
      <c r="D21" s="134"/>
    </row>
    <row r="22" customFormat="false" ht="15" hidden="false" customHeight="true" outlineLevel="0" collapsed="false">
      <c r="A22" s="32" t="s">
        <v>325</v>
      </c>
      <c r="B22" s="41" t="n">
        <f aca="false">B20*52</f>
        <v>165921.76</v>
      </c>
      <c r="C22" s="41" t="n">
        <f aca="false">C20*52</f>
        <v>109040</v>
      </c>
      <c r="D22" s="41" t="n">
        <f aca="false">C22-B22</f>
        <v>-56881.76</v>
      </c>
    </row>
    <row r="23" customFormat="false" ht="15" hidden="false" customHeight="true" outlineLevel="0" collapsed="false">
      <c r="A23" s="32"/>
      <c r="B23" s="41"/>
      <c r="C23" s="41"/>
      <c r="D23" s="41"/>
    </row>
    <row r="24" customFormat="false" ht="15" hidden="false" customHeight="true" outlineLevel="0" collapsed="false">
      <c r="A24" s="125" t="s">
        <v>326</v>
      </c>
      <c r="B24" s="45"/>
      <c r="C24" s="45"/>
      <c r="D24" s="45"/>
    </row>
    <row r="25" customFormat="false" ht="15" hidden="false" customHeight="true" outlineLevel="0" collapsed="false">
      <c r="A25" s="126" t="s">
        <v>327</v>
      </c>
      <c r="B25" s="40" t="n">
        <v>5888.94</v>
      </c>
      <c r="C25" s="40" t="n">
        <v>5888.94</v>
      </c>
    </row>
    <row r="26" customFormat="false" ht="15" hidden="false" customHeight="true" outlineLevel="0" collapsed="false">
      <c r="A26" s="32" t="s">
        <v>328</v>
      </c>
      <c r="B26" s="135" t="n">
        <f aca="false">B20/B25</f>
        <v>0.541829782086942</v>
      </c>
      <c r="C26" s="135" t="n">
        <f aca="false">C20/C25</f>
        <v>0.35607818672343</v>
      </c>
      <c r="D26" s="135" t="n">
        <f aca="false">C26-B26</f>
        <v>-0.185751595363512</v>
      </c>
    </row>
    <row r="27" customFormat="false" ht="15" hidden="false" customHeight="true" outlineLevel="0" collapsed="false">
      <c r="A27" s="32"/>
      <c r="B27" s="135"/>
      <c r="C27" s="135"/>
      <c r="D27" s="135"/>
    </row>
    <row r="28" customFormat="false" ht="15" hidden="false" customHeight="true" outlineLevel="0" collapsed="false">
      <c r="A28" s="136" t="s">
        <v>329</v>
      </c>
      <c r="B28" s="136"/>
      <c r="C28" s="136"/>
      <c r="D28" s="136"/>
    </row>
    <row r="29" customFormat="false" ht="15" hidden="false" customHeight="true" outlineLevel="0" collapsed="false">
      <c r="A29" s="32" t="s">
        <v>330</v>
      </c>
      <c r="C29" s="41" t="n">
        <f aca="false">B20-C20</f>
        <v>1093.88</v>
      </c>
      <c r="D29" s="41" t="n">
        <f aca="false">C22-B22</f>
        <v>-56881.76</v>
      </c>
    </row>
    <row r="31" customFormat="false" ht="15" hidden="false" customHeight="true" outlineLevel="0" collapsed="false">
      <c r="A31" s="137" t="s">
        <v>331</v>
      </c>
    </row>
    <row r="32" customFormat="false" ht="15" hidden="false" customHeight="true" outlineLevel="0" collapsed="false">
      <c r="A32" s="138" t="s">
        <v>332</v>
      </c>
      <c r="B32" s="138"/>
      <c r="C32" s="138"/>
      <c r="D32" s="138"/>
    </row>
    <row r="33" customFormat="false" ht="15" hidden="false" customHeight="true" outlineLevel="0" collapsed="false">
      <c r="A33" s="138"/>
      <c r="B33" s="138"/>
      <c r="C33" s="138"/>
      <c r="D33" s="138"/>
    </row>
    <row r="35" customFormat="false" ht="15" hidden="false" customHeight="true" outlineLevel="0" collapsed="false">
      <c r="A35" s="137" t="s">
        <v>333</v>
      </c>
    </row>
    <row r="36" customFormat="false" ht="15" hidden="false" customHeight="true" outlineLevel="0" collapsed="false">
      <c r="A36" s="138" t="s">
        <v>334</v>
      </c>
      <c r="B36" s="138"/>
      <c r="C36" s="138"/>
      <c r="D36" s="138"/>
    </row>
    <row r="37" customFormat="false" ht="15" hidden="false" customHeight="true" outlineLevel="0" collapsed="false">
      <c r="A37" s="138"/>
      <c r="B37" s="138"/>
      <c r="C37" s="138"/>
      <c r="D37" s="138"/>
    </row>
    <row r="39" customFormat="false" ht="15" hidden="false" customHeight="true" outlineLevel="0" collapsed="false">
      <c r="A39" s="139" t="s">
        <v>335</v>
      </c>
    </row>
    <row r="40" customFormat="false" ht="15" hidden="false" customHeight="true" outlineLevel="0" collapsed="false">
      <c r="A40" s="138" t="s">
        <v>336</v>
      </c>
      <c r="B40" s="138"/>
      <c r="C40" s="138"/>
      <c r="D40" s="138"/>
    </row>
    <row r="41" customFormat="false" ht="15" hidden="false" customHeight="true" outlineLevel="0" collapsed="false">
      <c r="A41" s="138"/>
      <c r="B41" s="138"/>
      <c r="C41" s="138"/>
      <c r="D41" s="138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40" t="s">
        <v>337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24" t="s">
        <v>338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4" customFormat="false" ht="15" hidden="false" customHeight="true" outlineLevel="0" collapsed="false">
      <c r="A4" s="137" t="s">
        <v>339</v>
      </c>
      <c r="B4" s="141" t="s">
        <v>340</v>
      </c>
      <c r="C4" s="142" t="n">
        <f aca="false">'LW Assumptions'!$C$23</f>
        <v>20</v>
      </c>
      <c r="D4" s="141" t="s">
        <v>341</v>
      </c>
      <c r="E4" s="142" t="n">
        <v>25</v>
      </c>
    </row>
    <row r="6" customFormat="false" ht="15" hidden="false" customHeight="true" outlineLevel="0" collapsed="false">
      <c r="A6" s="48" t="s">
        <v>342</v>
      </c>
    </row>
    <row r="7" customFormat="false" ht="15" hidden="false" customHeight="true" outlineLevel="0" collapsed="false">
      <c r="A7" s="37" t="s">
        <v>343</v>
      </c>
      <c r="B7" s="37" t="s">
        <v>280</v>
      </c>
      <c r="C7" s="38" t="s">
        <v>344</v>
      </c>
      <c r="D7" s="38" t="s">
        <v>345</v>
      </c>
      <c r="E7" s="38" t="s">
        <v>346</v>
      </c>
      <c r="F7" s="38" t="s">
        <v>347</v>
      </c>
      <c r="G7" s="38" t="s">
        <v>348</v>
      </c>
      <c r="H7" s="38" t="s">
        <v>349</v>
      </c>
      <c r="I7" s="38" t="s">
        <v>350</v>
      </c>
      <c r="J7" s="38" t="s">
        <v>351</v>
      </c>
      <c r="K7" s="38" t="s">
        <v>352</v>
      </c>
      <c r="L7" s="38" t="s">
        <v>353</v>
      </c>
    </row>
    <row r="8" customFormat="false" ht="15" hidden="false" customHeight="true" outlineLevel="0" collapsed="false">
      <c r="A8" s="39" t="s">
        <v>354</v>
      </c>
      <c r="B8" s="143" t="s">
        <v>355</v>
      </c>
      <c r="C8" s="144" t="n">
        <v>18.29</v>
      </c>
      <c r="D8" s="145" t="n">
        <f aca="false">6*$C8</f>
        <v>109.74</v>
      </c>
      <c r="E8" s="145" t="n">
        <f aca="false">7.75*$C8</f>
        <v>141.7475</v>
      </c>
      <c r="F8" s="146" t="n">
        <v>0</v>
      </c>
      <c r="G8" s="146" t="n">
        <v>0</v>
      </c>
      <c r="H8" s="146" t="n">
        <v>0</v>
      </c>
      <c r="I8" s="146" t="n">
        <v>0</v>
      </c>
      <c r="J8" s="146" t="n">
        <v>0</v>
      </c>
      <c r="K8" s="147" t="n">
        <v>13.75</v>
      </c>
      <c r="L8" s="148" t="n">
        <f aca="false">SUM(D8:J8)</f>
        <v>251.4875</v>
      </c>
    </row>
    <row r="9" customFormat="false" ht="15" hidden="false" customHeight="true" outlineLevel="0" collapsed="false">
      <c r="A9" s="39" t="s">
        <v>354</v>
      </c>
      <c r="B9" s="143" t="s">
        <v>356</v>
      </c>
      <c r="C9" s="144" t="n">
        <v>21.03</v>
      </c>
      <c r="D9" s="145" t="n">
        <f aca="false">1.75*$C9</f>
        <v>36.8025</v>
      </c>
      <c r="E9" s="145" t="n">
        <f aca="false">1.75*$C9</f>
        <v>36.8025</v>
      </c>
      <c r="F9" s="145" t="n">
        <f aca="false">7.75*$C9</f>
        <v>162.9825</v>
      </c>
      <c r="G9" s="146" t="n">
        <v>0</v>
      </c>
      <c r="H9" s="146" t="n">
        <v>0</v>
      </c>
      <c r="I9" s="146" t="n">
        <v>0</v>
      </c>
      <c r="J9" s="146" t="n">
        <v>0</v>
      </c>
      <c r="K9" s="147" t="n">
        <v>11.25</v>
      </c>
      <c r="L9" s="148" t="n">
        <f aca="false">SUM(D9:J9)</f>
        <v>236.5875</v>
      </c>
      <c r="M9" s="149" t="s">
        <v>357</v>
      </c>
    </row>
    <row r="10" customFormat="false" ht="15" hidden="false" customHeight="true" outlineLevel="0" collapsed="false">
      <c r="A10" s="39" t="s">
        <v>358</v>
      </c>
      <c r="B10" s="143" t="s">
        <v>355</v>
      </c>
      <c r="C10" s="144" t="n">
        <v>17.79</v>
      </c>
      <c r="D10" s="146" t="n">
        <v>0</v>
      </c>
      <c r="E10" s="146" t="n">
        <v>0</v>
      </c>
      <c r="F10" s="146" t="n">
        <v>0</v>
      </c>
      <c r="G10" s="146" t="n">
        <v>0</v>
      </c>
      <c r="H10" s="145" t="n">
        <f aca="false">8*$C10</f>
        <v>142.32</v>
      </c>
      <c r="I10" s="145" t="n">
        <f aca="false">8*$C10</f>
        <v>142.32</v>
      </c>
      <c r="J10" s="145" t="n">
        <f aca="false">8*$C10</f>
        <v>142.32</v>
      </c>
      <c r="K10" s="147" t="n">
        <v>24</v>
      </c>
      <c r="L10" s="148" t="n">
        <f aca="false">SUM(D10:J10)</f>
        <v>426.96</v>
      </c>
    </row>
    <row r="11" customFormat="false" ht="15" hidden="false" customHeight="true" outlineLevel="0" collapsed="false">
      <c r="A11" s="39" t="s">
        <v>359</v>
      </c>
      <c r="B11" s="143" t="s">
        <v>360</v>
      </c>
      <c r="C11" s="144" t="n">
        <v>19.79</v>
      </c>
      <c r="D11" s="145" t="n">
        <f aca="false">8*$C11</f>
        <v>158.32</v>
      </c>
      <c r="E11" s="145" t="n">
        <f aca="false">8*$C11</f>
        <v>158.32</v>
      </c>
      <c r="F11" s="145" t="n">
        <f aca="false">8*$C11</f>
        <v>158.32</v>
      </c>
      <c r="G11" s="145" t="n">
        <f aca="false">8*$C11</f>
        <v>158.32</v>
      </c>
      <c r="H11" s="146" t="n">
        <v>0</v>
      </c>
      <c r="I11" s="146" t="n">
        <v>0</v>
      </c>
      <c r="J11" s="145" t="n">
        <f aca="false">3*$C11</f>
        <v>59.37</v>
      </c>
      <c r="K11" s="147" t="n">
        <v>35</v>
      </c>
      <c r="L11" s="148" t="n">
        <f aca="false">SUM(D11:J11)</f>
        <v>692.65</v>
      </c>
      <c r="M11" s="149" t="s">
        <v>361</v>
      </c>
    </row>
    <row r="12" customFormat="false" ht="15" hidden="false" customHeight="true" outlineLevel="0" collapsed="false">
      <c r="A12" s="39" t="s">
        <v>362</v>
      </c>
      <c r="B12" s="143" t="s">
        <v>360</v>
      </c>
      <c r="C12" s="144" t="n">
        <v>21.21</v>
      </c>
      <c r="D12" s="146" t="n">
        <v>0</v>
      </c>
      <c r="E12" s="146" t="n">
        <v>0</v>
      </c>
      <c r="F12" s="145" t="n">
        <f aca="false">8*$C12</f>
        <v>169.68</v>
      </c>
      <c r="G12" s="145" t="n">
        <f aca="false">8*$C12</f>
        <v>169.68</v>
      </c>
      <c r="H12" s="145" t="n">
        <f aca="false">8*$C12</f>
        <v>169.68</v>
      </c>
      <c r="I12" s="145" t="n">
        <f aca="false">8*$C12</f>
        <v>169.68</v>
      </c>
      <c r="J12" s="145" t="n">
        <f aca="false">8*$C12</f>
        <v>169.68</v>
      </c>
      <c r="K12" s="147" t="n">
        <v>40</v>
      </c>
      <c r="L12" s="148" t="n">
        <f aca="false">SUM(D12:J12)</f>
        <v>848.4</v>
      </c>
    </row>
    <row r="13" customFormat="false" ht="15" hidden="false" customHeight="true" outlineLevel="0" collapsed="false">
      <c r="A13" s="39" t="s">
        <v>363</v>
      </c>
      <c r="B13" s="143" t="s">
        <v>364</v>
      </c>
      <c r="C13" s="144" t="n">
        <v>25</v>
      </c>
      <c r="D13" s="146" t="n">
        <v>0</v>
      </c>
      <c r="E13" s="146" t="n">
        <v>0</v>
      </c>
      <c r="F13" s="146" t="n">
        <v>0</v>
      </c>
      <c r="G13" s="145" t="n">
        <f aca="false">8*$C13</f>
        <v>200</v>
      </c>
      <c r="H13" s="145" t="n">
        <f aca="false">8*$C13</f>
        <v>200</v>
      </c>
      <c r="I13" s="146" t="n">
        <v>0</v>
      </c>
      <c r="J13" s="146" t="n">
        <v>0</v>
      </c>
      <c r="K13" s="147" t="n">
        <v>16</v>
      </c>
      <c r="L13" s="148" t="n">
        <f aca="false">SUM(D13:J13)</f>
        <v>400</v>
      </c>
      <c r="M13" s="149" t="s">
        <v>365</v>
      </c>
    </row>
    <row r="14" customFormat="false" ht="15" hidden="false" customHeight="true" outlineLevel="0" collapsed="false">
      <c r="A14" s="119" t="s">
        <v>366</v>
      </c>
      <c r="B14" s="45"/>
      <c r="C14" s="150"/>
      <c r="D14" s="150" t="n">
        <f aca="false">SUM(D8:D13)</f>
        <v>304.8625</v>
      </c>
      <c r="E14" s="150" t="n">
        <f aca="false">SUM(E8:E13)</f>
        <v>336.87</v>
      </c>
      <c r="F14" s="150" t="n">
        <f aca="false">SUM(F8:F13)</f>
        <v>490.9825</v>
      </c>
      <c r="G14" s="150" t="n">
        <f aca="false">SUM(G8:G13)</f>
        <v>528</v>
      </c>
      <c r="H14" s="150" t="n">
        <f aca="false">SUM(H8:H13)</f>
        <v>512</v>
      </c>
      <c r="I14" s="150" t="n">
        <f aca="false">SUM(I8:I13)</f>
        <v>312</v>
      </c>
      <c r="J14" s="150" t="n">
        <f aca="false">SUM(J8:J13)</f>
        <v>371.37</v>
      </c>
      <c r="K14" s="151" t="n">
        <f aca="false">SUM(K8:K13)</f>
        <v>140</v>
      </c>
      <c r="L14" s="91" t="n">
        <f aca="false">SUM(L8:L13)</f>
        <v>2856.085</v>
      </c>
      <c r="M14" s="143" t="s">
        <v>367</v>
      </c>
    </row>
    <row r="17" customFormat="false" ht="15" hidden="false" customHeight="true" outlineLevel="0" collapsed="false">
      <c r="A17" s="36" t="s">
        <v>368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5" hidden="false" customHeight="true" outlineLevel="0" collapsed="false">
      <c r="A18" s="37"/>
      <c r="B18" s="37" t="s">
        <v>369</v>
      </c>
      <c r="D18" s="38" t="s">
        <v>370</v>
      </c>
      <c r="F18" s="38" t="s">
        <v>371</v>
      </c>
      <c r="G18" s="38" t="s">
        <v>372</v>
      </c>
      <c r="H18" s="38" t="s">
        <v>373</v>
      </c>
      <c r="J18" s="38" t="s">
        <v>374</v>
      </c>
    </row>
    <row r="19" customFormat="false" ht="15" hidden="false" customHeight="true" outlineLevel="0" collapsed="false">
      <c r="A19" s="137" t="s">
        <v>375</v>
      </c>
      <c r="B19" s="39" t="s">
        <v>376</v>
      </c>
      <c r="D19" s="152" t="s">
        <v>377</v>
      </c>
      <c r="F19" s="153" t="s">
        <v>378</v>
      </c>
      <c r="G19" s="154" t="n">
        <v>8</v>
      </c>
      <c r="H19" s="145" t="n">
        <f aca="false">8*$C$4</f>
        <v>160</v>
      </c>
      <c r="J19" s="148" t="n">
        <f aca="false">H19*7</f>
        <v>1120</v>
      </c>
    </row>
    <row r="20" customFormat="false" ht="15" hidden="false" customHeight="true" outlineLevel="0" collapsed="false">
      <c r="A20" s="137"/>
      <c r="B20" s="39" t="s">
        <v>379</v>
      </c>
      <c r="D20" s="152" t="s">
        <v>380</v>
      </c>
      <c r="F20" s="153" t="s">
        <v>378</v>
      </c>
      <c r="G20" s="154" t="n">
        <v>8</v>
      </c>
      <c r="H20" s="145" t="n">
        <f aca="false">8*$C$4</f>
        <v>160</v>
      </c>
      <c r="J20" s="148" t="n">
        <f aca="false">H20*7</f>
        <v>1120</v>
      </c>
    </row>
    <row r="21" customFormat="false" ht="15" hidden="false" customHeight="true" outlineLevel="0" collapsed="false">
      <c r="A21" s="137"/>
      <c r="B21" s="39" t="s">
        <v>381</v>
      </c>
      <c r="D21" s="152" t="s">
        <v>382</v>
      </c>
      <c r="F21" s="153" t="s">
        <v>383</v>
      </c>
      <c r="G21" s="154" t="n">
        <v>4</v>
      </c>
      <c r="H21" s="145" t="n">
        <f aca="false">4*$E$4</f>
        <v>100</v>
      </c>
      <c r="J21" s="148" t="n">
        <f aca="false">H21*7</f>
        <v>700</v>
      </c>
    </row>
    <row r="22" customFormat="false" ht="15" hidden="false" customHeight="true" outlineLevel="0" collapsed="false">
      <c r="A22" s="155" t="s">
        <v>384</v>
      </c>
      <c r="B22" s="45"/>
      <c r="D22" s="45"/>
      <c r="F22" s="45"/>
      <c r="G22" s="151" t="n">
        <f aca="false">G19+G20+G21</f>
        <v>20</v>
      </c>
      <c r="H22" s="150" t="n">
        <f aca="false">H19+H20+H21</f>
        <v>420</v>
      </c>
      <c r="J22" s="150" t="n">
        <f aca="false">H22*7</f>
        <v>2940</v>
      </c>
    </row>
    <row r="24" customFormat="false" ht="15" hidden="false" customHeight="true" outlineLevel="0" collapsed="false">
      <c r="A24" s="156" t="s">
        <v>385</v>
      </c>
      <c r="B24" s="157" t="s">
        <v>386</v>
      </c>
      <c r="C24" s="158"/>
      <c r="D24" s="159" t="s">
        <v>387</v>
      </c>
      <c r="E24" s="158"/>
      <c r="F24" s="160" t="s">
        <v>388</v>
      </c>
      <c r="G24" s="161" t="n">
        <v>10</v>
      </c>
      <c r="H24" s="162" t="n">
        <f aca="false">10*$C$4</f>
        <v>200</v>
      </c>
      <c r="I24" s="158"/>
      <c r="J24" s="163" t="n">
        <f aca="false">H24*7</f>
        <v>1400</v>
      </c>
    </row>
    <row r="25" customFormat="false" ht="15" hidden="false" customHeight="true" outlineLevel="0" collapsed="false">
      <c r="A25" s="164"/>
      <c r="B25" s="165" t="s">
        <v>389</v>
      </c>
      <c r="C25" s="166"/>
      <c r="D25" s="167" t="s">
        <v>390</v>
      </c>
      <c r="E25" s="166"/>
      <c r="F25" s="168" t="s">
        <v>391</v>
      </c>
      <c r="G25" s="169" t="n">
        <v>0</v>
      </c>
      <c r="H25" s="170" t="n">
        <v>0</v>
      </c>
      <c r="I25" s="166"/>
      <c r="J25" s="171" t="n">
        <f aca="false">H25*7</f>
        <v>0</v>
      </c>
    </row>
    <row r="26" customFormat="false" ht="15" hidden="false" customHeight="true" outlineLevel="0" collapsed="false">
      <c r="A26" s="156" t="s">
        <v>392</v>
      </c>
      <c r="B26" s="158"/>
      <c r="D26" s="158"/>
      <c r="F26" s="158"/>
      <c r="G26" s="172" t="n">
        <v>10</v>
      </c>
      <c r="H26" s="163" t="n">
        <f aca="false">10*$C$4</f>
        <v>200</v>
      </c>
      <c r="J26" s="163" t="n">
        <f aca="false">H26*7</f>
        <v>1400</v>
      </c>
    </row>
    <row r="28" customFormat="false" ht="15" hidden="false" customHeight="true" outlineLevel="0" collapsed="false">
      <c r="A28" s="108" t="s">
        <v>393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customFormat="false" ht="15" hidden="false" customHeight="true" outlineLevel="0" collapsed="false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73" t="s">
        <v>394</v>
      </c>
      <c r="B1" s="15"/>
      <c r="C1" s="15"/>
      <c r="D1" s="15"/>
    </row>
    <row r="2" customFormat="false" ht="15" hidden="false" customHeight="true" outlineLevel="0" collapsed="false">
      <c r="A2" s="174" t="s">
        <v>395</v>
      </c>
      <c r="B2" s="174"/>
      <c r="C2" s="174"/>
      <c r="D2" s="174"/>
    </row>
    <row r="4" customFormat="false" ht="15" hidden="false" customHeight="true" outlineLevel="0" collapsed="false">
      <c r="A4" s="17" t="s">
        <v>396</v>
      </c>
      <c r="B4" s="49" t="s">
        <v>161</v>
      </c>
      <c r="C4" s="49" t="s">
        <v>162</v>
      </c>
      <c r="D4" s="49" t="s">
        <v>397</v>
      </c>
    </row>
    <row r="5" customFormat="false" ht="15" hidden="false" customHeight="true" outlineLevel="0" collapsed="false">
      <c r="A5" s="50" t="s">
        <v>398</v>
      </c>
      <c r="B5" s="45"/>
      <c r="C5" s="45"/>
      <c r="D5" s="45"/>
    </row>
    <row r="6" customFormat="false" ht="15" hidden="false" customHeight="true" outlineLevel="0" collapsed="false">
      <c r="A6" s="126" t="s">
        <v>399</v>
      </c>
      <c r="B6" s="40" t="n">
        <v>119121</v>
      </c>
      <c r="C6" s="40" t="n">
        <f aca="false">B6/12</f>
        <v>9926.75</v>
      </c>
      <c r="D6" s="28" t="n">
        <f aca="false">B6/258287</f>
        <v>0.461196266169029</v>
      </c>
    </row>
    <row r="7" customFormat="false" ht="15" hidden="false" customHeight="true" outlineLevel="0" collapsed="false">
      <c r="A7" s="126" t="s">
        <v>400</v>
      </c>
      <c r="B7" s="40" t="n">
        <v>133545</v>
      </c>
      <c r="C7" s="40" t="n">
        <f aca="false">B7/12</f>
        <v>11128.75</v>
      </c>
      <c r="D7" s="28" t="n">
        <f aca="false">B7/258287</f>
        <v>0.517041120923624</v>
      </c>
    </row>
    <row r="8" customFormat="false" ht="15" hidden="false" customHeight="true" outlineLevel="0" collapsed="false">
      <c r="A8" s="126" t="s">
        <v>401</v>
      </c>
      <c r="B8" s="40" t="n">
        <v>17887</v>
      </c>
      <c r="C8" s="40" t="n">
        <f aca="false">B8/12</f>
        <v>1490.58333333333</v>
      </c>
      <c r="D8" s="28" t="n">
        <f aca="false">B8/258287</f>
        <v>0.0692524207567551</v>
      </c>
    </row>
    <row r="9" customFormat="false" ht="15" hidden="false" customHeight="true" outlineLevel="0" collapsed="false">
      <c r="A9" s="126" t="s">
        <v>402</v>
      </c>
      <c r="B9" s="40" t="n">
        <v>6836</v>
      </c>
      <c r="C9" s="40" t="n">
        <f aca="false">B9/12</f>
        <v>569.666666666667</v>
      </c>
      <c r="D9" s="28" t="n">
        <f aca="false">B9/258287</f>
        <v>0.026466682411426</v>
      </c>
    </row>
    <row r="10" customFormat="false" ht="15" hidden="false" customHeight="true" outlineLevel="0" collapsed="false">
      <c r="A10" s="126" t="s">
        <v>403</v>
      </c>
      <c r="B10" s="40" t="n">
        <v>-20307</v>
      </c>
      <c r="C10" s="40" t="n">
        <f aca="false">B10/12</f>
        <v>-1692.25</v>
      </c>
      <c r="D10" s="28" t="n">
        <f aca="false">B10/258287</f>
        <v>-0.0786218431434799</v>
      </c>
    </row>
    <row r="11" customFormat="false" ht="15" hidden="false" customHeight="true" outlineLevel="0" collapsed="false">
      <c r="A11" s="126" t="s">
        <v>404</v>
      </c>
      <c r="B11" s="40" t="n">
        <v>1204</v>
      </c>
      <c r="C11" s="40" t="n">
        <f aca="false">B11/12</f>
        <v>100.333333333333</v>
      </c>
      <c r="D11" s="28" t="n">
        <f aca="false">B11/258287</f>
        <v>0.00466148122050277</v>
      </c>
    </row>
    <row r="12" customFormat="false" ht="15" hidden="false" customHeight="true" outlineLevel="0" collapsed="false">
      <c r="A12" s="112" t="s">
        <v>405</v>
      </c>
      <c r="B12" s="91" t="n">
        <v>258287</v>
      </c>
      <c r="C12" s="114" t="n">
        <f aca="false">B12/12</f>
        <v>21523.9166666667</v>
      </c>
      <c r="D12" s="115" t="n">
        <f aca="false">B12/258287</f>
        <v>1</v>
      </c>
    </row>
    <row r="13" customFormat="false" ht="15" hidden="false" customHeight="true" outlineLevel="0" collapsed="false">
      <c r="B13" s="51"/>
      <c r="C13" s="54"/>
      <c r="D13" s="54"/>
    </row>
    <row r="14" customFormat="false" ht="15" hidden="false" customHeight="true" outlineLevel="0" collapsed="false">
      <c r="A14" s="50" t="s">
        <v>406</v>
      </c>
      <c r="B14" s="175"/>
      <c r="C14" s="176"/>
      <c r="D14" s="176"/>
    </row>
    <row r="15" customFormat="false" ht="15" hidden="false" customHeight="true" outlineLevel="0" collapsed="false">
      <c r="A15" s="126" t="s">
        <v>407</v>
      </c>
      <c r="B15" s="40" t="n">
        <v>48655</v>
      </c>
      <c r="C15" s="40" t="n">
        <f aca="false">B15/12</f>
        <v>4054.58333333333</v>
      </c>
      <c r="D15" s="28" t="n">
        <f aca="false">B15/258287</f>
        <v>0.188375721581032</v>
      </c>
    </row>
    <row r="16" customFormat="false" ht="15" hidden="false" customHeight="true" outlineLevel="0" collapsed="false">
      <c r="A16" s="126" t="s">
        <v>408</v>
      </c>
      <c r="B16" s="40" t="n">
        <v>27428</v>
      </c>
      <c r="C16" s="40" t="n">
        <f aca="false">B16/12</f>
        <v>2285.66666666667</v>
      </c>
      <c r="D16" s="28" t="n">
        <f aca="false">B16/258287</f>
        <v>0.106191949265739</v>
      </c>
    </row>
    <row r="17" customFormat="false" ht="15" hidden="false" customHeight="true" outlineLevel="0" collapsed="false">
      <c r="A17" s="126" t="s">
        <v>409</v>
      </c>
      <c r="B17" s="40" t="n">
        <v>5516</v>
      </c>
      <c r="C17" s="40" t="n">
        <f aca="false">B17/12</f>
        <v>459.666666666667</v>
      </c>
      <c r="D17" s="28" t="n">
        <f aca="false">B17/258287</f>
        <v>0.0213560883823034</v>
      </c>
    </row>
    <row r="18" customFormat="false" ht="15" hidden="false" customHeight="true" outlineLevel="0" collapsed="false">
      <c r="A18" s="126" t="s">
        <v>410</v>
      </c>
      <c r="B18" s="40" t="n">
        <v>0</v>
      </c>
      <c r="C18" s="40" t="n">
        <f aca="false">B18/12</f>
        <v>0</v>
      </c>
      <c r="D18" s="28" t="n">
        <f aca="false">B18/258287</f>
        <v>0</v>
      </c>
    </row>
    <row r="19" customFormat="false" ht="15" hidden="false" customHeight="true" outlineLevel="0" collapsed="false">
      <c r="A19" s="50" t="s">
        <v>146</v>
      </c>
      <c r="B19" s="43" t="n">
        <v>81599</v>
      </c>
      <c r="C19" s="177" t="n">
        <f aca="false">B19/12</f>
        <v>6799.91666666667</v>
      </c>
      <c r="D19" s="178" t="n">
        <f aca="false">B19/258287</f>
        <v>0.315923759229075</v>
      </c>
    </row>
    <row r="20" customFormat="false" ht="15" hidden="false" customHeight="true" outlineLevel="0" collapsed="false">
      <c r="A20" s="112" t="s">
        <v>9</v>
      </c>
      <c r="B20" s="91" t="n">
        <v>176688</v>
      </c>
      <c r="C20" s="114" t="n">
        <f aca="false">B20/12</f>
        <v>14724</v>
      </c>
      <c r="D20" s="115" t="n">
        <f aca="false">B20/258287</f>
        <v>0.684076240770925</v>
      </c>
    </row>
    <row r="21" customFormat="false" ht="15" hidden="false" customHeight="true" outlineLevel="0" collapsed="false">
      <c r="B21" s="51"/>
      <c r="C21" s="54"/>
      <c r="D21" s="54"/>
    </row>
    <row r="22" customFormat="false" ht="15" hidden="false" customHeight="true" outlineLevel="0" collapsed="false">
      <c r="A22" s="50" t="s">
        <v>113</v>
      </c>
      <c r="B22" s="175"/>
      <c r="C22" s="176"/>
      <c r="D22" s="176"/>
    </row>
    <row r="23" customFormat="false" ht="15" hidden="false" customHeight="true" outlineLevel="0" collapsed="false">
      <c r="A23" s="126" t="s">
        <v>411</v>
      </c>
      <c r="B23" s="40" t="n">
        <v>142124</v>
      </c>
      <c r="C23" s="40" t="n">
        <f aca="false">B23/12</f>
        <v>11843.6666666667</v>
      </c>
      <c r="D23" s="28" t="n">
        <f aca="false">B23/258287</f>
        <v>0.550256110450778</v>
      </c>
    </row>
    <row r="24" customFormat="false" ht="15" hidden="false" customHeight="true" outlineLevel="0" collapsed="false">
      <c r="A24" s="126" t="s">
        <v>412</v>
      </c>
      <c r="B24" s="40" t="n">
        <v>16219</v>
      </c>
      <c r="C24" s="40" t="n">
        <f aca="false">B24/12</f>
        <v>1351.58333333333</v>
      </c>
      <c r="D24" s="28" t="n">
        <f aca="false">B24/258287</f>
        <v>0.0627944883017728</v>
      </c>
    </row>
    <row r="25" customFormat="false" ht="15" hidden="false" customHeight="true" outlineLevel="0" collapsed="false">
      <c r="A25" s="126" t="s">
        <v>413</v>
      </c>
      <c r="B25" s="40" t="n">
        <v>6514</v>
      </c>
      <c r="C25" s="40" t="n">
        <f aca="false">B25/12</f>
        <v>542.833333333333</v>
      </c>
      <c r="D25" s="28" t="n">
        <f aca="false">B25/258287</f>
        <v>0.0252200072012916</v>
      </c>
    </row>
    <row r="26" customFormat="false" ht="15" hidden="false" customHeight="true" outlineLevel="0" collapsed="false">
      <c r="A26" s="50" t="s">
        <v>149</v>
      </c>
      <c r="B26" s="43" t="n">
        <v>164857</v>
      </c>
      <c r="C26" s="177" t="n">
        <f aca="false">B26/12</f>
        <v>13738.0833333333</v>
      </c>
      <c r="D26" s="178" t="n">
        <f aca="false">B26/258287</f>
        <v>0.638270605953842</v>
      </c>
    </row>
    <row r="27" customFormat="false" ht="15" hidden="false" customHeight="true" outlineLevel="0" collapsed="false">
      <c r="B27" s="51"/>
      <c r="C27" s="54"/>
      <c r="D27" s="54"/>
    </row>
    <row r="28" customFormat="false" ht="15" hidden="false" customHeight="true" outlineLevel="0" collapsed="false">
      <c r="A28" s="50" t="s">
        <v>414</v>
      </c>
      <c r="B28" s="175"/>
      <c r="C28" s="176"/>
      <c r="D28" s="176"/>
    </row>
    <row r="29" customFormat="false" ht="15" hidden="false" customHeight="true" outlineLevel="0" collapsed="false">
      <c r="A29" s="126" t="s">
        <v>415</v>
      </c>
      <c r="B29" s="40" t="n">
        <v>44540</v>
      </c>
      <c r="C29" s="40" t="n">
        <f aca="false">B29/12</f>
        <v>3711.66666666667</v>
      </c>
      <c r="D29" s="28" t="n">
        <f aca="false">B29/258287</f>
        <v>0.172443831861456</v>
      </c>
    </row>
    <row r="30" customFormat="false" ht="15" hidden="false" customHeight="true" outlineLevel="0" collapsed="false">
      <c r="A30" s="126" t="s">
        <v>416</v>
      </c>
      <c r="B30" s="40" t="n">
        <v>11918</v>
      </c>
      <c r="C30" s="40" t="n">
        <f aca="false">B30/12</f>
        <v>993.166666666667</v>
      </c>
      <c r="D30" s="28" t="n">
        <f aca="false">B30/258287</f>
        <v>0.0461424694235482</v>
      </c>
    </row>
    <row r="31" customFormat="false" ht="15" hidden="false" customHeight="true" outlineLevel="0" collapsed="false">
      <c r="A31" s="126" t="s">
        <v>417</v>
      </c>
      <c r="B31" s="40" t="n">
        <v>2912</v>
      </c>
      <c r="C31" s="40" t="n">
        <f aca="false">B31/12</f>
        <v>242.666666666667</v>
      </c>
      <c r="D31" s="28" t="n">
        <f aca="false">B31/258287</f>
        <v>0.011274280161216</v>
      </c>
    </row>
    <row r="32" customFormat="false" ht="15" hidden="false" customHeight="true" outlineLevel="0" collapsed="false">
      <c r="A32" s="126" t="s">
        <v>418</v>
      </c>
      <c r="B32" s="40" t="n">
        <v>30305</v>
      </c>
      <c r="C32" s="40" t="n">
        <f aca="false">B32/12</f>
        <v>2525.41666666667</v>
      </c>
      <c r="D32" s="28" t="n">
        <f aca="false">B32/258287</f>
        <v>0.117330721251941</v>
      </c>
    </row>
    <row r="33" customFormat="false" ht="15" hidden="false" customHeight="true" outlineLevel="0" collapsed="false">
      <c r="A33" s="50" t="s">
        <v>419</v>
      </c>
      <c r="B33" s="43" t="n">
        <v>89675</v>
      </c>
      <c r="C33" s="177" t="n">
        <f aca="false">B33/12</f>
        <v>7472.91666666667</v>
      </c>
      <c r="D33" s="178" t="n">
        <f aca="false">B33/258287</f>
        <v>0.347191302698161</v>
      </c>
    </row>
    <row r="34" customFormat="false" ht="15" hidden="false" customHeight="true" outlineLevel="0" collapsed="false">
      <c r="A34" s="26" t="s">
        <v>420</v>
      </c>
      <c r="B34" s="40" t="n">
        <v>10012</v>
      </c>
      <c r="C34" s="40" t="n">
        <f aca="false">B34/12</f>
        <v>834.333333333333</v>
      </c>
      <c r="D34" s="28" t="n">
        <f aca="false">B34/258287</f>
        <v>0.0387630813784666</v>
      </c>
    </row>
    <row r="35" customFormat="false" ht="15" hidden="false" customHeight="true" outlineLevel="0" collapsed="false">
      <c r="A35" s="23" t="s">
        <v>421</v>
      </c>
      <c r="B35" s="41" t="n">
        <v>5657</v>
      </c>
      <c r="C35" s="40" t="n">
        <f aca="false">B35/12</f>
        <v>471.416666666667</v>
      </c>
      <c r="D35" s="28" t="n">
        <f aca="false">B35/258287</f>
        <v>0.0219019927445051</v>
      </c>
    </row>
    <row r="37" customFormat="false" ht="15" hidden="false" customHeight="true" outlineLevel="0" collapsed="false">
      <c r="A37" s="179" t="s">
        <v>15</v>
      </c>
      <c r="B37" s="44" t="n">
        <v>-93513</v>
      </c>
      <c r="C37" s="180" t="n">
        <f aca="false">B37/12</f>
        <v>-7792.75</v>
      </c>
      <c r="D37" s="115" t="n">
        <f aca="false">B37/258287</f>
        <v>-0.36205074200405</v>
      </c>
    </row>
    <row r="38" customFormat="false" ht="15" hidden="false" customHeight="true" outlineLevel="0" collapsed="false">
      <c r="A38" s="126" t="s">
        <v>422</v>
      </c>
      <c r="B38" s="40" t="n">
        <v>-48000</v>
      </c>
      <c r="C38" s="40" t="n">
        <f aca="false">B38/12</f>
        <v>-4000</v>
      </c>
    </row>
    <row r="39" customFormat="false" ht="15" hidden="false" customHeight="true" outlineLevel="0" collapsed="false">
      <c r="A39" s="126" t="s">
        <v>423</v>
      </c>
      <c r="B39" s="40" t="n">
        <v>-15642</v>
      </c>
      <c r="C39" s="40" t="n">
        <f aca="false">B39/12</f>
        <v>-1303.5</v>
      </c>
    </row>
    <row r="40" customFormat="false" ht="15" hidden="false" customHeight="true" outlineLevel="0" collapsed="false">
      <c r="A40" s="179" t="s">
        <v>424</v>
      </c>
      <c r="B40" s="44" t="n">
        <v>-157155</v>
      </c>
      <c r="C40" s="180" t="n">
        <f aca="false">B40/12</f>
        <v>-13096.25</v>
      </c>
      <c r="D40" s="115" t="n">
        <f aca="false">B40/258287</f>
        <v>-0.60845106412634</v>
      </c>
    </row>
    <row r="42" customFormat="false" ht="15" hidden="false" customHeight="true" outlineLevel="0" collapsed="false">
      <c r="A42" s="181" t="s">
        <v>425</v>
      </c>
      <c r="B42" s="181"/>
      <c r="C42" s="181"/>
      <c r="D42" s="181"/>
    </row>
    <row r="43" customFormat="false" ht="15" hidden="false" customHeight="true" outlineLevel="0" collapsed="false">
      <c r="A43" s="181"/>
      <c r="B43" s="181"/>
      <c r="C43" s="181"/>
      <c r="D43" s="181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23" t="s">
        <v>426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24" t="s">
        <v>427</v>
      </c>
      <c r="B2" s="124"/>
      <c r="C2" s="124"/>
      <c r="D2" s="124"/>
      <c r="E2" s="124"/>
      <c r="F2" s="124"/>
      <c r="G2" s="124"/>
      <c r="H2" s="124"/>
      <c r="I2" s="124"/>
    </row>
    <row r="4" customFormat="false" ht="15" hidden="false" customHeight="true" outlineLevel="0" collapsed="false">
      <c r="A4" s="37" t="s">
        <v>428</v>
      </c>
      <c r="B4" s="37" t="s">
        <v>429</v>
      </c>
      <c r="C4" s="38" t="s">
        <v>430</v>
      </c>
      <c r="D4" s="38" t="s">
        <v>431</v>
      </c>
      <c r="E4" s="38" t="s">
        <v>432</v>
      </c>
      <c r="F4" s="38" t="s">
        <v>433</v>
      </c>
      <c r="G4" s="38" t="s">
        <v>434</v>
      </c>
      <c r="H4" s="38" t="s">
        <v>435</v>
      </c>
      <c r="I4" s="38" t="s">
        <v>436</v>
      </c>
    </row>
    <row r="5" customFormat="false" ht="15" hidden="false" customHeight="true" outlineLevel="0" collapsed="false">
      <c r="A5" s="182" t="s">
        <v>437</v>
      </c>
      <c r="B5" s="183"/>
      <c r="C5" s="184"/>
      <c r="D5" s="184"/>
      <c r="E5" s="184"/>
      <c r="F5" s="184"/>
      <c r="G5" s="184"/>
      <c r="H5" s="184"/>
      <c r="I5" s="184"/>
    </row>
    <row r="6" customFormat="false" ht="15" hidden="false" customHeight="true" outlineLevel="0" collapsed="false">
      <c r="A6" s="39" t="s">
        <v>438</v>
      </c>
      <c r="B6" s="141" t="s">
        <v>439</v>
      </c>
      <c r="C6" s="27" t="n">
        <f aca="false">2441*12/5</f>
        <v>5858.4</v>
      </c>
      <c r="D6" s="185" t="n">
        <f aca="false">IF(C6=0,0,E6/C6)</f>
        <v>5.53011061040557</v>
      </c>
      <c r="E6" s="40" t="n">
        <f aca="false">13499*12/5</f>
        <v>32397.6</v>
      </c>
      <c r="F6" s="186" t="n">
        <v>0.5</v>
      </c>
      <c r="G6" s="185" t="n">
        <f aca="false">D6+F6</f>
        <v>6.03011061040557</v>
      </c>
      <c r="H6" s="40" t="n">
        <f aca="false">E6+I6</f>
        <v>35326.8</v>
      </c>
      <c r="I6" s="41" t="n">
        <f aca="false">C6*F6</f>
        <v>2929.2</v>
      </c>
    </row>
    <row r="7" customFormat="false" ht="15" hidden="false" customHeight="true" outlineLevel="0" collapsed="false">
      <c r="A7" s="39" t="s">
        <v>440</v>
      </c>
      <c r="B7" s="141" t="s">
        <v>439</v>
      </c>
      <c r="C7" s="27" t="n">
        <f aca="false">1454*12/5</f>
        <v>3489.6</v>
      </c>
      <c r="D7" s="185" t="n">
        <f aca="false">IF(C7=0,0,E7/C7)</f>
        <v>3.45942228335626</v>
      </c>
      <c r="E7" s="40" t="n">
        <f aca="false">5030*12/5</f>
        <v>12072</v>
      </c>
      <c r="F7" s="186" t="n">
        <v>0.5</v>
      </c>
      <c r="G7" s="185" t="n">
        <f aca="false">D7+F7</f>
        <v>3.95942228335626</v>
      </c>
      <c r="H7" s="40" t="n">
        <f aca="false">E7+I7</f>
        <v>13816.8</v>
      </c>
      <c r="I7" s="41" t="n">
        <f aca="false">C7*F7</f>
        <v>1744.8</v>
      </c>
    </row>
    <row r="8" customFormat="false" ht="15" hidden="false" customHeight="true" outlineLevel="0" collapsed="false">
      <c r="A8" s="39" t="s">
        <v>441</v>
      </c>
      <c r="B8" s="141" t="s">
        <v>439</v>
      </c>
      <c r="C8" s="27" t="n">
        <f aca="false">823*12/5</f>
        <v>1975.2</v>
      </c>
      <c r="D8" s="185" t="n">
        <f aca="false">IF(C8=0,0,E8/C8)</f>
        <v>5.22357229647631</v>
      </c>
      <c r="E8" s="40" t="n">
        <f aca="false">4299*12/5</f>
        <v>10317.6</v>
      </c>
      <c r="F8" s="186" t="n">
        <v>0.5</v>
      </c>
      <c r="G8" s="185" t="n">
        <f aca="false">D8+F8</f>
        <v>5.72357229647631</v>
      </c>
      <c r="H8" s="40" t="n">
        <f aca="false">E8+I8</f>
        <v>11305.2</v>
      </c>
      <c r="I8" s="41" t="n">
        <f aca="false">C8*F8</f>
        <v>987.6</v>
      </c>
    </row>
    <row r="9" customFormat="false" ht="15" hidden="false" customHeight="true" outlineLevel="0" collapsed="false">
      <c r="A9" s="39" t="s">
        <v>442</v>
      </c>
      <c r="B9" s="141" t="s">
        <v>439</v>
      </c>
      <c r="C9" s="27" t="n">
        <f aca="false">512*12/5</f>
        <v>1228.8</v>
      </c>
      <c r="D9" s="185" t="n">
        <f aca="false">IF(C9=0,0,E9/C9)</f>
        <v>4.375</v>
      </c>
      <c r="E9" s="40" t="n">
        <f aca="false">2240*12/5</f>
        <v>5376</v>
      </c>
      <c r="F9" s="186" t="n">
        <v>0.5</v>
      </c>
      <c r="G9" s="185" t="n">
        <f aca="false">D9+F9</f>
        <v>4.875</v>
      </c>
      <c r="H9" s="40" t="n">
        <f aca="false">E9+I9</f>
        <v>5990.4</v>
      </c>
      <c r="I9" s="41" t="n">
        <f aca="false">C9*F9</f>
        <v>614.4</v>
      </c>
    </row>
    <row r="10" customFormat="false" ht="15" hidden="false" customHeight="true" outlineLevel="0" collapsed="false">
      <c r="A10" s="39" t="s">
        <v>443</v>
      </c>
      <c r="B10" s="141" t="s">
        <v>439</v>
      </c>
      <c r="C10" s="27" t="n">
        <f aca="false">528*12/5</f>
        <v>1267.2</v>
      </c>
      <c r="D10" s="185" t="n">
        <f aca="false">IF(C10=0,0,E10/C10)</f>
        <v>4.01136363636364</v>
      </c>
      <c r="E10" s="40" t="n">
        <f aca="false">2118*12/5</f>
        <v>5083.2</v>
      </c>
      <c r="F10" s="186" t="n">
        <v>0.5</v>
      </c>
      <c r="G10" s="185" t="n">
        <f aca="false">D10+F10</f>
        <v>4.51136363636364</v>
      </c>
      <c r="H10" s="40" t="n">
        <f aca="false">E10+I10</f>
        <v>5716.8</v>
      </c>
      <c r="I10" s="41" t="n">
        <f aca="false">C10*F10</f>
        <v>633.6</v>
      </c>
    </row>
    <row r="11" customFormat="false" ht="15" hidden="false" customHeight="true" outlineLevel="0" collapsed="false">
      <c r="A11" s="39" t="s">
        <v>444</v>
      </c>
      <c r="B11" s="141" t="s">
        <v>439</v>
      </c>
      <c r="C11" s="27" t="n">
        <f aca="false">737*12/5</f>
        <v>1768.8</v>
      </c>
      <c r="D11" s="185" t="n">
        <f aca="false">IF(C11=0,0,E11/C11)</f>
        <v>2.69199457259159</v>
      </c>
      <c r="E11" s="40" t="n">
        <f aca="false">1984*12/5</f>
        <v>4761.6</v>
      </c>
      <c r="F11" s="186" t="n">
        <v>0.5</v>
      </c>
      <c r="G11" s="185" t="n">
        <f aca="false">D11+F11</f>
        <v>3.19199457259159</v>
      </c>
      <c r="H11" s="40" t="n">
        <f aca="false">E11+I11</f>
        <v>5646</v>
      </c>
      <c r="I11" s="41" t="n">
        <f aca="false">C11*F11</f>
        <v>884.4</v>
      </c>
    </row>
    <row r="12" customFormat="false" ht="15" hidden="false" customHeight="true" outlineLevel="0" collapsed="false">
      <c r="A12" s="39" t="s">
        <v>445</v>
      </c>
      <c r="B12" s="141" t="s">
        <v>439</v>
      </c>
      <c r="C12" s="27" t="n">
        <f aca="false">348*12/5</f>
        <v>835.2</v>
      </c>
      <c r="D12" s="185" t="n">
        <f aca="false">IF(C12=0,0,E12/C12)</f>
        <v>6.63793103448276</v>
      </c>
      <c r="E12" s="40" t="n">
        <f aca="false">2310*12/5</f>
        <v>5544</v>
      </c>
      <c r="F12" s="186" t="n">
        <v>0.5</v>
      </c>
      <c r="G12" s="185" t="n">
        <f aca="false">D12+F12</f>
        <v>7.13793103448276</v>
      </c>
      <c r="H12" s="40" t="n">
        <f aca="false">E12+I12</f>
        <v>5961.6</v>
      </c>
      <c r="I12" s="41" t="n">
        <f aca="false">C12*F12</f>
        <v>417.6</v>
      </c>
    </row>
    <row r="13" customFormat="false" ht="15" hidden="false" customHeight="true" outlineLevel="0" collapsed="false">
      <c r="A13" s="39" t="s">
        <v>446</v>
      </c>
      <c r="B13" s="141" t="s">
        <v>439</v>
      </c>
      <c r="C13" s="27" t="n">
        <f aca="false">20731-SUM(C6:C12)</f>
        <v>4307.8</v>
      </c>
      <c r="D13" s="185" t="n">
        <f aca="false">IF(C13=0,0,E13/C13)</f>
        <v>4.75973814940341</v>
      </c>
      <c r="E13" s="40" t="n">
        <f aca="false">96056-SUM(E6:E12)</f>
        <v>20504</v>
      </c>
      <c r="F13" s="186" t="n">
        <v>0.5</v>
      </c>
      <c r="G13" s="185" t="n">
        <f aca="false">D13+F13</f>
        <v>5.25973814940341</v>
      </c>
      <c r="H13" s="40" t="n">
        <f aca="false">E13+I13</f>
        <v>22657.9</v>
      </c>
      <c r="I13" s="41" t="n">
        <f aca="false">C13*F13</f>
        <v>2153.9</v>
      </c>
    </row>
    <row r="14" customFormat="false" ht="15" hidden="false" customHeight="true" outlineLevel="0" collapsed="false">
      <c r="A14" s="182" t="s">
        <v>447</v>
      </c>
      <c r="B14" s="183"/>
      <c r="C14" s="184"/>
      <c r="D14" s="183"/>
      <c r="E14" s="184"/>
      <c r="F14" s="183"/>
      <c r="G14" s="183"/>
      <c r="H14" s="184"/>
      <c r="I14" s="184"/>
    </row>
    <row r="15" customFormat="false" ht="15" hidden="false" customHeight="true" outlineLevel="0" collapsed="false">
      <c r="A15" s="187" t="s">
        <v>448</v>
      </c>
      <c r="B15" s="188" t="s">
        <v>186</v>
      </c>
      <c r="C15" s="189" t="n">
        <f aca="false">684*12/5</f>
        <v>1641.6</v>
      </c>
      <c r="D15" s="190" t="n">
        <f aca="false">IF(C15=0,0,E15/C15)</f>
        <v>11.7923976608187</v>
      </c>
      <c r="E15" s="191" t="n">
        <f aca="false">8066*12/5</f>
        <v>19358.4</v>
      </c>
      <c r="F15" s="192" t="n">
        <v>1</v>
      </c>
      <c r="G15" s="190" t="n">
        <f aca="false">D15+F15</f>
        <v>12.7923976608187</v>
      </c>
      <c r="H15" s="191" t="n">
        <f aca="false">E15+I15</f>
        <v>21000</v>
      </c>
      <c r="I15" s="193" t="n">
        <f aca="false">C15*F15</f>
        <v>1641.6</v>
      </c>
    </row>
    <row r="16" customFormat="false" ht="15" hidden="false" customHeight="true" outlineLevel="0" collapsed="false">
      <c r="A16" s="39" t="s">
        <v>449</v>
      </c>
      <c r="B16" s="188" t="s">
        <v>186</v>
      </c>
      <c r="C16" s="189" t="n">
        <f aca="false">261*12/5</f>
        <v>626.4</v>
      </c>
      <c r="D16" s="190" t="n">
        <f aca="false">IF(C16=0,0,E16/C16)</f>
        <v>9.75862068965517</v>
      </c>
      <c r="E16" s="191" t="n">
        <f aca="false">2547*12/5</f>
        <v>6112.8</v>
      </c>
      <c r="F16" s="192" t="n">
        <v>1</v>
      </c>
      <c r="G16" s="190" t="n">
        <f aca="false">D16+F16</f>
        <v>10.7586206896552</v>
      </c>
      <c r="H16" s="191" t="n">
        <f aca="false">E16+I16</f>
        <v>6739.2</v>
      </c>
      <c r="I16" s="193" t="n">
        <f aca="false">C16*F16</f>
        <v>626.4</v>
      </c>
    </row>
    <row r="17" customFormat="false" ht="15" hidden="false" customHeight="true" outlineLevel="0" collapsed="false">
      <c r="A17" s="39" t="s">
        <v>450</v>
      </c>
      <c r="B17" s="188" t="s">
        <v>186</v>
      </c>
      <c r="C17" s="27" t="n">
        <f aca="false">3386-SUM(C15:C16)</f>
        <v>1118</v>
      </c>
      <c r="D17" s="190" t="n">
        <f aca="false">IF(C17=0,0,E17/C17)</f>
        <v>12.1509838998211</v>
      </c>
      <c r="E17" s="191" t="n">
        <f aca="false">39056-SUM(E15:E16)</f>
        <v>13584.8</v>
      </c>
      <c r="F17" s="192" t="n">
        <v>1</v>
      </c>
      <c r="G17" s="190" t="n">
        <f aca="false">D17+F17</f>
        <v>13.1509838998211</v>
      </c>
      <c r="H17" s="191" t="n">
        <f aca="false">E17+I17</f>
        <v>14702.8</v>
      </c>
      <c r="I17" s="193" t="n">
        <f aca="false">C17*F17</f>
        <v>1118</v>
      </c>
    </row>
    <row r="18" customFormat="false" ht="15" hidden="false" customHeight="true" outlineLevel="0" collapsed="false">
      <c r="A18" s="182" t="s">
        <v>451</v>
      </c>
      <c r="B18" s="194"/>
      <c r="C18" s="184"/>
      <c r="D18" s="194"/>
      <c r="E18" s="194"/>
      <c r="F18" s="194"/>
      <c r="G18" s="194"/>
      <c r="H18" s="194"/>
      <c r="I18" s="194"/>
    </row>
    <row r="19" customFormat="false" ht="15" hidden="false" customHeight="true" outlineLevel="0" collapsed="false">
      <c r="A19" s="39" t="s">
        <v>452</v>
      </c>
      <c r="B19" s="188" t="s">
        <v>439</v>
      </c>
      <c r="C19" s="27" t="n">
        <f aca="false">385*12/5</f>
        <v>924</v>
      </c>
      <c r="D19" s="190" t="n">
        <f aca="false">IF(C19=0,0,E19/C19)</f>
        <v>5.71428571428571</v>
      </c>
      <c r="E19" s="191" t="n">
        <f aca="false">2200*12/5</f>
        <v>5280</v>
      </c>
      <c r="F19" s="192" t="n">
        <v>0.5</v>
      </c>
      <c r="G19" s="190" t="n">
        <f aca="false">D19+F19</f>
        <v>6.21428571428571</v>
      </c>
      <c r="H19" s="191" t="n">
        <f aca="false">E19+I19</f>
        <v>5742</v>
      </c>
      <c r="I19" s="193" t="n">
        <f aca="false">C19*F19</f>
        <v>462</v>
      </c>
    </row>
    <row r="20" customFormat="false" ht="15" hidden="false" customHeight="true" outlineLevel="0" collapsed="false">
      <c r="A20" s="39" t="s">
        <v>453</v>
      </c>
      <c r="B20" s="188" t="s">
        <v>439</v>
      </c>
      <c r="C20" s="27" t="n">
        <f aca="false">6022-C19</f>
        <v>5098</v>
      </c>
      <c r="D20" s="190" t="n">
        <f aca="false">IF(C20=0,0,E20/C20)</f>
        <v>4.39623381718321</v>
      </c>
      <c r="E20" s="191" t="n">
        <f aca="false">27692-E19</f>
        <v>22412</v>
      </c>
      <c r="F20" s="192" t="n">
        <v>0.5</v>
      </c>
      <c r="G20" s="190" t="n">
        <f aca="false">D20+F20</f>
        <v>4.89623381718321</v>
      </c>
      <c r="H20" s="191" t="n">
        <f aca="false">E20+I20</f>
        <v>24961</v>
      </c>
      <c r="I20" s="193" t="n">
        <f aca="false">C20*F20</f>
        <v>2549</v>
      </c>
    </row>
    <row r="21" customFormat="false" ht="15" hidden="false" customHeight="true" outlineLevel="0" collapsed="false">
      <c r="A21" s="195" t="s">
        <v>454</v>
      </c>
      <c r="B21" s="194"/>
      <c r="C21" s="194"/>
      <c r="D21" s="194"/>
      <c r="E21" s="194"/>
      <c r="F21" s="194"/>
      <c r="G21" s="194"/>
      <c r="H21" s="194"/>
      <c r="I21" s="194"/>
    </row>
    <row r="22" customFormat="false" ht="15" hidden="false" customHeight="true" outlineLevel="0" collapsed="false">
      <c r="A22" s="39" t="s">
        <v>455</v>
      </c>
      <c r="B22" s="188" t="s">
        <v>186</v>
      </c>
      <c r="C22" s="189" t="n">
        <v>3775</v>
      </c>
      <c r="D22" s="190" t="n">
        <f aca="false">IF(C22=0,0,E22/C22)</f>
        <v>4.54145695364238</v>
      </c>
      <c r="E22" s="191" t="n">
        <v>17144</v>
      </c>
      <c r="F22" s="192" t="n">
        <v>0.5</v>
      </c>
      <c r="G22" s="190" t="n">
        <f aca="false">D22+F22</f>
        <v>5.04145695364238</v>
      </c>
      <c r="H22" s="191" t="n">
        <f aca="false">E22+I22</f>
        <v>19031.5</v>
      </c>
      <c r="I22" s="193" t="n">
        <f aca="false">C22*F22</f>
        <v>1887.5</v>
      </c>
    </row>
    <row r="23" customFormat="false" ht="15" hidden="false" customHeight="true" outlineLevel="0" collapsed="false">
      <c r="A23" s="39" t="s">
        <v>456</v>
      </c>
      <c r="B23" s="188" t="s">
        <v>439</v>
      </c>
      <c r="C23" s="27" t="n">
        <v>806</v>
      </c>
      <c r="D23" s="190" t="n">
        <f aca="false">IF(C23=0,0,E23/C23)</f>
        <v>6.74565756823821</v>
      </c>
      <c r="E23" s="191" t="n">
        <v>5437</v>
      </c>
      <c r="F23" s="192" t="n">
        <v>0.5</v>
      </c>
      <c r="G23" s="190" t="n">
        <f aca="false">D23+F23</f>
        <v>7.24565756823821</v>
      </c>
      <c r="H23" s="191" t="n">
        <f aca="false">E23+I23</f>
        <v>5840</v>
      </c>
      <c r="I23" s="193" t="n">
        <f aca="false">C23*F23</f>
        <v>403</v>
      </c>
    </row>
    <row r="24" customFormat="false" ht="15" hidden="false" customHeight="true" outlineLevel="0" collapsed="false">
      <c r="A24" s="39" t="s">
        <v>457</v>
      </c>
      <c r="B24" s="188" t="s">
        <v>186</v>
      </c>
      <c r="C24" s="27" t="n">
        <v>1037</v>
      </c>
      <c r="D24" s="190" t="n">
        <f aca="false">IF(C24=0,0,E24/C24)</f>
        <v>6.13114754098361</v>
      </c>
      <c r="E24" s="191" t="n">
        <v>6358</v>
      </c>
      <c r="F24" s="192" t="n">
        <v>0.5</v>
      </c>
      <c r="G24" s="190" t="n">
        <f aca="false">D24+F24</f>
        <v>6.63114754098361</v>
      </c>
      <c r="H24" s="191" t="n">
        <f aca="false">E24+I24</f>
        <v>6876.5</v>
      </c>
      <c r="I24" s="193" t="n">
        <f aca="false">C24*F24</f>
        <v>518.5</v>
      </c>
    </row>
    <row r="25" customFormat="false" ht="15" hidden="false" customHeight="true" outlineLevel="0" collapsed="false">
      <c r="A25" s="182" t="s">
        <v>458</v>
      </c>
      <c r="B25" s="194"/>
      <c r="C25" s="184"/>
      <c r="D25" s="194"/>
      <c r="E25" s="194"/>
      <c r="F25" s="194"/>
      <c r="G25" s="194"/>
      <c r="H25" s="194"/>
      <c r="I25" s="194"/>
    </row>
    <row r="26" customFormat="false" ht="15" hidden="false" customHeight="true" outlineLevel="0" collapsed="false">
      <c r="A26" s="187" t="s">
        <v>459</v>
      </c>
      <c r="B26" s="188" t="s">
        <v>186</v>
      </c>
      <c r="C26" s="189" t="n">
        <v>2210</v>
      </c>
      <c r="D26" s="190" t="n">
        <f aca="false">IF(C26=0,0,E26/C26)</f>
        <v>6.50678733031674</v>
      </c>
      <c r="E26" s="191" t="n">
        <v>14380</v>
      </c>
      <c r="F26" s="192" t="n">
        <v>0</v>
      </c>
      <c r="G26" s="190" t="n">
        <f aca="false">D26+F26</f>
        <v>6.50678733031674</v>
      </c>
      <c r="H26" s="191" t="n">
        <f aca="false">E26+I26</f>
        <v>14380</v>
      </c>
      <c r="I26" s="193" t="n">
        <f aca="false">C26*F26</f>
        <v>0</v>
      </c>
    </row>
    <row r="27" customFormat="false" ht="15" hidden="false" customHeight="true" outlineLevel="0" collapsed="false">
      <c r="A27" s="39" t="s">
        <v>460</v>
      </c>
      <c r="B27" s="188" t="s">
        <v>186</v>
      </c>
      <c r="C27" s="189" t="n">
        <v>3060</v>
      </c>
      <c r="D27" s="190" t="n">
        <f aca="false">IF(C27=0,0,E27/C27)</f>
        <v>4.2781045751634</v>
      </c>
      <c r="E27" s="191" t="n">
        <v>13091</v>
      </c>
      <c r="F27" s="192" t="n">
        <v>0</v>
      </c>
      <c r="G27" s="190" t="n">
        <f aca="false">D27+F27</f>
        <v>4.2781045751634</v>
      </c>
      <c r="H27" s="191" t="n">
        <f aca="false">E27+I27</f>
        <v>13091</v>
      </c>
      <c r="I27" s="193" t="n">
        <f aca="false">C27*F27</f>
        <v>0</v>
      </c>
    </row>
    <row r="28" customFormat="false" ht="15" hidden="false" customHeight="true" outlineLevel="0" collapsed="false">
      <c r="A28" s="26" t="s">
        <v>461</v>
      </c>
      <c r="B28" s="188" t="s">
        <v>462</v>
      </c>
      <c r="C28" s="27" t="n">
        <v>358</v>
      </c>
      <c r="D28" s="185" t="n">
        <f aca="false">IF(C28=0,0,E28/C28)</f>
        <v>24.840782122905</v>
      </c>
      <c r="E28" s="40" t="n">
        <v>8893</v>
      </c>
      <c r="F28" s="192" t="n">
        <v>0</v>
      </c>
      <c r="G28" s="190" t="n">
        <f aca="false">D28+F28</f>
        <v>24.840782122905</v>
      </c>
      <c r="H28" s="191" t="n">
        <f aca="false">E28+I28</f>
        <v>8893</v>
      </c>
      <c r="I28" s="193" t="n">
        <f aca="false">C28*F28</f>
        <v>0</v>
      </c>
    </row>
    <row r="29" customFormat="false" ht="15" hidden="false" customHeight="true" outlineLevel="0" collapsed="false">
      <c r="A29" s="119" t="s">
        <v>463</v>
      </c>
      <c r="B29" s="194"/>
      <c r="C29" s="24" t="n">
        <f aca="false">SUM(C6:C28)</f>
        <v>41385</v>
      </c>
      <c r="D29" s="184"/>
      <c r="E29" s="43" t="n">
        <f aca="false">SUM(E6:E28)</f>
        <v>228107</v>
      </c>
      <c r="F29" s="194"/>
      <c r="G29" s="194"/>
      <c r="H29" s="196" t="n">
        <f aca="false">SUM(H6:H28)</f>
        <v>247678.5</v>
      </c>
      <c r="I29" s="196" t="n">
        <f aca="false">SUM(I6:I28)</f>
        <v>19571.5</v>
      </c>
    </row>
    <row r="30" customFormat="false" ht="15" hidden="false" customHeight="true" outlineLevel="0" collapsed="false">
      <c r="A30" s="141" t="s">
        <v>464</v>
      </c>
      <c r="B30" s="197"/>
      <c r="C30" s="198"/>
      <c r="D30" s="198"/>
      <c r="E30" s="198"/>
      <c r="F30" s="197"/>
      <c r="G30" s="197"/>
      <c r="H30" s="197"/>
      <c r="I30" s="197"/>
    </row>
    <row r="31" customFormat="false" ht="15" hidden="false" customHeight="true" outlineLevel="0" collapsed="false">
      <c r="A31" s="199"/>
      <c r="B31" s="197"/>
      <c r="C31" s="198"/>
      <c r="D31" s="198"/>
      <c r="E31" s="198"/>
      <c r="F31" s="197"/>
      <c r="G31" s="197"/>
      <c r="H31" s="197"/>
      <c r="I31" s="197"/>
    </row>
    <row r="32" customFormat="false" ht="15" hidden="false" customHeight="true" outlineLevel="0" collapsed="false">
      <c r="A32" s="36" t="s">
        <v>465</v>
      </c>
      <c r="B32" s="36"/>
      <c r="C32" s="36"/>
      <c r="D32" s="36"/>
      <c r="E32" s="36"/>
      <c r="F32" s="36"/>
      <c r="G32" s="36"/>
      <c r="H32" s="36"/>
      <c r="I32" s="36"/>
    </row>
    <row r="33" customFormat="false" ht="15" hidden="false" customHeight="true" outlineLevel="0" collapsed="false">
      <c r="A33" s="42" t="s">
        <v>466</v>
      </c>
      <c r="B33" s="197"/>
      <c r="C33" s="41" t="n">
        <f aca="false">SUMIF($B$6:$B$28,"NA",$I$6:$I$28)</f>
        <v>13779.5</v>
      </c>
      <c r="D33" s="198"/>
      <c r="E33" s="198"/>
      <c r="F33" s="197"/>
      <c r="G33" s="197"/>
      <c r="H33" s="197"/>
      <c r="I33" s="197"/>
    </row>
    <row r="34" customFormat="false" ht="15" hidden="false" customHeight="true" outlineLevel="0" collapsed="false">
      <c r="A34" s="42" t="s">
        <v>467</v>
      </c>
      <c r="B34" s="197"/>
      <c r="C34" s="41" t="n">
        <f aca="false">SUMIF($B$6:$B$28,"Food",$I$6:$I$28)</f>
        <v>5792</v>
      </c>
      <c r="D34" s="198"/>
      <c r="E34" s="198"/>
      <c r="F34" s="197"/>
      <c r="G34" s="197"/>
      <c r="H34" s="197"/>
      <c r="I34" s="197"/>
    </row>
    <row r="35" customFormat="false" ht="15" hidden="false" customHeight="true" outlineLevel="0" collapsed="false">
      <c r="A35" s="42" t="s">
        <v>468</v>
      </c>
      <c r="B35" s="197"/>
      <c r="C35" s="41" t="n">
        <f aca="false">I29</f>
        <v>19571.5</v>
      </c>
      <c r="D35" s="198"/>
      <c r="E35" s="198"/>
      <c r="F35" s="197"/>
      <c r="G35" s="197"/>
      <c r="H35" s="197"/>
      <c r="I35" s="197"/>
    </row>
    <row r="36" customFormat="false" ht="15" hidden="false" customHeight="true" outlineLevel="0" collapsed="false">
      <c r="A36" s="141" t="s">
        <v>469</v>
      </c>
      <c r="B36" s="197"/>
      <c r="C36" s="200" t="n">
        <f aca="false">I29/258287</f>
        <v>0.0757742356371014</v>
      </c>
      <c r="D36" s="198"/>
      <c r="E36" s="198"/>
      <c r="F36" s="197"/>
      <c r="G36" s="197"/>
      <c r="H36" s="197"/>
      <c r="I36" s="197"/>
    </row>
    <row r="37" customFormat="false" ht="15" hidden="false" customHeight="true" outlineLevel="0" collapsed="false">
      <c r="A37" s="199"/>
      <c r="B37" s="197"/>
      <c r="C37" s="198"/>
      <c r="D37" s="198"/>
      <c r="E37" s="198"/>
      <c r="F37" s="197"/>
      <c r="G37" s="197"/>
      <c r="H37" s="197"/>
      <c r="I37" s="197"/>
    </row>
    <row r="38" customFormat="false" ht="15" hidden="false" customHeight="true" outlineLevel="0" collapsed="false">
      <c r="A38" s="42" t="s">
        <v>470</v>
      </c>
      <c r="B38" s="197"/>
      <c r="C38" s="198"/>
      <c r="D38" s="198"/>
      <c r="E38" s="198"/>
      <c r="F38" s="197"/>
      <c r="G38" s="197"/>
      <c r="H38" s="197"/>
      <c r="I38" s="197"/>
    </row>
    <row r="39" customFormat="false" ht="15" hidden="false" customHeight="true" outlineLevel="0" collapsed="false">
      <c r="A39" s="187" t="s">
        <v>471</v>
      </c>
      <c r="B39" s="197"/>
      <c r="C39" s="191" t="n">
        <f aca="false">I29*1</f>
        <v>19571.5</v>
      </c>
      <c r="D39" s="197"/>
      <c r="E39" s="197"/>
      <c r="F39" s="197"/>
      <c r="G39" s="197"/>
      <c r="H39" s="197"/>
      <c r="I39" s="197"/>
    </row>
    <row r="40" customFormat="false" ht="15" hidden="false" customHeight="true" outlineLevel="0" collapsed="false">
      <c r="A40" s="39" t="s">
        <v>472</v>
      </c>
      <c r="B40" s="197"/>
      <c r="C40" s="191" t="n">
        <f aca="false">I29*0.9</f>
        <v>17614.35</v>
      </c>
      <c r="D40" s="197"/>
      <c r="E40" s="197"/>
      <c r="F40" s="197"/>
      <c r="G40" s="197"/>
      <c r="H40" s="197"/>
      <c r="I40" s="197"/>
    </row>
    <row r="41" customFormat="false" ht="30" hidden="false" customHeight="true" outlineLevel="0" collapsed="false">
      <c r="A41" s="201" t="s">
        <v>473</v>
      </c>
      <c r="B41" s="197"/>
      <c r="C41" s="191" t="n">
        <f aca="false">I29*0.8</f>
        <v>15657.2</v>
      </c>
      <c r="D41" s="197"/>
      <c r="E41" s="197"/>
      <c r="F41" s="197"/>
      <c r="G41" s="197"/>
      <c r="H41" s="197"/>
      <c r="I41" s="197"/>
    </row>
    <row r="42" customFormat="false" ht="30" hidden="false" customHeight="true" outlineLevel="0" collapsed="false">
      <c r="A42" s="202"/>
      <c r="B42" s="197"/>
      <c r="C42" s="197"/>
      <c r="D42" s="197"/>
      <c r="E42" s="197"/>
      <c r="F42" s="197"/>
      <c r="G42" s="197"/>
      <c r="H42" s="197"/>
      <c r="I42" s="197"/>
    </row>
    <row r="43" customFormat="false" ht="30" hidden="false" customHeight="true" outlineLevel="0" collapsed="false">
      <c r="A43" s="203" t="s">
        <v>474</v>
      </c>
      <c r="B43" s="203"/>
      <c r="C43" s="203"/>
      <c r="D43" s="203"/>
      <c r="E43" s="203"/>
      <c r="F43" s="203"/>
      <c r="G43" s="203"/>
      <c r="H43" s="203"/>
      <c r="I43" s="203"/>
    </row>
    <row r="44" customFormat="false" ht="30" hidden="false" customHeight="true" outlineLevel="0" collapsed="false">
      <c r="A44" s="204" t="s">
        <v>475</v>
      </c>
      <c r="B44" s="204"/>
      <c r="C44" s="204"/>
      <c r="D44" s="204"/>
      <c r="E44" s="204"/>
      <c r="F44" s="204"/>
      <c r="G44" s="204"/>
      <c r="H44" s="204"/>
      <c r="I44" s="204"/>
    </row>
    <row r="45" customFormat="false" ht="30" hidden="false" customHeight="true" outlineLevel="0" collapsed="false">
      <c r="A45" s="204" t="s">
        <v>476</v>
      </c>
      <c r="B45" s="204"/>
      <c r="C45" s="204"/>
      <c r="D45" s="204"/>
      <c r="E45" s="204"/>
      <c r="F45" s="204"/>
      <c r="G45" s="204"/>
      <c r="H45" s="204"/>
      <c r="I45" s="204"/>
    </row>
    <row r="46" customFormat="false" ht="30" hidden="false" customHeight="true" outlineLevel="0" collapsed="false">
      <c r="A46" s="204" t="s">
        <v>477</v>
      </c>
      <c r="B46" s="204"/>
      <c r="C46" s="204"/>
      <c r="D46" s="204"/>
      <c r="E46" s="204"/>
      <c r="F46" s="204"/>
      <c r="G46" s="204"/>
      <c r="H46" s="204"/>
      <c r="I46" s="204"/>
    </row>
    <row r="47" customFormat="false" ht="30" hidden="false" customHeight="true" outlineLevel="0" collapsed="false">
      <c r="A47" s="204" t="s">
        <v>478</v>
      </c>
      <c r="B47" s="204"/>
      <c r="C47" s="204"/>
      <c r="D47" s="204"/>
      <c r="E47" s="204"/>
      <c r="F47" s="204"/>
      <c r="G47" s="204"/>
      <c r="H47" s="204"/>
      <c r="I47" s="204"/>
    </row>
    <row r="48" customFormat="false" ht="30" hidden="false" customHeight="true" outlineLevel="0" collapsed="false">
      <c r="A48" s="204" t="s">
        <v>479</v>
      </c>
      <c r="B48" s="204"/>
      <c r="C48" s="204"/>
      <c r="D48" s="204"/>
      <c r="E48" s="204"/>
      <c r="F48" s="204"/>
      <c r="G48" s="204"/>
      <c r="H48" s="204"/>
      <c r="I48" s="204"/>
    </row>
    <row r="49" customFormat="false" ht="15" hidden="false" customHeight="true" outlineLevel="0" collapsed="false">
      <c r="A49" s="199"/>
      <c r="B49" s="197"/>
      <c r="C49" s="199"/>
      <c r="D49" s="197"/>
      <c r="E49" s="197"/>
      <c r="F49" s="197"/>
      <c r="G49" s="197"/>
      <c r="H49" s="197"/>
      <c r="I49" s="197"/>
    </row>
    <row r="50" customFormat="false" ht="15" hidden="false" customHeight="true" outlineLevel="0" collapsed="false">
      <c r="A50" s="42" t="s">
        <v>480</v>
      </c>
      <c r="B50" s="197"/>
      <c r="C50" s="199"/>
      <c r="D50" s="197"/>
      <c r="E50" s="197"/>
      <c r="F50" s="197"/>
      <c r="G50" s="197"/>
      <c r="H50" s="197"/>
      <c r="I50" s="197"/>
    </row>
    <row r="51" customFormat="false" ht="15" hidden="false" customHeight="true" outlineLevel="0" collapsed="false">
      <c r="A51" s="187" t="s">
        <v>481</v>
      </c>
      <c r="B51" s="197"/>
      <c r="C51" s="191" t="n">
        <f aca="false">I29</f>
        <v>19571.5</v>
      </c>
      <c r="D51" s="197"/>
      <c r="E51" s="197"/>
      <c r="F51" s="197"/>
      <c r="G51" s="197"/>
      <c r="H51" s="197"/>
      <c r="I51" s="197"/>
    </row>
    <row r="52" customFormat="false" ht="15" hidden="false" customHeight="true" outlineLevel="0" collapsed="false">
      <c r="A52" s="187" t="s">
        <v>482</v>
      </c>
      <c r="B52" s="197"/>
      <c r="C52" s="205" t="n">
        <v>0.9</v>
      </c>
      <c r="D52" s="197"/>
      <c r="E52" s="197"/>
      <c r="F52" s="197"/>
      <c r="G52" s="197"/>
      <c r="H52" s="197"/>
      <c r="I52" s="197"/>
    </row>
    <row r="53" customFormat="false" ht="15" hidden="false" customHeight="true" outlineLevel="0" collapsed="false">
      <c r="A53" s="206" t="s">
        <v>483</v>
      </c>
      <c r="B53" s="197"/>
      <c r="C53" s="193" t="n">
        <f aca="false">C51*C52</f>
        <v>17614.35</v>
      </c>
      <c r="D53" s="197"/>
      <c r="E53" s="197"/>
      <c r="F53" s="197"/>
      <c r="G53" s="197"/>
      <c r="H53" s="197"/>
      <c r="I53" s="197"/>
    </row>
    <row r="54" customFormat="false" ht="15" hidden="false" customHeight="false" outlineLevel="0" collapsed="false">
      <c r="A54" s="197"/>
      <c r="B54" s="197"/>
      <c r="C54" s="197"/>
      <c r="D54" s="197"/>
      <c r="E54" s="197"/>
      <c r="F54" s="197"/>
      <c r="G54" s="197"/>
      <c r="H54" s="197"/>
      <c r="I54" s="197"/>
    </row>
    <row r="55" customFormat="false" ht="15" hidden="false" customHeight="false" outlineLevel="0" collapsed="false">
      <c r="A55" s="197"/>
      <c r="B55" s="197"/>
      <c r="C55" s="197"/>
      <c r="D55" s="197"/>
      <c r="E55" s="197"/>
      <c r="F55" s="197"/>
      <c r="G55" s="197"/>
      <c r="H55" s="197"/>
      <c r="I55" s="197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2026-07-09T05:37:35Z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