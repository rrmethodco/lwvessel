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r-Event Revenue" sheetId="1" state="visible" r:id="rId3"/>
    <sheet name="Daily Recon" sheetId="2" state="visible" r:id="rId4"/>
    <sheet name="Category Recon" sheetId="3" state="visible" r:id="rId5"/>
    <sheet name="PMIX NA Breako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<sst xmlns="http://schemas.openxmlformats.org/spreadsheetml/2006/main" count="822" uniqueCount="243">
  <si>
    <t xml:space="preserve">Vessel</t>
  </si>
  <si>
    <t xml:space="preserve">Revenue by event — Tripleseat BEO actuals · July 2025 – June 2026 · fees/taxes excluded from revenue columns</t>
  </si>
  <si>
    <t xml:space="preserve">Date</t>
  </si>
  <si>
    <t xml:space="preserve">Event</t>
  </si>
  <si>
    <t xml:space="preserve">Status</t>
  </si>
  <si>
    <t xml:space="preserve">Type</t>
  </si>
  <si>
    <t xml:space="preserve">Guests</t>
  </si>
  <si>
    <t xml:space="preserve">F&amp;B Min</t>
  </si>
  <si>
    <t xml:space="preserve">Food</t>
  </si>
  <si>
    <t xml:space="preserve">Bev — Alcohol</t>
  </si>
  <si>
    <t xml:space="preserve">Bev — NA</t>
  </si>
  <si>
    <t xml:space="preserve">Total Beverage</t>
  </si>
  <si>
    <t xml:space="preserve">Total F&amp;B</t>
  </si>
  <si>
    <t xml:space="preserve">Room / Rental</t>
  </si>
  <si>
    <t xml:space="preserve">Labor</t>
  </si>
  <si>
    <t xml:space="preserve">Other / Misc</t>
  </si>
  <si>
    <t xml:space="preserve">TOTAL REVENUE</t>
  </si>
  <si>
    <t xml:space="preserve">Food $ / person</t>
  </si>
  <si>
    <t xml:space="preserve">Bev $ / person</t>
  </si>
  <si>
    <t xml:space="preserve">Total $ / person</t>
  </si>
  <si>
    <t xml:space="preserve">Svc Chg / Fees</t>
  </si>
  <si>
    <t xml:space="preserve">Grand Total (w/ tax &amp; fees)</t>
  </si>
  <si>
    <t xml:space="preserve">Toast net sales (day)</t>
  </si>
  <si>
    <t xml:space="preserve">Just like Frens Presented by DJ Ty Alexander</t>
  </si>
  <si>
    <t xml:space="preserve">CLOSED</t>
  </si>
  <si>
    <t xml:space="preserve">Social</t>
  </si>
  <si>
    <t xml:space="preserve">Logan Marriage Celebration</t>
  </si>
  <si>
    <t xml:space="preserve">Wedding Reception</t>
  </si>
  <si>
    <t xml:space="preserve">Ashley Smith "Friends Reunion"</t>
  </si>
  <si>
    <t xml:space="preserve">DEFINITE</t>
  </si>
  <si>
    <t xml:space="preserve">Aspen Dental Meeting</t>
  </si>
  <si>
    <t xml:space="preserve">Corporate Events</t>
  </si>
  <si>
    <t xml:space="preserve">Danielle Battle Birthday Social</t>
  </si>
  <si>
    <t xml:space="preserve">Birthday</t>
  </si>
  <si>
    <t xml:space="preserve">Aspen Dental</t>
  </si>
  <si>
    <t xml:space="preserve">Marvin Gaye &amp; Chardonnay</t>
  </si>
  <si>
    <t xml:space="preserve">Japera's Son Going Away Event</t>
  </si>
  <si>
    <t xml:space="preserve">40 Shades of Melanin Birthday Celebration</t>
  </si>
  <si>
    <t xml:space="preserve">Stephanies 50th Birthday Celebration</t>
  </si>
  <si>
    <t xml:space="preserve">Under Armour Event</t>
  </si>
  <si>
    <t xml:space="preserve">Hotel Revival Leadership Team Meeting</t>
  </si>
  <si>
    <t xml:space="preserve">The Peters Wedding Welcome Party</t>
  </si>
  <si>
    <t xml:space="preserve">Cocktail Hour/Reception</t>
  </si>
  <si>
    <t xml:space="preserve">BOMA Networking Event</t>
  </si>
  <si>
    <t xml:space="preserve">Frank Garland 40th Birthday Celebration</t>
  </si>
  <si>
    <t xml:space="preserve">Little Wing Catering Pick Up Order- Sagamore Ventures</t>
  </si>
  <si>
    <t xml:space="preserve">Breakfast</t>
  </si>
  <si>
    <t xml:space="preserve">Rooted in Restoration -  NPO Professional Retreat</t>
  </si>
  <si>
    <t xml:space="preserve">Meeting</t>
  </si>
  <si>
    <t xml:space="preserve">AAFB Ad Month Social</t>
  </si>
  <si>
    <t xml:space="preserve">CFG Bank Exclusive Happy Hour</t>
  </si>
  <si>
    <t xml:space="preserve">BSN Sports Happy Hour/Dinner</t>
  </si>
  <si>
    <t xml:space="preserve">BSN Sports Registration/Arrival</t>
  </si>
  <si>
    <t xml:space="preserve">Under Armour Wholesale Team Happy Hour</t>
  </si>
  <si>
    <t xml:space="preserve">Rooftop Event</t>
  </si>
  <si>
    <t xml:space="preserve">Dicks Sporting Good Team Breakfast</t>
  </si>
  <si>
    <t xml:space="preserve">Frensgiving Social by Just Like Frens &amp; ROOST Baltimore</t>
  </si>
  <si>
    <t xml:space="preserve">2025 Thanksgiving Celebration</t>
  </si>
  <si>
    <t xml:space="preserve">House use</t>
  </si>
  <si>
    <t xml:space="preserve">Brunch</t>
  </si>
  <si>
    <t xml:space="preserve">Akeso Surgery Holiday Party</t>
  </si>
  <si>
    <t xml:space="preserve">Warschawski Holiday Party</t>
  </si>
  <si>
    <t xml:space="preserve">Mag Partners Farewell Event</t>
  </si>
  <si>
    <t xml:space="preserve">Charm City Run Holiday Party</t>
  </si>
  <si>
    <t xml:space="preserve">KONOKO EMPLOYEE HOLIDAY PARTY</t>
  </si>
  <si>
    <t xml:space="preserve">Cllctivly Retreat</t>
  </si>
  <si>
    <t xml:space="preserve">Keith Goodie 60th Birthday</t>
  </si>
  <si>
    <t xml:space="preserve">YMCA Holiday party</t>
  </si>
  <si>
    <t xml:space="preserve">China National Flag Football Team Catering</t>
  </si>
  <si>
    <t xml:space="preserve">Lunch</t>
  </si>
  <si>
    <t xml:space="preserve">BLK Leadership Accelerator Kickoff Retreat</t>
  </si>
  <si>
    <t xml:space="preserve">Thread Business Meeting- Day 1</t>
  </si>
  <si>
    <t xml:space="preserve">Thread Business Meeting- Day 2</t>
  </si>
  <si>
    <t xml:space="preserve">Johns Hopkins Retreat</t>
  </si>
  <si>
    <t xml:space="preserve">40th Birthday Party Christine Curtis</t>
  </si>
  <si>
    <t xml:space="preserve">Just Like Frens Galentines Social</t>
  </si>
  <si>
    <t xml:space="preserve">Lokare &amp; Akshee Engagement Celebration</t>
  </si>
  <si>
    <t xml:space="preserve">Engagement</t>
  </si>
  <si>
    <t xml:space="preserve">Andre England Engagement Celebration</t>
  </si>
  <si>
    <t xml:space="preserve">Video - Podcast / lifestyle</t>
  </si>
  <si>
    <t xml:space="preserve">Media</t>
  </si>
  <si>
    <t xml:space="preserve">Yassine Farewell Happy Hour</t>
  </si>
  <si>
    <t xml:space="preserve">Marnie's 55th Birthday</t>
  </si>
  <si>
    <t xml:space="preserve">Caroline Allman Under Armour Going Away Happy Hour</t>
  </si>
  <si>
    <t xml:space="preserve">Akeisha's 50th Birthday Celebration</t>
  </si>
  <si>
    <t xml:space="preserve">Lit by Noon Espresso Martini Day Presented by Ty Alexander &amp; Disaronno</t>
  </si>
  <si>
    <t xml:space="preserve">Baltimore Alumnae Chapter of Delta Sigma Theta Charter Day Celebration</t>
  </si>
  <si>
    <t xml:space="preserve">BEAM Pull-Up Happy Hour</t>
  </si>
  <si>
    <t xml:space="preserve">BEAM Retreat</t>
  </si>
  <si>
    <t xml:space="preserve">Justin's 40th Birthday Party</t>
  </si>
  <si>
    <t xml:space="preserve">Limitless Church Bible study/leadership training</t>
  </si>
  <si>
    <t xml:space="preserve">Dinner (Lipson and Katz Family)</t>
  </si>
  <si>
    <t xml:space="preserve">Dinner</t>
  </si>
  <si>
    <t xml:space="preserve">Lipson and Katz (Group Breakfast)</t>
  </si>
  <si>
    <t xml:space="preserve">National Association of Health Services Executives Happy Hour</t>
  </si>
  <si>
    <t xml:space="preserve">50 Shades of Disaronno</t>
  </si>
  <si>
    <t xml:space="preserve">Under Armour Business Happy Hour/Cocktail</t>
  </si>
  <si>
    <t xml:space="preserve">Real Estate Workshop</t>
  </si>
  <si>
    <t xml:space="preserve">UA-Kohls Happy Hour</t>
  </si>
  <si>
    <t xml:space="preserve">UnitedHealthcare Services, Inc</t>
  </si>
  <si>
    <t xml:space="preserve">Maryland State Bar Association Happy Hour</t>
  </si>
  <si>
    <t xml:space="preserve">PRoconnect LIVE Baltimore Networking Event</t>
  </si>
  <si>
    <t xml:space="preserve">Takema's Graduation Party</t>
  </si>
  <si>
    <t xml:space="preserve">BLK Leadership Accelerator</t>
  </si>
  <si>
    <t xml:space="preserve">Alex Palace + Relentless Love 35th Birthday Party Fundraiser</t>
  </si>
  <si>
    <t xml:space="preserve">Sheena's High School Graduation Event</t>
  </si>
  <si>
    <t xml:space="preserve">Carter's Legacy Begins</t>
  </si>
  <si>
    <t xml:space="preserve">Denise Mabry 60th Birthday</t>
  </si>
  <si>
    <t xml:space="preserve">Bloomberg Chandra Post-Wedding Brunch</t>
  </si>
  <si>
    <t xml:space="preserve">Law School Graduate</t>
  </si>
  <si>
    <t xml:space="preserve">The Art of Impact</t>
  </si>
  <si>
    <t xml:space="preserve">Under Armour &amp; Sales Force Celebration</t>
  </si>
  <si>
    <t xml:space="preserve">Sail 250 Blue Angels Family &amp; Friends Viewing Room</t>
  </si>
  <si>
    <t xml:space="preserve">Overtime Sports Lunch &amp; Dinner 06-28-26</t>
  </si>
  <si>
    <t xml:space="preserve">Overtime Sports Breakfast &amp; Dinner 06-29-26</t>
  </si>
  <si>
    <t xml:space="preserve">Overtime Sports Breakfast 06-30-26</t>
  </si>
  <si>
    <t xml:space="preserve">TOTAL — 97 EVENTS</t>
  </si>
  <si>
    <t xml:space="preserve">Toast net (day) shown once per date (first event of the day); it includes ALL events that day plus walk-in bar sales, net of POS discounts.</t>
  </si>
  <si>
    <t xml:space="preserve">Daily match — Toast net sales vs BEO event revenue by date</t>
  </si>
  <si>
    <t xml:space="preserve">Day</t>
  </si>
  <si>
    <t xml:space="preserve">Events on date</t>
  </si>
  <si>
    <t xml:space="preserve">Events</t>
  </si>
  <si>
    <t xml:space="preserve">BEO revenue</t>
  </si>
  <si>
    <t xml:space="preserve">Toast net sales</t>
  </si>
  <si>
    <t xml:space="preserve">Toast − BEO</t>
  </si>
  <si>
    <t xml:space="preserve">Day type</t>
  </si>
  <si>
    <t xml:space="preserve">Thu</t>
  </si>
  <si>
    <t xml:space="preserve">Just like Frens Presented by DJ Ty Ale</t>
  </si>
  <si>
    <t xml:space="preserve">Event day</t>
  </si>
  <si>
    <t xml:space="preserve">Sat</t>
  </si>
  <si>
    <t xml:space="preserve">Wed</t>
  </si>
  <si>
    <t xml:space="preserve">Event — no Toast rung that day</t>
  </si>
  <si>
    <t xml:space="preserve">Walk-in / bar only (no BEO)</t>
  </si>
  <si>
    <t xml:space="preserve">Fri</t>
  </si>
  <si>
    <t xml:space="preserve">Ashley Smith "Friends Reunion" · Aspen Dental Meeting</t>
  </si>
  <si>
    <t xml:space="preserve">Sun</t>
  </si>
  <si>
    <t xml:space="preserve">Tue</t>
  </si>
  <si>
    <t xml:space="preserve">40 Shades of Melanin Birthday Celebrat</t>
  </si>
  <si>
    <t xml:space="preserve">Mon</t>
  </si>
  <si>
    <t xml:space="preserve">Frank Garland 40th Birthday Celebratio</t>
  </si>
  <si>
    <t xml:space="preserve">Little Wing Catering Pick Up Order- Sa</t>
  </si>
  <si>
    <t xml:space="preserve">Rooted in Restoration -  NPO Professio</t>
  </si>
  <si>
    <t xml:space="preserve">BSN Sports Happy Hour/Dinner · BSN Sports Registration/Arrival</t>
  </si>
  <si>
    <t xml:space="preserve">Frensgiving Social by Just Like Frens </t>
  </si>
  <si>
    <t xml:space="preserve">China National Flag Football Team Cate</t>
  </si>
  <si>
    <t xml:space="preserve">BLK Leadership Accelerator Kickoff Ret · China National Flag Football Team Cate</t>
  </si>
  <si>
    <t xml:space="preserve">Caroline Allman Under Armour Going Awa</t>
  </si>
  <si>
    <t xml:space="preserve">Lit by Noon Espresso Martini Day Prese</t>
  </si>
  <si>
    <t xml:space="preserve">Baltimore Alumnae Chapter of Delta Sig</t>
  </si>
  <si>
    <t xml:space="preserve">BEAM Retreat · Justin's 40th Birthday Party</t>
  </si>
  <si>
    <t xml:space="preserve">Limitless Church Bible study/leadershi</t>
  </si>
  <si>
    <t xml:space="preserve">National Association of Health Service</t>
  </si>
  <si>
    <t xml:space="preserve">Under Armour Business Happy Hour/Cockt</t>
  </si>
  <si>
    <t xml:space="preserve">Maryland State Bar Association Happy H</t>
  </si>
  <si>
    <t xml:space="preserve">PRoconnect LIVE Baltimore Networking E</t>
  </si>
  <si>
    <t xml:space="preserve">Alex Palace + Relentless Love 35th Bir</t>
  </si>
  <si>
    <t xml:space="preserve">Sail 250 Blue Angels Family &amp; Friends </t>
  </si>
  <si>
    <t xml:space="preserve">Overtime Sports Lunch &amp; Dinner 06-28-2 · Sail 250 Blue Angels Family &amp; Friends </t>
  </si>
  <si>
    <t xml:space="preserve">Overtime Sports Breakfast &amp; Dinner 06-</t>
  </si>
  <si>
    <t xml:space="preserve">TOTAL</t>
  </si>
  <si>
    <t xml:space="preserve">FY Jul 2025 – Jun 2026 — Toast sales categories reconciled to BEO revenue categories</t>
  </si>
  <si>
    <t xml:space="preserve">CATEGORY MAP — BEO (Tripleseat) vs POS (Toast)</t>
  </si>
  <si>
    <t xml:space="preserve">Toast category basis</t>
  </si>
  <si>
    <t xml:space="preserve">Beverage — Alcohol</t>
  </si>
  <si>
    <t xml:space="preserve">Liquor + Wine + Bottled Beer</t>
  </si>
  <si>
    <t xml:space="preserve">Beverage — NA</t>
  </si>
  <si>
    <t xml:space="preserve">NA Beverage</t>
  </si>
  <si>
    <t xml:space="preserve">Room / rental / labor / other</t>
  </si>
  <si>
    <t xml:space="preserve">Event Rental + Non-Grat Svc Charges</t>
  </si>
  <si>
    <t xml:space="preserve">Unmapped POS categories</t>
  </si>
  <si>
    <t xml:space="preserve">Retail + No Category</t>
  </si>
  <si>
    <t xml:space="preserve">BRIDGE — BEO EVENT REVENUE TO TOAST NET SALES</t>
  </si>
  <si>
    <t xml:space="preserve">BEO event revenue — 97 events (Event Actual)</t>
  </si>
  <si>
    <t xml:space="preserve">  less: events with no Toast sales rung on the event date</t>
  </si>
  <si>
    <t xml:space="preserve">  Toast rings ABOVE BEO on event days (same-day walk-in, on-consumption bars, service charges in POS)</t>
  </si>
  <si>
    <t xml:space="preserve">  Walk-in / bar-only days (Toast sales on non-event dates)</t>
  </si>
  <si>
    <t xml:space="preserve">TOAST NET SALES — Vessel revenue centers FY26</t>
  </si>
  <si>
    <t xml:space="preserve">Check — Toast reported net sales</t>
  </si>
  <si>
    <t xml:space="preserve">NOTES &amp; FINDINGS</t>
  </si>
  <si>
    <t xml:space="preserve">1. BEO revenue components tie to Tripleseat "Event Actual" for all 97 events; the rental fee is included in Event Actual for some events and booked as a fee for others — resolved per event so every row ties.</t>
  </si>
  <si>
    <t xml:space="preserve">2. NA BEVERAGE: BEOs book only $875 as NA and Toast shows $57,645 — but the PMIX NA Breakout tab proves the Toast figure is mislabeled: ~88% of it is alcohol bar packages/open bars rung as open items under the NA sales category (true NA is only ~$4.3K). Fix the open-item button mapping in Toast.</t>
  </si>
  <si>
    <t xml:space="preserve">3. Toast net sales are AFTER $22,309 of POS discounts (incl. $15,829 Manager Comp — check level); BEO actuals are pre-discount. This depresses Toast vs BEO in the map above.</t>
  </si>
  <si>
    <t xml:space="preserve">4. Non-Grat Svc Charges in POS ($25,176: special event fees, event svc charges) map to fees on the BEO side (excluded from BEO revenue columns here) — part of the positive Toast-over-BEO gap on event days.</t>
  </si>
  <si>
    <t xml:space="preserve">5. Toast "Event Rental" category ($48,629) captures room-rental/AV/labor rings vs $76,086 of room/rental/other on BEOs — much of it is invoiced through Tripleseat payments rather than rung as POS items.</t>
  </si>
  <si>
    <t xml:space="preserve">6. Walk-in/bar-only days total $16,888 across 45 dates with no event booked — the open-night bar business, in Toast but never on a BEO.</t>
  </si>
  <si>
    <t xml:space="preserve">What is really inside Toast "NA Beverage" — FY26 PMIX item detail (net item amounts)</t>
  </si>
  <si>
    <t xml:space="preserve">Item rung under NA Beverage</t>
  </si>
  <si>
    <t xml:space="preserve">Qty</t>
  </si>
  <si>
    <t xml:space="preserve">Net $</t>
  </si>
  <si>
    <t xml:space="preserve">Reclass</t>
  </si>
  <si>
    <t xml:space="preserve">Land Ho Package  (open item)</t>
  </si>
  <si>
    <t xml:space="preserve">Alcohol / bar package</t>
  </si>
  <si>
    <t xml:space="preserve">Open Bar  (open item)</t>
  </si>
  <si>
    <t xml:space="preserve">Port Of Call Package  (open item)</t>
  </si>
  <si>
    <t xml:space="preserve">Port Of Call Open Bar  (open item)</t>
  </si>
  <si>
    <t xml:space="preserve">Port Of Call Third Hour  (open item)</t>
  </si>
  <si>
    <t xml:space="preserve">Anchors Away  (open item)</t>
  </si>
  <si>
    <t xml:space="preserve">Alcohol Package  (open item)</t>
  </si>
  <si>
    <t xml:space="preserve">Just Frens Bar  (open item)</t>
  </si>
  <si>
    <t xml:space="preserve">Beverage Station  (open item)</t>
  </si>
  <si>
    <t xml:space="preserve">True NA beverage</t>
  </si>
  <si>
    <t xml:space="preserve">Specialty Bottles  (open item)</t>
  </si>
  <si>
    <t xml:space="preserve">House Salad  (open item)</t>
  </si>
  <si>
    <t xml:space="preserve">Food (mis-rung)</t>
  </si>
  <si>
    <t xml:space="preserve">Drink Tickets  (open item)</t>
  </si>
  <si>
    <t xml:space="preserve">Prepaid Beverages  (open item)</t>
  </si>
  <si>
    <t xml:space="preserve">Signature Drink Package  (open item)</t>
  </si>
  <si>
    <t xml:space="preserve">Salmon with White Wine Sauce  (open item)</t>
  </si>
  <si>
    <t xml:space="preserve">Wine Bottle  (open item)</t>
  </si>
  <si>
    <t xml:space="preserve">Beverages On Consumption  (open item)</t>
  </si>
  <si>
    <t xml:space="preserve">Alcohol  (open item)</t>
  </si>
  <si>
    <t xml:space="preserve">Beverages  (open item)</t>
  </si>
  <si>
    <t xml:space="preserve">Prosecco Welcome  (open item)</t>
  </si>
  <si>
    <t xml:space="preserve">PM Beverage Station  (open item)</t>
  </si>
  <si>
    <t xml:space="preserve">Prepaid Beverages On Consumption  (open item)</t>
  </si>
  <si>
    <t xml:space="preserve">Prosecco  (open item)</t>
  </si>
  <si>
    <t xml:space="preserve">Continenal Breakfast  (open item)</t>
  </si>
  <si>
    <t xml:space="preserve">Half Day Beverage Station  (open item)</t>
  </si>
  <si>
    <t xml:space="preserve">Prosecco Toast  (open item)</t>
  </si>
  <si>
    <t xml:space="preserve">Bottle Of Bourbon Client Gift  (open item)</t>
  </si>
  <si>
    <t xml:space="preserve">Vip  (open item)</t>
  </si>
  <si>
    <t xml:space="preserve">Other / unclear</t>
  </si>
  <si>
    <t xml:space="preserve">Lemoncello  (open item)</t>
  </si>
  <si>
    <t xml:space="preserve">Rittenhouse Rye  (open item)</t>
  </si>
  <si>
    <t xml:space="preserve">Long Island  (open item)</t>
  </si>
  <si>
    <t xml:space="preserve">Mai Tai  (open item)</t>
  </si>
  <si>
    <t xml:space="preserve">Mint Condition  (open item)</t>
  </si>
  <si>
    <t xml:space="preserve">Natty Boh  (open item)</t>
  </si>
  <si>
    <t xml:space="preserve">HH Riesling  (open item)</t>
  </si>
  <si>
    <t xml:space="preserve">Old Fashion Happy Hour  (open item)</t>
  </si>
  <si>
    <t xml:space="preserve">Tip  (open item)</t>
  </si>
  <si>
    <t xml:space="preserve">All NA-categorized MENU items (sodas, water, juice, mocktails, espresso…)</t>
  </si>
  <si>
    <t xml:space="preserve">TOTAL RUNG AS "NA BEVERAGE" (PMIX basis)</t>
  </si>
  <si>
    <t xml:space="preserve">RECLASSED SUMMARY</t>
  </si>
  <si>
    <t xml:space="preserve">CORRECTED FY BEVERAGE SPLIT (Toast, PMIX basis): Alcohol = Liquor+Wine+Beer as rung + NA-bucket alcohol reclass; NA = true NA only</t>
  </si>
  <si>
    <t xml:space="preserve">Beverage — Alcohol (corrected)</t>
  </si>
  <si>
    <t xml:space="preserve">Beverage — NA (corrected)</t>
  </si>
  <si>
    <t xml:space="preserve">Unclear beverage rings</t>
  </si>
  <si>
    <t xml:space="preserve">BEO comparison — Alcoholic Beverage (Tripleseat)</t>
  </si>
  <si>
    <t xml:space="preserve">BEO comparison — NA Beverage (Tripleseat)</t>
  </si>
  <si>
    <t xml:space="preserve">Toast "NA Beverage" is NOT an NA number at Vessel: bar packages, open bars, prosecco and drink tickets are rung as open items under the NA sales category.</t>
  </si>
  <si>
    <t xml:space="preserve">Of the NA bucket, only ~7% is true NA beverage. Fix: assign open-item buttons (bar packages, on-consumption bars) to Liquor, and food packages to Food.</t>
  </si>
  <si>
    <t xml:space="preserve">PMIX basis = net item amounts; excludes the $25,176 of Non-Grat Svc Charges and minor deferred/void basis differences vs the Sales Summary category table.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</si>
</sst>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"/>
    <numFmt numFmtId="166" formatCode="\$#,##0;&quot;($&quot;#,##0\)"/>
    <numFmt numFmtId="167" formatCode="\$#,##0.00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sz val="9"/>
      <color rgb="FF666666"/>
      <name val="Cambria"/>
      <family val="0"/>
      <charset val="1"/>
    </font>
    <font>
      <sz val="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0B0B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21" min="6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</row>
    <row r="5" customFormat="false" ht="15" hidden="false" customHeight="false" outlineLevel="0" collapsed="false">
      <c r="A5" s="5" t="n">
        <v>45841</v>
      </c>
      <c r="B5" s="6" t="s">
        <v>23</v>
      </c>
      <c r="C5" s="6" t="s">
        <v>24</v>
      </c>
      <c r="D5" s="6" t="s">
        <v>25</v>
      </c>
      <c r="E5" s="7" t="n">
        <v>175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f aca="false">H5+I5</f>
        <v>0</v>
      </c>
      <c r="K5" s="8" t="n">
        <f aca="false">G5+J5</f>
        <v>0</v>
      </c>
      <c r="L5" s="8" t="n">
        <v>0</v>
      </c>
      <c r="M5" s="8" t="n">
        <v>0</v>
      </c>
      <c r="N5" s="8" t="n">
        <v>7288.38</v>
      </c>
      <c r="O5" s="9" t="n">
        <f aca="false">K5+L5+M5+N5</f>
        <v>7288.38</v>
      </c>
      <c r="P5" s="10" t="n">
        <f aca="false">IF(N(E5)&gt;0,G5/E5,"")</f>
        <v>0</v>
      </c>
      <c r="Q5" s="10" t="n">
        <f aca="false">IF(N(E5)&gt;0,J5/E5,"")</f>
        <v>0</v>
      </c>
      <c r="R5" s="10" t="n">
        <f aca="false">IF(N(E5)&gt;0,O5/E5,"")</f>
        <v>41.6478857142857</v>
      </c>
      <c r="S5" s="8" t="n">
        <v>0</v>
      </c>
      <c r="T5" s="8" t="n">
        <v>7288.38</v>
      </c>
      <c r="U5" s="8" t="n">
        <v>7288.38</v>
      </c>
    </row>
    <row r="6" customFormat="false" ht="15" hidden="false" customHeight="false" outlineLevel="0" collapsed="false">
      <c r="A6" s="5" t="n">
        <v>45843</v>
      </c>
      <c r="B6" s="6" t="s">
        <v>26</v>
      </c>
      <c r="C6" s="6" t="s">
        <v>24</v>
      </c>
      <c r="D6" s="6" t="s">
        <v>27</v>
      </c>
      <c r="E6" s="7" t="n">
        <v>85</v>
      </c>
      <c r="F6" s="8" t="n">
        <v>3000</v>
      </c>
      <c r="G6" s="8" t="n">
        <v>2235</v>
      </c>
      <c r="H6" s="8" t="n">
        <v>5696.52</v>
      </c>
      <c r="I6" s="8" t="n">
        <v>0</v>
      </c>
      <c r="J6" s="8" t="n">
        <f aca="false">H6+I6</f>
        <v>5696.52</v>
      </c>
      <c r="K6" s="8" t="n">
        <f aca="false">G6+J6</f>
        <v>7931.52</v>
      </c>
      <c r="L6" s="8" t="n">
        <v>0</v>
      </c>
      <c r="M6" s="8" t="n">
        <v>0</v>
      </c>
      <c r="N6" s="8" t="n">
        <v>0</v>
      </c>
      <c r="O6" s="9" t="n">
        <f aca="false">K6+L6+M6+N6</f>
        <v>7931.52</v>
      </c>
      <c r="P6" s="10" t="n">
        <f aca="false">IF(N(E6)&gt;0,G6/E6,"")</f>
        <v>26.2941176470588</v>
      </c>
      <c r="Q6" s="10" t="n">
        <f aca="false">IF(N(E6)&gt;0,J6/E6,"")</f>
        <v>67.0178823529412</v>
      </c>
      <c r="R6" s="10" t="n">
        <f aca="false">IF(N(E6)&gt;0,O6/E6,"")</f>
        <v>93.312</v>
      </c>
      <c r="S6" s="8" t="n">
        <v>0</v>
      </c>
      <c r="T6" s="8" t="n">
        <v>7265.62</v>
      </c>
      <c r="U6" s="8" t="n">
        <v>8468.9</v>
      </c>
    </row>
    <row r="7" customFormat="false" ht="15" hidden="false" customHeight="false" outlineLevel="0" collapsed="false">
      <c r="A7" s="5" t="n">
        <v>45849</v>
      </c>
      <c r="B7" s="6" t="s">
        <v>28</v>
      </c>
      <c r="C7" s="6" t="s">
        <v>29</v>
      </c>
      <c r="D7" s="6" t="s">
        <v>25</v>
      </c>
      <c r="E7" s="7" t="n">
        <v>25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f aca="false">H7+I7</f>
        <v>0</v>
      </c>
      <c r="K7" s="8" t="n">
        <f aca="false">G7+J7</f>
        <v>0</v>
      </c>
      <c r="L7" s="8" t="n">
        <v>0</v>
      </c>
      <c r="M7" s="8" t="n">
        <v>0</v>
      </c>
      <c r="N7" s="8" t="n">
        <v>0</v>
      </c>
      <c r="O7" s="9" t="n">
        <f aca="false">K7+L7+M7+N7</f>
        <v>0</v>
      </c>
      <c r="P7" s="10" t="n">
        <f aca="false">IF(N(E7)&gt;0,G7/E7,"")</f>
        <v>0</v>
      </c>
      <c r="Q7" s="10" t="n">
        <f aca="false">IF(N(E7)&gt;0,J7/E7,"")</f>
        <v>0</v>
      </c>
      <c r="R7" s="10" t="n">
        <f aca="false">IF(N(E7)&gt;0,O7/E7,"")</f>
        <v>0</v>
      </c>
      <c r="S7" s="8" t="n">
        <v>0</v>
      </c>
      <c r="T7" s="8" t="n">
        <v>0</v>
      </c>
      <c r="U7" s="8" t="n">
        <v>774.6</v>
      </c>
    </row>
    <row r="8" customFormat="false" ht="15" hidden="false" customHeight="false" outlineLevel="0" collapsed="false">
      <c r="A8" s="5" t="n">
        <v>45849</v>
      </c>
      <c r="B8" s="6" t="s">
        <v>30</v>
      </c>
      <c r="C8" s="6" t="s">
        <v>24</v>
      </c>
      <c r="D8" s="6" t="s">
        <v>31</v>
      </c>
      <c r="E8" s="7" t="n">
        <v>20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f aca="false">H8+I8</f>
        <v>0</v>
      </c>
      <c r="K8" s="8" t="n">
        <f aca="false">G8+J8</f>
        <v>0</v>
      </c>
      <c r="L8" s="8" t="n">
        <v>700</v>
      </c>
      <c r="M8" s="8" t="n">
        <v>0</v>
      </c>
      <c r="N8" s="8" t="n">
        <v>350</v>
      </c>
      <c r="O8" s="9" t="n">
        <f aca="false">K8+L8+M8+N8</f>
        <v>1050</v>
      </c>
      <c r="P8" s="10" t="n">
        <f aca="false">IF(N(E8)&gt;0,G8/E8,"")</f>
        <v>0</v>
      </c>
      <c r="Q8" s="10" t="n">
        <f aca="false">IF(N(E8)&gt;0,J8/E8,"")</f>
        <v>0</v>
      </c>
      <c r="R8" s="10" t="n">
        <f aca="false">IF(N(E8)&gt;0,O8/E8,"")</f>
        <v>52.5</v>
      </c>
      <c r="S8" s="8" t="n">
        <v>0</v>
      </c>
      <c r="T8" s="8" t="n">
        <v>1092</v>
      </c>
    </row>
    <row r="9" customFormat="false" ht="15" hidden="false" customHeight="false" outlineLevel="0" collapsed="false">
      <c r="A9" s="5" t="n">
        <v>45856</v>
      </c>
      <c r="B9" s="6" t="s">
        <v>32</v>
      </c>
      <c r="C9" s="6" t="s">
        <v>24</v>
      </c>
      <c r="D9" s="6" t="s">
        <v>33</v>
      </c>
      <c r="E9" s="7" t="n">
        <v>50</v>
      </c>
      <c r="F9" s="8" t="n">
        <v>0</v>
      </c>
      <c r="G9" s="8" t="n">
        <v>0</v>
      </c>
      <c r="H9" s="8" t="n">
        <v>2500</v>
      </c>
      <c r="I9" s="8" t="n">
        <v>0</v>
      </c>
      <c r="J9" s="8" t="n">
        <f aca="false">H9+I9</f>
        <v>2500</v>
      </c>
      <c r="K9" s="8" t="n">
        <f aca="false">G9+J9</f>
        <v>2500</v>
      </c>
      <c r="L9" s="8" t="n">
        <v>0</v>
      </c>
      <c r="M9" s="8" t="n">
        <v>0</v>
      </c>
      <c r="N9" s="8" t="n">
        <v>0</v>
      </c>
      <c r="O9" s="9" t="n">
        <f aca="false">K9+L9+M9+N9</f>
        <v>2500</v>
      </c>
      <c r="P9" s="10" t="n">
        <f aca="false">IF(N(E9)&gt;0,G9/E9,"")</f>
        <v>0</v>
      </c>
      <c r="Q9" s="10" t="n">
        <f aca="false">IF(N(E9)&gt;0,J9/E9,"")</f>
        <v>50</v>
      </c>
      <c r="R9" s="10" t="n">
        <f aca="false">IF(N(E9)&gt;0,O9/E9,"")</f>
        <v>50</v>
      </c>
      <c r="S9" s="8" t="n">
        <v>625</v>
      </c>
      <c r="T9" s="8" t="n">
        <v>3282.5</v>
      </c>
      <c r="U9" s="8" t="n">
        <v>3396</v>
      </c>
    </row>
    <row r="10" customFormat="false" ht="15" hidden="false" customHeight="false" outlineLevel="0" collapsed="false">
      <c r="A10" s="5" t="n">
        <v>45860</v>
      </c>
      <c r="B10" s="6" t="s">
        <v>34</v>
      </c>
      <c r="C10" s="6" t="s">
        <v>24</v>
      </c>
      <c r="D10" s="6" t="s">
        <v>31</v>
      </c>
      <c r="E10" s="7" t="n">
        <v>55</v>
      </c>
      <c r="F10" s="8" t="n">
        <v>0</v>
      </c>
      <c r="G10" s="8" t="n">
        <v>400</v>
      </c>
      <c r="H10" s="8" t="n">
        <v>3960</v>
      </c>
      <c r="I10" s="8" t="n">
        <v>0</v>
      </c>
      <c r="J10" s="8" t="n">
        <f aca="false">H10+I10</f>
        <v>3960</v>
      </c>
      <c r="K10" s="8" t="n">
        <f aca="false">G10+J10</f>
        <v>4360</v>
      </c>
      <c r="L10" s="8" t="n">
        <v>0</v>
      </c>
      <c r="M10" s="8" t="n">
        <v>0</v>
      </c>
      <c r="N10" s="8" t="n">
        <v>550</v>
      </c>
      <c r="O10" s="9" t="n">
        <f aca="false">K10+L10+M10+N10</f>
        <v>4910</v>
      </c>
      <c r="P10" s="10" t="n">
        <f aca="false">IF(N(E10)&gt;0,G10/E10,"")</f>
        <v>7.27272727272727</v>
      </c>
      <c r="Q10" s="10" t="n">
        <f aca="false">IF(N(E10)&gt;0,J10/E10,"")</f>
        <v>72</v>
      </c>
      <c r="R10" s="10" t="n">
        <f aca="false">IF(N(E10)&gt;0,O10/E10,"")</f>
        <v>89.2727272727273</v>
      </c>
      <c r="S10" s="8" t="n">
        <v>982</v>
      </c>
      <c r="T10" s="8" t="n">
        <v>5882</v>
      </c>
      <c r="U10" s="8" t="n">
        <v>5535.9</v>
      </c>
    </row>
    <row r="11" customFormat="false" ht="15" hidden="false" customHeight="false" outlineLevel="0" collapsed="false">
      <c r="A11" s="5" t="n">
        <v>45861</v>
      </c>
      <c r="B11" s="6" t="s">
        <v>34</v>
      </c>
      <c r="C11" s="6" t="s">
        <v>24</v>
      </c>
      <c r="D11" s="6" t="s">
        <v>31</v>
      </c>
      <c r="E11" s="7" t="n">
        <v>55</v>
      </c>
      <c r="F11" s="8" t="n">
        <v>0</v>
      </c>
      <c r="G11" s="8" t="n">
        <v>4140</v>
      </c>
      <c r="H11" s="8" t="n">
        <v>0</v>
      </c>
      <c r="I11" s="8" t="n">
        <v>0</v>
      </c>
      <c r="J11" s="8" t="n">
        <f aca="false">H11+I11</f>
        <v>0</v>
      </c>
      <c r="K11" s="8" t="n">
        <f aca="false">G11+J11</f>
        <v>4140</v>
      </c>
      <c r="L11" s="8" t="n">
        <v>0</v>
      </c>
      <c r="M11" s="8" t="n">
        <v>0</v>
      </c>
      <c r="N11" s="8" t="n">
        <v>550</v>
      </c>
      <c r="O11" s="9" t="n">
        <f aca="false">K11+L11+M11+N11</f>
        <v>4690</v>
      </c>
      <c r="P11" s="10" t="n">
        <f aca="false">IF(N(E11)&gt;0,G11/E11,"")</f>
        <v>75.2727272727273</v>
      </c>
      <c r="Q11" s="10" t="n">
        <f aca="false">IF(N(E11)&gt;0,J11/E11,"")</f>
        <v>0</v>
      </c>
      <c r="R11" s="10" t="n">
        <f aca="false">IF(N(E11)&gt;0,O11/E11,"")</f>
        <v>85.2727272727273</v>
      </c>
      <c r="S11" s="8" t="n">
        <v>1172.5</v>
      </c>
      <c r="T11" s="8" t="n">
        <v>6110.9</v>
      </c>
    </row>
    <row r="12" customFormat="false" ht="15" hidden="false" customHeight="false" outlineLevel="0" collapsed="false">
      <c r="A12" s="5" t="n">
        <v>45862</v>
      </c>
      <c r="B12" s="6" t="s">
        <v>34</v>
      </c>
      <c r="C12" s="6" t="s">
        <v>24</v>
      </c>
      <c r="D12" s="6" t="s">
        <v>31</v>
      </c>
      <c r="E12" s="7" t="n">
        <v>55</v>
      </c>
      <c r="F12" s="8" t="n">
        <v>0</v>
      </c>
      <c r="G12" s="8" t="n">
        <v>1700</v>
      </c>
      <c r="H12" s="8" t="n">
        <v>0</v>
      </c>
      <c r="I12" s="8" t="n">
        <v>0</v>
      </c>
      <c r="J12" s="8" t="n">
        <f aca="false">H12+I12</f>
        <v>0</v>
      </c>
      <c r="K12" s="8" t="n">
        <f aca="false">G12+J12</f>
        <v>1700</v>
      </c>
      <c r="L12" s="8" t="n">
        <v>0</v>
      </c>
      <c r="M12" s="8" t="n">
        <v>0</v>
      </c>
      <c r="N12" s="8" t="n">
        <v>550</v>
      </c>
      <c r="O12" s="9" t="n">
        <f aca="false">K12+L12+M12+N12</f>
        <v>2250</v>
      </c>
      <c r="P12" s="10" t="n">
        <f aca="false">IF(N(E12)&gt;0,G12/E12,"")</f>
        <v>30.9090909090909</v>
      </c>
      <c r="Q12" s="10" t="n">
        <f aca="false">IF(N(E12)&gt;0,J12/E12,"")</f>
        <v>0</v>
      </c>
      <c r="R12" s="10" t="n">
        <f aca="false">IF(N(E12)&gt;0,O12/E12,"")</f>
        <v>40.9090909090909</v>
      </c>
      <c r="S12" s="8" t="n">
        <v>562.5</v>
      </c>
      <c r="T12" s="8" t="n">
        <v>2914.5</v>
      </c>
      <c r="U12" s="8" t="n">
        <v>7287</v>
      </c>
    </row>
    <row r="13" customFormat="false" ht="15" hidden="false" customHeight="false" outlineLevel="0" collapsed="false">
      <c r="A13" s="5" t="n">
        <v>45863</v>
      </c>
      <c r="B13" s="6" t="s">
        <v>35</v>
      </c>
      <c r="C13" s="6" t="s">
        <v>24</v>
      </c>
      <c r="D13" s="6" t="s">
        <v>25</v>
      </c>
      <c r="E13" s="7" t="n">
        <v>160</v>
      </c>
      <c r="F13" s="8" t="n">
        <v>0</v>
      </c>
      <c r="G13" s="8" t="n">
        <v>0</v>
      </c>
      <c r="H13" s="8" t="n">
        <v>1415.82</v>
      </c>
      <c r="I13" s="8" t="n">
        <v>0</v>
      </c>
      <c r="J13" s="8" t="n">
        <f aca="false">H13+I13</f>
        <v>1415.82</v>
      </c>
      <c r="K13" s="8" t="n">
        <f aca="false">G13+J13</f>
        <v>1415.82</v>
      </c>
      <c r="L13" s="8" t="n">
        <v>0</v>
      </c>
      <c r="M13" s="8" t="n">
        <v>0</v>
      </c>
      <c r="N13" s="8" t="n">
        <v>5648</v>
      </c>
      <c r="O13" s="9" t="n">
        <f aca="false">K13+L13+M13+N13</f>
        <v>7063.82</v>
      </c>
      <c r="P13" s="10" t="n">
        <f aca="false">IF(N(E13)&gt;0,G13/E13,"")</f>
        <v>0</v>
      </c>
      <c r="Q13" s="10" t="n">
        <f aca="false">IF(N(E13)&gt;0,J13/E13,"")</f>
        <v>8.848875</v>
      </c>
      <c r="R13" s="10" t="n">
        <f aca="false">IF(N(E13)&gt;0,O13/E13,"")</f>
        <v>44.148875</v>
      </c>
      <c r="S13" s="8" t="n">
        <v>0</v>
      </c>
      <c r="T13" s="8" t="n">
        <v>7191.24</v>
      </c>
      <c r="U13" s="8" t="n">
        <v>5648</v>
      </c>
    </row>
    <row r="14" customFormat="false" ht="15" hidden="false" customHeight="false" outlineLevel="0" collapsed="false">
      <c r="A14" s="5" t="n">
        <v>45865</v>
      </c>
      <c r="B14" s="6" t="s">
        <v>36</v>
      </c>
      <c r="C14" s="6" t="s">
        <v>24</v>
      </c>
      <c r="D14" s="6" t="s">
        <v>25</v>
      </c>
      <c r="E14" s="7" t="n">
        <v>75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f aca="false">H14+I14</f>
        <v>0</v>
      </c>
      <c r="K14" s="8" t="n">
        <f aca="false">G14+J14</f>
        <v>0</v>
      </c>
      <c r="L14" s="8" t="n">
        <v>1200</v>
      </c>
      <c r="M14" s="8" t="n">
        <v>0</v>
      </c>
      <c r="N14" s="8" t="n">
        <v>1050</v>
      </c>
      <c r="O14" s="9" t="n">
        <f aca="false">K14+L14+M14+N14</f>
        <v>2250</v>
      </c>
      <c r="P14" s="10" t="n">
        <f aca="false">IF(N(E14)&gt;0,G14/E14,"")</f>
        <v>0</v>
      </c>
      <c r="Q14" s="10" t="n">
        <f aca="false">IF(N(E14)&gt;0,J14/E14,"")</f>
        <v>0</v>
      </c>
      <c r="R14" s="10" t="n">
        <f aca="false">IF(N(E14)&gt;0,O14/E14,"")</f>
        <v>30</v>
      </c>
      <c r="S14" s="8" t="n">
        <v>240</v>
      </c>
      <c r="T14" s="8" t="n">
        <v>2562</v>
      </c>
      <c r="U14" s="8" t="n">
        <v>2520.5</v>
      </c>
    </row>
    <row r="15" customFormat="false" ht="15" hidden="false" customHeight="false" outlineLevel="0" collapsed="false">
      <c r="A15" s="5" t="n">
        <v>45870</v>
      </c>
      <c r="B15" s="6" t="s">
        <v>23</v>
      </c>
      <c r="C15" s="6" t="s">
        <v>24</v>
      </c>
      <c r="D15" s="6" t="s">
        <v>25</v>
      </c>
      <c r="E15" s="7" t="n">
        <v>175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f aca="false">H15+I15</f>
        <v>0</v>
      </c>
      <c r="K15" s="8" t="n">
        <f aca="false">G15+J15</f>
        <v>0</v>
      </c>
      <c r="L15" s="8" t="n">
        <v>0</v>
      </c>
      <c r="M15" s="8" t="n">
        <v>0</v>
      </c>
      <c r="N15" s="8" t="n">
        <v>5266</v>
      </c>
      <c r="O15" s="9" t="n">
        <f aca="false">K15+L15+M15+N15</f>
        <v>5266</v>
      </c>
      <c r="P15" s="10" t="n">
        <f aca="false">IF(N(E15)&gt;0,G15/E15,"")</f>
        <v>0</v>
      </c>
      <c r="Q15" s="10" t="n">
        <f aca="false">IF(N(E15)&gt;0,J15/E15,"")</f>
        <v>0</v>
      </c>
      <c r="R15" s="10" t="n">
        <f aca="false">IF(N(E15)&gt;0,O15/E15,"")</f>
        <v>30.0914285714286</v>
      </c>
      <c r="S15" s="8" t="n">
        <v>0</v>
      </c>
      <c r="T15" s="8" t="n">
        <v>5266</v>
      </c>
      <c r="U15" s="8" t="n">
        <v>5266</v>
      </c>
    </row>
    <row r="16" customFormat="false" ht="15" hidden="false" customHeight="false" outlineLevel="0" collapsed="false">
      <c r="A16" s="5" t="n">
        <v>45871</v>
      </c>
      <c r="B16" s="6" t="s">
        <v>37</v>
      </c>
      <c r="C16" s="6" t="s">
        <v>29</v>
      </c>
      <c r="D16" s="6" t="s">
        <v>33</v>
      </c>
      <c r="E16" s="7" t="n">
        <v>100</v>
      </c>
      <c r="F16" s="8" t="n">
        <v>5000</v>
      </c>
      <c r="G16" s="8" t="n">
        <v>0</v>
      </c>
      <c r="H16" s="8" t="n">
        <v>4500</v>
      </c>
      <c r="I16" s="8" t="n">
        <v>0</v>
      </c>
      <c r="J16" s="8" t="n">
        <f aca="false">H16+I16</f>
        <v>4500</v>
      </c>
      <c r="K16" s="8" t="n">
        <f aca="false">G16+J16</f>
        <v>4500</v>
      </c>
      <c r="L16" s="8" t="n">
        <v>0</v>
      </c>
      <c r="M16" s="8" t="n">
        <v>0</v>
      </c>
      <c r="N16" s="8" t="n">
        <v>850</v>
      </c>
      <c r="O16" s="9" t="n">
        <f aca="false">K16+L16+M16+N16</f>
        <v>5350</v>
      </c>
      <c r="P16" s="10" t="n">
        <f aca="false">IF(N(E16)&gt;0,G16/E16,"")</f>
        <v>0</v>
      </c>
      <c r="Q16" s="10" t="n">
        <f aca="false">IF(N(E16)&gt;0,J16/E16,"")</f>
        <v>45</v>
      </c>
      <c r="R16" s="10" t="n">
        <f aca="false">IF(N(E16)&gt;0,O16/E16,"")</f>
        <v>53.5</v>
      </c>
      <c r="S16" s="8" t="n">
        <v>1025</v>
      </c>
      <c r="T16" s="8" t="n">
        <v>7280</v>
      </c>
      <c r="U16" s="8" t="n">
        <v>8348.5</v>
      </c>
    </row>
    <row r="17" customFormat="false" ht="15" hidden="false" customHeight="false" outlineLevel="0" collapsed="false">
      <c r="A17" s="5" t="n">
        <v>45878</v>
      </c>
      <c r="B17" s="6" t="s">
        <v>38</v>
      </c>
      <c r="C17" s="6" t="s">
        <v>24</v>
      </c>
      <c r="D17" s="6" t="s">
        <v>33</v>
      </c>
      <c r="E17" s="7" t="n">
        <v>60</v>
      </c>
      <c r="F17" s="8" t="n">
        <v>0</v>
      </c>
      <c r="G17" s="8" t="n">
        <v>0</v>
      </c>
      <c r="H17" s="8" t="n">
        <v>925</v>
      </c>
      <c r="I17" s="8" t="n">
        <v>0</v>
      </c>
      <c r="J17" s="8" t="n">
        <f aca="false">H17+I17</f>
        <v>925</v>
      </c>
      <c r="K17" s="8" t="n">
        <f aca="false">G17+J17</f>
        <v>925</v>
      </c>
      <c r="L17" s="8" t="n">
        <v>3492.08</v>
      </c>
      <c r="M17" s="8" t="n">
        <v>0</v>
      </c>
      <c r="N17" s="8" t="n">
        <v>681.75</v>
      </c>
      <c r="O17" s="9" t="n">
        <f aca="false">K17+L17+M17+N17</f>
        <v>5098.83</v>
      </c>
      <c r="P17" s="10" t="n">
        <f aca="false">IF(N(E17)&gt;0,G17/E17,"")</f>
        <v>0</v>
      </c>
      <c r="Q17" s="10" t="n">
        <f aca="false">IF(N(E17)&gt;0,J17/E17,"")</f>
        <v>15.4166666666667</v>
      </c>
      <c r="R17" s="10" t="n">
        <f aca="false">IF(N(E17)&gt;0,O17/E17,"")</f>
        <v>84.9805</v>
      </c>
      <c r="S17" s="8" t="n">
        <v>0</v>
      </c>
      <c r="T17" s="8" t="n">
        <v>5182.08</v>
      </c>
      <c r="U17" s="8" t="n">
        <v>5376.08</v>
      </c>
    </row>
    <row r="18" customFormat="false" ht="15" hidden="false" customHeight="false" outlineLevel="0" collapsed="false">
      <c r="A18" s="5" t="n">
        <v>45887</v>
      </c>
      <c r="B18" s="6" t="s">
        <v>39</v>
      </c>
      <c r="C18" s="6" t="s">
        <v>24</v>
      </c>
      <c r="D18" s="6" t="s">
        <v>31</v>
      </c>
      <c r="E18" s="7" t="n">
        <v>35</v>
      </c>
      <c r="F18" s="8" t="n">
        <v>0</v>
      </c>
      <c r="G18" s="8" t="n">
        <v>2023.25</v>
      </c>
      <c r="H18" s="8" t="n">
        <v>2520</v>
      </c>
      <c r="I18" s="8" t="n">
        <v>875</v>
      </c>
      <c r="J18" s="8" t="n">
        <f aca="false">H18+I18</f>
        <v>3395</v>
      </c>
      <c r="K18" s="8" t="n">
        <f aca="false">G18+J18</f>
        <v>5418.25</v>
      </c>
      <c r="L18" s="8" t="n">
        <v>2013.5</v>
      </c>
      <c r="M18" s="8" t="n">
        <v>0</v>
      </c>
      <c r="N18" s="8" t="n">
        <v>250</v>
      </c>
      <c r="O18" s="9" t="n">
        <f aca="false">K18+L18+M18+N18</f>
        <v>7681.75</v>
      </c>
      <c r="P18" s="10" t="n">
        <f aca="false">IF(N(E18)&gt;0,G18/E18,"")</f>
        <v>57.8071428571429</v>
      </c>
      <c r="Q18" s="10" t="n">
        <f aca="false">IF(N(E18)&gt;0,J18/E18,"")</f>
        <v>97</v>
      </c>
      <c r="R18" s="10" t="n">
        <f aca="false">IF(N(E18)&gt;0,O18/E18,"")</f>
        <v>219.478571428571</v>
      </c>
      <c r="S18" s="8" t="n">
        <v>1920.44</v>
      </c>
      <c r="T18" s="8" t="n">
        <v>10002.89</v>
      </c>
      <c r="U18" s="8" t="n">
        <v>8065.84</v>
      </c>
    </row>
    <row r="19" customFormat="false" ht="15" hidden="false" customHeight="false" outlineLevel="0" collapsed="false">
      <c r="A19" s="5" t="n">
        <v>45891</v>
      </c>
      <c r="B19" s="6" t="s">
        <v>35</v>
      </c>
      <c r="C19" s="6" t="s">
        <v>24</v>
      </c>
      <c r="D19" s="6" t="s">
        <v>25</v>
      </c>
      <c r="E19" s="7" t="n">
        <v>125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f aca="false">H19+I19</f>
        <v>0</v>
      </c>
      <c r="K19" s="8" t="n">
        <f aca="false">G19+J19</f>
        <v>0</v>
      </c>
      <c r="L19" s="8" t="n">
        <v>0</v>
      </c>
      <c r="M19" s="8" t="n">
        <v>0</v>
      </c>
      <c r="N19" s="8" t="n">
        <v>3033</v>
      </c>
      <c r="O19" s="9" t="n">
        <f aca="false">K19+L19+M19+N19</f>
        <v>3033</v>
      </c>
      <c r="P19" s="10" t="n">
        <f aca="false">IF(N(E19)&gt;0,G19/E19,"")</f>
        <v>0</v>
      </c>
      <c r="Q19" s="10" t="n">
        <f aca="false">IF(N(E19)&gt;0,J19/E19,"")</f>
        <v>0</v>
      </c>
      <c r="R19" s="10" t="n">
        <f aca="false">IF(N(E19)&gt;0,O19/E19,"")</f>
        <v>24.264</v>
      </c>
      <c r="S19" s="8" t="n">
        <v>0</v>
      </c>
      <c r="T19" s="8" t="n">
        <v>3033</v>
      </c>
      <c r="U19" s="8" t="n">
        <v>3033</v>
      </c>
    </row>
    <row r="20" customFormat="false" ht="15" hidden="false" customHeight="false" outlineLevel="0" collapsed="false">
      <c r="A20" s="5" t="n">
        <v>45894</v>
      </c>
      <c r="B20" s="6" t="s">
        <v>40</v>
      </c>
      <c r="C20" s="6" t="s">
        <v>24</v>
      </c>
      <c r="D20" s="6" t="s">
        <v>31</v>
      </c>
      <c r="E20" s="7"/>
      <c r="F20" s="8" t="n">
        <v>0</v>
      </c>
      <c r="G20" s="8" t="n">
        <v>0</v>
      </c>
      <c r="H20" s="8" t="n">
        <v>0</v>
      </c>
      <c r="I20" s="8" t="n">
        <v>0</v>
      </c>
      <c r="J20" s="8" t="n">
        <f aca="false">H20+I20</f>
        <v>0</v>
      </c>
      <c r="K20" s="8" t="n">
        <f aca="false">G20+J20</f>
        <v>0</v>
      </c>
      <c r="L20" s="8" t="n">
        <v>0</v>
      </c>
      <c r="M20" s="8" t="n">
        <v>0</v>
      </c>
      <c r="N20" s="8" t="n">
        <v>0</v>
      </c>
      <c r="O20" s="9" t="n">
        <f aca="false">K20+L20+M20+N20</f>
        <v>0</v>
      </c>
      <c r="P20" s="10" t="str">
        <f aca="false">IF(N(E20)&gt;0,G20/E20,"")</f>
        <v/>
      </c>
      <c r="Q20" s="10" t="str">
        <f aca="false">IF(N(E20)&gt;0,J20/E20,"")</f>
        <v/>
      </c>
      <c r="R20" s="10" t="str">
        <f aca="false">IF(N(E20)&gt;0,O20/E20,"")</f>
        <v/>
      </c>
      <c r="S20" s="8" t="n">
        <v>0</v>
      </c>
      <c r="T20" s="8" t="n">
        <v>0</v>
      </c>
    </row>
    <row r="21" customFormat="false" ht="15" hidden="false" customHeight="false" outlineLevel="0" collapsed="false">
      <c r="A21" s="5" t="n">
        <v>45899</v>
      </c>
      <c r="B21" s="6" t="s">
        <v>41</v>
      </c>
      <c r="C21" s="6" t="s">
        <v>29</v>
      </c>
      <c r="D21" s="6" t="s">
        <v>42</v>
      </c>
      <c r="E21" s="7" t="n">
        <v>50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f aca="false">H21+I21</f>
        <v>0</v>
      </c>
      <c r="K21" s="8" t="n">
        <f aca="false">G21+J21</f>
        <v>0</v>
      </c>
      <c r="L21" s="8" t="n">
        <v>0</v>
      </c>
      <c r="M21" s="8" t="n">
        <v>0</v>
      </c>
      <c r="N21" s="8" t="n">
        <v>0</v>
      </c>
      <c r="O21" s="9" t="n">
        <f aca="false">K21+L21+M21+N21</f>
        <v>0</v>
      </c>
      <c r="P21" s="10" t="n">
        <f aca="false">IF(N(E21)&gt;0,G21/E21,"")</f>
        <v>0</v>
      </c>
      <c r="Q21" s="10" t="n">
        <f aca="false">IF(N(E21)&gt;0,J21/E21,"")</f>
        <v>0</v>
      </c>
      <c r="R21" s="10" t="n">
        <f aca="false">IF(N(E21)&gt;0,O21/E21,"")</f>
        <v>0</v>
      </c>
      <c r="S21" s="8" t="n">
        <v>0</v>
      </c>
      <c r="T21" s="8" t="n">
        <v>0</v>
      </c>
      <c r="U21" s="8" t="n">
        <v>3235.75</v>
      </c>
    </row>
    <row r="22" customFormat="false" ht="15" hidden="false" customHeight="false" outlineLevel="0" collapsed="false">
      <c r="A22" s="5" t="n">
        <v>45905</v>
      </c>
      <c r="B22" s="6" t="s">
        <v>23</v>
      </c>
      <c r="C22" s="6" t="s">
        <v>24</v>
      </c>
      <c r="D22" s="6" t="s">
        <v>25</v>
      </c>
      <c r="E22" s="7" t="n">
        <v>140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f aca="false">H22+I22</f>
        <v>0</v>
      </c>
      <c r="K22" s="8" t="n">
        <f aca="false">G22+J22</f>
        <v>0</v>
      </c>
      <c r="L22" s="8" t="n">
        <v>0</v>
      </c>
      <c r="M22" s="8" t="n">
        <v>0</v>
      </c>
      <c r="N22" s="8" t="n">
        <v>8684.75</v>
      </c>
      <c r="O22" s="9" t="n">
        <f aca="false">K22+L22+M22+N22</f>
        <v>8684.75</v>
      </c>
      <c r="P22" s="10" t="n">
        <f aca="false">IF(N(E22)&gt;0,G22/E22,"")</f>
        <v>0</v>
      </c>
      <c r="Q22" s="10" t="n">
        <f aca="false">IF(N(E22)&gt;0,J22/E22,"")</f>
        <v>0</v>
      </c>
      <c r="R22" s="10" t="n">
        <f aca="false">IF(N(E22)&gt;0,O22/E22,"")</f>
        <v>62.0339285714286</v>
      </c>
      <c r="S22" s="8" t="n">
        <v>0</v>
      </c>
      <c r="T22" s="8" t="n">
        <v>8684.75</v>
      </c>
      <c r="U22" s="8" t="n">
        <v>7393.21</v>
      </c>
    </row>
    <row r="23" customFormat="false" ht="15" hidden="false" customHeight="false" outlineLevel="0" collapsed="false">
      <c r="A23" s="5" t="n">
        <v>45912</v>
      </c>
      <c r="B23" s="6" t="s">
        <v>35</v>
      </c>
      <c r="C23" s="6" t="s">
        <v>24</v>
      </c>
      <c r="D23" s="6" t="s">
        <v>25</v>
      </c>
      <c r="E23" s="7" t="n">
        <v>125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f aca="false">H23+I23</f>
        <v>0</v>
      </c>
      <c r="K23" s="8" t="n">
        <f aca="false">G23+J23</f>
        <v>0</v>
      </c>
      <c r="L23" s="8" t="n">
        <v>0</v>
      </c>
      <c r="M23" s="8" t="n">
        <v>0</v>
      </c>
      <c r="N23" s="8" t="n">
        <v>5143</v>
      </c>
      <c r="O23" s="9" t="n">
        <f aca="false">K23+L23+M23+N23</f>
        <v>5143</v>
      </c>
      <c r="P23" s="10" t="n">
        <f aca="false">IF(N(E23)&gt;0,G23/E23,"")</f>
        <v>0</v>
      </c>
      <c r="Q23" s="10" t="n">
        <f aca="false">IF(N(E23)&gt;0,J23/E23,"")</f>
        <v>0</v>
      </c>
      <c r="R23" s="10" t="n">
        <f aca="false">IF(N(E23)&gt;0,O23/E23,"")</f>
        <v>41.144</v>
      </c>
      <c r="S23" s="8" t="n">
        <v>0</v>
      </c>
      <c r="T23" s="8" t="n">
        <v>5143</v>
      </c>
      <c r="U23" s="8" t="n">
        <v>5143</v>
      </c>
    </row>
    <row r="24" customFormat="false" ht="15" hidden="false" customHeight="false" outlineLevel="0" collapsed="false">
      <c r="A24" s="5" t="n">
        <v>45916</v>
      </c>
      <c r="B24" s="6" t="s">
        <v>43</v>
      </c>
      <c r="C24" s="6" t="s">
        <v>24</v>
      </c>
      <c r="D24" s="6" t="s">
        <v>31</v>
      </c>
      <c r="E24" s="7" t="n">
        <v>75</v>
      </c>
      <c r="F24" s="8" t="n">
        <v>2000</v>
      </c>
      <c r="G24" s="8" t="n">
        <v>1840</v>
      </c>
      <c r="H24" s="8" t="n">
        <v>1336</v>
      </c>
      <c r="I24" s="8" t="n">
        <v>0</v>
      </c>
      <c r="J24" s="8" t="n">
        <f aca="false">H24+I24</f>
        <v>1336</v>
      </c>
      <c r="K24" s="8" t="n">
        <f aca="false">G24+J24</f>
        <v>3176</v>
      </c>
      <c r="L24" s="8" t="n">
        <v>0</v>
      </c>
      <c r="M24" s="8" t="n">
        <v>0</v>
      </c>
      <c r="N24" s="8" t="n">
        <v>0</v>
      </c>
      <c r="O24" s="9" t="n">
        <f aca="false">K24+L24+M24+N24</f>
        <v>3176</v>
      </c>
      <c r="P24" s="10" t="n">
        <f aca="false">IF(N(E24)&gt;0,G24/E24,"")</f>
        <v>24.5333333333333</v>
      </c>
      <c r="Q24" s="10" t="n">
        <f aca="false">IF(N(E24)&gt;0,J24/E24,"")</f>
        <v>17.8133333333333</v>
      </c>
      <c r="R24" s="10" t="n">
        <f aca="false">IF(N(E24)&gt;0,O24/E24,"")</f>
        <v>42.3466666666667</v>
      </c>
      <c r="S24" s="8" t="n">
        <v>794</v>
      </c>
      <c r="T24" s="8" t="n">
        <v>4198.51</v>
      </c>
      <c r="U24" s="8" t="n">
        <v>3369.8</v>
      </c>
    </row>
    <row r="25" customFormat="false" ht="15" hidden="false" customHeight="false" outlineLevel="0" collapsed="false">
      <c r="A25" s="5" t="n">
        <v>45920</v>
      </c>
      <c r="B25" s="6" t="s">
        <v>44</v>
      </c>
      <c r="C25" s="6" t="s">
        <v>24</v>
      </c>
      <c r="D25" s="6" t="s">
        <v>33</v>
      </c>
      <c r="E25" s="7" t="n">
        <v>150</v>
      </c>
      <c r="F25" s="8" t="n">
        <v>0</v>
      </c>
      <c r="G25" s="8" t="n">
        <v>1080</v>
      </c>
      <c r="H25" s="8" t="n">
        <v>6000</v>
      </c>
      <c r="I25" s="8" t="n">
        <v>0</v>
      </c>
      <c r="J25" s="8" t="n">
        <f aca="false">H25+I25</f>
        <v>6000</v>
      </c>
      <c r="K25" s="8" t="n">
        <f aca="false">G25+J25</f>
        <v>7080</v>
      </c>
      <c r="L25" s="8" t="n">
        <v>0</v>
      </c>
      <c r="M25" s="8" t="n">
        <v>0</v>
      </c>
      <c r="N25" s="8" t="n">
        <v>300</v>
      </c>
      <c r="O25" s="9" t="n">
        <f aca="false">K25+L25+M25+N25</f>
        <v>7380</v>
      </c>
      <c r="P25" s="10" t="n">
        <f aca="false">IF(N(E25)&gt;0,G25/E25,"")</f>
        <v>7.2</v>
      </c>
      <c r="Q25" s="10" t="n">
        <f aca="false">IF(N(E25)&gt;0,J25/E25,"")</f>
        <v>40</v>
      </c>
      <c r="R25" s="10" t="n">
        <f aca="false">IF(N(E25)&gt;0,O25/E25,"")</f>
        <v>49.2</v>
      </c>
      <c r="S25" s="8" t="n">
        <v>1938.75</v>
      </c>
      <c r="T25" s="8" t="n">
        <v>9851.04</v>
      </c>
      <c r="U25" s="8" t="n">
        <v>9823.75</v>
      </c>
    </row>
    <row r="26" customFormat="false" ht="15" hidden="false" customHeight="false" outlineLevel="0" collapsed="false">
      <c r="A26" s="5" t="n">
        <v>45924</v>
      </c>
      <c r="B26" s="6" t="s">
        <v>45</v>
      </c>
      <c r="C26" s="6" t="s">
        <v>24</v>
      </c>
      <c r="D26" s="6" t="s">
        <v>46</v>
      </c>
      <c r="E26" s="7" t="n">
        <v>15</v>
      </c>
      <c r="F26" s="8" t="n">
        <v>0</v>
      </c>
      <c r="G26" s="8" t="n">
        <v>146</v>
      </c>
      <c r="H26" s="8" t="n">
        <v>0</v>
      </c>
      <c r="I26" s="8" t="n">
        <v>0</v>
      </c>
      <c r="J26" s="8" t="n">
        <f aca="false">H26+I26</f>
        <v>0</v>
      </c>
      <c r="K26" s="8" t="n">
        <f aca="false">G26+J26</f>
        <v>146</v>
      </c>
      <c r="L26" s="8" t="n">
        <v>0</v>
      </c>
      <c r="M26" s="8" t="n">
        <v>0</v>
      </c>
      <c r="N26" s="8" t="n">
        <v>0</v>
      </c>
      <c r="O26" s="9" t="n">
        <f aca="false">K26+L26+M26+N26</f>
        <v>146</v>
      </c>
      <c r="P26" s="10" t="n">
        <f aca="false">IF(N(E26)&gt;0,G26/E26,"")</f>
        <v>9.73333333333333</v>
      </c>
      <c r="Q26" s="10" t="n">
        <f aca="false">IF(N(E26)&gt;0,J26/E26,"")</f>
        <v>0</v>
      </c>
      <c r="R26" s="10" t="n">
        <f aca="false">IF(N(E26)&gt;0,O26/E26,"")</f>
        <v>9.73333333333333</v>
      </c>
      <c r="S26" s="8" t="n">
        <v>36.5</v>
      </c>
      <c r="T26" s="8" t="n">
        <v>191.26</v>
      </c>
    </row>
    <row r="27" customFormat="false" ht="15" hidden="false" customHeight="false" outlineLevel="0" collapsed="false">
      <c r="A27" s="5" t="n">
        <v>45926</v>
      </c>
      <c r="B27" s="6" t="s">
        <v>47</v>
      </c>
      <c r="C27" s="6" t="s">
        <v>24</v>
      </c>
      <c r="D27" s="6" t="s">
        <v>48</v>
      </c>
      <c r="E27" s="7" t="n">
        <v>45</v>
      </c>
      <c r="F27" s="8" t="n">
        <v>0</v>
      </c>
      <c r="G27" s="8" t="n">
        <v>1950</v>
      </c>
      <c r="H27" s="8" t="n">
        <v>0</v>
      </c>
      <c r="I27" s="8" t="n">
        <v>0</v>
      </c>
      <c r="J27" s="8" t="n">
        <f aca="false">H27+I27</f>
        <v>0</v>
      </c>
      <c r="K27" s="8" t="n">
        <f aca="false">G27+J27</f>
        <v>1950</v>
      </c>
      <c r="L27" s="8" t="n">
        <v>2500</v>
      </c>
      <c r="M27" s="8" t="n">
        <v>0</v>
      </c>
      <c r="N27" s="8" t="n">
        <v>0</v>
      </c>
      <c r="O27" s="9" t="n">
        <f aca="false">K27+L27+M27+N27</f>
        <v>4450</v>
      </c>
      <c r="P27" s="10" t="n">
        <f aca="false">IF(N(E27)&gt;0,G27/E27,"")</f>
        <v>43.3333333333333</v>
      </c>
      <c r="Q27" s="10" t="n">
        <f aca="false">IF(N(E27)&gt;0,J27/E27,"")</f>
        <v>0</v>
      </c>
      <c r="R27" s="10" t="n">
        <f aca="false">IF(N(E27)&gt;0,O27/E27,"")</f>
        <v>98.8888888888889</v>
      </c>
      <c r="S27" s="8" t="n">
        <v>1112.5</v>
      </c>
      <c r="T27" s="8" t="n">
        <v>5562.5</v>
      </c>
    </row>
    <row r="28" customFormat="false" ht="15" hidden="false" customHeight="false" outlineLevel="0" collapsed="false">
      <c r="A28" s="5" t="n">
        <v>45930</v>
      </c>
      <c r="B28" s="6" t="s">
        <v>49</v>
      </c>
      <c r="C28" s="6" t="s">
        <v>24</v>
      </c>
      <c r="D28" s="6" t="s">
        <v>25</v>
      </c>
      <c r="E28" s="7" t="n">
        <v>40</v>
      </c>
      <c r="F28" s="8" t="n">
        <v>0</v>
      </c>
      <c r="G28" s="8" t="n">
        <v>250</v>
      </c>
      <c r="H28" s="8" t="n">
        <v>197</v>
      </c>
      <c r="I28" s="8" t="n">
        <v>0</v>
      </c>
      <c r="J28" s="8" t="n">
        <f aca="false">H28+I28</f>
        <v>197</v>
      </c>
      <c r="K28" s="8" t="n">
        <f aca="false">G28+J28</f>
        <v>447</v>
      </c>
      <c r="L28" s="8" t="n">
        <v>0</v>
      </c>
      <c r="M28" s="8" t="n">
        <v>0</v>
      </c>
      <c r="N28" s="8" t="n">
        <v>0</v>
      </c>
      <c r="O28" s="9" t="n">
        <f aca="false">K28+L28+M28+N28</f>
        <v>447</v>
      </c>
      <c r="P28" s="10" t="n">
        <f aca="false">IF(N(E28)&gt;0,G28/E28,"")</f>
        <v>6.25</v>
      </c>
      <c r="Q28" s="10" t="n">
        <f aca="false">IF(N(E28)&gt;0,J28/E28,"")</f>
        <v>4.925</v>
      </c>
      <c r="R28" s="10" t="n">
        <f aca="false">IF(N(E28)&gt;0,O28/E28,"")</f>
        <v>11.175</v>
      </c>
      <c r="S28" s="8" t="n">
        <v>111.75</v>
      </c>
      <c r="T28" s="8" t="n">
        <v>590.1</v>
      </c>
      <c r="U28" s="8" t="n">
        <v>516.35</v>
      </c>
    </row>
    <row r="29" customFormat="false" ht="15" hidden="false" customHeight="false" outlineLevel="0" collapsed="false">
      <c r="A29" s="5" t="n">
        <v>45932</v>
      </c>
      <c r="B29" s="6" t="s">
        <v>50</v>
      </c>
      <c r="C29" s="6" t="s">
        <v>24</v>
      </c>
      <c r="D29" s="6" t="s">
        <v>31</v>
      </c>
      <c r="E29" s="7" t="n">
        <v>50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f aca="false">H29+I29</f>
        <v>0</v>
      </c>
      <c r="K29" s="8" t="n">
        <f aca="false">G29+J29</f>
        <v>0</v>
      </c>
      <c r="L29" s="8" t="n">
        <v>0</v>
      </c>
      <c r="M29" s="8" t="n">
        <v>0</v>
      </c>
      <c r="N29" s="8" t="n">
        <v>724</v>
      </c>
      <c r="O29" s="9" t="n">
        <f aca="false">K29+L29+M29+N29</f>
        <v>724</v>
      </c>
      <c r="P29" s="10" t="n">
        <f aca="false">IF(N(E29)&gt;0,G29/E29,"")</f>
        <v>0</v>
      </c>
      <c r="Q29" s="10" t="n">
        <f aca="false">IF(N(E29)&gt;0,J29/E29,"")</f>
        <v>0</v>
      </c>
      <c r="R29" s="10" t="n">
        <f aca="false">IF(N(E29)&gt;0,O29/E29,"")</f>
        <v>14.48</v>
      </c>
      <c r="S29" s="8" t="n">
        <v>0</v>
      </c>
      <c r="T29" s="8" t="n">
        <v>724</v>
      </c>
      <c r="U29" s="8" t="n">
        <v>724</v>
      </c>
    </row>
    <row r="30" customFormat="false" ht="15" hidden="false" customHeight="false" outlineLevel="0" collapsed="false">
      <c r="A30" s="5" t="n">
        <v>45933</v>
      </c>
      <c r="B30" s="6" t="s">
        <v>23</v>
      </c>
      <c r="C30" s="6" t="s">
        <v>24</v>
      </c>
      <c r="D30" s="6" t="s">
        <v>25</v>
      </c>
      <c r="E30" s="7" t="n">
        <v>140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f aca="false">H30+I30</f>
        <v>0</v>
      </c>
      <c r="K30" s="8" t="n">
        <f aca="false">G30+J30</f>
        <v>0</v>
      </c>
      <c r="L30" s="8" t="n">
        <v>0</v>
      </c>
      <c r="M30" s="8" t="n">
        <v>0</v>
      </c>
      <c r="N30" s="8" t="n">
        <v>6327</v>
      </c>
      <c r="O30" s="9" t="n">
        <f aca="false">K30+L30+M30+N30</f>
        <v>6327</v>
      </c>
      <c r="P30" s="10" t="n">
        <f aca="false">IF(N(E30)&gt;0,G30/E30,"")</f>
        <v>0</v>
      </c>
      <c r="Q30" s="10" t="n">
        <f aca="false">IF(N(E30)&gt;0,J30/E30,"")</f>
        <v>0</v>
      </c>
      <c r="R30" s="10" t="n">
        <f aca="false">IF(N(E30)&gt;0,O30/E30,"")</f>
        <v>45.1928571428571</v>
      </c>
      <c r="S30" s="8" t="n">
        <v>0</v>
      </c>
      <c r="T30" s="8" t="n">
        <v>6327</v>
      </c>
      <c r="U30" s="8" t="n">
        <v>6327</v>
      </c>
    </row>
    <row r="31" customFormat="false" ht="15" hidden="false" customHeight="false" outlineLevel="0" collapsed="false">
      <c r="A31" s="5" t="n">
        <v>45951</v>
      </c>
      <c r="B31" s="6" t="s">
        <v>51</v>
      </c>
      <c r="C31" s="6" t="s">
        <v>24</v>
      </c>
      <c r="D31" s="6" t="s">
        <v>42</v>
      </c>
      <c r="E31" s="7" t="n">
        <v>70</v>
      </c>
      <c r="F31" s="8" t="n">
        <v>0</v>
      </c>
      <c r="G31" s="8" t="n">
        <v>3426.5</v>
      </c>
      <c r="H31" s="8" t="n">
        <v>4140</v>
      </c>
      <c r="I31" s="8" t="n">
        <v>0</v>
      </c>
      <c r="J31" s="8" t="n">
        <f aca="false">H31+I31</f>
        <v>4140</v>
      </c>
      <c r="K31" s="8" t="n">
        <f aca="false">G31+J31</f>
        <v>7566.5</v>
      </c>
      <c r="L31" s="8" t="n">
        <v>0</v>
      </c>
      <c r="M31" s="8" t="n">
        <v>0</v>
      </c>
      <c r="N31" s="8" t="n">
        <v>300</v>
      </c>
      <c r="O31" s="9" t="n">
        <f aca="false">K31+L31+M31+N31</f>
        <v>7866.5</v>
      </c>
      <c r="P31" s="10" t="n">
        <f aca="false">IF(N(E31)&gt;0,G31/E31,"")</f>
        <v>48.95</v>
      </c>
      <c r="Q31" s="10" t="n">
        <f aca="false">IF(N(E31)&gt;0,J31/E31,"")</f>
        <v>59.1428571428571</v>
      </c>
      <c r="R31" s="10" t="n">
        <f aca="false">IF(N(E31)&gt;0,O31/E31,"")</f>
        <v>112.378571428571</v>
      </c>
      <c r="S31" s="8" t="n">
        <v>2084.95</v>
      </c>
      <c r="T31" s="8" t="n">
        <v>10442.63</v>
      </c>
      <c r="U31" s="8" t="n">
        <v>8172.82</v>
      </c>
    </row>
    <row r="32" customFormat="false" ht="15" hidden="false" customHeight="false" outlineLevel="0" collapsed="false">
      <c r="A32" s="5" t="n">
        <v>45951</v>
      </c>
      <c r="B32" s="6" t="s">
        <v>52</v>
      </c>
      <c r="C32" s="6" t="s">
        <v>24</v>
      </c>
      <c r="D32" s="6" t="s">
        <v>31</v>
      </c>
      <c r="E32" s="7" t="n">
        <v>65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f aca="false">H32+I32</f>
        <v>0</v>
      </c>
      <c r="K32" s="8" t="n">
        <f aca="false">G32+J32</f>
        <v>0</v>
      </c>
      <c r="L32" s="8" t="n">
        <v>0</v>
      </c>
      <c r="M32" s="8" t="n">
        <v>0</v>
      </c>
      <c r="N32" s="8" t="n">
        <v>0</v>
      </c>
      <c r="O32" s="9" t="n">
        <f aca="false">K32+L32+M32+N32</f>
        <v>0</v>
      </c>
      <c r="P32" s="10" t="n">
        <f aca="false">IF(N(E32)&gt;0,G32/E32,"")</f>
        <v>0</v>
      </c>
      <c r="Q32" s="10" t="n">
        <f aca="false">IF(N(E32)&gt;0,J32/E32,"")</f>
        <v>0</v>
      </c>
      <c r="R32" s="10" t="n">
        <f aca="false">IF(N(E32)&gt;0,O32/E32,"")</f>
        <v>0</v>
      </c>
      <c r="S32" s="8" t="n">
        <v>0</v>
      </c>
      <c r="T32" s="8" t="n">
        <v>0</v>
      </c>
    </row>
    <row r="33" customFormat="false" ht="15" hidden="false" customHeight="false" outlineLevel="0" collapsed="false">
      <c r="A33" s="5" t="n">
        <v>45959</v>
      </c>
      <c r="B33" s="6" t="s">
        <v>53</v>
      </c>
      <c r="C33" s="6" t="s">
        <v>24</v>
      </c>
      <c r="D33" s="6" t="s">
        <v>54</v>
      </c>
      <c r="E33" s="7" t="n">
        <v>50</v>
      </c>
      <c r="F33" s="8" t="n">
        <v>2000</v>
      </c>
      <c r="G33" s="8" t="n">
        <v>910</v>
      </c>
      <c r="H33" s="8" t="n">
        <v>2000</v>
      </c>
      <c r="I33" s="8" t="n">
        <v>0</v>
      </c>
      <c r="J33" s="8" t="n">
        <f aca="false">H33+I33</f>
        <v>2000</v>
      </c>
      <c r="K33" s="8" t="n">
        <f aca="false">G33+J33</f>
        <v>2910</v>
      </c>
      <c r="L33" s="8" t="n">
        <v>0</v>
      </c>
      <c r="M33" s="8" t="n">
        <v>0</v>
      </c>
      <c r="N33" s="8" t="n">
        <v>0</v>
      </c>
      <c r="O33" s="9" t="n">
        <f aca="false">K33+L33+M33+N33</f>
        <v>2910</v>
      </c>
      <c r="P33" s="10" t="n">
        <f aca="false">IF(N(E33)&gt;0,G33/E33,"")</f>
        <v>18.2</v>
      </c>
      <c r="Q33" s="10" t="n">
        <f aca="false">IF(N(E33)&gt;0,J33/E33,"")</f>
        <v>40</v>
      </c>
      <c r="R33" s="10" t="n">
        <f aca="false">IF(N(E33)&gt;0,O33/E33,"")</f>
        <v>58.2</v>
      </c>
      <c r="S33" s="8" t="n">
        <v>727.5</v>
      </c>
      <c r="T33" s="8" t="n">
        <v>3872.1</v>
      </c>
      <c r="U33" s="8" t="n">
        <v>4490.5</v>
      </c>
    </row>
    <row r="34" customFormat="false" ht="15" hidden="false" customHeight="false" outlineLevel="0" collapsed="false">
      <c r="A34" s="5" t="n">
        <v>45981</v>
      </c>
      <c r="B34" s="6" t="s">
        <v>55</v>
      </c>
      <c r="C34" s="6" t="s">
        <v>24</v>
      </c>
      <c r="D34" s="6" t="s">
        <v>46</v>
      </c>
      <c r="E34" s="7" t="n">
        <v>11</v>
      </c>
      <c r="F34" s="8" t="n">
        <v>0</v>
      </c>
      <c r="G34" s="8" t="n">
        <v>495</v>
      </c>
      <c r="H34" s="8" t="n">
        <v>0</v>
      </c>
      <c r="I34" s="8" t="n">
        <v>0</v>
      </c>
      <c r="J34" s="8" t="n">
        <f aca="false">H34+I34</f>
        <v>0</v>
      </c>
      <c r="K34" s="8" t="n">
        <f aca="false">G34+J34</f>
        <v>495</v>
      </c>
      <c r="L34" s="8" t="n">
        <v>0</v>
      </c>
      <c r="M34" s="8" t="n">
        <v>0</v>
      </c>
      <c r="N34" s="8" t="n">
        <v>500</v>
      </c>
      <c r="O34" s="9" t="n">
        <f aca="false">K34+L34+M34+N34</f>
        <v>995</v>
      </c>
      <c r="P34" s="10" t="n">
        <f aca="false">IF(N(E34)&gt;0,G34/E34,"")</f>
        <v>45</v>
      </c>
      <c r="Q34" s="10" t="n">
        <f aca="false">IF(N(E34)&gt;0,J34/E34,"")</f>
        <v>0</v>
      </c>
      <c r="R34" s="10" t="n">
        <f aca="false">IF(N(E34)&gt;0,O34/E34,"")</f>
        <v>90.4545454545455</v>
      </c>
      <c r="S34" s="8" t="n">
        <v>748.75</v>
      </c>
      <c r="T34" s="8" t="n">
        <v>1273.45</v>
      </c>
      <c r="U34" s="8" t="n">
        <v>1044.75</v>
      </c>
    </row>
    <row r="35" customFormat="false" ht="15" hidden="false" customHeight="false" outlineLevel="0" collapsed="false">
      <c r="A35" s="5" t="n">
        <v>45982</v>
      </c>
      <c r="B35" s="6" t="s">
        <v>56</v>
      </c>
      <c r="C35" s="6" t="s">
        <v>24</v>
      </c>
      <c r="D35" s="6" t="s">
        <v>25</v>
      </c>
      <c r="E35" s="7" t="n">
        <v>115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f aca="false">H35+I35</f>
        <v>0</v>
      </c>
      <c r="K35" s="8" t="n">
        <f aca="false">G35+J35</f>
        <v>0</v>
      </c>
      <c r="L35" s="8" t="n">
        <v>0</v>
      </c>
      <c r="M35" s="8" t="n">
        <v>0</v>
      </c>
      <c r="N35" s="8" t="n">
        <v>4622.18</v>
      </c>
      <c r="O35" s="9" t="n">
        <f aca="false">K35+L35+M35+N35</f>
        <v>4622.18</v>
      </c>
      <c r="P35" s="10" t="n">
        <f aca="false">IF(N(E35)&gt;0,G35/E35,"")</f>
        <v>0</v>
      </c>
      <c r="Q35" s="10" t="n">
        <f aca="false">IF(N(E35)&gt;0,J35/E35,"")</f>
        <v>0</v>
      </c>
      <c r="R35" s="10" t="n">
        <f aca="false">IF(N(E35)&gt;0,O35/E35,"")</f>
        <v>40.1928695652174</v>
      </c>
      <c r="S35" s="8" t="n">
        <v>0</v>
      </c>
      <c r="T35" s="8" t="n">
        <v>4622.18</v>
      </c>
      <c r="U35" s="8" t="n">
        <v>4402.45</v>
      </c>
    </row>
    <row r="36" customFormat="false" ht="15" hidden="false" customHeight="false" outlineLevel="0" collapsed="false">
      <c r="A36" s="5" t="n">
        <v>45988</v>
      </c>
      <c r="B36" s="6" t="s">
        <v>57</v>
      </c>
      <c r="C36" s="6" t="s">
        <v>24</v>
      </c>
      <c r="D36" s="6" t="s">
        <v>25</v>
      </c>
      <c r="E36" s="7"/>
      <c r="F36" s="8" t="n">
        <v>0</v>
      </c>
      <c r="G36" s="8" t="n">
        <v>0</v>
      </c>
      <c r="H36" s="8" t="n">
        <v>0</v>
      </c>
      <c r="I36" s="8" t="n">
        <v>0</v>
      </c>
      <c r="J36" s="8" t="n">
        <f aca="false">H36+I36</f>
        <v>0</v>
      </c>
      <c r="K36" s="8" t="n">
        <f aca="false">G36+J36</f>
        <v>0</v>
      </c>
      <c r="L36" s="8" t="n">
        <v>0</v>
      </c>
      <c r="M36" s="8" t="n">
        <v>0</v>
      </c>
      <c r="N36" s="8" t="n">
        <v>0</v>
      </c>
      <c r="O36" s="9" t="n">
        <f aca="false">K36+L36+M36+N36</f>
        <v>0</v>
      </c>
      <c r="P36" s="10" t="str">
        <f aca="false">IF(N(E36)&gt;0,G36/E36,"")</f>
        <v/>
      </c>
      <c r="Q36" s="10" t="str">
        <f aca="false">IF(N(E36)&gt;0,J36/E36,"")</f>
        <v/>
      </c>
      <c r="R36" s="10" t="str">
        <f aca="false">IF(N(E36)&gt;0,O36/E36,"")</f>
        <v/>
      </c>
      <c r="S36" s="8" t="n">
        <v>0</v>
      </c>
      <c r="T36" s="8" t="n">
        <v>0</v>
      </c>
    </row>
    <row r="37" customFormat="false" ht="15" hidden="false" customHeight="false" outlineLevel="0" collapsed="false">
      <c r="A37" s="5" t="n">
        <v>45989</v>
      </c>
      <c r="B37" s="6" t="s">
        <v>58</v>
      </c>
      <c r="C37" s="6" t="s">
        <v>24</v>
      </c>
      <c r="D37" s="6" t="s">
        <v>59</v>
      </c>
      <c r="E37" s="7"/>
      <c r="F37" s="8" t="n">
        <v>0</v>
      </c>
      <c r="G37" s="8" t="n">
        <v>0</v>
      </c>
      <c r="H37" s="8" t="n">
        <v>0</v>
      </c>
      <c r="I37" s="8" t="n">
        <v>0</v>
      </c>
      <c r="J37" s="8" t="n">
        <f aca="false">H37+I37</f>
        <v>0</v>
      </c>
      <c r="K37" s="8" t="n">
        <f aca="false">G37+J37</f>
        <v>0</v>
      </c>
      <c r="L37" s="8" t="n">
        <v>0</v>
      </c>
      <c r="M37" s="8" t="n">
        <v>0</v>
      </c>
      <c r="N37" s="8" t="n">
        <v>0</v>
      </c>
      <c r="O37" s="9" t="n">
        <f aca="false">K37+L37+M37+N37</f>
        <v>0</v>
      </c>
      <c r="P37" s="10" t="str">
        <f aca="false">IF(N(E37)&gt;0,G37/E37,"")</f>
        <v/>
      </c>
      <c r="Q37" s="10" t="str">
        <f aca="false">IF(N(E37)&gt;0,J37/E37,"")</f>
        <v/>
      </c>
      <c r="R37" s="10" t="str">
        <f aca="false">IF(N(E37)&gt;0,O37/E37,"")</f>
        <v/>
      </c>
      <c r="S37" s="8" t="n">
        <v>0</v>
      </c>
      <c r="T37" s="8" t="n">
        <v>0</v>
      </c>
    </row>
    <row r="38" customFormat="false" ht="15" hidden="false" customHeight="false" outlineLevel="0" collapsed="false">
      <c r="A38" s="5" t="n">
        <v>45994</v>
      </c>
      <c r="B38" s="6" t="s">
        <v>60</v>
      </c>
      <c r="C38" s="6" t="s">
        <v>24</v>
      </c>
      <c r="D38" s="6" t="s">
        <v>31</v>
      </c>
      <c r="E38" s="7" t="n">
        <v>115</v>
      </c>
      <c r="F38" s="8" t="n">
        <v>5000</v>
      </c>
      <c r="G38" s="8" t="n">
        <v>3907</v>
      </c>
      <c r="H38" s="8" t="n">
        <v>3428</v>
      </c>
      <c r="I38" s="8" t="n">
        <v>0</v>
      </c>
      <c r="J38" s="8" t="n">
        <f aca="false">H38+I38</f>
        <v>3428</v>
      </c>
      <c r="K38" s="8" t="n">
        <f aca="false">G38+J38</f>
        <v>7335</v>
      </c>
      <c r="L38" s="8" t="n">
        <v>0</v>
      </c>
      <c r="M38" s="8" t="n">
        <v>0</v>
      </c>
      <c r="N38" s="8" t="n">
        <v>0</v>
      </c>
      <c r="O38" s="9" t="n">
        <f aca="false">K38+L38+M38+N38</f>
        <v>7335</v>
      </c>
      <c r="P38" s="10" t="n">
        <f aca="false">IF(N(E38)&gt;0,G38/E38,"")</f>
        <v>33.9739130434783</v>
      </c>
      <c r="Q38" s="10" t="n">
        <f aca="false">IF(N(E38)&gt;0,J38/E38,"")</f>
        <v>29.8086956521739</v>
      </c>
      <c r="R38" s="10" t="n">
        <f aca="false">IF(N(E38)&gt;0,O38/E38,"")</f>
        <v>63.7826086956522</v>
      </c>
      <c r="S38" s="8" t="n">
        <v>1803.25</v>
      </c>
      <c r="T38" s="8" t="n">
        <v>9547.46</v>
      </c>
      <c r="U38" s="8" t="n">
        <v>7573.65</v>
      </c>
    </row>
    <row r="39" customFormat="false" ht="15" hidden="false" customHeight="false" outlineLevel="0" collapsed="false">
      <c r="A39" s="5" t="n">
        <v>45995</v>
      </c>
      <c r="B39" s="6" t="s">
        <v>61</v>
      </c>
      <c r="C39" s="6" t="s">
        <v>24</v>
      </c>
      <c r="D39" s="6" t="s">
        <v>31</v>
      </c>
      <c r="E39" s="7" t="n">
        <v>31</v>
      </c>
      <c r="F39" s="8" t="n">
        <v>3500</v>
      </c>
      <c r="G39" s="8" t="n">
        <v>1273.5</v>
      </c>
      <c r="H39" s="8" t="n">
        <v>2232</v>
      </c>
      <c r="I39" s="8" t="n">
        <v>0</v>
      </c>
      <c r="J39" s="8" t="n">
        <f aca="false">H39+I39</f>
        <v>2232</v>
      </c>
      <c r="K39" s="8" t="n">
        <f aca="false">G39+J39</f>
        <v>3505.5</v>
      </c>
      <c r="L39" s="8" t="n">
        <v>0</v>
      </c>
      <c r="M39" s="8" t="n">
        <v>0</v>
      </c>
      <c r="N39" s="8" t="n">
        <v>0</v>
      </c>
      <c r="O39" s="9" t="n">
        <f aca="false">K39+L39+M39+N39</f>
        <v>3505.5</v>
      </c>
      <c r="P39" s="10" t="n">
        <f aca="false">IF(N(E39)&gt;0,G39/E39,"")</f>
        <v>41.0806451612903</v>
      </c>
      <c r="Q39" s="10" t="n">
        <f aca="false">IF(N(E39)&gt;0,J39/E39,"")</f>
        <v>72</v>
      </c>
      <c r="R39" s="10" t="n">
        <f aca="false">IF(N(E39)&gt;0,O39/E39,"")</f>
        <v>113.08064516129</v>
      </c>
      <c r="S39" s="8" t="n">
        <v>895</v>
      </c>
      <c r="T39" s="8" t="n">
        <v>4756.76</v>
      </c>
      <c r="U39" s="8" t="n">
        <v>3759</v>
      </c>
    </row>
    <row r="40" customFormat="false" ht="15" hidden="false" customHeight="false" outlineLevel="0" collapsed="false">
      <c r="A40" s="5" t="n">
        <v>46002</v>
      </c>
      <c r="B40" s="6" t="s">
        <v>62</v>
      </c>
      <c r="C40" s="6" t="s">
        <v>24</v>
      </c>
      <c r="D40" s="6" t="s">
        <v>31</v>
      </c>
      <c r="E40" s="7" t="n">
        <v>20</v>
      </c>
      <c r="F40" s="8" t="n">
        <v>0</v>
      </c>
      <c r="G40" s="8" t="n">
        <v>1385</v>
      </c>
      <c r="H40" s="8" t="n">
        <v>1000</v>
      </c>
      <c r="I40" s="8" t="n">
        <v>0</v>
      </c>
      <c r="J40" s="8" t="n">
        <f aca="false">H40+I40</f>
        <v>1000</v>
      </c>
      <c r="K40" s="8" t="n">
        <f aca="false">G40+J40</f>
        <v>2385</v>
      </c>
      <c r="L40" s="8" t="n">
        <v>0</v>
      </c>
      <c r="M40" s="8" t="n">
        <v>0</v>
      </c>
      <c r="N40" s="8" t="n">
        <v>0</v>
      </c>
      <c r="O40" s="9" t="n">
        <f aca="false">K40+L40+M40+N40</f>
        <v>2385</v>
      </c>
      <c r="P40" s="10" t="n">
        <f aca="false">IF(N(E40)&gt;0,G40/E40,"")</f>
        <v>69.25</v>
      </c>
      <c r="Q40" s="10" t="n">
        <f aca="false">IF(N(E40)&gt;0,J40/E40,"")</f>
        <v>50</v>
      </c>
      <c r="R40" s="10" t="n">
        <f aca="false">IF(N(E40)&gt;0,O40/E40,"")</f>
        <v>119.25</v>
      </c>
      <c r="S40" s="8" t="n">
        <v>580.75</v>
      </c>
      <c r="T40" s="8" t="n">
        <v>2806.28</v>
      </c>
      <c r="U40" s="8" t="n">
        <v>2178.7</v>
      </c>
    </row>
    <row r="41" customFormat="false" ht="15" hidden="false" customHeight="false" outlineLevel="0" collapsed="false">
      <c r="A41" s="5" t="n">
        <v>46005</v>
      </c>
      <c r="B41" s="6" t="s">
        <v>63</v>
      </c>
      <c r="C41" s="6" t="s">
        <v>24</v>
      </c>
      <c r="D41" s="6" t="s">
        <v>31</v>
      </c>
      <c r="E41" s="7" t="n">
        <v>175</v>
      </c>
      <c r="F41" s="8" t="n">
        <v>7000</v>
      </c>
      <c r="G41" s="8" t="n">
        <v>6390</v>
      </c>
      <c r="H41" s="8" t="n">
        <v>9975</v>
      </c>
      <c r="I41" s="8" t="n">
        <v>0</v>
      </c>
      <c r="J41" s="8" t="n">
        <f aca="false">H41+I41</f>
        <v>9975</v>
      </c>
      <c r="K41" s="8" t="n">
        <f aca="false">G41+J41</f>
        <v>16365</v>
      </c>
      <c r="L41" s="8" t="n">
        <v>0</v>
      </c>
      <c r="M41" s="8" t="n">
        <v>0</v>
      </c>
      <c r="N41" s="8" t="n">
        <v>0</v>
      </c>
      <c r="O41" s="9" t="n">
        <f aca="false">K41+L41+M41+N41</f>
        <v>16365</v>
      </c>
      <c r="P41" s="10" t="n">
        <f aca="false">IF(N(E41)&gt;0,G41/E41,"")</f>
        <v>36.5142857142857</v>
      </c>
      <c r="Q41" s="10" t="n">
        <f aca="false">IF(N(E41)&gt;0,J41/E41,"")</f>
        <v>57</v>
      </c>
      <c r="R41" s="10" t="n">
        <f aca="false">IF(N(E41)&gt;0,O41/E41,"")</f>
        <v>93.5142857142857</v>
      </c>
      <c r="S41" s="8" t="n">
        <v>6591.25</v>
      </c>
      <c r="T41" s="8" t="n">
        <v>21737.4</v>
      </c>
      <c r="U41" s="8" t="n">
        <v>17183.25</v>
      </c>
    </row>
    <row r="42" customFormat="false" ht="15" hidden="false" customHeight="false" outlineLevel="0" collapsed="false">
      <c r="A42" s="5" t="n">
        <v>46012</v>
      </c>
      <c r="B42" s="6" t="s">
        <v>64</v>
      </c>
      <c r="C42" s="6" t="s">
        <v>24</v>
      </c>
      <c r="D42" s="6" t="s">
        <v>31</v>
      </c>
      <c r="E42" s="7" t="n">
        <v>60</v>
      </c>
      <c r="F42" s="8" t="n">
        <v>2000</v>
      </c>
      <c r="G42" s="8" t="n">
        <v>3045</v>
      </c>
      <c r="H42" s="8" t="n">
        <v>980</v>
      </c>
      <c r="I42" s="8" t="n">
        <v>0</v>
      </c>
      <c r="J42" s="8" t="n">
        <f aca="false">H42+I42</f>
        <v>980</v>
      </c>
      <c r="K42" s="8" t="n">
        <f aca="false">G42+J42</f>
        <v>4025</v>
      </c>
      <c r="L42" s="8" t="n">
        <v>0</v>
      </c>
      <c r="M42" s="8" t="n">
        <v>0</v>
      </c>
      <c r="N42" s="8" t="n">
        <v>0</v>
      </c>
      <c r="O42" s="9" t="n">
        <f aca="false">K42+L42+M42+N42</f>
        <v>4025</v>
      </c>
      <c r="P42" s="10" t="n">
        <f aca="false">IF(N(E42)&gt;0,G42/E42,"")</f>
        <v>50.75</v>
      </c>
      <c r="Q42" s="10" t="n">
        <f aca="false">IF(N(E42)&gt;0,J42/E42,"")</f>
        <v>16.3333333333333</v>
      </c>
      <c r="R42" s="10" t="n">
        <f aca="false">IF(N(E42)&gt;0,O42/E42,"")</f>
        <v>67.0833333333333</v>
      </c>
      <c r="S42" s="8" t="n">
        <v>1006.25</v>
      </c>
      <c r="T42" s="8" t="n">
        <v>5302.16</v>
      </c>
      <c r="U42" s="8" t="n">
        <v>4718.25</v>
      </c>
    </row>
    <row r="43" customFormat="false" ht="15" hidden="false" customHeight="false" outlineLevel="0" collapsed="false">
      <c r="A43" s="5" t="n">
        <v>46031</v>
      </c>
      <c r="B43" s="6" t="s">
        <v>65</v>
      </c>
      <c r="C43" s="6" t="s">
        <v>24</v>
      </c>
      <c r="D43" s="6" t="s">
        <v>31</v>
      </c>
      <c r="E43" s="7" t="n">
        <v>24</v>
      </c>
      <c r="F43" s="8" t="n">
        <v>1500</v>
      </c>
      <c r="G43" s="8" t="n">
        <v>1597</v>
      </c>
      <c r="H43" s="8" t="n">
        <v>389</v>
      </c>
      <c r="I43" s="8" t="n">
        <v>0</v>
      </c>
      <c r="J43" s="8" t="n">
        <f aca="false">H43+I43</f>
        <v>389</v>
      </c>
      <c r="K43" s="8" t="n">
        <f aca="false">G43+J43</f>
        <v>1986</v>
      </c>
      <c r="L43" s="8" t="n">
        <v>0</v>
      </c>
      <c r="M43" s="8" t="n">
        <v>0</v>
      </c>
      <c r="N43" s="8" t="n">
        <v>0</v>
      </c>
      <c r="O43" s="9" t="n">
        <f aca="false">K43+L43+M43+N43</f>
        <v>1986</v>
      </c>
      <c r="P43" s="10" t="n">
        <f aca="false">IF(N(E43)&gt;0,G43/E43,"")</f>
        <v>66.5416666666667</v>
      </c>
      <c r="Q43" s="10" t="n">
        <f aca="false">IF(N(E43)&gt;0,J43/E43,"")</f>
        <v>16.2083333333333</v>
      </c>
      <c r="R43" s="10" t="n">
        <f aca="false">IF(N(E43)&gt;0,O43/E43,"")</f>
        <v>82.75</v>
      </c>
      <c r="S43" s="8" t="n">
        <v>496.5</v>
      </c>
      <c r="T43" s="8" t="n">
        <v>2626.68</v>
      </c>
      <c r="U43" s="8" t="n">
        <v>2112.3</v>
      </c>
    </row>
    <row r="44" customFormat="false" ht="15" hidden="false" customHeight="false" outlineLevel="0" collapsed="false">
      <c r="A44" s="5" t="n">
        <v>46032</v>
      </c>
      <c r="B44" s="6" t="s">
        <v>65</v>
      </c>
      <c r="C44" s="6" t="s">
        <v>24</v>
      </c>
      <c r="D44" s="6" t="s">
        <v>31</v>
      </c>
      <c r="E44" s="7" t="n">
        <v>24</v>
      </c>
      <c r="F44" s="8" t="n">
        <v>2500</v>
      </c>
      <c r="G44" s="8" t="n">
        <v>2492</v>
      </c>
      <c r="H44" s="8" t="n">
        <v>600</v>
      </c>
      <c r="I44" s="8" t="n">
        <v>0</v>
      </c>
      <c r="J44" s="8" t="n">
        <f aca="false">H44+I44</f>
        <v>600</v>
      </c>
      <c r="K44" s="8" t="n">
        <f aca="false">G44+J44</f>
        <v>3092</v>
      </c>
      <c r="L44" s="8" t="n">
        <v>0</v>
      </c>
      <c r="M44" s="8" t="n">
        <v>0</v>
      </c>
      <c r="N44" s="8" t="n">
        <v>0</v>
      </c>
      <c r="O44" s="9" t="n">
        <f aca="false">K44+L44+M44+N44</f>
        <v>3092</v>
      </c>
      <c r="P44" s="10" t="n">
        <f aca="false">IF(N(E44)&gt;0,G44/E44,"")</f>
        <v>103.833333333333</v>
      </c>
      <c r="Q44" s="10" t="n">
        <f aca="false">IF(N(E44)&gt;0,J44/E44,"")</f>
        <v>25</v>
      </c>
      <c r="R44" s="10" t="n">
        <f aca="false">IF(N(E44)&gt;0,O44/E44,"")</f>
        <v>128.833333333333</v>
      </c>
      <c r="S44" s="8" t="n">
        <v>773</v>
      </c>
      <c r="T44" s="8" t="n">
        <v>4082.92</v>
      </c>
      <c r="U44" s="8" t="n">
        <v>3522.6</v>
      </c>
    </row>
    <row r="45" customFormat="false" ht="15" hidden="false" customHeight="false" outlineLevel="0" collapsed="false">
      <c r="A45" s="5" t="n">
        <v>46033</v>
      </c>
      <c r="B45" s="6" t="s">
        <v>66</v>
      </c>
      <c r="C45" s="6" t="s">
        <v>24</v>
      </c>
      <c r="D45" s="6" t="s">
        <v>33</v>
      </c>
      <c r="E45" s="7" t="n">
        <v>110</v>
      </c>
      <c r="F45" s="8" t="n">
        <v>1550</v>
      </c>
      <c r="G45" s="8" t="n">
        <v>2170</v>
      </c>
      <c r="H45" s="8" t="n">
        <v>1500</v>
      </c>
      <c r="I45" s="8" t="n">
        <v>0</v>
      </c>
      <c r="J45" s="8" t="n">
        <f aca="false">H45+I45</f>
        <v>1500</v>
      </c>
      <c r="K45" s="8" t="n">
        <f aca="false">G45+J45</f>
        <v>3670</v>
      </c>
      <c r="L45" s="8" t="n">
        <v>0</v>
      </c>
      <c r="M45" s="8" t="n">
        <v>0</v>
      </c>
      <c r="N45" s="8" t="n">
        <v>232.08</v>
      </c>
      <c r="O45" s="9" t="n">
        <f aca="false">K45+L45+M45+N45</f>
        <v>3902.08</v>
      </c>
      <c r="P45" s="10" t="n">
        <f aca="false">IF(N(E45)&gt;0,G45/E45,"")</f>
        <v>19.7272727272727</v>
      </c>
      <c r="Q45" s="10" t="n">
        <f aca="false">IF(N(E45)&gt;0,J45/E45,"")</f>
        <v>13.6363636363636</v>
      </c>
      <c r="R45" s="10" t="n">
        <f aca="false">IF(N(E45)&gt;0,O45/E45,"")</f>
        <v>35.4734545454545</v>
      </c>
      <c r="S45" s="8" t="n">
        <v>890.1</v>
      </c>
      <c r="T45" s="8" t="n">
        <v>4469.78</v>
      </c>
      <c r="U45" s="8" t="n">
        <v>3486.1</v>
      </c>
    </row>
    <row r="46" customFormat="false" ht="15" hidden="false" customHeight="false" outlineLevel="0" collapsed="false">
      <c r="A46" s="5" t="n">
        <v>46038</v>
      </c>
      <c r="B46" s="6" t="s">
        <v>67</v>
      </c>
      <c r="C46" s="6" t="s">
        <v>24</v>
      </c>
      <c r="D46" s="6" t="s">
        <v>31</v>
      </c>
      <c r="E46" s="7" t="n">
        <v>60</v>
      </c>
      <c r="F46" s="8" t="n">
        <v>2000</v>
      </c>
      <c r="G46" s="8" t="n">
        <v>1275</v>
      </c>
      <c r="H46" s="8" t="n">
        <v>840</v>
      </c>
      <c r="I46" s="8" t="n">
        <v>0</v>
      </c>
      <c r="J46" s="8" t="n">
        <f aca="false">H46+I46</f>
        <v>840</v>
      </c>
      <c r="K46" s="8" t="n">
        <f aca="false">G46+J46</f>
        <v>2115</v>
      </c>
      <c r="L46" s="8" t="n">
        <v>0</v>
      </c>
      <c r="M46" s="8" t="n">
        <v>0</v>
      </c>
      <c r="N46" s="8" t="n">
        <v>0</v>
      </c>
      <c r="O46" s="9" t="n">
        <f aca="false">K46+L46+M46+N46</f>
        <v>2115</v>
      </c>
      <c r="P46" s="10" t="n">
        <f aca="false">IF(N(E46)&gt;0,G46/E46,"")</f>
        <v>21.25</v>
      </c>
      <c r="Q46" s="10" t="n">
        <f aca="false">IF(N(E46)&gt;0,J46/E46,"")</f>
        <v>14</v>
      </c>
      <c r="R46" s="10" t="n">
        <f aca="false">IF(N(E46)&gt;0,O46/E46,"")</f>
        <v>35.25</v>
      </c>
      <c r="S46" s="8" t="n">
        <v>528.75</v>
      </c>
      <c r="T46" s="8" t="n">
        <v>2795.85</v>
      </c>
      <c r="U46" s="8" t="n">
        <v>2262.75</v>
      </c>
    </row>
    <row r="47" customFormat="false" ht="15" hidden="false" customHeight="false" outlineLevel="0" collapsed="false">
      <c r="A47" s="5" t="n">
        <v>46040</v>
      </c>
      <c r="B47" s="6" t="s">
        <v>68</v>
      </c>
      <c r="C47" s="6" t="s">
        <v>29</v>
      </c>
      <c r="D47" s="6" t="s">
        <v>69</v>
      </c>
      <c r="E47" s="7" t="n">
        <v>34</v>
      </c>
      <c r="F47" s="8" t="n">
        <v>0</v>
      </c>
      <c r="G47" s="8" t="n">
        <v>2929</v>
      </c>
      <c r="H47" s="8" t="n">
        <v>0</v>
      </c>
      <c r="I47" s="8" t="n">
        <v>0</v>
      </c>
      <c r="J47" s="8" t="n">
        <f aca="false">H47+I47</f>
        <v>0</v>
      </c>
      <c r="K47" s="8" t="n">
        <f aca="false">G47+J47</f>
        <v>2929</v>
      </c>
      <c r="L47" s="8" t="n">
        <v>0</v>
      </c>
      <c r="M47" s="8" t="n">
        <v>0</v>
      </c>
      <c r="N47" s="8" t="n">
        <v>0</v>
      </c>
      <c r="O47" s="9" t="n">
        <f aca="false">K47+L47+M47+N47</f>
        <v>2929</v>
      </c>
      <c r="P47" s="10" t="n">
        <f aca="false">IF(N(E47)&gt;0,G47/E47,"")</f>
        <v>86.1470588235294</v>
      </c>
      <c r="Q47" s="10" t="n">
        <f aca="false">IF(N(E47)&gt;0,J47/E47,"")</f>
        <v>0</v>
      </c>
      <c r="R47" s="10" t="n">
        <f aca="false">IF(N(E47)&gt;0,O47/E47,"")</f>
        <v>86.1470588235294</v>
      </c>
      <c r="S47" s="8" t="n">
        <v>732.25</v>
      </c>
      <c r="T47" s="8" t="n">
        <v>3836.99</v>
      </c>
      <c r="U47" s="8" t="n">
        <v>3075.45</v>
      </c>
    </row>
    <row r="48" customFormat="false" ht="15" hidden="false" customHeight="false" outlineLevel="0" collapsed="false">
      <c r="A48" s="5" t="n">
        <v>46041</v>
      </c>
      <c r="B48" s="6" t="s">
        <v>68</v>
      </c>
      <c r="C48" s="6" t="s">
        <v>29</v>
      </c>
      <c r="D48" s="6" t="s">
        <v>69</v>
      </c>
      <c r="E48" s="7" t="n">
        <v>34</v>
      </c>
      <c r="F48" s="8" t="n">
        <v>0</v>
      </c>
      <c r="G48" s="8" t="n">
        <v>2338</v>
      </c>
      <c r="H48" s="8" t="n">
        <v>0</v>
      </c>
      <c r="I48" s="8" t="n">
        <v>0</v>
      </c>
      <c r="J48" s="8" t="n">
        <f aca="false">H48+I48</f>
        <v>0</v>
      </c>
      <c r="K48" s="8" t="n">
        <f aca="false">G48+J48</f>
        <v>2338</v>
      </c>
      <c r="L48" s="8" t="n">
        <v>0</v>
      </c>
      <c r="M48" s="8" t="n">
        <v>0</v>
      </c>
      <c r="N48" s="8" t="n">
        <v>0</v>
      </c>
      <c r="O48" s="9" t="n">
        <f aca="false">K48+L48+M48+N48</f>
        <v>2338</v>
      </c>
      <c r="P48" s="10" t="n">
        <f aca="false">IF(N(E48)&gt;0,G48/E48,"")</f>
        <v>68.7647058823529</v>
      </c>
      <c r="Q48" s="10" t="n">
        <f aca="false">IF(N(E48)&gt;0,J48/E48,"")</f>
        <v>0</v>
      </c>
      <c r="R48" s="10" t="n">
        <f aca="false">IF(N(E48)&gt;0,O48/E48,"")</f>
        <v>68.7647058823529</v>
      </c>
      <c r="S48" s="8" t="n">
        <v>584.5</v>
      </c>
      <c r="T48" s="8" t="n">
        <v>3062.78</v>
      </c>
      <c r="U48" s="8" t="n">
        <v>3903.9</v>
      </c>
    </row>
    <row r="49" customFormat="false" ht="15" hidden="false" customHeight="false" outlineLevel="0" collapsed="false">
      <c r="A49" s="5" t="n">
        <v>46042</v>
      </c>
      <c r="B49" s="6" t="s">
        <v>68</v>
      </c>
      <c r="C49" s="6" t="s">
        <v>29</v>
      </c>
      <c r="D49" s="6" t="s">
        <v>69</v>
      </c>
      <c r="E49" s="7" t="n">
        <v>34</v>
      </c>
      <c r="F49" s="8" t="n">
        <v>0</v>
      </c>
      <c r="G49" s="8" t="n">
        <v>3318</v>
      </c>
      <c r="H49" s="8" t="n">
        <v>0</v>
      </c>
      <c r="I49" s="8" t="n">
        <v>0</v>
      </c>
      <c r="J49" s="8" t="n">
        <f aca="false">H49+I49</f>
        <v>0</v>
      </c>
      <c r="K49" s="8" t="n">
        <f aca="false">G49+J49</f>
        <v>3318</v>
      </c>
      <c r="L49" s="8" t="n">
        <v>0</v>
      </c>
      <c r="M49" s="8" t="n">
        <v>0</v>
      </c>
      <c r="N49" s="8" t="n">
        <v>0</v>
      </c>
      <c r="O49" s="9" t="n">
        <f aca="false">K49+L49+M49+N49</f>
        <v>3318</v>
      </c>
      <c r="P49" s="10" t="n">
        <f aca="false">IF(N(E49)&gt;0,G49/E49,"")</f>
        <v>97.5882352941177</v>
      </c>
      <c r="Q49" s="10" t="n">
        <f aca="false">IF(N(E49)&gt;0,J49/E49,"")</f>
        <v>0</v>
      </c>
      <c r="R49" s="10" t="n">
        <f aca="false">IF(N(E49)&gt;0,O49/E49,"")</f>
        <v>97.5882352941177</v>
      </c>
      <c r="S49" s="8" t="n">
        <v>829.5</v>
      </c>
      <c r="T49" s="8" t="n">
        <v>4351.08</v>
      </c>
      <c r="U49" s="8" t="n">
        <v>3483.9</v>
      </c>
    </row>
    <row r="50" customFormat="false" ht="15" hidden="false" customHeight="false" outlineLevel="0" collapsed="false">
      <c r="A50" s="5" t="n">
        <v>46043</v>
      </c>
      <c r="B50" s="6" t="s">
        <v>68</v>
      </c>
      <c r="C50" s="6" t="s">
        <v>29</v>
      </c>
      <c r="D50" s="6" t="s">
        <v>46</v>
      </c>
      <c r="E50" s="7" t="n">
        <v>34</v>
      </c>
      <c r="F50" s="8" t="n">
        <v>0</v>
      </c>
      <c r="G50" s="8" t="n">
        <v>4478</v>
      </c>
      <c r="H50" s="8" t="n">
        <v>0</v>
      </c>
      <c r="I50" s="8" t="n">
        <v>0</v>
      </c>
      <c r="J50" s="8" t="n">
        <f aca="false">H50+I50</f>
        <v>0</v>
      </c>
      <c r="K50" s="8" t="n">
        <f aca="false">G50+J50</f>
        <v>4478</v>
      </c>
      <c r="L50" s="8" t="n">
        <v>0</v>
      </c>
      <c r="M50" s="8" t="n">
        <v>0</v>
      </c>
      <c r="N50" s="8" t="n">
        <v>0</v>
      </c>
      <c r="O50" s="9" t="n">
        <f aca="false">K50+L50+M50+N50</f>
        <v>4478</v>
      </c>
      <c r="P50" s="10" t="n">
        <f aca="false">IF(N(E50)&gt;0,G50/E50,"")</f>
        <v>131.705882352941</v>
      </c>
      <c r="Q50" s="10" t="n">
        <f aca="false">IF(N(E50)&gt;0,J50/E50,"")</f>
        <v>0</v>
      </c>
      <c r="R50" s="10" t="n">
        <f aca="false">IF(N(E50)&gt;0,O50/E50,"")</f>
        <v>131.705882352941</v>
      </c>
      <c r="S50" s="8" t="n">
        <v>1119.5</v>
      </c>
      <c r="T50" s="8" t="n">
        <v>5879.61</v>
      </c>
      <c r="U50" s="8" t="n">
        <v>4701.9</v>
      </c>
    </row>
    <row r="51" customFormat="false" ht="15" hidden="false" customHeight="false" outlineLevel="0" collapsed="false">
      <c r="A51" s="5" t="n">
        <v>46044</v>
      </c>
      <c r="B51" s="6" t="s">
        <v>68</v>
      </c>
      <c r="C51" s="6" t="s">
        <v>29</v>
      </c>
      <c r="D51" s="6" t="s">
        <v>46</v>
      </c>
      <c r="E51" s="7" t="n">
        <v>34</v>
      </c>
      <c r="F51" s="8" t="n">
        <v>0</v>
      </c>
      <c r="G51" s="8" t="n">
        <v>4738</v>
      </c>
      <c r="H51" s="8" t="n">
        <v>0</v>
      </c>
      <c r="I51" s="8" t="n">
        <v>0</v>
      </c>
      <c r="J51" s="8" t="n">
        <f aca="false">H51+I51</f>
        <v>0</v>
      </c>
      <c r="K51" s="8" t="n">
        <f aca="false">G51+J51</f>
        <v>4738</v>
      </c>
      <c r="L51" s="8" t="n">
        <v>0</v>
      </c>
      <c r="M51" s="8" t="n">
        <v>0</v>
      </c>
      <c r="N51" s="8" t="n">
        <v>0</v>
      </c>
      <c r="O51" s="9" t="n">
        <f aca="false">K51+L51+M51+N51</f>
        <v>4738</v>
      </c>
      <c r="P51" s="10" t="n">
        <f aca="false">IF(N(E51)&gt;0,G51/E51,"")</f>
        <v>139.352941176471</v>
      </c>
      <c r="Q51" s="10" t="n">
        <f aca="false">IF(N(E51)&gt;0,J51/E51,"")</f>
        <v>0</v>
      </c>
      <c r="R51" s="10" t="n">
        <f aca="false">IF(N(E51)&gt;0,O51/E51,"")</f>
        <v>139.352941176471</v>
      </c>
      <c r="S51" s="8" t="n">
        <v>1184.5</v>
      </c>
      <c r="T51" s="8" t="n">
        <v>6220.99</v>
      </c>
      <c r="U51" s="8" t="n">
        <v>4974.9</v>
      </c>
    </row>
    <row r="52" customFormat="false" ht="15" hidden="false" customHeight="false" outlineLevel="0" collapsed="false">
      <c r="A52" s="5" t="n">
        <v>46045</v>
      </c>
      <c r="B52" s="6" t="s">
        <v>70</v>
      </c>
      <c r="C52" s="6" t="s">
        <v>24</v>
      </c>
      <c r="D52" s="6" t="s">
        <v>31</v>
      </c>
      <c r="E52" s="7" t="n">
        <v>20</v>
      </c>
      <c r="F52" s="8" t="n">
        <v>1000</v>
      </c>
      <c r="G52" s="8" t="n">
        <v>1800</v>
      </c>
      <c r="H52" s="8" t="n">
        <v>0</v>
      </c>
      <c r="I52" s="8" t="n">
        <v>0</v>
      </c>
      <c r="J52" s="8" t="n">
        <f aca="false">H52+I52</f>
        <v>0</v>
      </c>
      <c r="K52" s="8" t="n">
        <f aca="false">G52+J52</f>
        <v>1800</v>
      </c>
      <c r="L52" s="8" t="n">
        <v>1000</v>
      </c>
      <c r="M52" s="8" t="n">
        <v>0</v>
      </c>
      <c r="N52" s="8" t="n">
        <v>560</v>
      </c>
      <c r="O52" s="9" t="n">
        <f aca="false">K52+L52+M52+N52</f>
        <v>3360</v>
      </c>
      <c r="P52" s="10" t="n">
        <f aca="false">IF(N(E52)&gt;0,G52/E52,"")</f>
        <v>90</v>
      </c>
      <c r="Q52" s="10" t="n">
        <f aca="false">IF(N(E52)&gt;0,J52/E52,"")</f>
        <v>0</v>
      </c>
      <c r="R52" s="10" t="n">
        <f aca="false">IF(N(E52)&gt;0,O52/E52,"")</f>
        <v>168</v>
      </c>
      <c r="S52" s="8" t="n">
        <v>840</v>
      </c>
      <c r="T52" s="8" t="n">
        <v>3950</v>
      </c>
      <c r="U52" s="8" t="n">
        <v>6455.4</v>
      </c>
    </row>
    <row r="53" customFormat="false" ht="15" hidden="false" customHeight="false" outlineLevel="0" collapsed="false">
      <c r="A53" s="5" t="n">
        <v>46045</v>
      </c>
      <c r="B53" s="6" t="s">
        <v>68</v>
      </c>
      <c r="C53" s="6" t="s">
        <v>29</v>
      </c>
      <c r="D53" s="6" t="s">
        <v>46</v>
      </c>
      <c r="E53" s="7" t="n">
        <v>34</v>
      </c>
      <c r="F53" s="8" t="n">
        <v>0</v>
      </c>
      <c r="G53" s="8" t="n">
        <v>2788</v>
      </c>
      <c r="H53" s="8" t="n">
        <v>0</v>
      </c>
      <c r="I53" s="8" t="n">
        <v>0</v>
      </c>
      <c r="J53" s="8" t="n">
        <f aca="false">H53+I53</f>
        <v>0</v>
      </c>
      <c r="K53" s="8" t="n">
        <f aca="false">G53+J53</f>
        <v>2788</v>
      </c>
      <c r="L53" s="8" t="n">
        <v>0</v>
      </c>
      <c r="M53" s="8" t="n">
        <v>0</v>
      </c>
      <c r="N53" s="8" t="n">
        <v>0</v>
      </c>
      <c r="O53" s="9" t="n">
        <f aca="false">K53+L53+M53+N53</f>
        <v>2788</v>
      </c>
      <c r="P53" s="10" t="n">
        <f aca="false">IF(N(E53)&gt;0,G53/E53,"")</f>
        <v>82</v>
      </c>
      <c r="Q53" s="10" t="n">
        <f aca="false">IF(N(E53)&gt;0,J53/E53,"")</f>
        <v>0</v>
      </c>
      <c r="R53" s="10" t="n">
        <f aca="false">IF(N(E53)&gt;0,O53/E53,"")</f>
        <v>82</v>
      </c>
      <c r="S53" s="8" t="n">
        <v>697</v>
      </c>
      <c r="T53" s="8" t="n">
        <v>3660.64</v>
      </c>
    </row>
    <row r="54" customFormat="false" ht="15" hidden="false" customHeight="false" outlineLevel="0" collapsed="false">
      <c r="A54" s="5" t="n">
        <v>46051</v>
      </c>
      <c r="B54" s="6" t="s">
        <v>71</v>
      </c>
      <c r="C54" s="6" t="s">
        <v>24</v>
      </c>
      <c r="D54" s="6" t="s">
        <v>31</v>
      </c>
      <c r="E54" s="7" t="n">
        <v>25</v>
      </c>
      <c r="F54" s="8" t="n">
        <v>0</v>
      </c>
      <c r="G54" s="8" t="n">
        <v>350</v>
      </c>
      <c r="H54" s="8" t="n">
        <v>0</v>
      </c>
      <c r="I54" s="8" t="n">
        <v>0</v>
      </c>
      <c r="J54" s="8" t="n">
        <f aca="false">H54+I54</f>
        <v>0</v>
      </c>
      <c r="K54" s="8" t="n">
        <f aca="false">G54+J54</f>
        <v>350</v>
      </c>
      <c r="L54" s="8" t="n">
        <v>750</v>
      </c>
      <c r="M54" s="8" t="n">
        <v>0</v>
      </c>
      <c r="N54" s="8" t="n">
        <v>20</v>
      </c>
      <c r="O54" s="9" t="n">
        <f aca="false">K54+L54+M54+N54</f>
        <v>1120</v>
      </c>
      <c r="P54" s="10" t="n">
        <f aca="false">IF(N(E54)&gt;0,G54/E54,"")</f>
        <v>14</v>
      </c>
      <c r="Q54" s="10" t="n">
        <f aca="false">IF(N(E54)&gt;0,J54/E54,"")</f>
        <v>0</v>
      </c>
      <c r="R54" s="10" t="n">
        <f aca="false">IF(N(E54)&gt;0,O54/E54,"")</f>
        <v>44.8</v>
      </c>
      <c r="S54" s="8" t="n">
        <v>280</v>
      </c>
      <c r="T54" s="8" t="n">
        <v>1400</v>
      </c>
      <c r="U54" s="8" t="n">
        <v>1176</v>
      </c>
    </row>
    <row r="55" customFormat="false" ht="15" hidden="false" customHeight="false" outlineLevel="0" collapsed="false">
      <c r="A55" s="5" t="n">
        <v>46052</v>
      </c>
      <c r="B55" s="6" t="s">
        <v>72</v>
      </c>
      <c r="C55" s="6" t="s">
        <v>24</v>
      </c>
      <c r="D55" s="6" t="s">
        <v>31</v>
      </c>
      <c r="E55" s="7" t="n">
        <v>25</v>
      </c>
      <c r="F55" s="8" t="n">
        <v>0</v>
      </c>
      <c r="G55" s="8" t="n">
        <v>200</v>
      </c>
      <c r="H55" s="8" t="n">
        <v>0</v>
      </c>
      <c r="I55" s="8" t="n">
        <v>0</v>
      </c>
      <c r="J55" s="8" t="n">
        <f aca="false">H55+I55</f>
        <v>0</v>
      </c>
      <c r="K55" s="8" t="n">
        <f aca="false">G55+J55</f>
        <v>200</v>
      </c>
      <c r="L55" s="8" t="n">
        <v>750</v>
      </c>
      <c r="M55" s="8" t="n">
        <v>0</v>
      </c>
      <c r="N55" s="8" t="n">
        <v>0</v>
      </c>
      <c r="O55" s="9" t="n">
        <f aca="false">K55+L55+M55+N55</f>
        <v>950</v>
      </c>
      <c r="P55" s="10" t="n">
        <f aca="false">IF(N(E55)&gt;0,G55/E55,"")</f>
        <v>8</v>
      </c>
      <c r="Q55" s="10" t="n">
        <f aca="false">IF(N(E55)&gt;0,J55/E55,"")</f>
        <v>0</v>
      </c>
      <c r="R55" s="10" t="n">
        <f aca="false">IF(N(E55)&gt;0,O55/E55,"")</f>
        <v>38</v>
      </c>
      <c r="S55" s="8" t="n">
        <v>230.07</v>
      </c>
      <c r="T55" s="8" t="n">
        <v>1031.43</v>
      </c>
      <c r="U55" s="8" t="n">
        <v>841.43</v>
      </c>
    </row>
    <row r="56" customFormat="false" ht="15" hidden="false" customHeight="false" outlineLevel="0" collapsed="false">
      <c r="A56" s="5" t="n">
        <v>46055</v>
      </c>
      <c r="B56" s="6" t="s">
        <v>73</v>
      </c>
      <c r="C56" s="6" t="s">
        <v>24</v>
      </c>
      <c r="D56" s="6" t="s">
        <v>31</v>
      </c>
      <c r="E56" s="7" t="n">
        <v>14</v>
      </c>
      <c r="F56" s="8" t="n">
        <v>1500</v>
      </c>
      <c r="G56" s="8" t="n">
        <v>2195</v>
      </c>
      <c r="H56" s="8" t="n">
        <v>0</v>
      </c>
      <c r="I56" s="8" t="n">
        <v>0</v>
      </c>
      <c r="J56" s="8" t="n">
        <f aca="false">H56+I56</f>
        <v>0</v>
      </c>
      <c r="K56" s="8" t="n">
        <f aca="false">G56+J56</f>
        <v>2195</v>
      </c>
      <c r="L56" s="8" t="n">
        <v>0</v>
      </c>
      <c r="M56" s="8" t="n">
        <v>0</v>
      </c>
      <c r="N56" s="8" t="n">
        <v>0</v>
      </c>
      <c r="O56" s="9" t="n">
        <f aca="false">K56+L56+M56+N56</f>
        <v>2195</v>
      </c>
      <c r="P56" s="10" t="n">
        <f aca="false">IF(N(E56)&gt;0,G56/E56,"")</f>
        <v>156.785714285714</v>
      </c>
      <c r="Q56" s="10" t="n">
        <f aca="false">IF(N(E56)&gt;0,J56/E56,"")</f>
        <v>0</v>
      </c>
      <c r="R56" s="10" t="n">
        <f aca="false">IF(N(E56)&gt;0,O56/E56,"")</f>
        <v>156.785714285714</v>
      </c>
      <c r="S56" s="8" t="n">
        <v>548.75</v>
      </c>
      <c r="T56" s="8" t="n">
        <v>2875.45</v>
      </c>
      <c r="U56" s="8" t="n">
        <v>2545.75</v>
      </c>
    </row>
    <row r="57" customFormat="false" ht="15" hidden="false" customHeight="false" outlineLevel="0" collapsed="false">
      <c r="A57" s="5" t="n">
        <v>46060</v>
      </c>
      <c r="B57" s="6" t="s">
        <v>74</v>
      </c>
      <c r="C57" s="6" t="s">
        <v>24</v>
      </c>
      <c r="D57" s="6" t="s">
        <v>33</v>
      </c>
      <c r="E57" s="7" t="n">
        <v>60</v>
      </c>
      <c r="F57" s="8" t="n">
        <v>3000</v>
      </c>
      <c r="G57" s="8" t="n">
        <v>3095</v>
      </c>
      <c r="H57" s="8" t="n">
        <v>0</v>
      </c>
      <c r="I57" s="8" t="n">
        <v>0</v>
      </c>
      <c r="J57" s="8" t="n">
        <f aca="false">H57+I57</f>
        <v>0</v>
      </c>
      <c r="K57" s="8" t="n">
        <f aca="false">G57+J57</f>
        <v>3095</v>
      </c>
      <c r="L57" s="8" t="n">
        <v>0</v>
      </c>
      <c r="M57" s="8" t="n">
        <v>0</v>
      </c>
      <c r="N57" s="8" t="n">
        <v>0</v>
      </c>
      <c r="O57" s="9" t="n">
        <f aca="false">K57+L57+M57+N57</f>
        <v>3095</v>
      </c>
      <c r="P57" s="10" t="n">
        <f aca="false">IF(N(E57)&gt;0,G57/E57,"")</f>
        <v>51.5833333333333</v>
      </c>
      <c r="Q57" s="10" t="n">
        <f aca="false">IF(N(E57)&gt;0,J57/E57,"")</f>
        <v>0</v>
      </c>
      <c r="R57" s="10" t="n">
        <f aca="false">IF(N(E57)&gt;0,O57/E57,"")</f>
        <v>51.5833333333333</v>
      </c>
      <c r="S57" s="8" t="n">
        <v>464.25</v>
      </c>
      <c r="T57" s="8" t="n">
        <v>3744.95</v>
      </c>
      <c r="U57" s="8" t="n">
        <v>3720.25</v>
      </c>
    </row>
    <row r="58" customFormat="false" ht="15" hidden="false" customHeight="false" outlineLevel="0" collapsed="false">
      <c r="A58" s="5" t="n">
        <v>46066</v>
      </c>
      <c r="B58" s="6" t="s">
        <v>75</v>
      </c>
      <c r="C58" s="6" t="s">
        <v>24</v>
      </c>
      <c r="D58" s="6" t="s">
        <v>25</v>
      </c>
      <c r="E58" s="7" t="n">
        <v>150</v>
      </c>
      <c r="F58" s="8" t="n">
        <v>5000</v>
      </c>
      <c r="G58" s="8" t="n">
        <v>6961.8</v>
      </c>
      <c r="H58" s="8" t="n">
        <v>1993</v>
      </c>
      <c r="I58" s="8" t="n">
        <v>0</v>
      </c>
      <c r="J58" s="8" t="n">
        <f aca="false">H58+I58</f>
        <v>1993</v>
      </c>
      <c r="K58" s="8" t="n">
        <f aca="false">G58+J58</f>
        <v>8954.8</v>
      </c>
      <c r="L58" s="8" t="n">
        <v>0</v>
      </c>
      <c r="M58" s="8" t="n">
        <v>0</v>
      </c>
      <c r="N58" s="8" t="n">
        <v>0</v>
      </c>
      <c r="O58" s="9" t="n">
        <f aca="false">K58+L58+M58+N58</f>
        <v>8954.8</v>
      </c>
      <c r="P58" s="10" t="n">
        <f aca="false">IF(N(E58)&gt;0,G58/E58,"")</f>
        <v>46.412</v>
      </c>
      <c r="Q58" s="10" t="n">
        <f aca="false">IF(N(E58)&gt;0,J58/E58,"")</f>
        <v>13.2866666666667</v>
      </c>
      <c r="R58" s="10" t="n">
        <f aca="false">IF(N(E58)&gt;0,O58/E58,"")</f>
        <v>59.6986666666667</v>
      </c>
      <c r="S58" s="8" t="n">
        <v>0</v>
      </c>
      <c r="T58" s="8" t="n">
        <v>8954.8</v>
      </c>
      <c r="U58" s="8" t="n">
        <v>1993</v>
      </c>
    </row>
    <row r="59" customFormat="false" ht="15" hidden="false" customHeight="false" outlineLevel="0" collapsed="false">
      <c r="A59" s="5" t="n">
        <v>46081</v>
      </c>
      <c r="B59" s="6" t="s">
        <v>76</v>
      </c>
      <c r="C59" s="6" t="s">
        <v>24</v>
      </c>
      <c r="D59" s="6" t="s">
        <v>77</v>
      </c>
      <c r="E59" s="7" t="n">
        <v>32</v>
      </c>
      <c r="F59" s="8" t="n">
        <v>3000</v>
      </c>
      <c r="G59" s="8" t="n">
        <v>680</v>
      </c>
      <c r="H59" s="8" t="n">
        <v>2400</v>
      </c>
      <c r="I59" s="8" t="n">
        <v>0</v>
      </c>
      <c r="J59" s="8" t="n">
        <f aca="false">H59+I59</f>
        <v>2400</v>
      </c>
      <c r="K59" s="8" t="n">
        <f aca="false">G59+J59</f>
        <v>3080</v>
      </c>
      <c r="L59" s="8" t="n">
        <v>0</v>
      </c>
      <c r="M59" s="8" t="n">
        <v>0</v>
      </c>
      <c r="N59" s="8" t="n">
        <v>0</v>
      </c>
      <c r="O59" s="9" t="n">
        <f aca="false">K59+L59+M59+N59</f>
        <v>3080</v>
      </c>
      <c r="P59" s="10" t="n">
        <f aca="false">IF(N(E59)&gt;0,G59/E59,"")</f>
        <v>21.25</v>
      </c>
      <c r="Q59" s="10" t="n">
        <f aca="false">IF(N(E59)&gt;0,J59/E59,"")</f>
        <v>75</v>
      </c>
      <c r="R59" s="10" t="n">
        <f aca="false">IF(N(E59)&gt;0,O59/E59,"")</f>
        <v>96.25</v>
      </c>
      <c r="S59" s="8" t="n">
        <v>154</v>
      </c>
      <c r="T59" s="8" t="n">
        <v>3490.8</v>
      </c>
      <c r="U59" s="8" t="n">
        <v>3234</v>
      </c>
    </row>
    <row r="60" customFormat="false" ht="15" hidden="false" customHeight="false" outlineLevel="0" collapsed="false">
      <c r="A60" s="5" t="n">
        <v>46082</v>
      </c>
      <c r="B60" s="6" t="s">
        <v>78</v>
      </c>
      <c r="C60" s="6" t="s">
        <v>24</v>
      </c>
      <c r="D60" s="6" t="s">
        <v>77</v>
      </c>
      <c r="E60" s="7" t="n">
        <v>125</v>
      </c>
      <c r="F60" s="8" t="n">
        <v>2500</v>
      </c>
      <c r="G60" s="8" t="n">
        <v>2305</v>
      </c>
      <c r="H60" s="8" t="n">
        <v>1109</v>
      </c>
      <c r="I60" s="8" t="n">
        <v>0</v>
      </c>
      <c r="J60" s="8" t="n">
        <f aca="false">H60+I60</f>
        <v>1109</v>
      </c>
      <c r="K60" s="8" t="n">
        <f aca="false">G60+J60</f>
        <v>3414</v>
      </c>
      <c r="L60" s="8" t="n">
        <v>0</v>
      </c>
      <c r="M60" s="8" t="n">
        <v>0</v>
      </c>
      <c r="N60" s="8" t="n">
        <v>0</v>
      </c>
      <c r="O60" s="9" t="n">
        <f aca="false">K60+L60+M60+N60</f>
        <v>3414</v>
      </c>
      <c r="P60" s="10" t="n">
        <f aca="false">IF(N(E60)&gt;0,G60/E60,"")</f>
        <v>18.44</v>
      </c>
      <c r="Q60" s="10" t="n">
        <f aca="false">IF(N(E60)&gt;0,J60/E60,"")</f>
        <v>8.872</v>
      </c>
      <c r="R60" s="10" t="n">
        <f aca="false">IF(N(E60)&gt;0,O60/E60,"")</f>
        <v>27.312</v>
      </c>
      <c r="S60" s="8" t="n">
        <v>838</v>
      </c>
      <c r="T60" s="8" t="n">
        <v>4145.7</v>
      </c>
      <c r="U60" s="8" t="n">
        <v>4784.6</v>
      </c>
    </row>
    <row r="61" customFormat="false" ht="15" hidden="false" customHeight="false" outlineLevel="0" collapsed="false">
      <c r="A61" s="5" t="n">
        <v>46085</v>
      </c>
      <c r="B61" s="6" t="s">
        <v>79</v>
      </c>
      <c r="C61" s="6" t="s">
        <v>24</v>
      </c>
      <c r="D61" s="6" t="s">
        <v>80</v>
      </c>
      <c r="E61" s="7" t="n">
        <v>6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f aca="false">H61+I61</f>
        <v>0</v>
      </c>
      <c r="K61" s="8" t="n">
        <f aca="false">G61+J61</f>
        <v>0</v>
      </c>
      <c r="L61" s="8" t="n">
        <v>800</v>
      </c>
      <c r="M61" s="8" t="n">
        <v>0</v>
      </c>
      <c r="N61" s="8" t="n">
        <v>0</v>
      </c>
      <c r="O61" s="9" t="n">
        <f aca="false">K61+L61+M61+N61</f>
        <v>800</v>
      </c>
      <c r="P61" s="10" t="n">
        <f aca="false">IF(N(E61)&gt;0,G61/E61,"")</f>
        <v>0</v>
      </c>
      <c r="Q61" s="10" t="n">
        <f aca="false">IF(N(E61)&gt;0,J61/E61,"")</f>
        <v>0</v>
      </c>
      <c r="R61" s="10" t="n">
        <f aca="false">IF(N(E61)&gt;0,O61/E61,"")</f>
        <v>133.333333333333</v>
      </c>
      <c r="S61" s="8" t="n">
        <v>0</v>
      </c>
      <c r="T61" s="8" t="n">
        <v>800</v>
      </c>
      <c r="U61" s="8" t="n">
        <v>800</v>
      </c>
    </row>
    <row r="62" customFormat="false" ht="15" hidden="false" customHeight="false" outlineLevel="0" collapsed="false">
      <c r="A62" s="5" t="n">
        <v>46086</v>
      </c>
      <c r="B62" s="6" t="s">
        <v>81</v>
      </c>
      <c r="C62" s="6" t="s">
        <v>24</v>
      </c>
      <c r="D62" s="6" t="s">
        <v>31</v>
      </c>
      <c r="E62" s="7" t="n">
        <v>50</v>
      </c>
      <c r="F62" s="8" t="n">
        <v>0</v>
      </c>
      <c r="G62" s="8" t="n">
        <v>631</v>
      </c>
      <c r="H62" s="8" t="n">
        <v>0</v>
      </c>
      <c r="I62" s="8" t="n">
        <v>0</v>
      </c>
      <c r="J62" s="8" t="n">
        <f aca="false">H62+I62</f>
        <v>0</v>
      </c>
      <c r="K62" s="8" t="n">
        <f aca="false">G62+J62</f>
        <v>631</v>
      </c>
      <c r="L62" s="8" t="n">
        <v>0</v>
      </c>
      <c r="M62" s="8" t="n">
        <v>0</v>
      </c>
      <c r="N62" s="8" t="n">
        <v>0</v>
      </c>
      <c r="O62" s="9" t="n">
        <f aca="false">K62+L62+M62+N62</f>
        <v>631</v>
      </c>
      <c r="P62" s="10" t="n">
        <f aca="false">IF(N(E62)&gt;0,G62/E62,"")</f>
        <v>12.62</v>
      </c>
      <c r="Q62" s="10" t="n">
        <f aca="false">IF(N(E62)&gt;0,J62/E62,"")</f>
        <v>0</v>
      </c>
      <c r="R62" s="10" t="n">
        <f aca="false">IF(N(E62)&gt;0,O62/E62,"")</f>
        <v>12.62</v>
      </c>
      <c r="S62" s="8" t="n">
        <v>0</v>
      </c>
      <c r="T62" s="8" t="n">
        <v>631</v>
      </c>
      <c r="U62" s="8" t="n">
        <v>631</v>
      </c>
    </row>
    <row r="63" customFormat="false" ht="15" hidden="false" customHeight="false" outlineLevel="0" collapsed="false">
      <c r="A63" s="5" t="n">
        <v>46088</v>
      </c>
      <c r="B63" s="6" t="s">
        <v>82</v>
      </c>
      <c r="C63" s="6" t="s">
        <v>24</v>
      </c>
      <c r="D63" s="6" t="s">
        <v>33</v>
      </c>
      <c r="E63" s="7" t="n">
        <v>112</v>
      </c>
      <c r="F63" s="8" t="n">
        <v>3000</v>
      </c>
      <c r="G63" s="8" t="n">
        <v>7565</v>
      </c>
      <c r="H63" s="8" t="n">
        <v>2434</v>
      </c>
      <c r="I63" s="8" t="n">
        <v>0</v>
      </c>
      <c r="J63" s="8" t="n">
        <f aca="false">H63+I63</f>
        <v>2434</v>
      </c>
      <c r="K63" s="8" t="n">
        <f aca="false">G63+J63</f>
        <v>9999</v>
      </c>
      <c r="L63" s="8" t="n">
        <v>0</v>
      </c>
      <c r="M63" s="8" t="n">
        <v>0</v>
      </c>
      <c r="N63" s="8" t="n">
        <v>0</v>
      </c>
      <c r="O63" s="9" t="n">
        <f aca="false">K63+L63+M63+N63</f>
        <v>9999</v>
      </c>
      <c r="P63" s="10" t="n">
        <f aca="false">IF(N(E63)&gt;0,G63/E63,"")</f>
        <v>67.5446428571429</v>
      </c>
      <c r="Q63" s="10" t="n">
        <f aca="false">IF(N(E63)&gt;0,J63/E63,"")</f>
        <v>21.7321428571429</v>
      </c>
      <c r="R63" s="10" t="n">
        <f aca="false">IF(N(E63)&gt;0,O63/E63,"")</f>
        <v>89.2767857142857</v>
      </c>
      <c r="S63" s="8" t="n">
        <v>2499.75</v>
      </c>
      <c r="T63" s="8" t="n">
        <v>13201.71</v>
      </c>
      <c r="U63" s="8" t="n">
        <v>10498.95</v>
      </c>
    </row>
    <row r="64" customFormat="false" ht="15" hidden="false" customHeight="false" outlineLevel="0" collapsed="false">
      <c r="A64" s="5" t="n">
        <v>46091</v>
      </c>
      <c r="B64" s="6" t="s">
        <v>65</v>
      </c>
      <c r="C64" s="6" t="s">
        <v>24</v>
      </c>
      <c r="D64" s="6" t="s">
        <v>31</v>
      </c>
      <c r="E64" s="7" t="n">
        <v>24</v>
      </c>
      <c r="F64" s="8" t="n">
        <v>1000</v>
      </c>
      <c r="G64" s="8" t="n">
        <v>1274</v>
      </c>
      <c r="H64" s="8" t="n">
        <v>0</v>
      </c>
      <c r="I64" s="8" t="n">
        <v>0</v>
      </c>
      <c r="J64" s="8" t="n">
        <f aca="false">H64+I64</f>
        <v>0</v>
      </c>
      <c r="K64" s="8" t="n">
        <f aca="false">G64+J64</f>
        <v>1274</v>
      </c>
      <c r="L64" s="8" t="n">
        <v>0</v>
      </c>
      <c r="M64" s="8" t="n">
        <v>0</v>
      </c>
      <c r="N64" s="8" t="n">
        <v>0</v>
      </c>
      <c r="O64" s="9" t="n">
        <f aca="false">K64+L64+M64+N64</f>
        <v>1274</v>
      </c>
      <c r="P64" s="10" t="n">
        <f aca="false">IF(N(E64)&gt;0,G64/E64,"")</f>
        <v>53.0833333333333</v>
      </c>
      <c r="Q64" s="10" t="n">
        <f aca="false">IF(N(E64)&gt;0,J64/E64,"")</f>
        <v>0</v>
      </c>
      <c r="R64" s="10" t="n">
        <f aca="false">IF(N(E64)&gt;0,O64/E64,"")</f>
        <v>53.0833333333333</v>
      </c>
      <c r="S64" s="8" t="n">
        <v>302</v>
      </c>
      <c r="T64" s="8" t="n">
        <v>1652.44</v>
      </c>
      <c r="U64" s="8" t="n">
        <v>1288.9</v>
      </c>
    </row>
    <row r="65" customFormat="false" ht="15" hidden="false" customHeight="false" outlineLevel="0" collapsed="false">
      <c r="A65" s="5" t="n">
        <v>46092</v>
      </c>
      <c r="B65" s="6" t="s">
        <v>83</v>
      </c>
      <c r="C65" s="6" t="s">
        <v>24</v>
      </c>
      <c r="D65" s="6" t="s">
        <v>31</v>
      </c>
      <c r="E65" s="7" t="n">
        <v>50</v>
      </c>
      <c r="F65" s="8" t="n">
        <v>0</v>
      </c>
      <c r="G65" s="8" t="n">
        <v>543</v>
      </c>
      <c r="H65" s="8" t="n">
        <v>0</v>
      </c>
      <c r="I65" s="8" t="n">
        <v>0</v>
      </c>
      <c r="J65" s="8" t="n">
        <f aca="false">H65+I65</f>
        <v>0</v>
      </c>
      <c r="K65" s="8" t="n">
        <f aca="false">G65+J65</f>
        <v>543</v>
      </c>
      <c r="L65" s="8" t="n">
        <v>0</v>
      </c>
      <c r="M65" s="8" t="n">
        <v>0</v>
      </c>
      <c r="N65" s="8" t="n">
        <v>0</v>
      </c>
      <c r="O65" s="9" t="n">
        <f aca="false">K65+L65+M65+N65</f>
        <v>543</v>
      </c>
      <c r="P65" s="10" t="n">
        <f aca="false">IF(N(E65)&gt;0,G65/E65,"")</f>
        <v>10.86</v>
      </c>
      <c r="Q65" s="10" t="n">
        <f aca="false">IF(N(E65)&gt;0,J65/E65,"")</f>
        <v>0</v>
      </c>
      <c r="R65" s="10" t="n">
        <f aca="false">IF(N(E65)&gt;0,O65/E65,"")</f>
        <v>10.86</v>
      </c>
      <c r="S65" s="8" t="n">
        <v>0</v>
      </c>
      <c r="T65" s="8" t="n">
        <v>543</v>
      </c>
      <c r="U65" s="8" t="n">
        <v>408</v>
      </c>
    </row>
    <row r="66" customFormat="false" ht="15" hidden="false" customHeight="false" outlineLevel="0" collapsed="false">
      <c r="A66" s="5" t="n">
        <v>46095</v>
      </c>
      <c r="B66" s="6" t="s">
        <v>84</v>
      </c>
      <c r="C66" s="6" t="s">
        <v>24</v>
      </c>
      <c r="D66" s="6" t="s">
        <v>33</v>
      </c>
      <c r="E66" s="7" t="n">
        <v>55</v>
      </c>
      <c r="F66" s="8" t="n">
        <v>3000</v>
      </c>
      <c r="G66" s="8" t="n">
        <v>4237.5</v>
      </c>
      <c r="H66" s="8" t="n">
        <v>428</v>
      </c>
      <c r="I66" s="8" t="n">
        <v>0</v>
      </c>
      <c r="J66" s="8" t="n">
        <f aca="false">H66+I66</f>
        <v>428</v>
      </c>
      <c r="K66" s="8" t="n">
        <f aca="false">G66+J66</f>
        <v>4665.5</v>
      </c>
      <c r="L66" s="8" t="n">
        <v>0</v>
      </c>
      <c r="M66" s="8" t="n">
        <v>0</v>
      </c>
      <c r="N66" s="8" t="n">
        <v>0</v>
      </c>
      <c r="O66" s="9" t="n">
        <f aca="false">K66+L66+M66+N66</f>
        <v>4665.5</v>
      </c>
      <c r="P66" s="10" t="n">
        <f aca="false">IF(N(E66)&gt;0,G66/E66,"")</f>
        <v>77.0454545454546</v>
      </c>
      <c r="Q66" s="10" t="n">
        <f aca="false">IF(N(E66)&gt;0,J66/E66,"")</f>
        <v>7.78181818181818</v>
      </c>
      <c r="R66" s="10" t="n">
        <f aca="false">IF(N(E66)&gt;0,O66/E66,"")</f>
        <v>84.8272727272727</v>
      </c>
      <c r="S66" s="8" t="n">
        <v>880.62</v>
      </c>
      <c r="T66" s="8" t="n">
        <v>5795.06</v>
      </c>
      <c r="U66" s="8" t="n">
        <v>4138.62</v>
      </c>
    </row>
    <row r="67" customFormat="false" ht="15" hidden="false" customHeight="false" outlineLevel="0" collapsed="false">
      <c r="A67" s="5" t="n">
        <v>46096</v>
      </c>
      <c r="B67" s="6" t="s">
        <v>85</v>
      </c>
      <c r="C67" s="6" t="s">
        <v>24</v>
      </c>
      <c r="D67" s="6" t="s">
        <v>25</v>
      </c>
      <c r="E67" s="7" t="n">
        <v>130</v>
      </c>
      <c r="F67" s="8" t="n">
        <v>3000</v>
      </c>
      <c r="G67" s="8" t="n">
        <v>5362.97</v>
      </c>
      <c r="H67" s="8" t="n">
        <v>1975</v>
      </c>
      <c r="I67" s="8" t="n">
        <v>0</v>
      </c>
      <c r="J67" s="8" t="n">
        <f aca="false">H67+I67</f>
        <v>1975</v>
      </c>
      <c r="K67" s="8" t="n">
        <f aca="false">G67+J67</f>
        <v>7337.97</v>
      </c>
      <c r="L67" s="8" t="n">
        <v>0</v>
      </c>
      <c r="M67" s="8" t="n">
        <v>0</v>
      </c>
      <c r="N67" s="8" t="n">
        <v>0</v>
      </c>
      <c r="O67" s="9" t="n">
        <f aca="false">K67+L67+M67+N67</f>
        <v>7337.97</v>
      </c>
      <c r="P67" s="10" t="n">
        <f aca="false">IF(N(E67)&gt;0,G67/E67,"")</f>
        <v>41.2536153846154</v>
      </c>
      <c r="Q67" s="10" t="n">
        <f aca="false">IF(N(E67)&gt;0,J67/E67,"")</f>
        <v>15.1923076923077</v>
      </c>
      <c r="R67" s="10" t="n">
        <f aca="false">IF(N(E67)&gt;0,O67/E67,"")</f>
        <v>56.4459230769231</v>
      </c>
      <c r="S67" s="8" t="n">
        <v>0</v>
      </c>
      <c r="T67" s="8" t="n">
        <v>7337.97</v>
      </c>
      <c r="U67" s="8" t="n">
        <v>7234.97</v>
      </c>
    </row>
    <row r="68" customFormat="false" ht="15" hidden="false" customHeight="false" outlineLevel="0" collapsed="false">
      <c r="A68" s="5" t="n">
        <v>46100</v>
      </c>
      <c r="B68" s="6" t="s">
        <v>86</v>
      </c>
      <c r="C68" s="6" t="s">
        <v>24</v>
      </c>
      <c r="D68" s="6" t="s">
        <v>25</v>
      </c>
      <c r="E68" s="7" t="n">
        <v>100</v>
      </c>
      <c r="F68" s="8" t="n">
        <v>950</v>
      </c>
      <c r="G68" s="8" t="n">
        <v>1190</v>
      </c>
      <c r="H68" s="8" t="n">
        <v>1008.35</v>
      </c>
      <c r="I68" s="8" t="n">
        <v>0</v>
      </c>
      <c r="J68" s="8" t="n">
        <f aca="false">H68+I68</f>
        <v>1008.35</v>
      </c>
      <c r="K68" s="8" t="n">
        <f aca="false">G68+J68</f>
        <v>2198.35</v>
      </c>
      <c r="L68" s="8" t="n">
        <v>0</v>
      </c>
      <c r="M68" s="8" t="n">
        <v>0</v>
      </c>
      <c r="N68" s="8" t="n">
        <v>0</v>
      </c>
      <c r="O68" s="9" t="n">
        <f aca="false">K68+L68+M68+N68</f>
        <v>2198.35</v>
      </c>
      <c r="P68" s="10" t="n">
        <f aca="false">IF(N(E68)&gt;0,G68/E68,"")</f>
        <v>11.9</v>
      </c>
      <c r="Q68" s="10" t="n">
        <f aca="false">IF(N(E68)&gt;0,J68/E68,"")</f>
        <v>10.0835</v>
      </c>
      <c r="R68" s="10" t="n">
        <f aca="false">IF(N(E68)&gt;0,O68/E68,"")</f>
        <v>21.9835</v>
      </c>
      <c r="S68" s="8" t="n">
        <v>499.17</v>
      </c>
      <c r="T68" s="8" t="n">
        <v>2768.92</v>
      </c>
      <c r="U68" s="8" t="n">
        <v>2248.75</v>
      </c>
    </row>
    <row r="69" customFormat="false" ht="15" hidden="false" customHeight="false" outlineLevel="0" collapsed="false">
      <c r="A69" s="5" t="n">
        <v>46101</v>
      </c>
      <c r="B69" s="6" t="s">
        <v>87</v>
      </c>
      <c r="C69" s="6" t="s">
        <v>24</v>
      </c>
      <c r="D69" s="6" t="s">
        <v>31</v>
      </c>
      <c r="E69" s="7" t="n">
        <v>30</v>
      </c>
      <c r="F69" s="8" t="n">
        <v>2000</v>
      </c>
      <c r="G69" s="8" t="n">
        <v>1045</v>
      </c>
      <c r="H69" s="8" t="n">
        <v>1200</v>
      </c>
      <c r="I69" s="8" t="n">
        <v>0</v>
      </c>
      <c r="J69" s="8" t="n">
        <f aca="false">H69+I69</f>
        <v>1200</v>
      </c>
      <c r="K69" s="8" t="n">
        <f aca="false">G69+J69</f>
        <v>2245</v>
      </c>
      <c r="L69" s="8" t="n">
        <v>0</v>
      </c>
      <c r="M69" s="8" t="n">
        <v>0</v>
      </c>
      <c r="N69" s="8" t="n">
        <v>250</v>
      </c>
      <c r="O69" s="9" t="n">
        <f aca="false">K69+L69+M69+N69</f>
        <v>2495</v>
      </c>
      <c r="P69" s="10" t="n">
        <f aca="false">IF(N(E69)&gt;0,G69/E69,"")</f>
        <v>34.8333333333333</v>
      </c>
      <c r="Q69" s="10" t="n">
        <f aca="false">IF(N(E69)&gt;0,J69/E69,"")</f>
        <v>40</v>
      </c>
      <c r="R69" s="10" t="n">
        <f aca="false">IF(N(E69)&gt;0,O69/E69,"")</f>
        <v>83.1666666666667</v>
      </c>
      <c r="S69" s="8" t="n">
        <v>623.75</v>
      </c>
      <c r="T69" s="8" t="n">
        <v>3289.45</v>
      </c>
      <c r="U69" s="8" t="n">
        <v>2969.75</v>
      </c>
    </row>
    <row r="70" customFormat="false" ht="15" hidden="false" customHeight="false" outlineLevel="0" collapsed="false">
      <c r="A70" s="5" t="n">
        <v>46102</v>
      </c>
      <c r="B70" s="6" t="s">
        <v>88</v>
      </c>
      <c r="C70" s="6" t="s">
        <v>24</v>
      </c>
      <c r="D70" s="6" t="s">
        <v>31</v>
      </c>
      <c r="E70" s="7" t="n">
        <v>16</v>
      </c>
      <c r="F70" s="8" t="n">
        <v>2000</v>
      </c>
      <c r="G70" s="8" t="n">
        <v>2120</v>
      </c>
      <c r="H70" s="8" t="n">
        <v>0</v>
      </c>
      <c r="I70" s="8" t="n">
        <v>0</v>
      </c>
      <c r="J70" s="8" t="n">
        <f aca="false">H70+I70</f>
        <v>0</v>
      </c>
      <c r="K70" s="8" t="n">
        <f aca="false">G70+J70</f>
        <v>2120</v>
      </c>
      <c r="L70" s="8" t="n">
        <v>0</v>
      </c>
      <c r="M70" s="8" t="n">
        <v>0</v>
      </c>
      <c r="N70" s="8" t="n">
        <v>0</v>
      </c>
      <c r="O70" s="9" t="n">
        <f aca="false">K70+L70+M70+N70</f>
        <v>2120</v>
      </c>
      <c r="P70" s="10" t="n">
        <f aca="false">IF(N(E70)&gt;0,G70/E70,"")</f>
        <v>132.5</v>
      </c>
      <c r="Q70" s="10" t="n">
        <f aca="false">IF(N(E70)&gt;0,J70/E70,"")</f>
        <v>0</v>
      </c>
      <c r="R70" s="10" t="n">
        <f aca="false">IF(N(E70)&gt;0,O70/E70,"")</f>
        <v>132.5</v>
      </c>
      <c r="S70" s="8" t="n">
        <v>530</v>
      </c>
      <c r="T70" s="8" t="n">
        <v>2777.2</v>
      </c>
      <c r="U70" s="8" t="n">
        <v>4287</v>
      </c>
    </row>
    <row r="71" customFormat="false" ht="15" hidden="false" customHeight="false" outlineLevel="0" collapsed="false">
      <c r="A71" s="5" t="n">
        <v>46102</v>
      </c>
      <c r="B71" s="6" t="s">
        <v>89</v>
      </c>
      <c r="C71" s="6" t="s">
        <v>24</v>
      </c>
      <c r="D71" s="6" t="s">
        <v>33</v>
      </c>
      <c r="E71" s="7" t="n">
        <v>68</v>
      </c>
      <c r="F71" s="8" t="n">
        <v>3000</v>
      </c>
      <c r="G71" s="8" t="n">
        <v>2002</v>
      </c>
      <c r="H71" s="8" t="n">
        <v>1841</v>
      </c>
      <c r="I71" s="8" t="n">
        <v>0</v>
      </c>
      <c r="J71" s="8" t="n">
        <f aca="false">H71+I71</f>
        <v>1841</v>
      </c>
      <c r="K71" s="8" t="n">
        <f aca="false">G71+J71</f>
        <v>3843</v>
      </c>
      <c r="L71" s="8" t="n">
        <v>0</v>
      </c>
      <c r="M71" s="8" t="n">
        <v>0</v>
      </c>
      <c r="N71" s="8" t="n">
        <v>0</v>
      </c>
      <c r="O71" s="9" t="n">
        <f aca="false">K71+L71+M71+N71</f>
        <v>3843</v>
      </c>
      <c r="P71" s="10" t="n">
        <f aca="false">IF(N(E71)&gt;0,G71/E71,"")</f>
        <v>29.4411764705882</v>
      </c>
      <c r="Q71" s="10" t="n">
        <f aca="false">IF(N(E71)&gt;0,J71/E71,"")</f>
        <v>27.0735294117647</v>
      </c>
      <c r="R71" s="10" t="n">
        <f aca="false">IF(N(E71)&gt;0,O71/E71,"")</f>
        <v>56.5147058823529</v>
      </c>
      <c r="S71" s="8" t="n">
        <v>960.75</v>
      </c>
      <c r="T71" s="8" t="n">
        <v>5087.52</v>
      </c>
    </row>
    <row r="72" customFormat="false" ht="15" hidden="false" customHeight="false" outlineLevel="0" collapsed="false">
      <c r="A72" s="5" t="n">
        <v>46109</v>
      </c>
      <c r="B72" s="6" t="s">
        <v>90</v>
      </c>
      <c r="C72" s="6" t="s">
        <v>24</v>
      </c>
      <c r="D72" s="6" t="s">
        <v>48</v>
      </c>
      <c r="E72" s="7" t="n">
        <v>30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f aca="false">H72+I72</f>
        <v>0</v>
      </c>
      <c r="K72" s="8" t="n">
        <f aca="false">G72+J72</f>
        <v>0</v>
      </c>
      <c r="L72" s="8" t="n">
        <v>0</v>
      </c>
      <c r="M72" s="8" t="n">
        <v>0</v>
      </c>
      <c r="N72" s="8" t="n">
        <v>0</v>
      </c>
      <c r="O72" s="9" t="n">
        <f aca="false">K72+L72+M72+N72</f>
        <v>0</v>
      </c>
      <c r="P72" s="10" t="n">
        <f aca="false">IF(N(E72)&gt;0,G72/E72,"")</f>
        <v>0</v>
      </c>
      <c r="Q72" s="10" t="n">
        <f aca="false">IF(N(E72)&gt;0,J72/E72,"")</f>
        <v>0</v>
      </c>
      <c r="R72" s="10" t="n">
        <f aca="false">IF(N(E72)&gt;0,O72/E72,"")</f>
        <v>0</v>
      </c>
      <c r="S72" s="8" t="n">
        <v>583.33</v>
      </c>
      <c r="T72" s="8" t="n">
        <v>500</v>
      </c>
    </row>
    <row r="73" customFormat="false" ht="15" hidden="false" customHeight="false" outlineLevel="0" collapsed="false">
      <c r="A73" s="5" t="n">
        <v>46122</v>
      </c>
      <c r="B73" s="6" t="s">
        <v>91</v>
      </c>
      <c r="C73" s="6" t="s">
        <v>24</v>
      </c>
      <c r="D73" s="6" t="s">
        <v>92</v>
      </c>
      <c r="E73" s="7" t="n">
        <v>30</v>
      </c>
      <c r="F73" s="8" t="n">
        <v>750</v>
      </c>
      <c r="G73" s="8" t="n">
        <v>900</v>
      </c>
      <c r="H73" s="8" t="n">
        <v>507.58</v>
      </c>
      <c r="I73" s="8" t="n">
        <v>0</v>
      </c>
      <c r="J73" s="8" t="n">
        <f aca="false">H73+I73</f>
        <v>507.58</v>
      </c>
      <c r="K73" s="8" t="n">
        <f aca="false">G73+J73</f>
        <v>1407.58</v>
      </c>
      <c r="L73" s="8" t="n">
        <v>800</v>
      </c>
      <c r="M73" s="8" t="n">
        <v>0</v>
      </c>
      <c r="N73" s="8" t="n">
        <v>250</v>
      </c>
      <c r="O73" s="9" t="n">
        <f aca="false">K73+L73+M73+N73</f>
        <v>2457.58</v>
      </c>
      <c r="P73" s="10" t="n">
        <f aca="false">IF(N(E73)&gt;0,G73/E73,"")</f>
        <v>30</v>
      </c>
      <c r="Q73" s="10" t="n">
        <f aca="false">IF(N(E73)&gt;0,J73/E73,"")</f>
        <v>16.9193333333333</v>
      </c>
      <c r="R73" s="10" t="n">
        <f aca="false">IF(N(E73)&gt;0,O73/E73,"")</f>
        <v>81.9193333333333</v>
      </c>
      <c r="S73" s="8" t="n">
        <v>517.5</v>
      </c>
      <c r="T73" s="8" t="n">
        <v>3029.08</v>
      </c>
      <c r="U73" s="8" t="n">
        <v>2703.5</v>
      </c>
    </row>
    <row r="74" customFormat="false" ht="15" hidden="false" customHeight="false" outlineLevel="0" collapsed="false">
      <c r="A74" s="5" t="n">
        <v>46124</v>
      </c>
      <c r="B74" s="6" t="s">
        <v>93</v>
      </c>
      <c r="C74" s="6" t="s">
        <v>24</v>
      </c>
      <c r="D74" s="6" t="s">
        <v>59</v>
      </c>
      <c r="E74" s="7" t="n">
        <v>30</v>
      </c>
      <c r="F74" s="8" t="n">
        <v>1000</v>
      </c>
      <c r="G74" s="8" t="n">
        <v>1350</v>
      </c>
      <c r="H74" s="8" t="n">
        <v>0</v>
      </c>
      <c r="I74" s="8" t="n">
        <v>0</v>
      </c>
      <c r="J74" s="8" t="n">
        <f aca="false">H74+I74</f>
        <v>0</v>
      </c>
      <c r="K74" s="8" t="n">
        <f aca="false">G74+J74</f>
        <v>1350</v>
      </c>
      <c r="L74" s="8" t="n">
        <v>800</v>
      </c>
      <c r="M74" s="8" t="n">
        <v>0</v>
      </c>
      <c r="N74" s="8" t="n">
        <v>0</v>
      </c>
      <c r="O74" s="9" t="n">
        <f aca="false">K74+L74+M74+N74</f>
        <v>2150</v>
      </c>
      <c r="P74" s="10" t="n">
        <f aca="false">IF(N(E74)&gt;0,G74/E74,"")</f>
        <v>45</v>
      </c>
      <c r="Q74" s="10" t="n">
        <f aca="false">IF(N(E74)&gt;0,J74/E74,"")</f>
        <v>0</v>
      </c>
      <c r="R74" s="10" t="n">
        <f aca="false">IF(N(E74)&gt;0,O74/E74,"")</f>
        <v>71.6666666666667</v>
      </c>
      <c r="S74" s="8" t="n">
        <v>607.5</v>
      </c>
      <c r="T74" s="8" t="n">
        <v>2838.5</v>
      </c>
      <c r="U74" s="8" t="n">
        <v>2487.5</v>
      </c>
    </row>
    <row r="75" customFormat="false" ht="15" hidden="false" customHeight="false" outlineLevel="0" collapsed="false">
      <c r="A75" s="5" t="n">
        <v>46136</v>
      </c>
      <c r="B75" s="6" t="s">
        <v>94</v>
      </c>
      <c r="C75" s="6" t="s">
        <v>24</v>
      </c>
      <c r="D75" s="6" t="s">
        <v>31</v>
      </c>
      <c r="E75" s="7" t="n">
        <v>30</v>
      </c>
      <c r="F75" s="8" t="n">
        <v>0</v>
      </c>
      <c r="G75" s="8" t="n">
        <v>420</v>
      </c>
      <c r="H75" s="8" t="n">
        <v>163</v>
      </c>
      <c r="I75" s="8" t="n">
        <v>0</v>
      </c>
      <c r="J75" s="8" t="n">
        <f aca="false">H75+I75</f>
        <v>163</v>
      </c>
      <c r="K75" s="8" t="n">
        <f aca="false">G75+J75</f>
        <v>583</v>
      </c>
      <c r="L75" s="8" t="n">
        <v>0</v>
      </c>
      <c r="M75" s="8" t="n">
        <v>0</v>
      </c>
      <c r="N75" s="8" t="n">
        <v>0</v>
      </c>
      <c r="O75" s="9" t="n">
        <f aca="false">K75+L75+M75+N75</f>
        <v>583</v>
      </c>
      <c r="P75" s="10" t="n">
        <f aca="false">IF(N(E75)&gt;0,G75/E75,"")</f>
        <v>14</v>
      </c>
      <c r="Q75" s="10" t="n">
        <f aca="false">IF(N(E75)&gt;0,J75/E75,"")</f>
        <v>5.43333333333333</v>
      </c>
      <c r="R75" s="10" t="n">
        <f aca="false">IF(N(E75)&gt;0,O75/E75,"")</f>
        <v>19.4333333333333</v>
      </c>
      <c r="S75" s="8" t="n">
        <v>281.54</v>
      </c>
      <c r="T75" s="8" t="n">
        <v>839.73</v>
      </c>
      <c r="U75" s="8" t="n">
        <v>1013</v>
      </c>
    </row>
    <row r="76" customFormat="false" ht="15" hidden="false" customHeight="false" outlineLevel="0" collapsed="false">
      <c r="A76" s="5" t="n">
        <v>46137</v>
      </c>
      <c r="B76" s="6" t="s">
        <v>95</v>
      </c>
      <c r="C76" s="6" t="s">
        <v>29</v>
      </c>
      <c r="D76" s="6" t="s">
        <v>25</v>
      </c>
      <c r="E76" s="7" t="n">
        <v>68</v>
      </c>
      <c r="F76" s="8" t="n">
        <v>0</v>
      </c>
      <c r="G76" s="8" t="n">
        <v>1975</v>
      </c>
      <c r="H76" s="8" t="n">
        <v>2022</v>
      </c>
      <c r="I76" s="8" t="n">
        <v>0</v>
      </c>
      <c r="J76" s="8" t="n">
        <f aca="false">H76+I76</f>
        <v>2022</v>
      </c>
      <c r="K76" s="8" t="n">
        <f aca="false">G76+J76</f>
        <v>3997</v>
      </c>
      <c r="L76" s="8" t="n">
        <v>0</v>
      </c>
      <c r="M76" s="8" t="n">
        <v>0</v>
      </c>
      <c r="N76" s="8" t="n">
        <v>0</v>
      </c>
      <c r="O76" s="9" t="n">
        <f aca="false">K76+L76+M76+N76</f>
        <v>3997</v>
      </c>
      <c r="P76" s="10" t="n">
        <f aca="false">IF(N(E76)&gt;0,G76/E76,"")</f>
        <v>29.0441176470588</v>
      </c>
      <c r="Q76" s="10" t="n">
        <f aca="false">IF(N(E76)&gt;0,J76/E76,"")</f>
        <v>29.7352941176471</v>
      </c>
      <c r="R76" s="10" t="n">
        <f aca="false">IF(N(E76)&gt;0,O76/E76,"")</f>
        <v>58.7794117647059</v>
      </c>
      <c r="S76" s="8" t="n">
        <v>3078.75</v>
      </c>
      <c r="T76" s="8" t="n">
        <v>6965.73</v>
      </c>
      <c r="U76" s="8" t="n">
        <v>6322.75</v>
      </c>
    </row>
    <row r="77" customFormat="false" ht="15" hidden="false" customHeight="false" outlineLevel="0" collapsed="false">
      <c r="A77" s="5" t="n">
        <v>46147</v>
      </c>
      <c r="B77" s="6" t="s">
        <v>96</v>
      </c>
      <c r="C77" s="6" t="s">
        <v>24</v>
      </c>
      <c r="D77" s="6" t="s">
        <v>31</v>
      </c>
      <c r="E77" s="7" t="n">
        <v>60</v>
      </c>
      <c r="F77" s="8" t="n">
        <v>0</v>
      </c>
      <c r="G77" s="8" t="n">
        <v>1670</v>
      </c>
      <c r="H77" s="8" t="n">
        <v>1980</v>
      </c>
      <c r="I77" s="8" t="n">
        <v>0</v>
      </c>
      <c r="J77" s="8" t="n">
        <f aca="false">H77+I77</f>
        <v>1980</v>
      </c>
      <c r="K77" s="8" t="n">
        <f aca="false">G77+J77</f>
        <v>3650</v>
      </c>
      <c r="L77" s="8" t="n">
        <v>0</v>
      </c>
      <c r="M77" s="8" t="n">
        <v>0</v>
      </c>
      <c r="N77" s="8" t="n">
        <v>250</v>
      </c>
      <c r="O77" s="9" t="n">
        <f aca="false">K77+L77+M77+N77</f>
        <v>3900</v>
      </c>
      <c r="P77" s="10" t="n">
        <f aca="false">IF(N(E77)&gt;0,G77/E77,"")</f>
        <v>27.8333333333333</v>
      </c>
      <c r="Q77" s="10" t="n">
        <f aca="false">IF(N(E77)&gt;0,J77/E77,"")</f>
        <v>33</v>
      </c>
      <c r="R77" s="10" t="n">
        <f aca="false">IF(N(E77)&gt;0,O77/E77,"")</f>
        <v>65</v>
      </c>
      <c r="S77" s="8" t="n">
        <v>1762.5</v>
      </c>
      <c r="T77" s="8" t="n">
        <v>5840.9</v>
      </c>
      <c r="U77" s="8" t="n">
        <v>5312.5</v>
      </c>
    </row>
    <row r="78" customFormat="false" ht="15" hidden="false" customHeight="false" outlineLevel="0" collapsed="false">
      <c r="A78" s="5" t="n">
        <v>46149</v>
      </c>
      <c r="B78" s="6" t="s">
        <v>73</v>
      </c>
      <c r="C78" s="6" t="s">
        <v>24</v>
      </c>
      <c r="D78" s="6" t="s">
        <v>48</v>
      </c>
      <c r="E78" s="7" t="n">
        <v>20</v>
      </c>
      <c r="F78" s="8" t="n">
        <v>500</v>
      </c>
      <c r="G78" s="8" t="n">
        <v>1205</v>
      </c>
      <c r="H78" s="8" t="n">
        <v>265</v>
      </c>
      <c r="I78" s="8" t="n">
        <v>0</v>
      </c>
      <c r="J78" s="8" t="n">
        <f aca="false">H78+I78</f>
        <v>265</v>
      </c>
      <c r="K78" s="8" t="n">
        <f aca="false">G78+J78</f>
        <v>1470</v>
      </c>
      <c r="L78" s="8" t="n">
        <v>0</v>
      </c>
      <c r="M78" s="8" t="n">
        <v>0</v>
      </c>
      <c r="N78" s="8" t="n">
        <v>250</v>
      </c>
      <c r="O78" s="9" t="n">
        <f aca="false">K78+L78+M78+N78</f>
        <v>1720</v>
      </c>
      <c r="P78" s="10" t="n">
        <f aca="false">IF(N(E78)&gt;0,G78/E78,"")</f>
        <v>60.25</v>
      </c>
      <c r="Q78" s="10" t="n">
        <f aca="false">IF(N(E78)&gt;0,J78/E78,"")</f>
        <v>13.25</v>
      </c>
      <c r="R78" s="10" t="n">
        <f aca="false">IF(N(E78)&gt;0,O78/E78,"")</f>
        <v>86</v>
      </c>
      <c r="S78" s="8" t="n">
        <v>748.25</v>
      </c>
      <c r="T78" s="8" t="n">
        <v>2564.4</v>
      </c>
      <c r="U78" s="8" t="n">
        <v>1771.25</v>
      </c>
    </row>
    <row r="79" customFormat="false" ht="15" hidden="false" customHeight="false" outlineLevel="0" collapsed="false">
      <c r="A79" s="5" t="n">
        <v>46154</v>
      </c>
      <c r="B79" s="6" t="s">
        <v>97</v>
      </c>
      <c r="C79" s="6" t="s">
        <v>24</v>
      </c>
      <c r="D79" s="6" t="s">
        <v>31</v>
      </c>
      <c r="E79" s="7" t="n">
        <v>55</v>
      </c>
      <c r="F79" s="8" t="n">
        <v>0</v>
      </c>
      <c r="G79" s="8" t="n">
        <v>565</v>
      </c>
      <c r="H79" s="8" t="n">
        <v>0</v>
      </c>
      <c r="I79" s="8" t="n">
        <v>0</v>
      </c>
      <c r="J79" s="8" t="n">
        <f aca="false">H79+I79</f>
        <v>0</v>
      </c>
      <c r="K79" s="8" t="n">
        <f aca="false">G79+J79</f>
        <v>565</v>
      </c>
      <c r="L79" s="8" t="n">
        <v>1500</v>
      </c>
      <c r="M79" s="8" t="n">
        <v>0</v>
      </c>
      <c r="N79" s="8" t="n">
        <v>0</v>
      </c>
      <c r="O79" s="9" t="n">
        <f aca="false">K79+L79+M79+N79</f>
        <v>2065</v>
      </c>
      <c r="P79" s="10" t="n">
        <f aca="false">IF(N(E79)&gt;0,G79/E79,"")</f>
        <v>10.2727272727273</v>
      </c>
      <c r="Q79" s="10" t="n">
        <f aca="false">IF(N(E79)&gt;0,J79/E79,"")</f>
        <v>0</v>
      </c>
      <c r="R79" s="10" t="n">
        <f aca="false">IF(N(E79)&gt;0,O79/E79,"")</f>
        <v>37.5454545454546</v>
      </c>
      <c r="S79" s="8" t="n">
        <v>501.25</v>
      </c>
      <c r="T79" s="8" t="n">
        <v>2266.26</v>
      </c>
      <c r="U79" s="8" t="n">
        <v>2539.25</v>
      </c>
    </row>
    <row r="80" customFormat="false" ht="15" hidden="false" customHeight="false" outlineLevel="0" collapsed="false">
      <c r="A80" s="5" t="n">
        <v>46155</v>
      </c>
      <c r="B80" s="6" t="s">
        <v>98</v>
      </c>
      <c r="C80" s="6" t="s">
        <v>24</v>
      </c>
      <c r="D80" s="6" t="s">
        <v>31</v>
      </c>
      <c r="E80" s="7" t="n">
        <v>45</v>
      </c>
      <c r="F80" s="8" t="n">
        <v>0</v>
      </c>
      <c r="G80" s="8" t="n">
        <v>1669</v>
      </c>
      <c r="H80" s="8" t="n">
        <v>2250</v>
      </c>
      <c r="I80" s="8" t="n">
        <v>0</v>
      </c>
      <c r="J80" s="8" t="n">
        <f aca="false">H80+I80</f>
        <v>2250</v>
      </c>
      <c r="K80" s="8" t="n">
        <f aca="false">G80+J80</f>
        <v>3919</v>
      </c>
      <c r="L80" s="8" t="n">
        <v>0</v>
      </c>
      <c r="M80" s="8" t="n">
        <v>0</v>
      </c>
      <c r="N80" s="8" t="n">
        <v>500</v>
      </c>
      <c r="O80" s="9" t="n">
        <f aca="false">K80+L80+M80+N80</f>
        <v>4419</v>
      </c>
      <c r="P80" s="10" t="n">
        <f aca="false">IF(N(E80)&gt;0,G80/E80,"")</f>
        <v>37.0888888888889</v>
      </c>
      <c r="Q80" s="10" t="n">
        <f aca="false">IF(N(E80)&gt;0,J80/E80,"")</f>
        <v>50</v>
      </c>
      <c r="R80" s="10" t="n">
        <f aca="false">IF(N(E80)&gt;0,O80/E80,"")</f>
        <v>98.2</v>
      </c>
      <c r="S80" s="8" t="n">
        <v>1979.75</v>
      </c>
      <c r="T80" s="8" t="n">
        <v>6633.89</v>
      </c>
      <c r="U80" s="8" t="n">
        <v>6398.75</v>
      </c>
    </row>
    <row r="81" customFormat="false" ht="15" hidden="false" customHeight="false" outlineLevel="0" collapsed="false">
      <c r="A81" s="5" t="n">
        <v>46156</v>
      </c>
      <c r="B81" s="6" t="s">
        <v>99</v>
      </c>
      <c r="C81" s="6" t="s">
        <v>24</v>
      </c>
      <c r="D81" s="6" t="s">
        <v>48</v>
      </c>
      <c r="E81" s="7" t="n">
        <v>11</v>
      </c>
      <c r="F81" s="8" t="n">
        <v>0</v>
      </c>
      <c r="G81" s="8" t="n">
        <v>1295</v>
      </c>
      <c r="H81" s="8" t="n">
        <v>0</v>
      </c>
      <c r="I81" s="8" t="n">
        <v>0</v>
      </c>
      <c r="J81" s="8" t="n">
        <f aca="false">H81+I81</f>
        <v>0</v>
      </c>
      <c r="K81" s="8" t="n">
        <f aca="false">G81+J81</f>
        <v>1295</v>
      </c>
      <c r="L81" s="8" t="n">
        <v>0</v>
      </c>
      <c r="M81" s="8" t="n">
        <v>0</v>
      </c>
      <c r="N81" s="8" t="n">
        <v>600</v>
      </c>
      <c r="O81" s="9" t="n">
        <f aca="false">K81+L81+M81+N81</f>
        <v>1895</v>
      </c>
      <c r="P81" s="10" t="n">
        <f aca="false">IF(N(E81)&gt;0,G81/E81,"")</f>
        <v>117.727272727273</v>
      </c>
      <c r="Q81" s="10" t="n">
        <f aca="false">IF(N(E81)&gt;0,J81/E81,"")</f>
        <v>0</v>
      </c>
      <c r="R81" s="10" t="n">
        <f aca="false">IF(N(E81)&gt;0,O81/E81,"")</f>
        <v>172.272727272727</v>
      </c>
      <c r="S81" s="8" t="n">
        <v>1723.75</v>
      </c>
      <c r="T81" s="8" t="n">
        <v>3696.45</v>
      </c>
      <c r="U81" s="8" t="n">
        <v>3618.75</v>
      </c>
    </row>
    <row r="82" customFormat="false" ht="15" hidden="false" customHeight="false" outlineLevel="0" collapsed="false">
      <c r="A82" s="5" t="n">
        <v>46157</v>
      </c>
      <c r="B82" s="6" t="s">
        <v>99</v>
      </c>
      <c r="C82" s="6" t="s">
        <v>24</v>
      </c>
      <c r="D82" s="6" t="s">
        <v>48</v>
      </c>
      <c r="E82" s="7" t="n">
        <v>11</v>
      </c>
      <c r="F82" s="8" t="n">
        <v>0</v>
      </c>
      <c r="G82" s="8" t="n">
        <v>1697</v>
      </c>
      <c r="H82" s="8" t="n">
        <v>0</v>
      </c>
      <c r="I82" s="8" t="n">
        <v>0</v>
      </c>
      <c r="J82" s="8" t="n">
        <f aca="false">H82+I82</f>
        <v>0</v>
      </c>
      <c r="K82" s="8" t="n">
        <f aca="false">G82+J82</f>
        <v>1697</v>
      </c>
      <c r="L82" s="8" t="n">
        <v>0</v>
      </c>
      <c r="M82" s="8" t="n">
        <v>0</v>
      </c>
      <c r="N82" s="8" t="n">
        <v>600</v>
      </c>
      <c r="O82" s="9" t="n">
        <f aca="false">K82+L82+M82+N82</f>
        <v>2297</v>
      </c>
      <c r="P82" s="10" t="n">
        <f aca="false">IF(N(E82)&gt;0,G82/E82,"")</f>
        <v>154.272727272727</v>
      </c>
      <c r="Q82" s="10" t="n">
        <f aca="false">IF(N(E82)&gt;0,J82/E82,"")</f>
        <v>0</v>
      </c>
      <c r="R82" s="10" t="n">
        <f aca="false">IF(N(E82)&gt;0,O82/E82,"")</f>
        <v>208.818181818182</v>
      </c>
      <c r="S82" s="8" t="n">
        <v>1824.25</v>
      </c>
      <c r="T82" s="8" t="n">
        <v>4223.07</v>
      </c>
      <c r="U82" s="8" t="n">
        <v>4146.25</v>
      </c>
    </row>
    <row r="83" customFormat="false" ht="15" hidden="false" customHeight="false" outlineLevel="0" collapsed="false">
      <c r="A83" s="5" t="n">
        <v>46162</v>
      </c>
      <c r="B83" s="6" t="s">
        <v>39</v>
      </c>
      <c r="C83" s="6" t="s">
        <v>24</v>
      </c>
      <c r="D83" s="6" t="s">
        <v>31</v>
      </c>
      <c r="E83" s="7" t="n">
        <v>75</v>
      </c>
      <c r="F83" s="8" t="n">
        <v>0</v>
      </c>
      <c r="G83" s="8" t="n">
        <v>1964</v>
      </c>
      <c r="H83" s="8" t="n">
        <v>4650</v>
      </c>
      <c r="I83" s="8" t="n">
        <v>0</v>
      </c>
      <c r="J83" s="8" t="n">
        <f aca="false">H83+I83</f>
        <v>4650</v>
      </c>
      <c r="K83" s="8" t="n">
        <f aca="false">G83+J83</f>
        <v>6614</v>
      </c>
      <c r="L83" s="8" t="n">
        <v>0</v>
      </c>
      <c r="M83" s="8" t="n">
        <v>0</v>
      </c>
      <c r="N83" s="8" t="n">
        <v>250</v>
      </c>
      <c r="O83" s="9" t="n">
        <f aca="false">K83+L83+M83+N83</f>
        <v>6864</v>
      </c>
      <c r="P83" s="10" t="n">
        <f aca="false">IF(N(E83)&gt;0,G83/E83,"")</f>
        <v>26.1866666666667</v>
      </c>
      <c r="Q83" s="10" t="n">
        <f aca="false">IF(N(E83)&gt;0,J83/E83,"")</f>
        <v>62</v>
      </c>
      <c r="R83" s="10" t="n">
        <f aca="false">IF(N(E83)&gt;0,O83/E83,"")</f>
        <v>91.52</v>
      </c>
      <c r="S83" s="8" t="n">
        <v>3652.4</v>
      </c>
      <c r="T83" s="8" t="n">
        <v>11052.74</v>
      </c>
      <c r="U83" s="8" t="n">
        <v>9830</v>
      </c>
    </row>
    <row r="84" customFormat="false" ht="15" hidden="false" customHeight="false" outlineLevel="0" collapsed="false">
      <c r="A84" s="5" t="n">
        <v>46163</v>
      </c>
      <c r="B84" s="6" t="s">
        <v>100</v>
      </c>
      <c r="C84" s="6" t="s">
        <v>24</v>
      </c>
      <c r="D84" s="6" t="s">
        <v>31</v>
      </c>
      <c r="E84" s="7" t="n">
        <v>50</v>
      </c>
      <c r="F84" s="8" t="n">
        <v>0</v>
      </c>
      <c r="G84" s="8" t="n">
        <v>650</v>
      </c>
      <c r="H84" s="8" t="n">
        <v>589</v>
      </c>
      <c r="I84" s="8" t="n">
        <v>0</v>
      </c>
      <c r="J84" s="8" t="n">
        <f aca="false">H84+I84</f>
        <v>589</v>
      </c>
      <c r="K84" s="8" t="n">
        <f aca="false">G84+J84</f>
        <v>1239</v>
      </c>
      <c r="L84" s="8" t="n">
        <v>0</v>
      </c>
      <c r="M84" s="8" t="n">
        <v>0</v>
      </c>
      <c r="N84" s="8" t="n">
        <v>250</v>
      </c>
      <c r="O84" s="9" t="n">
        <f aca="false">K84+L84+M84+N84</f>
        <v>1489</v>
      </c>
      <c r="P84" s="10" t="n">
        <f aca="false">IF(N(E84)&gt;0,G84/E84,"")</f>
        <v>13</v>
      </c>
      <c r="Q84" s="10" t="n">
        <f aca="false">IF(N(E84)&gt;0,J84/E84,"")</f>
        <v>11.78</v>
      </c>
      <c r="R84" s="10" t="n">
        <f aca="false">IF(N(E84)&gt;0,O84/E84,"")</f>
        <v>29.78</v>
      </c>
      <c r="S84" s="8" t="n">
        <v>1800.6</v>
      </c>
      <c r="T84" s="8" t="n">
        <v>3341.89</v>
      </c>
      <c r="U84" s="8" t="n">
        <v>2756</v>
      </c>
    </row>
    <row r="85" customFormat="false" ht="15" hidden="false" customHeight="false" outlineLevel="0" collapsed="false">
      <c r="A85" s="5" t="n">
        <v>46172</v>
      </c>
      <c r="B85" s="6" t="s">
        <v>101</v>
      </c>
      <c r="C85" s="6" t="s">
        <v>24</v>
      </c>
      <c r="D85" s="6" t="s">
        <v>31</v>
      </c>
      <c r="E85" s="7" t="n">
        <v>100</v>
      </c>
      <c r="F85" s="8" t="n">
        <v>0</v>
      </c>
      <c r="G85" s="8" t="n">
        <v>1465</v>
      </c>
      <c r="H85" s="8" t="n">
        <v>0</v>
      </c>
      <c r="I85" s="8" t="n">
        <v>0</v>
      </c>
      <c r="J85" s="8" t="n">
        <f aca="false">H85+I85</f>
        <v>0</v>
      </c>
      <c r="K85" s="8" t="n">
        <f aca="false">G85+J85</f>
        <v>1465</v>
      </c>
      <c r="L85" s="8" t="n">
        <v>0</v>
      </c>
      <c r="M85" s="8" t="n">
        <v>0</v>
      </c>
      <c r="N85" s="8" t="n">
        <v>500</v>
      </c>
      <c r="O85" s="9" t="n">
        <f aca="false">K85+L85+M85+N85</f>
        <v>1965</v>
      </c>
      <c r="P85" s="10" t="n">
        <f aca="false">IF(N(E85)&gt;0,G85/E85,"")</f>
        <v>14.65</v>
      </c>
      <c r="Q85" s="10" t="n">
        <f aca="false">IF(N(E85)&gt;0,J85/E85,"")</f>
        <v>0</v>
      </c>
      <c r="R85" s="10" t="n">
        <f aca="false">IF(N(E85)&gt;0,O85/E85,"")</f>
        <v>19.65</v>
      </c>
      <c r="S85" s="8" t="n">
        <v>1691.25</v>
      </c>
      <c r="T85" s="8" t="n">
        <v>3744.15</v>
      </c>
      <c r="U85" s="8" t="n">
        <v>602</v>
      </c>
    </row>
    <row r="86" customFormat="false" ht="15" hidden="false" customHeight="false" outlineLevel="0" collapsed="false">
      <c r="A86" s="5" t="n">
        <v>46173</v>
      </c>
      <c r="B86" s="6" t="s">
        <v>102</v>
      </c>
      <c r="C86" s="6" t="s">
        <v>24</v>
      </c>
      <c r="D86" s="6" t="s">
        <v>25</v>
      </c>
      <c r="E86" s="7" t="n">
        <v>50</v>
      </c>
      <c r="F86" s="8" t="n">
        <v>0</v>
      </c>
      <c r="G86" s="8" t="n">
        <v>1295</v>
      </c>
      <c r="H86" s="8" t="n">
        <v>0</v>
      </c>
      <c r="I86" s="8" t="n">
        <v>0</v>
      </c>
      <c r="J86" s="8" t="n">
        <f aca="false">H86+I86</f>
        <v>0</v>
      </c>
      <c r="K86" s="8" t="n">
        <f aca="false">G86+J86</f>
        <v>1295</v>
      </c>
      <c r="L86" s="8" t="n">
        <v>0</v>
      </c>
      <c r="M86" s="8" t="n">
        <v>0</v>
      </c>
      <c r="N86" s="8" t="n">
        <v>0</v>
      </c>
      <c r="O86" s="9" t="n">
        <f aca="false">K86+L86+M86+N86</f>
        <v>1295</v>
      </c>
      <c r="P86" s="10" t="n">
        <f aca="false">IF(N(E86)&gt;0,G86/E86,"")</f>
        <v>25.9</v>
      </c>
      <c r="Q86" s="10" t="n">
        <f aca="false">IF(N(E86)&gt;0,J86/E86,"")</f>
        <v>0</v>
      </c>
      <c r="R86" s="10" t="n">
        <f aca="false">IF(N(E86)&gt;0,O86/E86,"")</f>
        <v>25.9</v>
      </c>
      <c r="S86" s="8" t="n">
        <v>3198.75</v>
      </c>
      <c r="T86" s="8" t="n">
        <v>3571.45</v>
      </c>
      <c r="U86" s="8" t="n">
        <v>3493.75</v>
      </c>
    </row>
    <row r="87" customFormat="false" ht="15" hidden="false" customHeight="false" outlineLevel="0" collapsed="false">
      <c r="A87" s="5" t="n">
        <v>46175</v>
      </c>
      <c r="B87" s="6" t="s">
        <v>103</v>
      </c>
      <c r="C87" s="6" t="s">
        <v>24</v>
      </c>
      <c r="D87" s="6" t="s">
        <v>31</v>
      </c>
      <c r="E87" s="7" t="n">
        <v>30</v>
      </c>
      <c r="F87" s="8" t="n">
        <v>1500</v>
      </c>
      <c r="G87" s="8" t="n">
        <v>994</v>
      </c>
      <c r="H87" s="8" t="n">
        <v>750</v>
      </c>
      <c r="I87" s="8" t="n">
        <v>0</v>
      </c>
      <c r="J87" s="8" t="n">
        <f aca="false">H87+I87</f>
        <v>750</v>
      </c>
      <c r="K87" s="8" t="n">
        <f aca="false">G87+J87</f>
        <v>1744</v>
      </c>
      <c r="L87" s="8" t="n">
        <v>0</v>
      </c>
      <c r="M87" s="8" t="n">
        <v>0</v>
      </c>
      <c r="N87" s="8" t="n">
        <v>0</v>
      </c>
      <c r="O87" s="9" t="n">
        <f aca="false">K87+L87+M87+N87</f>
        <v>1744</v>
      </c>
      <c r="P87" s="10" t="n">
        <f aca="false">IF(N(E87)&gt;0,G87/E87,"")</f>
        <v>33.1333333333333</v>
      </c>
      <c r="Q87" s="10" t="n">
        <f aca="false">IF(N(E87)&gt;0,J87/E87,"")</f>
        <v>25</v>
      </c>
      <c r="R87" s="10" t="n">
        <f aca="false">IF(N(E87)&gt;0,O87/E87,"")</f>
        <v>58.1333333333333</v>
      </c>
      <c r="S87" s="8" t="n">
        <v>540.64</v>
      </c>
      <c r="T87" s="8" t="n">
        <v>2284.64</v>
      </c>
      <c r="U87" s="8" t="n">
        <v>5523.45</v>
      </c>
    </row>
    <row r="88" customFormat="false" ht="15" hidden="false" customHeight="false" outlineLevel="0" collapsed="false">
      <c r="A88" s="5" t="n">
        <v>46179</v>
      </c>
      <c r="B88" s="6" t="s">
        <v>104</v>
      </c>
      <c r="C88" s="6" t="s">
        <v>24</v>
      </c>
      <c r="D88" s="6" t="s">
        <v>25</v>
      </c>
      <c r="E88" s="7" t="n">
        <v>30</v>
      </c>
      <c r="F88" s="8" t="n">
        <v>2500</v>
      </c>
      <c r="G88" s="8" t="n">
        <v>282</v>
      </c>
      <c r="H88" s="8" t="n">
        <v>1196</v>
      </c>
      <c r="I88" s="8" t="n">
        <v>0</v>
      </c>
      <c r="J88" s="8" t="n">
        <f aca="false">H88+I88</f>
        <v>1196</v>
      </c>
      <c r="K88" s="8" t="n">
        <f aca="false">G88+J88</f>
        <v>1478</v>
      </c>
      <c r="L88" s="8" t="n">
        <v>0</v>
      </c>
      <c r="M88" s="8" t="n">
        <v>0</v>
      </c>
      <c r="N88" s="8" t="n">
        <v>250</v>
      </c>
      <c r="O88" s="9" t="n">
        <f aca="false">K88+L88+M88+N88</f>
        <v>1728</v>
      </c>
      <c r="P88" s="10" t="n">
        <f aca="false">IF(N(E88)&gt;0,G88/E88,"")</f>
        <v>9.4</v>
      </c>
      <c r="Q88" s="10" t="n">
        <f aca="false">IF(N(E88)&gt;0,J88/E88,"")</f>
        <v>39.8666666666667</v>
      </c>
      <c r="R88" s="10" t="n">
        <f aca="false">IF(N(E88)&gt;0,O88/E88,"")</f>
        <v>57.6</v>
      </c>
      <c r="S88" s="8" t="n">
        <v>946.75</v>
      </c>
      <c r="T88" s="8" t="n">
        <v>3562.33</v>
      </c>
      <c r="U88" s="8" t="n">
        <v>3437.77</v>
      </c>
    </row>
    <row r="89" customFormat="false" ht="15" hidden="false" customHeight="false" outlineLevel="0" collapsed="false">
      <c r="A89" s="5" t="n">
        <v>46180</v>
      </c>
      <c r="B89" s="6" t="s">
        <v>105</v>
      </c>
      <c r="C89" s="6" t="s">
        <v>24</v>
      </c>
      <c r="D89" s="6" t="s">
        <v>33</v>
      </c>
      <c r="E89" s="7" t="n">
        <v>57</v>
      </c>
      <c r="F89" s="8" t="n">
        <v>0</v>
      </c>
      <c r="G89" s="8" t="n">
        <v>500</v>
      </c>
      <c r="H89" s="8" t="n">
        <v>0</v>
      </c>
      <c r="I89" s="8" t="n">
        <v>0</v>
      </c>
      <c r="J89" s="8" t="n">
        <f aca="false">H89+I89</f>
        <v>0</v>
      </c>
      <c r="K89" s="8" t="n">
        <f aca="false">G89+J89</f>
        <v>500</v>
      </c>
      <c r="L89" s="8" t="n">
        <v>0</v>
      </c>
      <c r="M89" s="8" t="n">
        <v>0</v>
      </c>
      <c r="N89" s="8" t="n">
        <v>500</v>
      </c>
      <c r="O89" s="9" t="n">
        <f aca="false">K89+L89+M89+N89</f>
        <v>1000</v>
      </c>
      <c r="P89" s="10" t="n">
        <f aca="false">IF(N(E89)&gt;0,G89/E89,"")</f>
        <v>8.7719298245614</v>
      </c>
      <c r="Q89" s="10" t="n">
        <f aca="false">IF(N(E89)&gt;0,J89/E89,"")</f>
        <v>0</v>
      </c>
      <c r="R89" s="10" t="n">
        <f aca="false">IF(N(E89)&gt;0,O89/E89,"")</f>
        <v>17.5438596491228</v>
      </c>
      <c r="S89" s="8" t="n">
        <v>2630</v>
      </c>
      <c r="T89" s="8" t="n">
        <v>3630</v>
      </c>
      <c r="U89" s="8" t="n">
        <v>4956</v>
      </c>
    </row>
    <row r="90" customFormat="false" ht="15" hidden="false" customHeight="false" outlineLevel="0" collapsed="false">
      <c r="A90" s="5" t="n">
        <v>46185</v>
      </c>
      <c r="B90" s="6" t="s">
        <v>106</v>
      </c>
      <c r="C90" s="6" t="s">
        <v>24</v>
      </c>
      <c r="D90" s="6" t="s">
        <v>25</v>
      </c>
      <c r="E90" s="7" t="n">
        <v>75</v>
      </c>
      <c r="F90" s="8" t="n">
        <v>0</v>
      </c>
      <c r="G90" s="8" t="n">
        <v>500</v>
      </c>
      <c r="H90" s="8" t="n">
        <v>0</v>
      </c>
      <c r="I90" s="8" t="n">
        <v>0</v>
      </c>
      <c r="J90" s="8" t="n">
        <f aca="false">H90+I90</f>
        <v>0</v>
      </c>
      <c r="K90" s="8" t="n">
        <f aca="false">G90+J90</f>
        <v>500</v>
      </c>
      <c r="L90" s="8" t="n">
        <v>0</v>
      </c>
      <c r="M90" s="8" t="n">
        <v>0</v>
      </c>
      <c r="N90" s="8" t="n">
        <v>250</v>
      </c>
      <c r="O90" s="9" t="n">
        <f aca="false">K90+L90+M90+N90</f>
        <v>750</v>
      </c>
      <c r="P90" s="10" t="n">
        <f aca="false">IF(N(E90)&gt;0,G90/E90,"")</f>
        <v>6.66666666666667</v>
      </c>
      <c r="Q90" s="10" t="n">
        <f aca="false">IF(N(E90)&gt;0,J90/E90,"")</f>
        <v>0</v>
      </c>
      <c r="R90" s="10" t="n">
        <f aca="false">IF(N(E90)&gt;0,O90/E90,"")</f>
        <v>10</v>
      </c>
      <c r="S90" s="8" t="n">
        <v>1490</v>
      </c>
      <c r="T90" s="8" t="n">
        <v>2240</v>
      </c>
      <c r="U90" s="8" t="n">
        <v>2782</v>
      </c>
    </row>
    <row r="91" customFormat="false" ht="15" hidden="false" customHeight="false" outlineLevel="0" collapsed="false">
      <c r="A91" s="5" t="n">
        <v>46186</v>
      </c>
      <c r="B91" s="6" t="s">
        <v>107</v>
      </c>
      <c r="C91" s="6" t="s">
        <v>24</v>
      </c>
      <c r="D91" s="6" t="s">
        <v>33</v>
      </c>
      <c r="E91" s="7" t="n">
        <v>60</v>
      </c>
      <c r="F91" s="8" t="n">
        <v>2000</v>
      </c>
      <c r="G91" s="8" t="n">
        <v>1935</v>
      </c>
      <c r="H91" s="8" t="n">
        <v>1200</v>
      </c>
      <c r="I91" s="8" t="n">
        <v>0</v>
      </c>
      <c r="J91" s="8" t="n">
        <f aca="false">H91+I91</f>
        <v>1200</v>
      </c>
      <c r="K91" s="8" t="n">
        <f aca="false">G91+J91</f>
        <v>3135</v>
      </c>
      <c r="L91" s="8" t="n">
        <v>0</v>
      </c>
      <c r="M91" s="8" t="n">
        <v>0</v>
      </c>
      <c r="N91" s="8" t="n">
        <v>0</v>
      </c>
      <c r="O91" s="9" t="n">
        <f aca="false">K91+L91+M91+N91</f>
        <v>3135</v>
      </c>
      <c r="P91" s="10" t="n">
        <f aca="false">IF(N(E91)&gt;0,G91/E91,"")</f>
        <v>32.25</v>
      </c>
      <c r="Q91" s="10" t="n">
        <f aca="false">IF(N(E91)&gt;0,J91/E91,"")</f>
        <v>20</v>
      </c>
      <c r="R91" s="10" t="n">
        <f aca="false">IF(N(E91)&gt;0,O91/E91,"")</f>
        <v>52.25</v>
      </c>
      <c r="S91" s="8" t="n">
        <v>627</v>
      </c>
      <c r="T91" s="8" t="n">
        <v>3968.1</v>
      </c>
      <c r="U91" s="8" t="n">
        <v>3822</v>
      </c>
    </row>
    <row r="92" customFormat="false" ht="15" hidden="false" customHeight="false" outlineLevel="0" collapsed="false">
      <c r="A92" s="5" t="n">
        <v>46187</v>
      </c>
      <c r="B92" s="6" t="s">
        <v>108</v>
      </c>
      <c r="C92" s="6" t="s">
        <v>24</v>
      </c>
      <c r="D92" s="6" t="s">
        <v>59</v>
      </c>
      <c r="E92" s="7" t="n">
        <v>60</v>
      </c>
      <c r="F92" s="8" t="n">
        <v>0</v>
      </c>
      <c r="G92" s="8" t="n">
        <v>2040</v>
      </c>
      <c r="H92" s="8" t="n">
        <v>0</v>
      </c>
      <c r="I92" s="8" t="n">
        <v>0</v>
      </c>
      <c r="J92" s="8" t="n">
        <f aca="false">H92+I92</f>
        <v>0</v>
      </c>
      <c r="K92" s="8" t="n">
        <f aca="false">G92+J92</f>
        <v>2040</v>
      </c>
      <c r="L92" s="8" t="n">
        <v>0</v>
      </c>
      <c r="M92" s="8" t="n">
        <v>0</v>
      </c>
      <c r="N92" s="8" t="n">
        <v>0</v>
      </c>
      <c r="O92" s="9" t="n">
        <f aca="false">K92+L92+M92+N92</f>
        <v>2040</v>
      </c>
      <c r="P92" s="10" t="n">
        <f aca="false">IF(N(E92)&gt;0,G92/E92,"")</f>
        <v>34</v>
      </c>
      <c r="Q92" s="10" t="n">
        <f aca="false">IF(N(E92)&gt;0,J92/E92,"")</f>
        <v>0</v>
      </c>
      <c r="R92" s="10" t="n">
        <f aca="false">IF(N(E92)&gt;0,O92/E92,"")</f>
        <v>34</v>
      </c>
      <c r="S92" s="8" t="n">
        <v>1643</v>
      </c>
      <c r="T92" s="8" t="n">
        <v>3805.4</v>
      </c>
      <c r="U92" s="8" t="n">
        <v>3175</v>
      </c>
    </row>
    <row r="93" customFormat="false" ht="15" hidden="false" customHeight="false" outlineLevel="0" collapsed="false">
      <c r="A93" s="5" t="n">
        <v>46192</v>
      </c>
      <c r="B93" s="6" t="s">
        <v>109</v>
      </c>
      <c r="C93" s="6" t="s">
        <v>24</v>
      </c>
      <c r="D93" s="6" t="s">
        <v>25</v>
      </c>
      <c r="E93" s="7" t="n">
        <v>75</v>
      </c>
      <c r="F93" s="8" t="n">
        <v>0</v>
      </c>
      <c r="G93" s="8" t="n">
        <v>1745</v>
      </c>
      <c r="H93" s="8" t="n">
        <v>600</v>
      </c>
      <c r="I93" s="8" t="n">
        <v>0</v>
      </c>
      <c r="J93" s="8" t="n">
        <f aca="false">H93+I93</f>
        <v>600</v>
      </c>
      <c r="K93" s="8" t="n">
        <f aca="false">G93+J93</f>
        <v>2345</v>
      </c>
      <c r="L93" s="8" t="n">
        <v>0</v>
      </c>
      <c r="M93" s="8" t="n">
        <v>0</v>
      </c>
      <c r="N93" s="8" t="n">
        <v>500</v>
      </c>
      <c r="O93" s="9" t="n">
        <f aca="false">K93+L93+M93+N93</f>
        <v>2845</v>
      </c>
      <c r="P93" s="10" t="n">
        <f aca="false">IF(N(E93)&gt;0,G93/E93,"")</f>
        <v>23.2666666666667</v>
      </c>
      <c r="Q93" s="10" t="n">
        <f aca="false">IF(N(E93)&gt;0,J93/E93,"")</f>
        <v>8</v>
      </c>
      <c r="R93" s="10" t="n">
        <f aca="false">IF(N(E93)&gt;0,O93/E93,"")</f>
        <v>37.9333333333333</v>
      </c>
      <c r="S93" s="8" t="n">
        <v>1961.25</v>
      </c>
      <c r="T93" s="8" t="n">
        <v>4964.95</v>
      </c>
      <c r="U93" s="8" t="n">
        <v>5102.25</v>
      </c>
    </row>
    <row r="94" customFormat="false" ht="15" hidden="false" customHeight="false" outlineLevel="0" collapsed="false">
      <c r="A94" s="5" t="n">
        <v>46193</v>
      </c>
      <c r="B94" s="6" t="s">
        <v>110</v>
      </c>
      <c r="C94" s="6" t="s">
        <v>24</v>
      </c>
      <c r="D94" s="6" t="s">
        <v>25</v>
      </c>
      <c r="E94" s="7" t="n">
        <v>37</v>
      </c>
      <c r="F94" s="8" t="n">
        <v>0</v>
      </c>
      <c r="G94" s="8" t="n">
        <v>965</v>
      </c>
      <c r="H94" s="8" t="n">
        <v>0</v>
      </c>
      <c r="I94" s="8" t="n">
        <v>0</v>
      </c>
      <c r="J94" s="8" t="n">
        <f aca="false">H94+I94</f>
        <v>0</v>
      </c>
      <c r="K94" s="8" t="n">
        <f aca="false">G94+J94</f>
        <v>965</v>
      </c>
      <c r="L94" s="8" t="n">
        <v>0</v>
      </c>
      <c r="M94" s="8" t="n">
        <v>0</v>
      </c>
      <c r="N94" s="8" t="n">
        <v>250</v>
      </c>
      <c r="O94" s="9" t="n">
        <f aca="false">K94+L94+M94+N94</f>
        <v>1215</v>
      </c>
      <c r="P94" s="10" t="n">
        <f aca="false">IF(N(E94)&gt;0,G94/E94,"")</f>
        <v>26.0810810810811</v>
      </c>
      <c r="Q94" s="10" t="n">
        <f aca="false">IF(N(E94)&gt;0,J94/E94,"")</f>
        <v>0</v>
      </c>
      <c r="R94" s="10" t="n">
        <f aca="false">IF(N(E94)&gt;0,O94/E94,"")</f>
        <v>32.8378378378378</v>
      </c>
      <c r="S94" s="8" t="n">
        <v>1675.25</v>
      </c>
      <c r="T94" s="8" t="n">
        <v>2948.15</v>
      </c>
      <c r="U94" s="8" t="n">
        <v>3009.75</v>
      </c>
    </row>
    <row r="95" customFormat="false" ht="15" hidden="false" customHeight="false" outlineLevel="0" collapsed="false">
      <c r="A95" s="5" t="n">
        <v>46197</v>
      </c>
      <c r="B95" s="6" t="s">
        <v>111</v>
      </c>
      <c r="C95" s="6" t="s">
        <v>24</v>
      </c>
      <c r="D95" s="6" t="s">
        <v>31</v>
      </c>
      <c r="E95" s="7" t="n">
        <v>25</v>
      </c>
      <c r="F95" s="8" t="n">
        <v>0</v>
      </c>
      <c r="G95" s="8" t="n">
        <v>1490</v>
      </c>
      <c r="H95" s="8" t="n">
        <v>291</v>
      </c>
      <c r="I95" s="8" t="n">
        <v>0</v>
      </c>
      <c r="J95" s="8" t="n">
        <f aca="false">H95+I95</f>
        <v>291</v>
      </c>
      <c r="K95" s="8" t="n">
        <f aca="false">G95+J95</f>
        <v>1781</v>
      </c>
      <c r="L95" s="8" t="n">
        <v>0</v>
      </c>
      <c r="M95" s="8" t="n">
        <v>0</v>
      </c>
      <c r="N95" s="8" t="n">
        <v>250</v>
      </c>
      <c r="O95" s="9" t="n">
        <f aca="false">K95+L95+M95+N95</f>
        <v>2031</v>
      </c>
      <c r="P95" s="10" t="n">
        <f aca="false">IF(N(E95)&gt;0,G95/E95,"")</f>
        <v>59.6</v>
      </c>
      <c r="Q95" s="10" t="n">
        <f aca="false">IF(N(E95)&gt;0,J95/E95,"")</f>
        <v>11.64</v>
      </c>
      <c r="R95" s="10" t="n">
        <f aca="false">IF(N(E95)&gt;0,O95/E95,"")</f>
        <v>81.24</v>
      </c>
      <c r="S95" s="8" t="n">
        <v>2363.95</v>
      </c>
      <c r="T95" s="8" t="n">
        <v>4510.54</v>
      </c>
      <c r="U95" s="8" t="n">
        <v>3788.75</v>
      </c>
    </row>
    <row r="96" customFormat="false" ht="15" hidden="false" customHeight="false" outlineLevel="0" collapsed="false">
      <c r="A96" s="5" t="n">
        <v>46199</v>
      </c>
      <c r="B96" s="6" t="s">
        <v>112</v>
      </c>
      <c r="C96" s="6" t="s">
        <v>24</v>
      </c>
      <c r="D96" s="6" t="s">
        <v>25</v>
      </c>
      <c r="E96" s="7" t="n">
        <v>50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f aca="false">H96+I96</f>
        <v>0</v>
      </c>
      <c r="K96" s="8" t="n">
        <f aca="false">G96+J96</f>
        <v>0</v>
      </c>
      <c r="L96" s="8" t="n">
        <v>0</v>
      </c>
      <c r="M96" s="8" t="n">
        <v>0</v>
      </c>
      <c r="N96" s="8" t="n">
        <v>0</v>
      </c>
      <c r="O96" s="9" t="n">
        <f aca="false">K96+L96+M96+N96</f>
        <v>0</v>
      </c>
      <c r="P96" s="10" t="n">
        <f aca="false">IF(N(E96)&gt;0,G96/E96,"")</f>
        <v>0</v>
      </c>
      <c r="Q96" s="10" t="n">
        <f aca="false">IF(N(E96)&gt;0,J96/E96,"")</f>
        <v>0</v>
      </c>
      <c r="R96" s="10" t="n">
        <f aca="false">IF(N(E96)&gt;0,O96/E96,"")</f>
        <v>0</v>
      </c>
      <c r="S96" s="8" t="n">
        <v>1305</v>
      </c>
      <c r="T96" s="8" t="n">
        <v>1305</v>
      </c>
      <c r="U96" s="8" t="n">
        <v>1287</v>
      </c>
    </row>
    <row r="97" customFormat="false" ht="15" hidden="false" customHeight="false" outlineLevel="0" collapsed="false">
      <c r="A97" s="5" t="n">
        <v>46200</v>
      </c>
      <c r="B97" s="6" t="s">
        <v>112</v>
      </c>
      <c r="C97" s="6" t="s">
        <v>24</v>
      </c>
      <c r="D97" s="6" t="s">
        <v>25</v>
      </c>
      <c r="E97" s="7" t="n">
        <v>50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f aca="false">H97+I97</f>
        <v>0</v>
      </c>
      <c r="K97" s="8" t="n">
        <f aca="false">G97+J97</f>
        <v>0</v>
      </c>
      <c r="L97" s="8" t="n">
        <v>0</v>
      </c>
      <c r="M97" s="8" t="n">
        <v>0</v>
      </c>
      <c r="N97" s="8" t="n">
        <v>0</v>
      </c>
      <c r="O97" s="9" t="n">
        <f aca="false">K97+L97+M97+N97</f>
        <v>0</v>
      </c>
      <c r="P97" s="10" t="n">
        <f aca="false">IF(N(E97)&gt;0,G97/E97,"")</f>
        <v>0</v>
      </c>
      <c r="Q97" s="10" t="n">
        <f aca="false">IF(N(E97)&gt;0,J97/E97,"")</f>
        <v>0</v>
      </c>
      <c r="R97" s="10" t="n">
        <f aca="false">IF(N(E97)&gt;0,O97/E97,"")</f>
        <v>0</v>
      </c>
      <c r="S97" s="8" t="n">
        <v>1305</v>
      </c>
      <c r="T97" s="8" t="n">
        <v>1305</v>
      </c>
      <c r="U97" s="8" t="n">
        <v>2169.95</v>
      </c>
    </row>
    <row r="98" customFormat="false" ht="15" hidden="false" customHeight="false" outlineLevel="0" collapsed="false">
      <c r="A98" s="5" t="n">
        <v>46201</v>
      </c>
      <c r="B98" s="6" t="s">
        <v>113</v>
      </c>
      <c r="C98" s="6" t="s">
        <v>24</v>
      </c>
      <c r="D98" s="6" t="s">
        <v>69</v>
      </c>
      <c r="E98" s="7" t="n">
        <v>12</v>
      </c>
      <c r="F98" s="8" t="n">
        <v>0</v>
      </c>
      <c r="G98" s="8" t="n">
        <v>334</v>
      </c>
      <c r="H98" s="8" t="n">
        <v>0</v>
      </c>
      <c r="I98" s="8" t="n">
        <v>0</v>
      </c>
      <c r="J98" s="8" t="n">
        <f aca="false">H98+I98</f>
        <v>0</v>
      </c>
      <c r="K98" s="8" t="n">
        <f aca="false">G98+J98</f>
        <v>334</v>
      </c>
      <c r="L98" s="8" t="n">
        <v>0</v>
      </c>
      <c r="M98" s="8" t="n">
        <v>0</v>
      </c>
      <c r="N98" s="8" t="n">
        <v>200</v>
      </c>
      <c r="O98" s="9" t="n">
        <f aca="false">K98+L98+M98+N98</f>
        <v>534</v>
      </c>
      <c r="P98" s="10" t="n">
        <f aca="false">IF(N(E98)&gt;0,G98/E98,"")</f>
        <v>27.8333333333333</v>
      </c>
      <c r="Q98" s="10" t="n">
        <f aca="false">IF(N(E98)&gt;0,J98/E98,"")</f>
        <v>0</v>
      </c>
      <c r="R98" s="10" t="n">
        <f aca="false">IF(N(E98)&gt;0,O98/E98,"")</f>
        <v>44.5</v>
      </c>
      <c r="S98" s="8" t="n">
        <v>524.4</v>
      </c>
      <c r="T98" s="8" t="n">
        <v>1078.44</v>
      </c>
      <c r="U98" s="8" t="n">
        <v>3279</v>
      </c>
    </row>
    <row r="99" customFormat="false" ht="15" hidden="false" customHeight="false" outlineLevel="0" collapsed="false">
      <c r="A99" s="5" t="n">
        <v>46201</v>
      </c>
      <c r="B99" s="6" t="s">
        <v>112</v>
      </c>
      <c r="C99" s="6" t="s">
        <v>24</v>
      </c>
      <c r="D99" s="6" t="s">
        <v>25</v>
      </c>
      <c r="E99" s="7" t="n">
        <v>50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f aca="false">H99+I99</f>
        <v>0</v>
      </c>
      <c r="K99" s="8" t="n">
        <f aca="false">G99+J99</f>
        <v>0</v>
      </c>
      <c r="L99" s="8" t="n">
        <v>0</v>
      </c>
      <c r="M99" s="8" t="n">
        <v>0</v>
      </c>
      <c r="N99" s="8" t="n">
        <v>0</v>
      </c>
      <c r="O99" s="9" t="n">
        <f aca="false">K99+L99+M99+N99</f>
        <v>0</v>
      </c>
      <c r="P99" s="10" t="n">
        <f aca="false">IF(N(E99)&gt;0,G99/E99,"")</f>
        <v>0</v>
      </c>
      <c r="Q99" s="10" t="n">
        <f aca="false">IF(N(E99)&gt;0,J99/E99,"")</f>
        <v>0</v>
      </c>
      <c r="R99" s="10" t="n">
        <f aca="false">IF(N(E99)&gt;0,O99/E99,"")</f>
        <v>0</v>
      </c>
      <c r="S99" s="8" t="n">
        <v>1305</v>
      </c>
      <c r="T99" s="8" t="n">
        <v>1305</v>
      </c>
    </row>
    <row r="100" customFormat="false" ht="15" hidden="false" customHeight="false" outlineLevel="0" collapsed="false">
      <c r="A100" s="5" t="n">
        <v>46202</v>
      </c>
      <c r="B100" s="6" t="s">
        <v>114</v>
      </c>
      <c r="C100" s="6" t="s">
        <v>24</v>
      </c>
      <c r="D100" s="6" t="s">
        <v>46</v>
      </c>
      <c r="E100" s="7" t="n">
        <v>12</v>
      </c>
      <c r="F100" s="8" t="n">
        <v>0</v>
      </c>
      <c r="G100" s="8" t="n">
        <v>1143</v>
      </c>
      <c r="H100" s="8" t="n">
        <v>0</v>
      </c>
      <c r="I100" s="8" t="n">
        <v>0</v>
      </c>
      <c r="J100" s="8" t="n">
        <f aca="false">H100+I100</f>
        <v>0</v>
      </c>
      <c r="K100" s="8" t="n">
        <f aca="false">G100+J100</f>
        <v>1143</v>
      </c>
      <c r="L100" s="8" t="n">
        <v>0</v>
      </c>
      <c r="M100" s="8" t="n">
        <v>0</v>
      </c>
      <c r="N100" s="8" t="n">
        <v>200</v>
      </c>
      <c r="O100" s="9" t="n">
        <f aca="false">K100+L100+M100+N100</f>
        <v>1343</v>
      </c>
      <c r="P100" s="10" t="n">
        <f aca="false">IF(N(E100)&gt;0,G100/E100,"")</f>
        <v>95.25</v>
      </c>
      <c r="Q100" s="10" t="n">
        <f aca="false">IF(N(E100)&gt;0,J100/E100,"")</f>
        <v>0</v>
      </c>
      <c r="R100" s="10" t="n">
        <f aca="false">IF(N(E100)&gt;0,O100/E100,"")</f>
        <v>111.916666666667</v>
      </c>
      <c r="S100" s="8" t="n">
        <v>853.25</v>
      </c>
      <c r="T100" s="8" t="n">
        <v>2264.83</v>
      </c>
      <c r="U100" s="8" t="n">
        <v>1991.25</v>
      </c>
    </row>
    <row r="101" customFormat="false" ht="15" hidden="false" customHeight="false" outlineLevel="0" collapsed="false">
      <c r="A101" s="5" t="n">
        <v>46203</v>
      </c>
      <c r="B101" s="6" t="s">
        <v>115</v>
      </c>
      <c r="C101" s="6" t="s">
        <v>24</v>
      </c>
      <c r="D101" s="6" t="s">
        <v>46</v>
      </c>
      <c r="E101" s="7" t="n">
        <v>12</v>
      </c>
      <c r="F101" s="8" t="n">
        <v>0</v>
      </c>
      <c r="G101" s="8" t="n">
        <v>657</v>
      </c>
      <c r="H101" s="8" t="n">
        <v>0</v>
      </c>
      <c r="I101" s="8" t="n">
        <v>0</v>
      </c>
      <c r="J101" s="8" t="n">
        <f aca="false">H101+I101</f>
        <v>0</v>
      </c>
      <c r="K101" s="8" t="n">
        <f aca="false">G101+J101</f>
        <v>657</v>
      </c>
      <c r="L101" s="8" t="n">
        <v>0</v>
      </c>
      <c r="M101" s="8" t="n">
        <v>0</v>
      </c>
      <c r="N101" s="8" t="n">
        <v>200</v>
      </c>
      <c r="O101" s="9" t="n">
        <f aca="false">K101+L101+M101+N101</f>
        <v>857</v>
      </c>
      <c r="P101" s="10" t="n">
        <f aca="false">IF(N(E101)&gt;0,G101/E101,"")</f>
        <v>54.75</v>
      </c>
      <c r="Q101" s="10" t="n">
        <f aca="false">IF(N(E101)&gt;0,J101/E101,"")</f>
        <v>0</v>
      </c>
      <c r="R101" s="10" t="n">
        <f aca="false">IF(N(E101)&gt;0,O101/E101,"")</f>
        <v>71.4166666666667</v>
      </c>
      <c r="S101" s="8" t="n">
        <v>617.45</v>
      </c>
      <c r="T101" s="8" t="n">
        <v>1513.87</v>
      </c>
      <c r="U101" s="8" t="n">
        <v>1383.75</v>
      </c>
    </row>
    <row r="102" customFormat="false" ht="15" hidden="false" customHeight="false" outlineLevel="0" collapsed="false">
      <c r="A102" s="11"/>
      <c r="B102" s="11" t="s">
        <v>116</v>
      </c>
      <c r="C102" s="12"/>
      <c r="D102" s="12"/>
      <c r="E102" s="13" t="n">
        <f aca="false">SUM(E5:E101)</f>
        <v>5606</v>
      </c>
      <c r="F102" s="14" t="n">
        <f aca="false">SUM(F5:F101)</f>
        <v>79250</v>
      </c>
      <c r="G102" s="14" t="n">
        <f aca="false">SUM(G5:G101)</f>
        <v>138981.52</v>
      </c>
      <c r="H102" s="14" t="n">
        <f aca="false">SUM(H5:H101)</f>
        <v>86986.27</v>
      </c>
      <c r="I102" s="14" t="n">
        <f aca="false">SUM(I5:I101)</f>
        <v>875</v>
      </c>
      <c r="J102" s="14" t="n">
        <f aca="false">SUM(J5:J101)</f>
        <v>87861.27</v>
      </c>
      <c r="K102" s="14" t="n">
        <f aca="false">SUM(K5:K101)</f>
        <v>226842.79</v>
      </c>
      <c r="L102" s="14" t="n">
        <f aca="false">SUM(L5:L101)</f>
        <v>16305.58</v>
      </c>
      <c r="M102" s="14" t="n">
        <f aca="false">SUM(M5:M101)</f>
        <v>0</v>
      </c>
      <c r="N102" s="14" t="n">
        <f aca="false">SUM(N5:N101)</f>
        <v>59780.14</v>
      </c>
      <c r="O102" s="14" t="n">
        <f aca="false">SUM(O5:O101)</f>
        <v>302928.51</v>
      </c>
      <c r="P102" s="15" t="n">
        <f aca="false">IF(N(E102)&gt;0,G102/E102,"")</f>
        <v>24.7915661790938</v>
      </c>
      <c r="Q102" s="15" t="n">
        <f aca="false">IF(N(E102)&gt;0,J102/E102,"")</f>
        <v>15.6727202996789</v>
      </c>
      <c r="R102" s="15" t="n">
        <f aca="false">IF(N(E102)&gt;0,O102/E102,"")</f>
        <v>54.0364805565466</v>
      </c>
      <c r="S102" s="14" t="n">
        <f aca="false">SUM(S5:S101)</f>
        <v>86184.66</v>
      </c>
      <c r="T102" s="14" t="n">
        <f aca="false">SUM(T5:T101)</f>
        <v>396244.9</v>
      </c>
      <c r="U102" s="14" t="n">
        <f aca="false">SUM(U5:U101)</f>
        <v>350548.27</v>
      </c>
    </row>
    <row r="104" customFormat="false" ht="15" hidden="false" customHeight="false" outlineLevel="0" collapsed="false">
      <c r="B104" s="16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7" min="4" style="0" width="1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3" t="s">
        <v>2</v>
      </c>
      <c r="B4" s="3" t="s">
        <v>119</v>
      </c>
      <c r="C4" s="3" t="s">
        <v>120</v>
      </c>
      <c r="D4" s="4" t="s">
        <v>121</v>
      </c>
      <c r="E4" s="4" t="s">
        <v>122</v>
      </c>
      <c r="F4" s="4" t="s">
        <v>123</v>
      </c>
      <c r="G4" s="4" t="s">
        <v>124</v>
      </c>
      <c r="H4" s="3" t="s">
        <v>125</v>
      </c>
    </row>
    <row r="5" customFormat="false" ht="15" hidden="false" customHeight="false" outlineLevel="0" collapsed="false">
      <c r="A5" s="5" t="n">
        <v>45841</v>
      </c>
      <c r="B5" s="6" t="s">
        <v>126</v>
      </c>
      <c r="C5" s="6" t="s">
        <v>127</v>
      </c>
      <c r="D5" s="7" t="n">
        <v>1</v>
      </c>
      <c r="E5" s="8" t="n">
        <v>7288.38</v>
      </c>
      <c r="F5" s="8" t="n">
        <v>7288.38</v>
      </c>
      <c r="G5" s="8" t="n">
        <f aca="false">IF(F5="",0,F5)-IF(E5="",0,E5)</f>
        <v>0</v>
      </c>
      <c r="H5" s="6" t="s">
        <v>128</v>
      </c>
    </row>
    <row r="6" customFormat="false" ht="15" hidden="false" customHeight="false" outlineLevel="0" collapsed="false">
      <c r="A6" s="5" t="n">
        <v>45843</v>
      </c>
      <c r="B6" s="6" t="s">
        <v>129</v>
      </c>
      <c r="C6" s="6" t="s">
        <v>26</v>
      </c>
      <c r="D6" s="7" t="n">
        <v>1</v>
      </c>
      <c r="E6" s="8" t="n">
        <v>7931.52</v>
      </c>
      <c r="F6" s="8" t="n">
        <v>8468.9</v>
      </c>
      <c r="G6" s="8" t="n">
        <f aca="false">IF(F6="",0,F6)-IF(E6="",0,E6)</f>
        <v>537.379999999999</v>
      </c>
      <c r="H6" s="6" t="s">
        <v>128</v>
      </c>
    </row>
    <row r="7" customFormat="false" ht="15" hidden="false" customHeight="false" outlineLevel="0" collapsed="false">
      <c r="A7" s="5" t="n">
        <v>45847</v>
      </c>
      <c r="B7" s="6" t="s">
        <v>130</v>
      </c>
      <c r="C7" s="6"/>
      <c r="D7" s="7"/>
      <c r="E7" s="8"/>
      <c r="F7" s="8" t="n">
        <v>0</v>
      </c>
      <c r="G7" s="8" t="n">
        <f aca="false">IF(F7="",0,F7)-IF(E7="",0,E7)</f>
        <v>0</v>
      </c>
      <c r="H7" s="6" t="s">
        <v>131</v>
      </c>
    </row>
    <row r="8" customFormat="false" ht="15" hidden="false" customHeight="false" outlineLevel="0" collapsed="false">
      <c r="A8" s="5" t="n">
        <v>45848</v>
      </c>
      <c r="B8" s="6" t="s">
        <v>126</v>
      </c>
      <c r="C8" s="6"/>
      <c r="D8" s="7"/>
      <c r="E8" s="8"/>
      <c r="F8" s="8" t="n">
        <v>401.5</v>
      </c>
      <c r="G8" s="8" t="n">
        <f aca="false">IF(F8="",0,F8)-IF(E8="",0,E8)</f>
        <v>401.5</v>
      </c>
      <c r="H8" s="6" t="s">
        <v>132</v>
      </c>
    </row>
    <row r="9" customFormat="false" ht="15" hidden="false" customHeight="false" outlineLevel="0" collapsed="false">
      <c r="A9" s="5" t="n">
        <v>45849</v>
      </c>
      <c r="B9" s="6" t="s">
        <v>133</v>
      </c>
      <c r="C9" s="6" t="s">
        <v>134</v>
      </c>
      <c r="D9" s="7" t="n">
        <v>2</v>
      </c>
      <c r="E9" s="8" t="n">
        <v>1050</v>
      </c>
      <c r="F9" s="8" t="n">
        <v>774.6</v>
      </c>
      <c r="G9" s="8" t="n">
        <f aca="false">IF(F9="",0,F9)-IF(E9="",0,E9)</f>
        <v>-275.4</v>
      </c>
      <c r="H9" s="6" t="s">
        <v>128</v>
      </c>
    </row>
    <row r="10" customFormat="false" ht="15" hidden="false" customHeight="false" outlineLevel="0" collapsed="false">
      <c r="A10" s="5" t="n">
        <v>45850</v>
      </c>
      <c r="B10" s="6" t="s">
        <v>129</v>
      </c>
      <c r="C10" s="6"/>
      <c r="D10" s="7"/>
      <c r="E10" s="8"/>
      <c r="F10" s="8" t="n">
        <v>896</v>
      </c>
      <c r="G10" s="8" t="n">
        <f aca="false">IF(F10="",0,F10)-IF(E10="",0,E10)</f>
        <v>896</v>
      </c>
      <c r="H10" s="6" t="s">
        <v>132</v>
      </c>
    </row>
    <row r="11" customFormat="false" ht="15" hidden="false" customHeight="false" outlineLevel="0" collapsed="false">
      <c r="A11" s="5" t="n">
        <v>45851</v>
      </c>
      <c r="B11" s="6" t="s">
        <v>135</v>
      </c>
      <c r="C11" s="6"/>
      <c r="D11" s="7"/>
      <c r="E11" s="8"/>
      <c r="F11" s="8" t="n">
        <v>8</v>
      </c>
      <c r="G11" s="8" t="n">
        <f aca="false">IF(F11="",0,F11)-IF(E11="",0,E11)</f>
        <v>8</v>
      </c>
      <c r="H11" s="6" t="s">
        <v>132</v>
      </c>
    </row>
    <row r="12" customFormat="false" ht="15" hidden="false" customHeight="false" outlineLevel="0" collapsed="false">
      <c r="A12" s="5" t="n">
        <v>45855</v>
      </c>
      <c r="B12" s="6" t="s">
        <v>126</v>
      </c>
      <c r="C12" s="6"/>
      <c r="D12" s="7"/>
      <c r="E12" s="8"/>
      <c r="F12" s="8" t="n">
        <v>1230</v>
      </c>
      <c r="G12" s="8" t="n">
        <f aca="false">IF(F12="",0,F12)-IF(E12="",0,E12)</f>
        <v>1230</v>
      </c>
      <c r="H12" s="6" t="s">
        <v>132</v>
      </c>
    </row>
    <row r="13" customFormat="false" ht="15" hidden="false" customHeight="false" outlineLevel="0" collapsed="false">
      <c r="A13" s="5" t="n">
        <v>45856</v>
      </c>
      <c r="B13" s="6" t="s">
        <v>133</v>
      </c>
      <c r="C13" s="6" t="s">
        <v>32</v>
      </c>
      <c r="D13" s="7" t="n">
        <v>1</v>
      </c>
      <c r="E13" s="8" t="n">
        <v>2500</v>
      </c>
      <c r="F13" s="8" t="n">
        <v>3396</v>
      </c>
      <c r="G13" s="8" t="n">
        <f aca="false">IF(F13="",0,F13)-IF(E13="",0,E13)</f>
        <v>896</v>
      </c>
      <c r="H13" s="6" t="s">
        <v>128</v>
      </c>
    </row>
    <row r="14" customFormat="false" ht="15" hidden="false" customHeight="false" outlineLevel="0" collapsed="false">
      <c r="A14" s="5" t="n">
        <v>45857</v>
      </c>
      <c r="B14" s="6" t="s">
        <v>129</v>
      </c>
      <c r="C14" s="6"/>
      <c r="D14" s="7"/>
      <c r="E14" s="8"/>
      <c r="F14" s="8" t="n">
        <v>1997</v>
      </c>
      <c r="G14" s="8" t="n">
        <f aca="false">IF(F14="",0,F14)-IF(E14="",0,E14)</f>
        <v>1997</v>
      </c>
      <c r="H14" s="6" t="s">
        <v>132</v>
      </c>
    </row>
    <row r="15" customFormat="false" ht="15" hidden="false" customHeight="false" outlineLevel="0" collapsed="false">
      <c r="A15" s="5" t="n">
        <v>45860</v>
      </c>
      <c r="B15" s="6" t="s">
        <v>136</v>
      </c>
      <c r="C15" s="6" t="s">
        <v>34</v>
      </c>
      <c r="D15" s="7" t="n">
        <v>1</v>
      </c>
      <c r="E15" s="8" t="n">
        <v>4910</v>
      </c>
      <c r="F15" s="8" t="n">
        <v>5535.9</v>
      </c>
      <c r="G15" s="8" t="n">
        <f aca="false">IF(F15="",0,F15)-IF(E15="",0,E15)</f>
        <v>625.9</v>
      </c>
      <c r="H15" s="6" t="s">
        <v>128</v>
      </c>
    </row>
    <row r="16" customFormat="false" ht="15" hidden="false" customHeight="false" outlineLevel="0" collapsed="false">
      <c r="A16" s="5" t="n">
        <v>45861</v>
      </c>
      <c r="B16" s="6" t="s">
        <v>130</v>
      </c>
      <c r="C16" s="6" t="s">
        <v>34</v>
      </c>
      <c r="D16" s="7" t="n">
        <v>1</v>
      </c>
      <c r="E16" s="8" t="n">
        <v>4690</v>
      </c>
      <c r="F16" s="8"/>
      <c r="G16" s="8" t="n">
        <f aca="false">IF(F16="",0,F16)-IF(E16="",0,E16)</f>
        <v>-4690</v>
      </c>
      <c r="H16" s="6" t="s">
        <v>131</v>
      </c>
    </row>
    <row r="17" customFormat="false" ht="15" hidden="false" customHeight="false" outlineLevel="0" collapsed="false">
      <c r="A17" s="5" t="n">
        <v>45862</v>
      </c>
      <c r="B17" s="6" t="s">
        <v>126</v>
      </c>
      <c r="C17" s="6" t="s">
        <v>34</v>
      </c>
      <c r="D17" s="7" t="n">
        <v>1</v>
      </c>
      <c r="E17" s="8" t="n">
        <v>2250</v>
      </c>
      <c r="F17" s="8" t="n">
        <v>7287</v>
      </c>
      <c r="G17" s="8" t="n">
        <f aca="false">IF(F17="",0,F17)-IF(E17="",0,E17)</f>
        <v>5037</v>
      </c>
      <c r="H17" s="6" t="s">
        <v>128</v>
      </c>
    </row>
    <row r="18" customFormat="false" ht="15" hidden="false" customHeight="false" outlineLevel="0" collapsed="false">
      <c r="A18" s="5" t="n">
        <v>45863</v>
      </c>
      <c r="B18" s="6" t="s">
        <v>133</v>
      </c>
      <c r="C18" s="6" t="s">
        <v>35</v>
      </c>
      <c r="D18" s="7" t="n">
        <v>1</v>
      </c>
      <c r="E18" s="8" t="n">
        <v>7063.82</v>
      </c>
      <c r="F18" s="8" t="n">
        <v>5648</v>
      </c>
      <c r="G18" s="8" t="n">
        <f aca="false">IF(F18="",0,F18)-IF(E18="",0,E18)</f>
        <v>-1415.82</v>
      </c>
      <c r="H18" s="6" t="s">
        <v>128</v>
      </c>
    </row>
    <row r="19" customFormat="false" ht="15" hidden="false" customHeight="false" outlineLevel="0" collapsed="false">
      <c r="A19" s="5" t="n">
        <v>45864</v>
      </c>
      <c r="B19" s="6" t="s">
        <v>129</v>
      </c>
      <c r="C19" s="6"/>
      <c r="D19" s="7"/>
      <c r="E19" s="8"/>
      <c r="F19" s="8" t="n">
        <v>440.4</v>
      </c>
      <c r="G19" s="8" t="n">
        <f aca="false">IF(F19="",0,F19)-IF(E19="",0,E19)</f>
        <v>440.4</v>
      </c>
      <c r="H19" s="6" t="s">
        <v>132</v>
      </c>
    </row>
    <row r="20" customFormat="false" ht="15" hidden="false" customHeight="false" outlineLevel="0" collapsed="false">
      <c r="A20" s="5" t="n">
        <v>45865</v>
      </c>
      <c r="B20" s="6" t="s">
        <v>135</v>
      </c>
      <c r="C20" s="6" t="s">
        <v>36</v>
      </c>
      <c r="D20" s="7" t="n">
        <v>1</v>
      </c>
      <c r="E20" s="8" t="n">
        <v>2250</v>
      </c>
      <c r="F20" s="8" t="n">
        <v>2520.5</v>
      </c>
      <c r="G20" s="8" t="n">
        <f aca="false">IF(F20="",0,F20)-IF(E20="",0,E20)</f>
        <v>270.5</v>
      </c>
      <c r="H20" s="6" t="s">
        <v>128</v>
      </c>
    </row>
    <row r="21" customFormat="false" ht="15" hidden="false" customHeight="false" outlineLevel="0" collapsed="false">
      <c r="A21" s="5" t="n">
        <v>45870</v>
      </c>
      <c r="B21" s="6" t="s">
        <v>133</v>
      </c>
      <c r="C21" s="6" t="s">
        <v>127</v>
      </c>
      <c r="D21" s="7" t="n">
        <v>1</v>
      </c>
      <c r="E21" s="8" t="n">
        <v>5266</v>
      </c>
      <c r="F21" s="8" t="n">
        <v>5266</v>
      </c>
      <c r="G21" s="8" t="n">
        <f aca="false">IF(F21="",0,F21)-IF(E21="",0,E21)</f>
        <v>0</v>
      </c>
      <c r="H21" s="6" t="s">
        <v>128</v>
      </c>
    </row>
    <row r="22" customFormat="false" ht="15" hidden="false" customHeight="false" outlineLevel="0" collapsed="false">
      <c r="A22" s="5" t="n">
        <v>45871</v>
      </c>
      <c r="B22" s="6" t="s">
        <v>129</v>
      </c>
      <c r="C22" s="6" t="s">
        <v>137</v>
      </c>
      <c r="D22" s="7" t="n">
        <v>1</v>
      </c>
      <c r="E22" s="8" t="n">
        <v>5350</v>
      </c>
      <c r="F22" s="8" t="n">
        <v>8348.5</v>
      </c>
      <c r="G22" s="8" t="n">
        <f aca="false">IF(F22="",0,F22)-IF(E22="",0,E22)</f>
        <v>2998.5</v>
      </c>
      <c r="H22" s="6" t="s">
        <v>128</v>
      </c>
    </row>
    <row r="23" customFormat="false" ht="15" hidden="false" customHeight="false" outlineLevel="0" collapsed="false">
      <c r="A23" s="5" t="n">
        <v>45878</v>
      </c>
      <c r="B23" s="6" t="s">
        <v>129</v>
      </c>
      <c r="C23" s="6" t="s">
        <v>38</v>
      </c>
      <c r="D23" s="7" t="n">
        <v>1</v>
      </c>
      <c r="E23" s="8" t="n">
        <v>5098.83</v>
      </c>
      <c r="F23" s="8" t="n">
        <v>5376.08</v>
      </c>
      <c r="G23" s="8" t="n">
        <f aca="false">IF(F23="",0,F23)-IF(E23="",0,E23)</f>
        <v>277.25</v>
      </c>
      <c r="H23" s="6" t="s">
        <v>128</v>
      </c>
    </row>
    <row r="24" customFormat="false" ht="15" hidden="false" customHeight="false" outlineLevel="0" collapsed="false">
      <c r="A24" s="5" t="n">
        <v>45880</v>
      </c>
      <c r="B24" s="6" t="s">
        <v>138</v>
      </c>
      <c r="C24" s="6"/>
      <c r="D24" s="7"/>
      <c r="E24" s="8"/>
      <c r="F24" s="8" t="n">
        <v>83</v>
      </c>
      <c r="G24" s="8" t="n">
        <f aca="false">IF(F24="",0,F24)-IF(E24="",0,E24)</f>
        <v>83</v>
      </c>
      <c r="H24" s="6" t="s">
        <v>132</v>
      </c>
    </row>
    <row r="25" customFormat="false" ht="15" hidden="false" customHeight="false" outlineLevel="0" collapsed="false">
      <c r="A25" s="5" t="n">
        <v>45887</v>
      </c>
      <c r="B25" s="6" t="s">
        <v>138</v>
      </c>
      <c r="C25" s="6" t="s">
        <v>39</v>
      </c>
      <c r="D25" s="7" t="n">
        <v>1</v>
      </c>
      <c r="E25" s="8" t="n">
        <v>7681.75</v>
      </c>
      <c r="F25" s="8" t="n">
        <v>8065.84</v>
      </c>
      <c r="G25" s="8" t="n">
        <f aca="false">IF(F25="",0,F25)-IF(E25="",0,E25)</f>
        <v>384.09</v>
      </c>
      <c r="H25" s="6" t="s">
        <v>128</v>
      </c>
    </row>
    <row r="26" customFormat="false" ht="15" hidden="false" customHeight="false" outlineLevel="0" collapsed="false">
      <c r="A26" s="5" t="n">
        <v>45891</v>
      </c>
      <c r="B26" s="6" t="s">
        <v>133</v>
      </c>
      <c r="C26" s="6" t="s">
        <v>35</v>
      </c>
      <c r="D26" s="7" t="n">
        <v>1</v>
      </c>
      <c r="E26" s="8" t="n">
        <v>3033</v>
      </c>
      <c r="F26" s="8" t="n">
        <v>3033</v>
      </c>
      <c r="G26" s="8" t="n">
        <f aca="false">IF(F26="",0,F26)-IF(E26="",0,E26)</f>
        <v>0</v>
      </c>
      <c r="H26" s="6" t="s">
        <v>128</v>
      </c>
    </row>
    <row r="27" customFormat="false" ht="15" hidden="false" customHeight="false" outlineLevel="0" collapsed="false">
      <c r="A27" s="5" t="n">
        <v>45894</v>
      </c>
      <c r="B27" s="6" t="s">
        <v>138</v>
      </c>
      <c r="C27" s="6" t="s">
        <v>40</v>
      </c>
      <c r="D27" s="7" t="n">
        <v>1</v>
      </c>
      <c r="E27" s="8" t="n">
        <v>0</v>
      </c>
      <c r="F27" s="8"/>
      <c r="G27" s="8" t="n">
        <f aca="false">IF(F27="",0,F27)-IF(E27="",0,E27)</f>
        <v>0</v>
      </c>
      <c r="H27" s="6" t="s">
        <v>131</v>
      </c>
    </row>
    <row r="28" customFormat="false" ht="15" hidden="false" customHeight="false" outlineLevel="0" collapsed="false">
      <c r="A28" s="5" t="n">
        <v>45896</v>
      </c>
      <c r="B28" s="6" t="s">
        <v>130</v>
      </c>
      <c r="C28" s="6"/>
      <c r="D28" s="7"/>
      <c r="E28" s="8"/>
      <c r="F28" s="8" t="n">
        <v>0</v>
      </c>
      <c r="G28" s="8" t="n">
        <f aca="false">IF(F28="",0,F28)-IF(E28="",0,E28)</f>
        <v>0</v>
      </c>
      <c r="H28" s="6" t="s">
        <v>131</v>
      </c>
    </row>
    <row r="29" customFormat="false" ht="15" hidden="false" customHeight="false" outlineLevel="0" collapsed="false">
      <c r="A29" s="5" t="n">
        <v>45898</v>
      </c>
      <c r="B29" s="6" t="s">
        <v>133</v>
      </c>
      <c r="C29" s="6"/>
      <c r="D29" s="7"/>
      <c r="E29" s="8"/>
      <c r="F29" s="8" t="n">
        <v>1078</v>
      </c>
      <c r="G29" s="8" t="n">
        <f aca="false">IF(F29="",0,F29)-IF(E29="",0,E29)</f>
        <v>1078</v>
      </c>
      <c r="H29" s="6" t="s">
        <v>132</v>
      </c>
    </row>
    <row r="30" customFormat="false" ht="15" hidden="false" customHeight="false" outlineLevel="0" collapsed="false">
      <c r="A30" s="5" t="n">
        <v>45899</v>
      </c>
      <c r="B30" s="6" t="s">
        <v>129</v>
      </c>
      <c r="C30" s="6" t="s">
        <v>41</v>
      </c>
      <c r="D30" s="7" t="n">
        <v>1</v>
      </c>
      <c r="E30" s="8" t="n">
        <v>0</v>
      </c>
      <c r="F30" s="8" t="n">
        <v>3235.75</v>
      </c>
      <c r="G30" s="8" t="n">
        <f aca="false">IF(F30="",0,F30)-IF(E30="",0,E30)</f>
        <v>3235.75</v>
      </c>
      <c r="H30" s="6" t="s">
        <v>128</v>
      </c>
    </row>
    <row r="31" customFormat="false" ht="15" hidden="false" customHeight="false" outlineLevel="0" collapsed="false">
      <c r="A31" s="5" t="n">
        <v>45905</v>
      </c>
      <c r="B31" s="6" t="s">
        <v>133</v>
      </c>
      <c r="C31" s="6" t="s">
        <v>127</v>
      </c>
      <c r="D31" s="7" t="n">
        <v>1</v>
      </c>
      <c r="E31" s="8" t="n">
        <v>8684.75</v>
      </c>
      <c r="F31" s="8" t="n">
        <v>7393.21</v>
      </c>
      <c r="G31" s="8" t="n">
        <f aca="false">IF(F31="",0,F31)-IF(E31="",0,E31)</f>
        <v>-1291.54</v>
      </c>
      <c r="H31" s="6" t="s">
        <v>128</v>
      </c>
    </row>
    <row r="32" customFormat="false" ht="15" hidden="false" customHeight="false" outlineLevel="0" collapsed="false">
      <c r="A32" s="5" t="n">
        <v>45912</v>
      </c>
      <c r="B32" s="6" t="s">
        <v>133</v>
      </c>
      <c r="C32" s="6" t="s">
        <v>35</v>
      </c>
      <c r="D32" s="7" t="n">
        <v>1</v>
      </c>
      <c r="E32" s="8" t="n">
        <v>5143</v>
      </c>
      <c r="F32" s="8" t="n">
        <v>5143</v>
      </c>
      <c r="G32" s="8" t="n">
        <f aca="false">IF(F32="",0,F32)-IF(E32="",0,E32)</f>
        <v>0</v>
      </c>
      <c r="H32" s="6" t="s">
        <v>128</v>
      </c>
    </row>
    <row r="33" customFormat="false" ht="15" hidden="false" customHeight="false" outlineLevel="0" collapsed="false">
      <c r="A33" s="5" t="n">
        <v>45913</v>
      </c>
      <c r="B33" s="6" t="s">
        <v>129</v>
      </c>
      <c r="C33" s="6"/>
      <c r="D33" s="7"/>
      <c r="E33" s="8"/>
      <c r="F33" s="8" t="n">
        <v>2023</v>
      </c>
      <c r="G33" s="8" t="n">
        <f aca="false">IF(F33="",0,F33)-IF(E33="",0,E33)</f>
        <v>2023</v>
      </c>
      <c r="H33" s="6" t="s">
        <v>132</v>
      </c>
    </row>
    <row r="34" customFormat="false" ht="15" hidden="false" customHeight="false" outlineLevel="0" collapsed="false">
      <c r="A34" s="5" t="n">
        <v>45916</v>
      </c>
      <c r="B34" s="6" t="s">
        <v>136</v>
      </c>
      <c r="C34" s="6" t="s">
        <v>43</v>
      </c>
      <c r="D34" s="7" t="n">
        <v>1</v>
      </c>
      <c r="E34" s="8" t="n">
        <v>3176</v>
      </c>
      <c r="F34" s="8" t="n">
        <v>3369.8</v>
      </c>
      <c r="G34" s="8" t="n">
        <f aca="false">IF(F34="",0,F34)-IF(E34="",0,E34)</f>
        <v>193.8</v>
      </c>
      <c r="H34" s="6" t="s">
        <v>128</v>
      </c>
    </row>
    <row r="35" customFormat="false" ht="15" hidden="false" customHeight="false" outlineLevel="0" collapsed="false">
      <c r="A35" s="5" t="n">
        <v>45919</v>
      </c>
      <c r="B35" s="6" t="s">
        <v>133</v>
      </c>
      <c r="C35" s="6"/>
      <c r="D35" s="7"/>
      <c r="E35" s="8"/>
      <c r="F35" s="8" t="n">
        <v>469</v>
      </c>
      <c r="G35" s="8" t="n">
        <f aca="false">IF(F35="",0,F35)-IF(E35="",0,E35)</f>
        <v>469</v>
      </c>
      <c r="H35" s="6" t="s">
        <v>132</v>
      </c>
    </row>
    <row r="36" customFormat="false" ht="15" hidden="false" customHeight="false" outlineLevel="0" collapsed="false">
      <c r="A36" s="5" t="n">
        <v>45920</v>
      </c>
      <c r="B36" s="6" t="s">
        <v>129</v>
      </c>
      <c r="C36" s="6" t="s">
        <v>139</v>
      </c>
      <c r="D36" s="7" t="n">
        <v>1</v>
      </c>
      <c r="E36" s="8" t="n">
        <v>7380</v>
      </c>
      <c r="F36" s="8" t="n">
        <v>9823.75</v>
      </c>
      <c r="G36" s="8" t="n">
        <f aca="false">IF(F36="",0,F36)-IF(E36="",0,E36)</f>
        <v>2443.75</v>
      </c>
      <c r="H36" s="6" t="s">
        <v>128</v>
      </c>
    </row>
    <row r="37" customFormat="false" ht="15" hidden="false" customHeight="false" outlineLevel="0" collapsed="false">
      <c r="A37" s="5" t="n">
        <v>45924</v>
      </c>
      <c r="B37" s="6" t="s">
        <v>130</v>
      </c>
      <c r="C37" s="6" t="s">
        <v>140</v>
      </c>
      <c r="D37" s="7" t="n">
        <v>1</v>
      </c>
      <c r="E37" s="8" t="n">
        <v>146</v>
      </c>
      <c r="F37" s="8"/>
      <c r="G37" s="8" t="n">
        <f aca="false">IF(F37="",0,F37)-IF(E37="",0,E37)</f>
        <v>-146</v>
      </c>
      <c r="H37" s="6" t="s">
        <v>131</v>
      </c>
    </row>
    <row r="38" customFormat="false" ht="15" hidden="false" customHeight="false" outlineLevel="0" collapsed="false">
      <c r="A38" s="5" t="n">
        <v>45925</v>
      </c>
      <c r="B38" s="6" t="s">
        <v>126</v>
      </c>
      <c r="C38" s="6"/>
      <c r="D38" s="7"/>
      <c r="E38" s="8"/>
      <c r="F38" s="8" t="n">
        <v>658.4</v>
      </c>
      <c r="G38" s="8" t="n">
        <f aca="false">IF(F38="",0,F38)-IF(E38="",0,E38)</f>
        <v>658.4</v>
      </c>
      <c r="H38" s="6" t="s">
        <v>132</v>
      </c>
    </row>
    <row r="39" customFormat="false" ht="15" hidden="false" customHeight="false" outlineLevel="0" collapsed="false">
      <c r="A39" s="5" t="n">
        <v>45926</v>
      </c>
      <c r="B39" s="6" t="s">
        <v>133</v>
      </c>
      <c r="C39" s="6" t="s">
        <v>141</v>
      </c>
      <c r="D39" s="7" t="n">
        <v>1</v>
      </c>
      <c r="E39" s="8" t="n">
        <v>4450</v>
      </c>
      <c r="F39" s="8"/>
      <c r="G39" s="8" t="n">
        <f aca="false">IF(F39="",0,F39)-IF(E39="",0,E39)</f>
        <v>-4450</v>
      </c>
      <c r="H39" s="6" t="s">
        <v>131</v>
      </c>
    </row>
    <row r="40" customFormat="false" ht="15" hidden="false" customHeight="false" outlineLevel="0" collapsed="false">
      <c r="A40" s="5" t="n">
        <v>45927</v>
      </c>
      <c r="B40" s="6" t="s">
        <v>129</v>
      </c>
      <c r="C40" s="6"/>
      <c r="D40" s="7"/>
      <c r="E40" s="8"/>
      <c r="F40" s="8" t="n">
        <v>182</v>
      </c>
      <c r="G40" s="8" t="n">
        <f aca="false">IF(F40="",0,F40)-IF(E40="",0,E40)</f>
        <v>182</v>
      </c>
      <c r="H40" s="6" t="s">
        <v>132</v>
      </c>
    </row>
    <row r="41" customFormat="false" ht="15" hidden="false" customHeight="false" outlineLevel="0" collapsed="false">
      <c r="A41" s="5" t="n">
        <v>45930</v>
      </c>
      <c r="B41" s="6" t="s">
        <v>136</v>
      </c>
      <c r="C41" s="6" t="s">
        <v>49</v>
      </c>
      <c r="D41" s="7" t="n">
        <v>1</v>
      </c>
      <c r="E41" s="8" t="n">
        <v>447</v>
      </c>
      <c r="F41" s="8" t="n">
        <v>516.35</v>
      </c>
      <c r="G41" s="8" t="n">
        <f aca="false">IF(F41="",0,F41)-IF(E41="",0,E41)</f>
        <v>69.35</v>
      </c>
      <c r="H41" s="6" t="s">
        <v>128</v>
      </c>
    </row>
    <row r="42" customFormat="false" ht="15" hidden="false" customHeight="false" outlineLevel="0" collapsed="false">
      <c r="A42" s="5" t="n">
        <v>45932</v>
      </c>
      <c r="B42" s="6" t="s">
        <v>126</v>
      </c>
      <c r="C42" s="6" t="s">
        <v>50</v>
      </c>
      <c r="D42" s="7" t="n">
        <v>1</v>
      </c>
      <c r="E42" s="8" t="n">
        <v>724</v>
      </c>
      <c r="F42" s="8" t="n">
        <v>724</v>
      </c>
      <c r="G42" s="8" t="n">
        <f aca="false">IF(F42="",0,F42)-IF(E42="",0,E42)</f>
        <v>0</v>
      </c>
      <c r="H42" s="6" t="s">
        <v>128</v>
      </c>
    </row>
    <row r="43" customFormat="false" ht="15" hidden="false" customHeight="false" outlineLevel="0" collapsed="false">
      <c r="A43" s="5" t="n">
        <v>45933</v>
      </c>
      <c r="B43" s="6" t="s">
        <v>133</v>
      </c>
      <c r="C43" s="6" t="s">
        <v>127</v>
      </c>
      <c r="D43" s="7" t="n">
        <v>1</v>
      </c>
      <c r="E43" s="8" t="n">
        <v>6327</v>
      </c>
      <c r="F43" s="8" t="n">
        <v>6327</v>
      </c>
      <c r="G43" s="8" t="n">
        <f aca="false">IF(F43="",0,F43)-IF(E43="",0,E43)</f>
        <v>0</v>
      </c>
      <c r="H43" s="6" t="s">
        <v>128</v>
      </c>
    </row>
    <row r="44" customFormat="false" ht="15" hidden="false" customHeight="false" outlineLevel="0" collapsed="false">
      <c r="A44" s="5" t="n">
        <v>45934</v>
      </c>
      <c r="B44" s="6" t="s">
        <v>129</v>
      </c>
      <c r="C44" s="6"/>
      <c r="D44" s="7"/>
      <c r="E44" s="8"/>
      <c r="F44" s="8" t="n">
        <v>214.5</v>
      </c>
      <c r="G44" s="8" t="n">
        <f aca="false">IF(F44="",0,F44)-IF(E44="",0,E44)</f>
        <v>214.5</v>
      </c>
      <c r="H44" s="6" t="s">
        <v>132</v>
      </c>
    </row>
    <row r="45" customFormat="false" ht="15" hidden="false" customHeight="false" outlineLevel="0" collapsed="false">
      <c r="A45" s="5" t="n">
        <v>45951</v>
      </c>
      <c r="B45" s="6" t="s">
        <v>136</v>
      </c>
      <c r="C45" s="6" t="s">
        <v>142</v>
      </c>
      <c r="D45" s="7" t="n">
        <v>2</v>
      </c>
      <c r="E45" s="8" t="n">
        <v>7866.5</v>
      </c>
      <c r="F45" s="8" t="n">
        <v>8172.82</v>
      </c>
      <c r="G45" s="8" t="n">
        <f aca="false">IF(F45="",0,F45)-IF(E45="",0,E45)</f>
        <v>306.32</v>
      </c>
      <c r="H45" s="6" t="s">
        <v>128</v>
      </c>
    </row>
    <row r="46" customFormat="false" ht="15" hidden="false" customHeight="false" outlineLevel="0" collapsed="false">
      <c r="A46" s="5" t="n">
        <v>45953</v>
      </c>
      <c r="B46" s="6" t="s">
        <v>126</v>
      </c>
      <c r="C46" s="6"/>
      <c r="D46" s="7"/>
      <c r="E46" s="8"/>
      <c r="F46" s="8" t="n">
        <v>0</v>
      </c>
      <c r="G46" s="8" t="n">
        <f aca="false">IF(F46="",0,F46)-IF(E46="",0,E46)</f>
        <v>0</v>
      </c>
      <c r="H46" s="6" t="s">
        <v>131</v>
      </c>
    </row>
    <row r="47" customFormat="false" ht="15" hidden="false" customHeight="false" outlineLevel="0" collapsed="false">
      <c r="A47" s="5" t="n">
        <v>45959</v>
      </c>
      <c r="B47" s="6" t="s">
        <v>130</v>
      </c>
      <c r="C47" s="6" t="s">
        <v>53</v>
      </c>
      <c r="D47" s="7" t="n">
        <v>1</v>
      </c>
      <c r="E47" s="8" t="n">
        <v>2910</v>
      </c>
      <c r="F47" s="8" t="n">
        <v>4490.5</v>
      </c>
      <c r="G47" s="8" t="n">
        <f aca="false">IF(F47="",0,F47)-IF(E47="",0,E47)</f>
        <v>1580.5</v>
      </c>
      <c r="H47" s="6" t="s">
        <v>128</v>
      </c>
    </row>
    <row r="48" customFormat="false" ht="15" hidden="false" customHeight="false" outlineLevel="0" collapsed="false">
      <c r="A48" s="5" t="n">
        <v>45967</v>
      </c>
      <c r="B48" s="6" t="s">
        <v>126</v>
      </c>
      <c r="C48" s="6"/>
      <c r="D48" s="7"/>
      <c r="E48" s="8"/>
      <c r="F48" s="8" t="n">
        <v>0</v>
      </c>
      <c r="G48" s="8" t="n">
        <f aca="false">IF(F48="",0,F48)-IF(E48="",0,E48)</f>
        <v>0</v>
      </c>
      <c r="H48" s="6" t="s">
        <v>131</v>
      </c>
    </row>
    <row r="49" customFormat="false" ht="15" hidden="false" customHeight="false" outlineLevel="0" collapsed="false">
      <c r="A49" s="5" t="n">
        <v>45968</v>
      </c>
      <c r="B49" s="6" t="s">
        <v>133</v>
      </c>
      <c r="C49" s="6"/>
      <c r="D49" s="7"/>
      <c r="E49" s="8"/>
      <c r="F49" s="8" t="n">
        <v>0</v>
      </c>
      <c r="G49" s="8" t="n">
        <f aca="false">IF(F49="",0,F49)-IF(E49="",0,E49)</f>
        <v>0</v>
      </c>
      <c r="H49" s="6" t="s">
        <v>131</v>
      </c>
    </row>
    <row r="50" customFormat="false" ht="15" hidden="false" customHeight="false" outlineLevel="0" collapsed="false">
      <c r="A50" s="5" t="n">
        <v>45973</v>
      </c>
      <c r="B50" s="6" t="s">
        <v>130</v>
      </c>
      <c r="C50" s="6"/>
      <c r="D50" s="7"/>
      <c r="E50" s="8"/>
      <c r="F50" s="8" t="n">
        <v>12.5</v>
      </c>
      <c r="G50" s="8" t="n">
        <f aca="false">IF(F50="",0,F50)-IF(E50="",0,E50)</f>
        <v>12.5</v>
      </c>
      <c r="H50" s="6" t="s">
        <v>132</v>
      </c>
    </row>
    <row r="51" customFormat="false" ht="15" hidden="false" customHeight="false" outlineLevel="0" collapsed="false">
      <c r="A51" s="5" t="n">
        <v>45975</v>
      </c>
      <c r="B51" s="6" t="s">
        <v>133</v>
      </c>
      <c r="C51" s="6"/>
      <c r="D51" s="7"/>
      <c r="E51" s="8"/>
      <c r="F51" s="8" t="n">
        <v>8</v>
      </c>
      <c r="G51" s="8" t="n">
        <f aca="false">IF(F51="",0,F51)-IF(E51="",0,E51)</f>
        <v>8</v>
      </c>
      <c r="H51" s="6" t="s">
        <v>132</v>
      </c>
    </row>
    <row r="52" customFormat="false" ht="15" hidden="false" customHeight="false" outlineLevel="0" collapsed="false">
      <c r="A52" s="5" t="n">
        <v>45976</v>
      </c>
      <c r="B52" s="6" t="s">
        <v>129</v>
      </c>
      <c r="C52" s="6"/>
      <c r="D52" s="7"/>
      <c r="E52" s="8"/>
      <c r="F52" s="8" t="n">
        <v>0</v>
      </c>
      <c r="G52" s="8" t="n">
        <f aca="false">IF(F52="",0,F52)-IF(E52="",0,E52)</f>
        <v>0</v>
      </c>
      <c r="H52" s="6" t="s">
        <v>131</v>
      </c>
    </row>
    <row r="53" customFormat="false" ht="15" hidden="false" customHeight="false" outlineLevel="0" collapsed="false">
      <c r="A53" s="5" t="n">
        <v>45977</v>
      </c>
      <c r="B53" s="6" t="s">
        <v>135</v>
      </c>
      <c r="C53" s="6"/>
      <c r="D53" s="7"/>
      <c r="E53" s="8"/>
      <c r="F53" s="8" t="n">
        <v>23</v>
      </c>
      <c r="G53" s="8" t="n">
        <f aca="false">IF(F53="",0,F53)-IF(E53="",0,E53)</f>
        <v>23</v>
      </c>
      <c r="H53" s="6" t="s">
        <v>132</v>
      </c>
    </row>
    <row r="54" customFormat="false" ht="15" hidden="false" customHeight="false" outlineLevel="0" collapsed="false">
      <c r="A54" s="5" t="n">
        <v>45978</v>
      </c>
      <c r="B54" s="6" t="s">
        <v>138</v>
      </c>
      <c r="C54" s="6"/>
      <c r="D54" s="7"/>
      <c r="E54" s="8"/>
      <c r="F54" s="8" t="n">
        <v>39</v>
      </c>
      <c r="G54" s="8" t="n">
        <f aca="false">IF(F54="",0,F54)-IF(E54="",0,E54)</f>
        <v>39</v>
      </c>
      <c r="H54" s="6" t="s">
        <v>132</v>
      </c>
    </row>
    <row r="55" customFormat="false" ht="15" hidden="false" customHeight="false" outlineLevel="0" collapsed="false">
      <c r="A55" s="5" t="n">
        <v>45981</v>
      </c>
      <c r="B55" s="6" t="s">
        <v>126</v>
      </c>
      <c r="C55" s="6" t="s">
        <v>55</v>
      </c>
      <c r="D55" s="7" t="n">
        <v>1</v>
      </c>
      <c r="E55" s="8" t="n">
        <v>995</v>
      </c>
      <c r="F55" s="8" t="n">
        <v>1044.75</v>
      </c>
      <c r="G55" s="8" t="n">
        <f aca="false">IF(F55="",0,F55)-IF(E55="",0,E55)</f>
        <v>49.75</v>
      </c>
      <c r="H55" s="6" t="s">
        <v>128</v>
      </c>
    </row>
    <row r="56" customFormat="false" ht="15" hidden="false" customHeight="false" outlineLevel="0" collapsed="false">
      <c r="A56" s="5" t="n">
        <v>45982</v>
      </c>
      <c r="B56" s="6" t="s">
        <v>133</v>
      </c>
      <c r="C56" s="6" t="s">
        <v>143</v>
      </c>
      <c r="D56" s="7" t="n">
        <v>1</v>
      </c>
      <c r="E56" s="8" t="n">
        <v>4622.18</v>
      </c>
      <c r="F56" s="8" t="n">
        <v>4402.45</v>
      </c>
      <c r="G56" s="8" t="n">
        <f aca="false">IF(F56="",0,F56)-IF(E56="",0,E56)</f>
        <v>-219.73</v>
      </c>
      <c r="H56" s="6" t="s">
        <v>128</v>
      </c>
    </row>
    <row r="57" customFormat="false" ht="15" hidden="false" customHeight="false" outlineLevel="0" collapsed="false">
      <c r="A57" s="5" t="n">
        <v>45983</v>
      </c>
      <c r="B57" s="6" t="s">
        <v>129</v>
      </c>
      <c r="C57" s="6"/>
      <c r="D57" s="7"/>
      <c r="E57" s="8"/>
      <c r="F57" s="8" t="n">
        <v>93</v>
      </c>
      <c r="G57" s="8" t="n">
        <f aca="false">IF(F57="",0,F57)-IF(E57="",0,E57)</f>
        <v>93</v>
      </c>
      <c r="H57" s="6" t="s">
        <v>132</v>
      </c>
    </row>
    <row r="58" customFormat="false" ht="15" hidden="false" customHeight="false" outlineLevel="0" collapsed="false">
      <c r="A58" s="5" t="n">
        <v>45984</v>
      </c>
      <c r="B58" s="6" t="s">
        <v>135</v>
      </c>
      <c r="C58" s="6"/>
      <c r="D58" s="7"/>
      <c r="E58" s="8"/>
      <c r="F58" s="8" t="n">
        <v>35.25</v>
      </c>
      <c r="G58" s="8" t="n">
        <f aca="false">IF(F58="",0,F58)-IF(E58="",0,E58)</f>
        <v>35.25</v>
      </c>
      <c r="H58" s="6" t="s">
        <v>132</v>
      </c>
    </row>
    <row r="59" customFormat="false" ht="15" hidden="false" customHeight="false" outlineLevel="0" collapsed="false">
      <c r="A59" s="5" t="n">
        <v>45987</v>
      </c>
      <c r="B59" s="6" t="s">
        <v>130</v>
      </c>
      <c r="C59" s="6"/>
      <c r="D59" s="7"/>
      <c r="E59" s="8"/>
      <c r="F59" s="8" t="n">
        <v>0</v>
      </c>
      <c r="G59" s="8" t="n">
        <f aca="false">IF(F59="",0,F59)-IF(E59="",0,E59)</f>
        <v>0</v>
      </c>
      <c r="H59" s="6" t="s">
        <v>131</v>
      </c>
    </row>
    <row r="60" customFormat="false" ht="15" hidden="false" customHeight="false" outlineLevel="0" collapsed="false">
      <c r="A60" s="5" t="n">
        <v>45988</v>
      </c>
      <c r="B60" s="6" t="s">
        <v>126</v>
      </c>
      <c r="C60" s="6" t="s">
        <v>57</v>
      </c>
      <c r="D60" s="7" t="n">
        <v>1</v>
      </c>
      <c r="E60" s="8" t="n">
        <v>0</v>
      </c>
      <c r="F60" s="8"/>
      <c r="G60" s="8" t="n">
        <f aca="false">IF(F60="",0,F60)-IF(E60="",0,E60)</f>
        <v>0</v>
      </c>
      <c r="H60" s="6" t="s">
        <v>131</v>
      </c>
    </row>
    <row r="61" customFormat="false" ht="15" hidden="false" customHeight="false" outlineLevel="0" collapsed="false">
      <c r="A61" s="5" t="n">
        <v>45989</v>
      </c>
      <c r="B61" s="6" t="s">
        <v>133</v>
      </c>
      <c r="C61" s="6" t="s">
        <v>58</v>
      </c>
      <c r="D61" s="7" t="n">
        <v>1</v>
      </c>
      <c r="E61" s="8" t="n">
        <v>0</v>
      </c>
      <c r="F61" s="8"/>
      <c r="G61" s="8" t="n">
        <f aca="false">IF(F61="",0,F61)-IF(E61="",0,E61)</f>
        <v>0</v>
      </c>
      <c r="H61" s="6" t="s">
        <v>131</v>
      </c>
    </row>
    <row r="62" customFormat="false" ht="15" hidden="false" customHeight="false" outlineLevel="0" collapsed="false">
      <c r="A62" s="5" t="n">
        <v>45994</v>
      </c>
      <c r="B62" s="6" t="s">
        <v>130</v>
      </c>
      <c r="C62" s="6" t="s">
        <v>60</v>
      </c>
      <c r="D62" s="7" t="n">
        <v>1</v>
      </c>
      <c r="E62" s="8" t="n">
        <v>7335</v>
      </c>
      <c r="F62" s="8" t="n">
        <v>7573.65</v>
      </c>
      <c r="G62" s="8" t="n">
        <f aca="false">IF(F62="",0,F62)-IF(E62="",0,E62)</f>
        <v>238.65</v>
      </c>
      <c r="H62" s="6" t="s">
        <v>128</v>
      </c>
    </row>
    <row r="63" customFormat="false" ht="15" hidden="false" customHeight="false" outlineLevel="0" collapsed="false">
      <c r="A63" s="5" t="n">
        <v>45995</v>
      </c>
      <c r="B63" s="6" t="s">
        <v>126</v>
      </c>
      <c r="C63" s="6" t="s">
        <v>61</v>
      </c>
      <c r="D63" s="7" t="n">
        <v>1</v>
      </c>
      <c r="E63" s="8" t="n">
        <v>3505.5</v>
      </c>
      <c r="F63" s="8" t="n">
        <v>3759</v>
      </c>
      <c r="G63" s="8" t="n">
        <f aca="false">IF(F63="",0,F63)-IF(E63="",0,E63)</f>
        <v>253.5</v>
      </c>
      <c r="H63" s="6" t="s">
        <v>128</v>
      </c>
    </row>
    <row r="64" customFormat="false" ht="15" hidden="false" customHeight="false" outlineLevel="0" collapsed="false">
      <c r="A64" s="5" t="n">
        <v>45996</v>
      </c>
      <c r="B64" s="6" t="s">
        <v>133</v>
      </c>
      <c r="C64" s="6"/>
      <c r="D64" s="7"/>
      <c r="E64" s="8"/>
      <c r="F64" s="8" t="n">
        <v>0</v>
      </c>
      <c r="G64" s="8" t="n">
        <f aca="false">IF(F64="",0,F64)-IF(E64="",0,E64)</f>
        <v>0</v>
      </c>
      <c r="H64" s="6" t="s">
        <v>131</v>
      </c>
    </row>
    <row r="65" customFormat="false" ht="15" hidden="false" customHeight="false" outlineLevel="0" collapsed="false">
      <c r="A65" s="5" t="n">
        <v>45997</v>
      </c>
      <c r="B65" s="6" t="s">
        <v>129</v>
      </c>
      <c r="C65" s="6"/>
      <c r="D65" s="7"/>
      <c r="E65" s="8"/>
      <c r="F65" s="8" t="n">
        <v>56</v>
      </c>
      <c r="G65" s="8" t="n">
        <f aca="false">IF(F65="",0,F65)-IF(E65="",0,E65)</f>
        <v>56</v>
      </c>
      <c r="H65" s="6" t="s">
        <v>132</v>
      </c>
    </row>
    <row r="66" customFormat="false" ht="15" hidden="false" customHeight="false" outlineLevel="0" collapsed="false">
      <c r="A66" s="5" t="n">
        <v>46000</v>
      </c>
      <c r="B66" s="6" t="s">
        <v>136</v>
      </c>
      <c r="C66" s="6"/>
      <c r="D66" s="7"/>
      <c r="E66" s="8"/>
      <c r="F66" s="8" t="n">
        <v>0</v>
      </c>
      <c r="G66" s="8" t="n">
        <f aca="false">IF(F66="",0,F66)-IF(E66="",0,E66)</f>
        <v>0</v>
      </c>
      <c r="H66" s="6" t="s">
        <v>131</v>
      </c>
    </row>
    <row r="67" customFormat="false" ht="15" hidden="false" customHeight="false" outlineLevel="0" collapsed="false">
      <c r="A67" s="5" t="n">
        <v>46002</v>
      </c>
      <c r="B67" s="6" t="s">
        <v>126</v>
      </c>
      <c r="C67" s="6" t="s">
        <v>62</v>
      </c>
      <c r="D67" s="7" t="n">
        <v>1</v>
      </c>
      <c r="E67" s="8" t="n">
        <v>2385</v>
      </c>
      <c r="F67" s="8" t="n">
        <v>2178.7</v>
      </c>
      <c r="G67" s="8" t="n">
        <f aca="false">IF(F67="",0,F67)-IF(E67="",0,E67)</f>
        <v>-206.3</v>
      </c>
      <c r="H67" s="6" t="s">
        <v>128</v>
      </c>
    </row>
    <row r="68" customFormat="false" ht="15" hidden="false" customHeight="false" outlineLevel="0" collapsed="false">
      <c r="A68" s="5" t="n">
        <v>46003</v>
      </c>
      <c r="B68" s="6" t="s">
        <v>133</v>
      </c>
      <c r="C68" s="6"/>
      <c r="D68" s="7"/>
      <c r="E68" s="8"/>
      <c r="F68" s="8" t="n">
        <v>660</v>
      </c>
      <c r="G68" s="8" t="n">
        <f aca="false">IF(F68="",0,F68)-IF(E68="",0,E68)</f>
        <v>660</v>
      </c>
      <c r="H68" s="6" t="s">
        <v>132</v>
      </c>
    </row>
    <row r="69" customFormat="false" ht="15" hidden="false" customHeight="false" outlineLevel="0" collapsed="false">
      <c r="A69" s="5" t="n">
        <v>46005</v>
      </c>
      <c r="B69" s="6" t="s">
        <v>135</v>
      </c>
      <c r="C69" s="6" t="s">
        <v>63</v>
      </c>
      <c r="D69" s="7" t="n">
        <v>1</v>
      </c>
      <c r="E69" s="8" t="n">
        <v>16365</v>
      </c>
      <c r="F69" s="8" t="n">
        <v>17183.25</v>
      </c>
      <c r="G69" s="8" t="n">
        <f aca="false">IF(F69="",0,F69)-IF(E69="",0,E69)</f>
        <v>818.25</v>
      </c>
      <c r="H69" s="6" t="s">
        <v>128</v>
      </c>
    </row>
    <row r="70" customFormat="false" ht="15" hidden="false" customHeight="false" outlineLevel="0" collapsed="false">
      <c r="A70" s="5" t="n">
        <v>46006</v>
      </c>
      <c r="B70" s="6" t="s">
        <v>138</v>
      </c>
      <c r="C70" s="6"/>
      <c r="D70" s="7"/>
      <c r="E70" s="8"/>
      <c r="F70" s="8" t="n">
        <v>0</v>
      </c>
      <c r="G70" s="8" t="n">
        <f aca="false">IF(F70="",0,F70)-IF(E70="",0,E70)</f>
        <v>0</v>
      </c>
      <c r="H70" s="6" t="s">
        <v>131</v>
      </c>
    </row>
    <row r="71" customFormat="false" ht="15" hidden="false" customHeight="false" outlineLevel="0" collapsed="false">
      <c r="A71" s="5" t="n">
        <v>46008</v>
      </c>
      <c r="B71" s="6" t="s">
        <v>130</v>
      </c>
      <c r="C71" s="6"/>
      <c r="D71" s="7"/>
      <c r="E71" s="8"/>
      <c r="F71" s="8" t="n">
        <v>0</v>
      </c>
      <c r="G71" s="8" t="n">
        <f aca="false">IF(F71="",0,F71)-IF(E71="",0,E71)</f>
        <v>0</v>
      </c>
      <c r="H71" s="6" t="s">
        <v>131</v>
      </c>
    </row>
    <row r="72" customFormat="false" ht="15" hidden="false" customHeight="false" outlineLevel="0" collapsed="false">
      <c r="A72" s="5" t="n">
        <v>46012</v>
      </c>
      <c r="B72" s="6" t="s">
        <v>135</v>
      </c>
      <c r="C72" s="6" t="s">
        <v>64</v>
      </c>
      <c r="D72" s="7" t="n">
        <v>1</v>
      </c>
      <c r="E72" s="8" t="n">
        <v>4025</v>
      </c>
      <c r="F72" s="8" t="n">
        <v>4718.25</v>
      </c>
      <c r="G72" s="8" t="n">
        <f aca="false">IF(F72="",0,F72)-IF(E72="",0,E72)</f>
        <v>693.25</v>
      </c>
      <c r="H72" s="6" t="s">
        <v>128</v>
      </c>
    </row>
    <row r="73" customFormat="false" ht="15" hidden="false" customHeight="false" outlineLevel="0" collapsed="false">
      <c r="A73" s="5" t="n">
        <v>46013</v>
      </c>
      <c r="B73" s="6" t="s">
        <v>138</v>
      </c>
      <c r="C73" s="6"/>
      <c r="D73" s="7"/>
      <c r="E73" s="8"/>
      <c r="F73" s="8" t="n">
        <v>6.25</v>
      </c>
      <c r="G73" s="8" t="n">
        <f aca="false">IF(F73="",0,F73)-IF(E73="",0,E73)</f>
        <v>6.25</v>
      </c>
      <c r="H73" s="6" t="s">
        <v>132</v>
      </c>
    </row>
    <row r="74" customFormat="false" ht="15" hidden="false" customHeight="false" outlineLevel="0" collapsed="false">
      <c r="A74" s="5" t="n">
        <v>46014</v>
      </c>
      <c r="B74" s="6" t="s">
        <v>136</v>
      </c>
      <c r="C74" s="6"/>
      <c r="D74" s="7"/>
      <c r="E74" s="8"/>
      <c r="F74" s="8" t="n">
        <v>2</v>
      </c>
      <c r="G74" s="8" t="n">
        <f aca="false">IF(F74="",0,F74)-IF(E74="",0,E74)</f>
        <v>2</v>
      </c>
      <c r="H74" s="6" t="s">
        <v>132</v>
      </c>
    </row>
    <row r="75" customFormat="false" ht="15" hidden="false" customHeight="false" outlineLevel="0" collapsed="false">
      <c r="A75" s="5" t="n">
        <v>46017</v>
      </c>
      <c r="B75" s="6" t="s">
        <v>133</v>
      </c>
      <c r="C75" s="6"/>
      <c r="D75" s="7"/>
      <c r="E75" s="8"/>
      <c r="F75" s="8" t="n">
        <v>27.5</v>
      </c>
      <c r="G75" s="8" t="n">
        <f aca="false">IF(F75="",0,F75)-IF(E75="",0,E75)</f>
        <v>27.5</v>
      </c>
      <c r="H75" s="6" t="s">
        <v>132</v>
      </c>
    </row>
    <row r="76" customFormat="false" ht="15" hidden="false" customHeight="false" outlineLevel="0" collapsed="false">
      <c r="A76" s="5" t="n">
        <v>46018</v>
      </c>
      <c r="B76" s="6" t="s">
        <v>129</v>
      </c>
      <c r="C76" s="6"/>
      <c r="D76" s="7"/>
      <c r="E76" s="8"/>
      <c r="F76" s="8" t="n">
        <v>3</v>
      </c>
      <c r="G76" s="8" t="n">
        <f aca="false">IF(F76="",0,F76)-IF(E76="",0,E76)</f>
        <v>3</v>
      </c>
      <c r="H76" s="6" t="s">
        <v>132</v>
      </c>
    </row>
    <row r="77" customFormat="false" ht="15" hidden="false" customHeight="false" outlineLevel="0" collapsed="false">
      <c r="A77" s="5" t="n">
        <v>46019</v>
      </c>
      <c r="B77" s="6" t="s">
        <v>135</v>
      </c>
      <c r="C77" s="6"/>
      <c r="D77" s="7"/>
      <c r="E77" s="8"/>
      <c r="F77" s="8" t="n">
        <v>20</v>
      </c>
      <c r="G77" s="8" t="n">
        <f aca="false">IF(F77="",0,F77)-IF(E77="",0,E77)</f>
        <v>20</v>
      </c>
      <c r="H77" s="6" t="s">
        <v>132</v>
      </c>
    </row>
    <row r="78" customFormat="false" ht="15" hidden="false" customHeight="false" outlineLevel="0" collapsed="false">
      <c r="A78" s="5" t="n">
        <v>46031</v>
      </c>
      <c r="B78" s="6" t="s">
        <v>133</v>
      </c>
      <c r="C78" s="6" t="s">
        <v>65</v>
      </c>
      <c r="D78" s="7" t="n">
        <v>1</v>
      </c>
      <c r="E78" s="8" t="n">
        <v>1986</v>
      </c>
      <c r="F78" s="8" t="n">
        <v>2112.3</v>
      </c>
      <c r="G78" s="8" t="n">
        <f aca="false">IF(F78="",0,F78)-IF(E78="",0,E78)</f>
        <v>126.3</v>
      </c>
      <c r="H78" s="6" t="s">
        <v>128</v>
      </c>
    </row>
    <row r="79" customFormat="false" ht="15" hidden="false" customHeight="false" outlineLevel="0" collapsed="false">
      <c r="A79" s="5" t="n">
        <v>46032</v>
      </c>
      <c r="B79" s="6" t="s">
        <v>129</v>
      </c>
      <c r="C79" s="6" t="s">
        <v>65</v>
      </c>
      <c r="D79" s="7" t="n">
        <v>1</v>
      </c>
      <c r="E79" s="8" t="n">
        <v>3092</v>
      </c>
      <c r="F79" s="8" t="n">
        <v>3522.6</v>
      </c>
      <c r="G79" s="8" t="n">
        <f aca="false">IF(F79="",0,F79)-IF(E79="",0,E79)</f>
        <v>430.6</v>
      </c>
      <c r="H79" s="6" t="s">
        <v>128</v>
      </c>
    </row>
    <row r="80" customFormat="false" ht="15" hidden="false" customHeight="false" outlineLevel="0" collapsed="false">
      <c r="A80" s="5" t="n">
        <v>46033</v>
      </c>
      <c r="B80" s="6" t="s">
        <v>135</v>
      </c>
      <c r="C80" s="6" t="s">
        <v>66</v>
      </c>
      <c r="D80" s="7" t="n">
        <v>1</v>
      </c>
      <c r="E80" s="8" t="n">
        <v>3902.08</v>
      </c>
      <c r="F80" s="8" t="n">
        <v>3486.1</v>
      </c>
      <c r="G80" s="8" t="n">
        <f aca="false">IF(F80="",0,F80)-IF(E80="",0,E80)</f>
        <v>-415.98</v>
      </c>
      <c r="H80" s="6" t="s">
        <v>128</v>
      </c>
    </row>
    <row r="81" customFormat="false" ht="15" hidden="false" customHeight="false" outlineLevel="0" collapsed="false">
      <c r="A81" s="5" t="n">
        <v>46038</v>
      </c>
      <c r="B81" s="6" t="s">
        <v>133</v>
      </c>
      <c r="C81" s="6" t="s">
        <v>67</v>
      </c>
      <c r="D81" s="7" t="n">
        <v>1</v>
      </c>
      <c r="E81" s="8" t="n">
        <v>2115</v>
      </c>
      <c r="F81" s="8" t="n">
        <v>2262.75</v>
      </c>
      <c r="G81" s="8" t="n">
        <f aca="false">IF(F81="",0,F81)-IF(E81="",0,E81)</f>
        <v>147.75</v>
      </c>
      <c r="H81" s="6" t="s">
        <v>128</v>
      </c>
    </row>
    <row r="82" customFormat="false" ht="15" hidden="false" customHeight="false" outlineLevel="0" collapsed="false">
      <c r="A82" s="5" t="n">
        <v>46040</v>
      </c>
      <c r="B82" s="6" t="s">
        <v>135</v>
      </c>
      <c r="C82" s="6" t="s">
        <v>144</v>
      </c>
      <c r="D82" s="7" t="n">
        <v>1</v>
      </c>
      <c r="E82" s="8" t="n">
        <v>2929</v>
      </c>
      <c r="F82" s="8" t="n">
        <v>3075.45</v>
      </c>
      <c r="G82" s="8" t="n">
        <f aca="false">IF(F82="",0,F82)-IF(E82="",0,E82)</f>
        <v>146.45</v>
      </c>
      <c r="H82" s="6" t="s">
        <v>128</v>
      </c>
    </row>
    <row r="83" customFormat="false" ht="15" hidden="false" customHeight="false" outlineLevel="0" collapsed="false">
      <c r="A83" s="5" t="n">
        <v>46041</v>
      </c>
      <c r="B83" s="6" t="s">
        <v>138</v>
      </c>
      <c r="C83" s="6" t="s">
        <v>144</v>
      </c>
      <c r="D83" s="7" t="n">
        <v>1</v>
      </c>
      <c r="E83" s="8" t="n">
        <v>2338</v>
      </c>
      <c r="F83" s="8" t="n">
        <v>3903.9</v>
      </c>
      <c r="G83" s="8" t="n">
        <f aca="false">IF(F83="",0,F83)-IF(E83="",0,E83)</f>
        <v>1565.9</v>
      </c>
      <c r="H83" s="6" t="s">
        <v>128</v>
      </c>
    </row>
    <row r="84" customFormat="false" ht="15" hidden="false" customHeight="false" outlineLevel="0" collapsed="false">
      <c r="A84" s="5" t="n">
        <v>46042</v>
      </c>
      <c r="B84" s="6" t="s">
        <v>136</v>
      </c>
      <c r="C84" s="6" t="s">
        <v>144</v>
      </c>
      <c r="D84" s="7" t="n">
        <v>1</v>
      </c>
      <c r="E84" s="8" t="n">
        <v>3318</v>
      </c>
      <c r="F84" s="8" t="n">
        <v>3483.9</v>
      </c>
      <c r="G84" s="8" t="n">
        <f aca="false">IF(F84="",0,F84)-IF(E84="",0,E84)</f>
        <v>165.9</v>
      </c>
      <c r="H84" s="6" t="s">
        <v>128</v>
      </c>
    </row>
    <row r="85" customFormat="false" ht="15" hidden="false" customHeight="false" outlineLevel="0" collapsed="false">
      <c r="A85" s="5" t="n">
        <v>46043</v>
      </c>
      <c r="B85" s="6" t="s">
        <v>130</v>
      </c>
      <c r="C85" s="6" t="s">
        <v>144</v>
      </c>
      <c r="D85" s="7" t="n">
        <v>1</v>
      </c>
      <c r="E85" s="8" t="n">
        <v>4478</v>
      </c>
      <c r="F85" s="8" t="n">
        <v>4701.9</v>
      </c>
      <c r="G85" s="8" t="n">
        <f aca="false">IF(F85="",0,F85)-IF(E85="",0,E85)</f>
        <v>223.9</v>
      </c>
      <c r="H85" s="6" t="s">
        <v>128</v>
      </c>
    </row>
    <row r="86" customFormat="false" ht="15" hidden="false" customHeight="false" outlineLevel="0" collapsed="false">
      <c r="A86" s="5" t="n">
        <v>46044</v>
      </c>
      <c r="B86" s="6" t="s">
        <v>126</v>
      </c>
      <c r="C86" s="6" t="s">
        <v>144</v>
      </c>
      <c r="D86" s="7" t="n">
        <v>1</v>
      </c>
      <c r="E86" s="8" t="n">
        <v>4738</v>
      </c>
      <c r="F86" s="8" t="n">
        <v>4974.9</v>
      </c>
      <c r="G86" s="8" t="n">
        <f aca="false">IF(F86="",0,F86)-IF(E86="",0,E86)</f>
        <v>236.9</v>
      </c>
      <c r="H86" s="6" t="s">
        <v>128</v>
      </c>
    </row>
    <row r="87" customFormat="false" ht="15" hidden="false" customHeight="false" outlineLevel="0" collapsed="false">
      <c r="A87" s="5" t="n">
        <v>46045</v>
      </c>
      <c r="B87" s="6" t="s">
        <v>133</v>
      </c>
      <c r="C87" s="6" t="s">
        <v>145</v>
      </c>
      <c r="D87" s="7" t="n">
        <v>2</v>
      </c>
      <c r="E87" s="8" t="n">
        <v>6148</v>
      </c>
      <c r="F87" s="8" t="n">
        <v>6455.4</v>
      </c>
      <c r="G87" s="8" t="n">
        <f aca="false">IF(F87="",0,F87)-IF(E87="",0,E87)</f>
        <v>307.4</v>
      </c>
      <c r="H87" s="6" t="s">
        <v>128</v>
      </c>
    </row>
    <row r="88" customFormat="false" ht="15" hidden="false" customHeight="false" outlineLevel="0" collapsed="false">
      <c r="A88" s="5" t="n">
        <v>46051</v>
      </c>
      <c r="B88" s="6" t="s">
        <v>126</v>
      </c>
      <c r="C88" s="6" t="s">
        <v>71</v>
      </c>
      <c r="D88" s="7" t="n">
        <v>1</v>
      </c>
      <c r="E88" s="8" t="n">
        <v>1120</v>
      </c>
      <c r="F88" s="8" t="n">
        <v>1176</v>
      </c>
      <c r="G88" s="8" t="n">
        <f aca="false">IF(F88="",0,F88)-IF(E88="",0,E88)</f>
        <v>56</v>
      </c>
      <c r="H88" s="6" t="s">
        <v>128</v>
      </c>
    </row>
    <row r="89" customFormat="false" ht="15" hidden="false" customHeight="false" outlineLevel="0" collapsed="false">
      <c r="A89" s="5" t="n">
        <v>46052</v>
      </c>
      <c r="B89" s="6" t="s">
        <v>133</v>
      </c>
      <c r="C89" s="6" t="s">
        <v>72</v>
      </c>
      <c r="D89" s="7" t="n">
        <v>1</v>
      </c>
      <c r="E89" s="8" t="n">
        <v>950</v>
      </c>
      <c r="F89" s="8" t="n">
        <v>841.43</v>
      </c>
      <c r="G89" s="8" t="n">
        <f aca="false">IF(F89="",0,F89)-IF(E89="",0,E89)</f>
        <v>-108.57</v>
      </c>
      <c r="H89" s="6" t="s">
        <v>128</v>
      </c>
    </row>
    <row r="90" customFormat="false" ht="15" hidden="false" customHeight="false" outlineLevel="0" collapsed="false">
      <c r="A90" s="5" t="n">
        <v>46055</v>
      </c>
      <c r="B90" s="6" t="s">
        <v>138</v>
      </c>
      <c r="C90" s="6" t="s">
        <v>73</v>
      </c>
      <c r="D90" s="7" t="n">
        <v>1</v>
      </c>
      <c r="E90" s="8" t="n">
        <v>2195</v>
      </c>
      <c r="F90" s="8" t="n">
        <v>2545.75</v>
      </c>
      <c r="G90" s="8" t="n">
        <f aca="false">IF(F90="",0,F90)-IF(E90="",0,E90)</f>
        <v>350.75</v>
      </c>
      <c r="H90" s="6" t="s">
        <v>128</v>
      </c>
    </row>
    <row r="91" customFormat="false" ht="15" hidden="false" customHeight="false" outlineLevel="0" collapsed="false">
      <c r="A91" s="5" t="n">
        <v>46060</v>
      </c>
      <c r="B91" s="6" t="s">
        <v>129</v>
      </c>
      <c r="C91" s="6" t="s">
        <v>74</v>
      </c>
      <c r="D91" s="7" t="n">
        <v>1</v>
      </c>
      <c r="E91" s="8" t="n">
        <v>3095</v>
      </c>
      <c r="F91" s="8" t="n">
        <v>3720.25</v>
      </c>
      <c r="G91" s="8" t="n">
        <f aca="false">IF(F91="",0,F91)-IF(E91="",0,E91)</f>
        <v>625.25</v>
      </c>
      <c r="H91" s="6" t="s">
        <v>128</v>
      </c>
    </row>
    <row r="92" customFormat="false" ht="15" hidden="false" customHeight="false" outlineLevel="0" collapsed="false">
      <c r="A92" s="5" t="n">
        <v>46066</v>
      </c>
      <c r="B92" s="6" t="s">
        <v>133</v>
      </c>
      <c r="C92" s="6" t="s">
        <v>75</v>
      </c>
      <c r="D92" s="7" t="n">
        <v>1</v>
      </c>
      <c r="E92" s="8" t="n">
        <v>8954.8</v>
      </c>
      <c r="F92" s="8" t="n">
        <v>1993</v>
      </c>
      <c r="G92" s="8" t="n">
        <f aca="false">IF(F92="",0,F92)-IF(E92="",0,E92)</f>
        <v>-6961.8</v>
      </c>
      <c r="H92" s="6" t="s">
        <v>128</v>
      </c>
    </row>
    <row r="93" customFormat="false" ht="15" hidden="false" customHeight="false" outlineLevel="0" collapsed="false">
      <c r="A93" s="5" t="n">
        <v>46067</v>
      </c>
      <c r="B93" s="6" t="s">
        <v>129</v>
      </c>
      <c r="C93" s="6"/>
      <c r="D93" s="7"/>
      <c r="E93" s="8"/>
      <c r="F93" s="8" t="n">
        <v>5239.27</v>
      </c>
      <c r="G93" s="8" t="n">
        <f aca="false">IF(F93="",0,F93)-IF(E93="",0,E93)</f>
        <v>5239.27</v>
      </c>
      <c r="H93" s="6" t="s">
        <v>132</v>
      </c>
    </row>
    <row r="94" customFormat="false" ht="15" hidden="false" customHeight="false" outlineLevel="0" collapsed="false">
      <c r="A94" s="5" t="n">
        <v>46081</v>
      </c>
      <c r="B94" s="6" t="s">
        <v>129</v>
      </c>
      <c r="C94" s="6" t="s">
        <v>76</v>
      </c>
      <c r="D94" s="7" t="n">
        <v>1</v>
      </c>
      <c r="E94" s="8" t="n">
        <v>3080</v>
      </c>
      <c r="F94" s="8" t="n">
        <v>3234</v>
      </c>
      <c r="G94" s="8" t="n">
        <f aca="false">IF(F94="",0,F94)-IF(E94="",0,E94)</f>
        <v>154</v>
      </c>
      <c r="H94" s="6" t="s">
        <v>128</v>
      </c>
    </row>
    <row r="95" customFormat="false" ht="15" hidden="false" customHeight="false" outlineLevel="0" collapsed="false">
      <c r="A95" s="5" t="n">
        <v>46082</v>
      </c>
      <c r="B95" s="6" t="s">
        <v>135</v>
      </c>
      <c r="C95" s="6" t="s">
        <v>78</v>
      </c>
      <c r="D95" s="7" t="n">
        <v>1</v>
      </c>
      <c r="E95" s="8" t="n">
        <v>3414</v>
      </c>
      <c r="F95" s="8" t="n">
        <v>4784.6</v>
      </c>
      <c r="G95" s="8" t="n">
        <f aca="false">IF(F95="",0,F95)-IF(E95="",0,E95)</f>
        <v>1370.6</v>
      </c>
      <c r="H95" s="6" t="s">
        <v>128</v>
      </c>
    </row>
    <row r="96" customFormat="false" ht="15" hidden="false" customHeight="false" outlineLevel="0" collapsed="false">
      <c r="A96" s="5" t="n">
        <v>46085</v>
      </c>
      <c r="B96" s="6" t="s">
        <v>130</v>
      </c>
      <c r="C96" s="6" t="s">
        <v>79</v>
      </c>
      <c r="D96" s="7" t="n">
        <v>1</v>
      </c>
      <c r="E96" s="8" t="n">
        <v>800</v>
      </c>
      <c r="F96" s="8" t="n">
        <v>800</v>
      </c>
      <c r="G96" s="8" t="n">
        <f aca="false">IF(F96="",0,F96)-IF(E96="",0,E96)</f>
        <v>0</v>
      </c>
      <c r="H96" s="6" t="s">
        <v>128</v>
      </c>
    </row>
    <row r="97" customFormat="false" ht="15" hidden="false" customHeight="false" outlineLevel="0" collapsed="false">
      <c r="A97" s="5" t="n">
        <v>46086</v>
      </c>
      <c r="B97" s="6" t="s">
        <v>126</v>
      </c>
      <c r="C97" s="6" t="s">
        <v>81</v>
      </c>
      <c r="D97" s="7" t="n">
        <v>1</v>
      </c>
      <c r="E97" s="8" t="n">
        <v>631</v>
      </c>
      <c r="F97" s="8" t="n">
        <v>631</v>
      </c>
      <c r="G97" s="8" t="n">
        <f aca="false">IF(F97="",0,F97)-IF(E97="",0,E97)</f>
        <v>0</v>
      </c>
      <c r="H97" s="6" t="s">
        <v>128</v>
      </c>
    </row>
    <row r="98" customFormat="false" ht="15" hidden="false" customHeight="false" outlineLevel="0" collapsed="false">
      <c r="A98" s="5" t="n">
        <v>46088</v>
      </c>
      <c r="B98" s="6" t="s">
        <v>129</v>
      </c>
      <c r="C98" s="6" t="s">
        <v>82</v>
      </c>
      <c r="D98" s="7" t="n">
        <v>1</v>
      </c>
      <c r="E98" s="8" t="n">
        <v>9999</v>
      </c>
      <c r="F98" s="8" t="n">
        <v>10498.95</v>
      </c>
      <c r="G98" s="8" t="n">
        <f aca="false">IF(F98="",0,F98)-IF(E98="",0,E98)</f>
        <v>499.950000000001</v>
      </c>
      <c r="H98" s="6" t="s">
        <v>128</v>
      </c>
    </row>
    <row r="99" customFormat="false" ht="15" hidden="false" customHeight="false" outlineLevel="0" collapsed="false">
      <c r="A99" s="5" t="n">
        <v>46091</v>
      </c>
      <c r="B99" s="6" t="s">
        <v>136</v>
      </c>
      <c r="C99" s="6" t="s">
        <v>65</v>
      </c>
      <c r="D99" s="7" t="n">
        <v>1</v>
      </c>
      <c r="E99" s="8" t="n">
        <v>1274</v>
      </c>
      <c r="F99" s="8" t="n">
        <v>1288.9</v>
      </c>
      <c r="G99" s="8" t="n">
        <f aca="false">IF(F99="",0,F99)-IF(E99="",0,E99)</f>
        <v>14.9000000000001</v>
      </c>
      <c r="H99" s="6" t="s">
        <v>128</v>
      </c>
    </row>
    <row r="100" customFormat="false" ht="15" hidden="false" customHeight="false" outlineLevel="0" collapsed="false">
      <c r="A100" s="5" t="n">
        <v>46092</v>
      </c>
      <c r="B100" s="6" t="s">
        <v>130</v>
      </c>
      <c r="C100" s="6" t="s">
        <v>146</v>
      </c>
      <c r="D100" s="7" t="n">
        <v>1</v>
      </c>
      <c r="E100" s="8" t="n">
        <v>543</v>
      </c>
      <c r="F100" s="8" t="n">
        <v>408</v>
      </c>
      <c r="G100" s="8" t="n">
        <f aca="false">IF(F100="",0,F100)-IF(E100="",0,E100)</f>
        <v>-135</v>
      </c>
      <c r="H100" s="6" t="s">
        <v>128</v>
      </c>
    </row>
    <row r="101" customFormat="false" ht="15" hidden="false" customHeight="false" outlineLevel="0" collapsed="false">
      <c r="A101" s="5" t="n">
        <v>46095</v>
      </c>
      <c r="B101" s="6" t="s">
        <v>129</v>
      </c>
      <c r="C101" s="6" t="s">
        <v>84</v>
      </c>
      <c r="D101" s="7" t="n">
        <v>1</v>
      </c>
      <c r="E101" s="8" t="n">
        <v>4665.5</v>
      </c>
      <c r="F101" s="8" t="n">
        <v>4138.62</v>
      </c>
      <c r="G101" s="8" t="n">
        <f aca="false">IF(F101="",0,F101)-IF(E101="",0,E101)</f>
        <v>-526.88</v>
      </c>
      <c r="H101" s="6" t="s">
        <v>128</v>
      </c>
    </row>
    <row r="102" customFormat="false" ht="15" hidden="false" customHeight="false" outlineLevel="0" collapsed="false">
      <c r="A102" s="5" t="n">
        <v>46096</v>
      </c>
      <c r="B102" s="6" t="s">
        <v>135</v>
      </c>
      <c r="C102" s="6" t="s">
        <v>147</v>
      </c>
      <c r="D102" s="7" t="n">
        <v>1</v>
      </c>
      <c r="E102" s="8" t="n">
        <v>7337.97</v>
      </c>
      <c r="F102" s="8" t="n">
        <v>7234.97</v>
      </c>
      <c r="G102" s="8" t="n">
        <f aca="false">IF(F102="",0,F102)-IF(E102="",0,E102)</f>
        <v>-103</v>
      </c>
      <c r="H102" s="6" t="s">
        <v>128</v>
      </c>
    </row>
    <row r="103" customFormat="false" ht="15" hidden="false" customHeight="false" outlineLevel="0" collapsed="false">
      <c r="A103" s="5" t="n">
        <v>46099</v>
      </c>
      <c r="B103" s="6" t="s">
        <v>130</v>
      </c>
      <c r="C103" s="6"/>
      <c r="D103" s="7"/>
      <c r="E103" s="8"/>
      <c r="F103" s="8" t="n">
        <v>13.5</v>
      </c>
      <c r="G103" s="8" t="n">
        <f aca="false">IF(F103="",0,F103)-IF(E103="",0,E103)</f>
        <v>13.5</v>
      </c>
      <c r="H103" s="6" t="s">
        <v>132</v>
      </c>
    </row>
    <row r="104" customFormat="false" ht="15" hidden="false" customHeight="false" outlineLevel="0" collapsed="false">
      <c r="A104" s="5" t="n">
        <v>46100</v>
      </c>
      <c r="B104" s="6" t="s">
        <v>126</v>
      </c>
      <c r="C104" s="6" t="s">
        <v>148</v>
      </c>
      <c r="D104" s="7" t="n">
        <v>1</v>
      </c>
      <c r="E104" s="8" t="n">
        <v>2198.35</v>
      </c>
      <c r="F104" s="8" t="n">
        <v>2248.75</v>
      </c>
      <c r="G104" s="8" t="n">
        <f aca="false">IF(F104="",0,F104)-IF(E104="",0,E104)</f>
        <v>50.4000000000001</v>
      </c>
      <c r="H104" s="6" t="s">
        <v>128</v>
      </c>
    </row>
    <row r="105" customFormat="false" ht="15" hidden="false" customHeight="false" outlineLevel="0" collapsed="false">
      <c r="A105" s="5" t="n">
        <v>46101</v>
      </c>
      <c r="B105" s="6" t="s">
        <v>133</v>
      </c>
      <c r="C105" s="6" t="s">
        <v>87</v>
      </c>
      <c r="D105" s="7" t="n">
        <v>1</v>
      </c>
      <c r="E105" s="8" t="n">
        <v>2495</v>
      </c>
      <c r="F105" s="8" t="n">
        <v>2969.75</v>
      </c>
      <c r="G105" s="8" t="n">
        <f aca="false">IF(F105="",0,F105)-IF(E105="",0,E105)</f>
        <v>474.75</v>
      </c>
      <c r="H105" s="6" t="s">
        <v>128</v>
      </c>
    </row>
    <row r="106" customFormat="false" ht="15" hidden="false" customHeight="false" outlineLevel="0" collapsed="false">
      <c r="A106" s="5" t="n">
        <v>46102</v>
      </c>
      <c r="B106" s="6" t="s">
        <v>129</v>
      </c>
      <c r="C106" s="6" t="s">
        <v>149</v>
      </c>
      <c r="D106" s="7" t="n">
        <v>2</v>
      </c>
      <c r="E106" s="8" t="n">
        <v>5963</v>
      </c>
      <c r="F106" s="8" t="n">
        <v>4287</v>
      </c>
      <c r="G106" s="8" t="n">
        <f aca="false">IF(F106="",0,F106)-IF(E106="",0,E106)</f>
        <v>-1676</v>
      </c>
      <c r="H106" s="6" t="s">
        <v>128</v>
      </c>
    </row>
    <row r="107" customFormat="false" ht="15" hidden="false" customHeight="false" outlineLevel="0" collapsed="false">
      <c r="A107" s="5" t="n">
        <v>46109</v>
      </c>
      <c r="B107" s="6" t="s">
        <v>129</v>
      </c>
      <c r="C107" s="6" t="s">
        <v>150</v>
      </c>
      <c r="D107" s="7" t="n">
        <v>1</v>
      </c>
      <c r="E107" s="8" t="n">
        <v>0</v>
      </c>
      <c r="F107" s="8"/>
      <c r="G107" s="8" t="n">
        <f aca="false">IF(F107="",0,F107)-IF(E107="",0,E107)</f>
        <v>0</v>
      </c>
      <c r="H107" s="6" t="s">
        <v>131</v>
      </c>
    </row>
    <row r="108" customFormat="false" ht="15" hidden="false" customHeight="false" outlineLevel="0" collapsed="false">
      <c r="A108" s="5" t="n">
        <v>46111</v>
      </c>
      <c r="B108" s="6" t="s">
        <v>138</v>
      </c>
      <c r="C108" s="6"/>
      <c r="D108" s="7"/>
      <c r="E108" s="8"/>
      <c r="F108" s="8" t="n">
        <v>500</v>
      </c>
      <c r="G108" s="8" t="n">
        <f aca="false">IF(F108="",0,F108)-IF(E108="",0,E108)</f>
        <v>500</v>
      </c>
      <c r="H108" s="6" t="s">
        <v>132</v>
      </c>
    </row>
    <row r="109" customFormat="false" ht="15" hidden="false" customHeight="false" outlineLevel="0" collapsed="false">
      <c r="A109" s="5" t="n">
        <v>46115</v>
      </c>
      <c r="B109" s="6" t="s">
        <v>133</v>
      </c>
      <c r="C109" s="6"/>
      <c r="D109" s="7"/>
      <c r="E109" s="8"/>
      <c r="F109" s="8" t="n">
        <v>0</v>
      </c>
      <c r="G109" s="8" t="n">
        <f aca="false">IF(F109="",0,F109)-IF(E109="",0,E109)</f>
        <v>0</v>
      </c>
      <c r="H109" s="6" t="s">
        <v>131</v>
      </c>
    </row>
    <row r="110" customFormat="false" ht="15" hidden="false" customHeight="false" outlineLevel="0" collapsed="false">
      <c r="A110" s="5" t="n">
        <v>46121</v>
      </c>
      <c r="B110" s="6" t="s">
        <v>126</v>
      </c>
      <c r="C110" s="6"/>
      <c r="D110" s="7"/>
      <c r="E110" s="8"/>
      <c r="F110" s="8" t="n">
        <v>0</v>
      </c>
      <c r="G110" s="8" t="n">
        <f aca="false">IF(F110="",0,F110)-IF(E110="",0,E110)</f>
        <v>0</v>
      </c>
      <c r="H110" s="6" t="s">
        <v>131</v>
      </c>
    </row>
    <row r="111" customFormat="false" ht="15" hidden="false" customHeight="false" outlineLevel="0" collapsed="false">
      <c r="A111" s="5" t="n">
        <v>46122</v>
      </c>
      <c r="B111" s="6" t="s">
        <v>133</v>
      </c>
      <c r="C111" s="6" t="s">
        <v>91</v>
      </c>
      <c r="D111" s="7" t="n">
        <v>1</v>
      </c>
      <c r="E111" s="8" t="n">
        <v>2457.58</v>
      </c>
      <c r="F111" s="8" t="n">
        <v>2703.5</v>
      </c>
      <c r="G111" s="8" t="n">
        <f aca="false">IF(F111="",0,F111)-IF(E111="",0,E111)</f>
        <v>245.92</v>
      </c>
      <c r="H111" s="6" t="s">
        <v>128</v>
      </c>
    </row>
    <row r="112" customFormat="false" ht="15" hidden="false" customHeight="false" outlineLevel="0" collapsed="false">
      <c r="A112" s="5" t="n">
        <v>46124</v>
      </c>
      <c r="B112" s="6" t="s">
        <v>135</v>
      </c>
      <c r="C112" s="6" t="s">
        <v>93</v>
      </c>
      <c r="D112" s="7" t="n">
        <v>1</v>
      </c>
      <c r="E112" s="8" t="n">
        <v>2150</v>
      </c>
      <c r="F112" s="8" t="n">
        <v>2487.5</v>
      </c>
      <c r="G112" s="8" t="n">
        <f aca="false">IF(F112="",0,F112)-IF(E112="",0,E112)</f>
        <v>337.5</v>
      </c>
      <c r="H112" s="6" t="s">
        <v>128</v>
      </c>
    </row>
    <row r="113" customFormat="false" ht="15" hidden="false" customHeight="false" outlineLevel="0" collapsed="false">
      <c r="A113" s="5" t="n">
        <v>46136</v>
      </c>
      <c r="B113" s="6" t="s">
        <v>133</v>
      </c>
      <c r="C113" s="6" t="s">
        <v>151</v>
      </c>
      <c r="D113" s="7" t="n">
        <v>1</v>
      </c>
      <c r="E113" s="8" t="n">
        <v>583</v>
      </c>
      <c r="F113" s="8" t="n">
        <v>1013</v>
      </c>
      <c r="G113" s="8" t="n">
        <f aca="false">IF(F113="",0,F113)-IF(E113="",0,E113)</f>
        <v>430</v>
      </c>
      <c r="H113" s="6" t="s">
        <v>128</v>
      </c>
    </row>
    <row r="114" customFormat="false" ht="15" hidden="false" customHeight="false" outlineLevel="0" collapsed="false">
      <c r="A114" s="5" t="n">
        <v>46137</v>
      </c>
      <c r="B114" s="6" t="s">
        <v>129</v>
      </c>
      <c r="C114" s="6" t="s">
        <v>95</v>
      </c>
      <c r="D114" s="7" t="n">
        <v>1</v>
      </c>
      <c r="E114" s="8" t="n">
        <v>3997</v>
      </c>
      <c r="F114" s="8" t="n">
        <v>6322.75</v>
      </c>
      <c r="G114" s="8" t="n">
        <f aca="false">IF(F114="",0,F114)-IF(E114="",0,E114)</f>
        <v>2325.75</v>
      </c>
      <c r="H114" s="6" t="s">
        <v>128</v>
      </c>
    </row>
    <row r="115" customFormat="false" ht="15" hidden="false" customHeight="false" outlineLevel="0" collapsed="false">
      <c r="A115" s="5" t="n">
        <v>46147</v>
      </c>
      <c r="B115" s="6" t="s">
        <v>136</v>
      </c>
      <c r="C115" s="6" t="s">
        <v>152</v>
      </c>
      <c r="D115" s="7" t="n">
        <v>1</v>
      </c>
      <c r="E115" s="8" t="n">
        <v>3900</v>
      </c>
      <c r="F115" s="8" t="n">
        <v>5312.5</v>
      </c>
      <c r="G115" s="8" t="n">
        <f aca="false">IF(F115="",0,F115)-IF(E115="",0,E115)</f>
        <v>1412.5</v>
      </c>
      <c r="H115" s="6" t="s">
        <v>128</v>
      </c>
    </row>
    <row r="116" customFormat="false" ht="15" hidden="false" customHeight="false" outlineLevel="0" collapsed="false">
      <c r="A116" s="5" t="n">
        <v>46149</v>
      </c>
      <c r="B116" s="6" t="s">
        <v>126</v>
      </c>
      <c r="C116" s="6" t="s">
        <v>73</v>
      </c>
      <c r="D116" s="7" t="n">
        <v>1</v>
      </c>
      <c r="E116" s="8" t="n">
        <v>1720</v>
      </c>
      <c r="F116" s="8" t="n">
        <v>1771.25</v>
      </c>
      <c r="G116" s="8" t="n">
        <f aca="false">IF(F116="",0,F116)-IF(E116="",0,E116)</f>
        <v>51.25</v>
      </c>
      <c r="H116" s="6" t="s">
        <v>128</v>
      </c>
    </row>
    <row r="117" customFormat="false" ht="15" hidden="false" customHeight="false" outlineLevel="0" collapsed="false">
      <c r="A117" s="5" t="n">
        <v>46154</v>
      </c>
      <c r="B117" s="6" t="s">
        <v>136</v>
      </c>
      <c r="C117" s="6" t="s">
        <v>97</v>
      </c>
      <c r="D117" s="7" t="n">
        <v>1</v>
      </c>
      <c r="E117" s="8" t="n">
        <v>2065</v>
      </c>
      <c r="F117" s="8" t="n">
        <v>2539.25</v>
      </c>
      <c r="G117" s="8" t="n">
        <f aca="false">IF(F117="",0,F117)-IF(E117="",0,E117)</f>
        <v>474.25</v>
      </c>
      <c r="H117" s="6" t="s">
        <v>128</v>
      </c>
    </row>
    <row r="118" customFormat="false" ht="15" hidden="false" customHeight="false" outlineLevel="0" collapsed="false">
      <c r="A118" s="5" t="n">
        <v>46155</v>
      </c>
      <c r="B118" s="6" t="s">
        <v>130</v>
      </c>
      <c r="C118" s="6" t="s">
        <v>98</v>
      </c>
      <c r="D118" s="7" t="n">
        <v>1</v>
      </c>
      <c r="E118" s="8" t="n">
        <v>4419</v>
      </c>
      <c r="F118" s="8" t="n">
        <v>6398.75</v>
      </c>
      <c r="G118" s="8" t="n">
        <f aca="false">IF(F118="",0,F118)-IF(E118="",0,E118)</f>
        <v>1979.75</v>
      </c>
      <c r="H118" s="6" t="s">
        <v>128</v>
      </c>
    </row>
    <row r="119" customFormat="false" ht="15" hidden="false" customHeight="false" outlineLevel="0" collapsed="false">
      <c r="A119" s="5" t="n">
        <v>46156</v>
      </c>
      <c r="B119" s="6" t="s">
        <v>126</v>
      </c>
      <c r="C119" s="6" t="s">
        <v>99</v>
      </c>
      <c r="D119" s="7" t="n">
        <v>1</v>
      </c>
      <c r="E119" s="8" t="n">
        <v>1895</v>
      </c>
      <c r="F119" s="8" t="n">
        <v>3618.75</v>
      </c>
      <c r="G119" s="8" t="n">
        <f aca="false">IF(F119="",0,F119)-IF(E119="",0,E119)</f>
        <v>1723.75</v>
      </c>
      <c r="H119" s="6" t="s">
        <v>128</v>
      </c>
    </row>
    <row r="120" customFormat="false" ht="15" hidden="false" customHeight="false" outlineLevel="0" collapsed="false">
      <c r="A120" s="5" t="n">
        <v>46157</v>
      </c>
      <c r="B120" s="6" t="s">
        <v>133</v>
      </c>
      <c r="C120" s="6" t="s">
        <v>99</v>
      </c>
      <c r="D120" s="7" t="n">
        <v>1</v>
      </c>
      <c r="E120" s="8" t="n">
        <v>2297</v>
      </c>
      <c r="F120" s="8" t="n">
        <v>4146.25</v>
      </c>
      <c r="G120" s="8" t="n">
        <f aca="false">IF(F120="",0,F120)-IF(E120="",0,E120)</f>
        <v>1849.25</v>
      </c>
      <c r="H120" s="6" t="s">
        <v>128</v>
      </c>
    </row>
    <row r="121" customFormat="false" ht="15" hidden="false" customHeight="false" outlineLevel="0" collapsed="false">
      <c r="A121" s="5" t="n">
        <v>46162</v>
      </c>
      <c r="B121" s="6" t="s">
        <v>130</v>
      </c>
      <c r="C121" s="6" t="s">
        <v>39</v>
      </c>
      <c r="D121" s="7" t="n">
        <v>1</v>
      </c>
      <c r="E121" s="8" t="n">
        <v>6864</v>
      </c>
      <c r="F121" s="8" t="n">
        <v>9830</v>
      </c>
      <c r="G121" s="8" t="n">
        <f aca="false">IF(F121="",0,F121)-IF(E121="",0,E121)</f>
        <v>2966</v>
      </c>
      <c r="H121" s="6" t="s">
        <v>128</v>
      </c>
    </row>
    <row r="122" customFormat="false" ht="15" hidden="false" customHeight="false" outlineLevel="0" collapsed="false">
      <c r="A122" s="5" t="n">
        <v>46163</v>
      </c>
      <c r="B122" s="6" t="s">
        <v>126</v>
      </c>
      <c r="C122" s="6" t="s">
        <v>153</v>
      </c>
      <c r="D122" s="7" t="n">
        <v>1</v>
      </c>
      <c r="E122" s="8" t="n">
        <v>1489</v>
      </c>
      <c r="F122" s="8" t="n">
        <v>2756</v>
      </c>
      <c r="G122" s="8" t="n">
        <f aca="false">IF(F122="",0,F122)-IF(E122="",0,E122)</f>
        <v>1267</v>
      </c>
      <c r="H122" s="6" t="s">
        <v>128</v>
      </c>
    </row>
    <row r="123" customFormat="false" ht="15" hidden="false" customHeight="false" outlineLevel="0" collapsed="false">
      <c r="A123" s="5" t="n">
        <v>46165</v>
      </c>
      <c r="B123" s="6" t="s">
        <v>129</v>
      </c>
      <c r="C123" s="6"/>
      <c r="D123" s="7"/>
      <c r="E123" s="8"/>
      <c r="F123" s="8" t="n">
        <v>348.3</v>
      </c>
      <c r="G123" s="8" t="n">
        <f aca="false">IF(F123="",0,F123)-IF(E123="",0,E123)</f>
        <v>348.3</v>
      </c>
      <c r="H123" s="6" t="s">
        <v>132</v>
      </c>
    </row>
    <row r="124" customFormat="false" ht="15" hidden="false" customHeight="false" outlineLevel="0" collapsed="false">
      <c r="A124" s="5" t="n">
        <v>46166</v>
      </c>
      <c r="B124" s="6" t="s">
        <v>135</v>
      </c>
      <c r="C124" s="6"/>
      <c r="D124" s="7"/>
      <c r="E124" s="8"/>
      <c r="F124" s="8" t="n">
        <v>121</v>
      </c>
      <c r="G124" s="8" t="n">
        <f aca="false">IF(F124="",0,F124)-IF(E124="",0,E124)</f>
        <v>121</v>
      </c>
      <c r="H124" s="6" t="s">
        <v>132</v>
      </c>
    </row>
    <row r="125" customFormat="false" ht="15" hidden="false" customHeight="false" outlineLevel="0" collapsed="false">
      <c r="A125" s="5" t="n">
        <v>46172</v>
      </c>
      <c r="B125" s="6" t="s">
        <v>129</v>
      </c>
      <c r="C125" s="6" t="s">
        <v>154</v>
      </c>
      <c r="D125" s="7" t="n">
        <v>1</v>
      </c>
      <c r="E125" s="8" t="n">
        <v>1965</v>
      </c>
      <c r="F125" s="8" t="n">
        <v>602</v>
      </c>
      <c r="G125" s="8" t="n">
        <f aca="false">IF(F125="",0,F125)-IF(E125="",0,E125)</f>
        <v>-1363</v>
      </c>
      <c r="H125" s="6" t="s">
        <v>128</v>
      </c>
    </row>
    <row r="126" customFormat="false" ht="15" hidden="false" customHeight="false" outlineLevel="0" collapsed="false">
      <c r="A126" s="5" t="n">
        <v>46173</v>
      </c>
      <c r="B126" s="6" t="s">
        <v>135</v>
      </c>
      <c r="C126" s="6" t="s">
        <v>102</v>
      </c>
      <c r="D126" s="7" t="n">
        <v>1</v>
      </c>
      <c r="E126" s="8" t="n">
        <v>1295</v>
      </c>
      <c r="F126" s="8" t="n">
        <v>3493.75</v>
      </c>
      <c r="G126" s="8" t="n">
        <f aca="false">IF(F126="",0,F126)-IF(E126="",0,E126)</f>
        <v>2198.75</v>
      </c>
      <c r="H126" s="6" t="s">
        <v>128</v>
      </c>
    </row>
    <row r="127" customFormat="false" ht="15" hidden="false" customHeight="false" outlineLevel="0" collapsed="false">
      <c r="A127" s="5" t="n">
        <v>46174</v>
      </c>
      <c r="B127" s="6" t="s">
        <v>138</v>
      </c>
      <c r="C127" s="6"/>
      <c r="D127" s="7"/>
      <c r="E127" s="8"/>
      <c r="F127" s="8" t="n">
        <v>0</v>
      </c>
      <c r="G127" s="8" t="n">
        <f aca="false">IF(F127="",0,F127)-IF(E127="",0,E127)</f>
        <v>0</v>
      </c>
      <c r="H127" s="6" t="s">
        <v>131</v>
      </c>
    </row>
    <row r="128" customFormat="false" ht="15" hidden="false" customHeight="false" outlineLevel="0" collapsed="false">
      <c r="A128" s="5" t="n">
        <v>46175</v>
      </c>
      <c r="B128" s="6" t="s">
        <v>136</v>
      </c>
      <c r="C128" s="6" t="s">
        <v>103</v>
      </c>
      <c r="D128" s="7" t="n">
        <v>1</v>
      </c>
      <c r="E128" s="8" t="n">
        <v>1744</v>
      </c>
      <c r="F128" s="8" t="n">
        <v>5523.45</v>
      </c>
      <c r="G128" s="8" t="n">
        <f aca="false">IF(F128="",0,F128)-IF(E128="",0,E128)</f>
        <v>3779.45</v>
      </c>
      <c r="H128" s="6" t="s">
        <v>128</v>
      </c>
    </row>
    <row r="129" customFormat="false" ht="15" hidden="false" customHeight="false" outlineLevel="0" collapsed="false">
      <c r="A129" s="5" t="n">
        <v>46179</v>
      </c>
      <c r="B129" s="6" t="s">
        <v>129</v>
      </c>
      <c r="C129" s="6" t="s">
        <v>155</v>
      </c>
      <c r="D129" s="7" t="n">
        <v>1</v>
      </c>
      <c r="E129" s="8" t="n">
        <v>1728</v>
      </c>
      <c r="F129" s="8" t="n">
        <v>3437.77</v>
      </c>
      <c r="G129" s="8" t="n">
        <f aca="false">IF(F129="",0,F129)-IF(E129="",0,E129)</f>
        <v>1709.77</v>
      </c>
      <c r="H129" s="6" t="s">
        <v>128</v>
      </c>
    </row>
    <row r="130" customFormat="false" ht="15" hidden="false" customHeight="false" outlineLevel="0" collapsed="false">
      <c r="A130" s="5" t="n">
        <v>46180</v>
      </c>
      <c r="B130" s="6" t="s">
        <v>135</v>
      </c>
      <c r="C130" s="6" t="s">
        <v>105</v>
      </c>
      <c r="D130" s="7" t="n">
        <v>1</v>
      </c>
      <c r="E130" s="8" t="n">
        <v>1000</v>
      </c>
      <c r="F130" s="8" t="n">
        <v>4956</v>
      </c>
      <c r="G130" s="8" t="n">
        <f aca="false">IF(F130="",0,F130)-IF(E130="",0,E130)</f>
        <v>3956</v>
      </c>
      <c r="H130" s="6" t="s">
        <v>128</v>
      </c>
    </row>
    <row r="131" customFormat="false" ht="15" hidden="false" customHeight="false" outlineLevel="0" collapsed="false">
      <c r="A131" s="5" t="n">
        <v>46185</v>
      </c>
      <c r="B131" s="6" t="s">
        <v>133</v>
      </c>
      <c r="C131" s="6" t="s">
        <v>106</v>
      </c>
      <c r="D131" s="7" t="n">
        <v>1</v>
      </c>
      <c r="E131" s="8" t="n">
        <v>750</v>
      </c>
      <c r="F131" s="8" t="n">
        <v>2782</v>
      </c>
      <c r="G131" s="8" t="n">
        <f aca="false">IF(F131="",0,F131)-IF(E131="",0,E131)</f>
        <v>2032</v>
      </c>
      <c r="H131" s="6" t="s">
        <v>128</v>
      </c>
    </row>
    <row r="132" customFormat="false" ht="15" hidden="false" customHeight="false" outlineLevel="0" collapsed="false">
      <c r="A132" s="5" t="n">
        <v>46186</v>
      </c>
      <c r="B132" s="6" t="s">
        <v>129</v>
      </c>
      <c r="C132" s="6" t="s">
        <v>107</v>
      </c>
      <c r="D132" s="7" t="n">
        <v>1</v>
      </c>
      <c r="E132" s="8" t="n">
        <v>3135</v>
      </c>
      <c r="F132" s="8" t="n">
        <v>3822</v>
      </c>
      <c r="G132" s="8" t="n">
        <f aca="false">IF(F132="",0,F132)-IF(E132="",0,E132)</f>
        <v>687</v>
      </c>
      <c r="H132" s="6" t="s">
        <v>128</v>
      </c>
    </row>
    <row r="133" customFormat="false" ht="15" hidden="false" customHeight="false" outlineLevel="0" collapsed="false">
      <c r="A133" s="5" t="n">
        <v>46187</v>
      </c>
      <c r="B133" s="6" t="s">
        <v>135</v>
      </c>
      <c r="C133" s="6" t="s">
        <v>108</v>
      </c>
      <c r="D133" s="7" t="n">
        <v>1</v>
      </c>
      <c r="E133" s="8" t="n">
        <v>2040</v>
      </c>
      <c r="F133" s="8" t="n">
        <v>3175</v>
      </c>
      <c r="G133" s="8" t="n">
        <f aca="false">IF(F133="",0,F133)-IF(E133="",0,E133)</f>
        <v>1135</v>
      </c>
      <c r="H133" s="6" t="s">
        <v>128</v>
      </c>
    </row>
    <row r="134" customFormat="false" ht="15" hidden="false" customHeight="false" outlineLevel="0" collapsed="false">
      <c r="A134" s="5" t="n">
        <v>46192</v>
      </c>
      <c r="B134" s="6" t="s">
        <v>133</v>
      </c>
      <c r="C134" s="6" t="s">
        <v>109</v>
      </c>
      <c r="D134" s="7" t="n">
        <v>1</v>
      </c>
      <c r="E134" s="8" t="n">
        <v>2845</v>
      </c>
      <c r="F134" s="8" t="n">
        <v>5102.25</v>
      </c>
      <c r="G134" s="8" t="n">
        <f aca="false">IF(F134="",0,F134)-IF(E134="",0,E134)</f>
        <v>2257.25</v>
      </c>
      <c r="H134" s="6" t="s">
        <v>128</v>
      </c>
    </row>
    <row r="135" customFormat="false" ht="15" hidden="false" customHeight="false" outlineLevel="0" collapsed="false">
      <c r="A135" s="5" t="n">
        <v>46193</v>
      </c>
      <c r="B135" s="6" t="s">
        <v>129</v>
      </c>
      <c r="C135" s="6" t="s">
        <v>110</v>
      </c>
      <c r="D135" s="7" t="n">
        <v>1</v>
      </c>
      <c r="E135" s="8" t="n">
        <v>1215</v>
      </c>
      <c r="F135" s="8" t="n">
        <v>3009.75</v>
      </c>
      <c r="G135" s="8" t="n">
        <f aca="false">IF(F135="",0,F135)-IF(E135="",0,E135)</f>
        <v>1794.75</v>
      </c>
      <c r="H135" s="6" t="s">
        <v>128</v>
      </c>
    </row>
    <row r="136" customFormat="false" ht="15" hidden="false" customHeight="false" outlineLevel="0" collapsed="false">
      <c r="A136" s="5" t="n">
        <v>46197</v>
      </c>
      <c r="B136" s="6" t="s">
        <v>130</v>
      </c>
      <c r="C136" s="6" t="s">
        <v>111</v>
      </c>
      <c r="D136" s="7" t="n">
        <v>1</v>
      </c>
      <c r="E136" s="8" t="n">
        <v>2031</v>
      </c>
      <c r="F136" s="8" t="n">
        <v>3788.75</v>
      </c>
      <c r="G136" s="8" t="n">
        <f aca="false">IF(F136="",0,F136)-IF(E136="",0,E136)</f>
        <v>1757.75</v>
      </c>
      <c r="H136" s="6" t="s">
        <v>128</v>
      </c>
    </row>
    <row r="137" customFormat="false" ht="15" hidden="false" customHeight="false" outlineLevel="0" collapsed="false">
      <c r="A137" s="5" t="n">
        <v>46199</v>
      </c>
      <c r="B137" s="6" t="s">
        <v>133</v>
      </c>
      <c r="C137" s="6" t="s">
        <v>156</v>
      </c>
      <c r="D137" s="7" t="n">
        <v>1</v>
      </c>
      <c r="E137" s="8" t="n">
        <v>0</v>
      </c>
      <c r="F137" s="8" t="n">
        <v>1287</v>
      </c>
      <c r="G137" s="8" t="n">
        <f aca="false">IF(F137="",0,F137)-IF(E137="",0,E137)</f>
        <v>1287</v>
      </c>
      <c r="H137" s="6" t="s">
        <v>128</v>
      </c>
    </row>
    <row r="138" customFormat="false" ht="15" hidden="false" customHeight="false" outlineLevel="0" collapsed="false">
      <c r="A138" s="5" t="n">
        <v>46200</v>
      </c>
      <c r="B138" s="6" t="s">
        <v>129</v>
      </c>
      <c r="C138" s="6" t="s">
        <v>156</v>
      </c>
      <c r="D138" s="7" t="n">
        <v>1</v>
      </c>
      <c r="E138" s="8" t="n">
        <v>0</v>
      </c>
      <c r="F138" s="8" t="n">
        <v>2169.95</v>
      </c>
      <c r="G138" s="8" t="n">
        <f aca="false">IF(F138="",0,F138)-IF(E138="",0,E138)</f>
        <v>2169.95</v>
      </c>
      <c r="H138" s="6" t="s">
        <v>128</v>
      </c>
    </row>
    <row r="139" customFormat="false" ht="15" hidden="false" customHeight="false" outlineLevel="0" collapsed="false">
      <c r="A139" s="5" t="n">
        <v>46201</v>
      </c>
      <c r="B139" s="6" t="s">
        <v>135</v>
      </c>
      <c r="C139" s="6" t="s">
        <v>157</v>
      </c>
      <c r="D139" s="7" t="n">
        <v>2</v>
      </c>
      <c r="E139" s="8" t="n">
        <v>534</v>
      </c>
      <c r="F139" s="8" t="n">
        <v>3279</v>
      </c>
      <c r="G139" s="8" t="n">
        <f aca="false">IF(F139="",0,F139)-IF(E139="",0,E139)</f>
        <v>2745</v>
      </c>
      <c r="H139" s="6" t="s">
        <v>128</v>
      </c>
    </row>
    <row r="140" customFormat="false" ht="15" hidden="false" customHeight="false" outlineLevel="0" collapsed="false">
      <c r="A140" s="5" t="n">
        <v>46202</v>
      </c>
      <c r="B140" s="6" t="s">
        <v>138</v>
      </c>
      <c r="C140" s="6" t="s">
        <v>158</v>
      </c>
      <c r="D140" s="7" t="n">
        <v>1</v>
      </c>
      <c r="E140" s="8" t="n">
        <v>1343</v>
      </c>
      <c r="F140" s="8" t="n">
        <v>1991.25</v>
      </c>
      <c r="G140" s="8" t="n">
        <f aca="false">IF(F140="",0,F140)-IF(E140="",0,E140)</f>
        <v>648.25</v>
      </c>
      <c r="H140" s="6" t="s">
        <v>128</v>
      </c>
    </row>
    <row r="141" customFormat="false" ht="15" hidden="false" customHeight="false" outlineLevel="0" collapsed="false">
      <c r="A141" s="5" t="n">
        <v>46203</v>
      </c>
      <c r="B141" s="6" t="s">
        <v>136</v>
      </c>
      <c r="C141" s="6" t="s">
        <v>115</v>
      </c>
      <c r="D141" s="7" t="n">
        <v>1</v>
      </c>
      <c r="E141" s="8" t="n">
        <v>857</v>
      </c>
      <c r="F141" s="8" t="n">
        <v>1383.75</v>
      </c>
      <c r="G141" s="8" t="n">
        <f aca="false">IF(F141="",0,F141)-IF(E141="",0,E141)</f>
        <v>526.75</v>
      </c>
      <c r="H141" s="6" t="s">
        <v>128</v>
      </c>
    </row>
    <row r="142" customFormat="false" ht="15" hidden="false" customHeight="false" outlineLevel="0" collapsed="false">
      <c r="A142" s="12"/>
      <c r="B142" s="12"/>
      <c r="C142" s="11" t="s">
        <v>159</v>
      </c>
      <c r="D142" s="12"/>
      <c r="E142" s="14" t="n">
        <f aca="false">SUM(E5:E141)</f>
        <v>302928.51</v>
      </c>
      <c r="F142" s="14" t="n">
        <f aca="false">SUM(F5:F141)</f>
        <v>367436.64</v>
      </c>
      <c r="G142" s="14" t="n">
        <f aca="false">SUM(G5:G141)</f>
        <v>64508.13</v>
      </c>
      <c r="H14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8"/>
    <col collapsed="false" customWidth="true" hidden="false" outlineLevel="0" max="4" min="2" style="0" width="13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160</v>
      </c>
    </row>
    <row r="4" customFormat="false" ht="15" hidden="false" customHeight="false" outlineLevel="0" collapsed="false">
      <c r="A4" s="17" t="s">
        <v>161</v>
      </c>
      <c r="B4" s="17"/>
      <c r="C4" s="17"/>
      <c r="D4" s="17"/>
      <c r="E4" s="17"/>
    </row>
    <row r="5" customFormat="false" ht="15" hidden="false" customHeight="false" outlineLevel="0" collapsed="false">
      <c r="A5" s="18"/>
      <c r="B5" s="19" t="s">
        <v>122</v>
      </c>
      <c r="C5" s="19" t="s">
        <v>123</v>
      </c>
      <c r="D5" s="19" t="s">
        <v>124</v>
      </c>
      <c r="E5" s="20" t="s">
        <v>162</v>
      </c>
    </row>
    <row r="6" customFormat="false" ht="15" hidden="false" customHeight="false" outlineLevel="0" collapsed="false">
      <c r="A6" s="6" t="s">
        <v>8</v>
      </c>
      <c r="B6" s="8" t="n">
        <v>138981.52</v>
      </c>
      <c r="C6" s="8" t="n">
        <v>142124.05</v>
      </c>
      <c r="D6" s="8" t="n">
        <f aca="false">C6-B6</f>
        <v>3142.53</v>
      </c>
      <c r="E6" s="21" t="s">
        <v>8</v>
      </c>
    </row>
    <row r="7" customFormat="false" ht="15" hidden="false" customHeight="false" outlineLevel="0" collapsed="false">
      <c r="A7" s="6" t="s">
        <v>163</v>
      </c>
      <c r="B7" s="8" t="n">
        <v>86986.27</v>
      </c>
      <c r="C7" s="8" t="n">
        <v>93211.58</v>
      </c>
      <c r="D7" s="8" t="n">
        <f aca="false">C7-B7</f>
        <v>6225.31</v>
      </c>
      <c r="E7" s="21" t="s">
        <v>164</v>
      </c>
    </row>
    <row r="8" customFormat="false" ht="15" hidden="false" customHeight="false" outlineLevel="0" collapsed="false">
      <c r="A8" s="6" t="s">
        <v>165</v>
      </c>
      <c r="B8" s="8" t="n">
        <v>875</v>
      </c>
      <c r="C8" s="8" t="n">
        <v>57644.99</v>
      </c>
      <c r="D8" s="8" t="n">
        <f aca="false">C8-B8</f>
        <v>56769.99</v>
      </c>
      <c r="E8" s="21" t="s">
        <v>166</v>
      </c>
    </row>
    <row r="9" customFormat="false" ht="15" hidden="false" customHeight="false" outlineLevel="0" collapsed="false">
      <c r="A9" s="6" t="s">
        <v>167</v>
      </c>
      <c r="B9" s="8" t="n">
        <v>76085.72</v>
      </c>
      <c r="C9" s="8" t="n">
        <v>73805.02</v>
      </c>
      <c r="D9" s="8" t="n">
        <f aca="false">C9-B9</f>
        <v>-2280.7</v>
      </c>
      <c r="E9" s="21" t="s">
        <v>168</v>
      </c>
    </row>
    <row r="10" customFormat="false" ht="15" hidden="false" customHeight="false" outlineLevel="0" collapsed="false">
      <c r="A10" s="6" t="s">
        <v>169</v>
      </c>
      <c r="B10" s="8" t="n">
        <v>0</v>
      </c>
      <c r="C10" s="8" t="n">
        <v>651</v>
      </c>
      <c r="D10" s="8" t="n">
        <f aca="false">C10-B10</f>
        <v>651</v>
      </c>
      <c r="E10" s="21" t="s">
        <v>170</v>
      </c>
    </row>
    <row r="11" customFormat="false" ht="15" hidden="false" customHeight="false" outlineLevel="0" collapsed="false">
      <c r="A11" s="11" t="s">
        <v>159</v>
      </c>
      <c r="B11" s="14" t="n">
        <f aca="false">SUM(B6:B10)</f>
        <v>302928.51</v>
      </c>
      <c r="C11" s="14" t="n">
        <f aca="false">SUM(C6:C10)</f>
        <v>367436.64</v>
      </c>
      <c r="D11" s="14" t="n">
        <f aca="false">C11-B11</f>
        <v>64508.13</v>
      </c>
      <c r="E11" s="12"/>
    </row>
    <row r="13" customFormat="false" ht="15" hidden="false" customHeight="false" outlineLevel="0" collapsed="false">
      <c r="A13" s="17" t="s">
        <v>171</v>
      </c>
      <c r="B13" s="17"/>
      <c r="C13" s="17"/>
      <c r="D13" s="17"/>
      <c r="E13" s="17"/>
    </row>
    <row r="14" customFormat="false" ht="15" hidden="false" customHeight="false" outlineLevel="0" collapsed="false">
      <c r="A14" s="18" t="s">
        <v>172</v>
      </c>
      <c r="B14" s="9" t="n">
        <v>302928.51</v>
      </c>
    </row>
    <row r="15" customFormat="false" ht="15" hidden="false" customHeight="false" outlineLevel="0" collapsed="false">
      <c r="A15" s="6" t="s">
        <v>173</v>
      </c>
      <c r="B15" s="8" t="n">
        <v>-9286</v>
      </c>
    </row>
    <row r="16" customFormat="false" ht="15" hidden="false" customHeight="false" outlineLevel="0" collapsed="false">
      <c r="A16" s="6" t="s">
        <v>174</v>
      </c>
      <c r="B16" s="8" t="n">
        <v>56905.76</v>
      </c>
    </row>
    <row r="17" customFormat="false" ht="15" hidden="false" customHeight="false" outlineLevel="0" collapsed="false">
      <c r="A17" s="6" t="s">
        <v>175</v>
      </c>
      <c r="B17" s="8" t="n">
        <v>16888.37</v>
      </c>
    </row>
    <row r="18" customFormat="false" ht="15" hidden="false" customHeight="false" outlineLevel="0" collapsed="false">
      <c r="A18" s="11" t="s">
        <v>176</v>
      </c>
      <c r="B18" s="14" t="n">
        <f aca="false">SUM(B14:B17)</f>
        <v>367436.64</v>
      </c>
      <c r="C18" s="12"/>
      <c r="D18" s="12"/>
      <c r="E18" s="12"/>
    </row>
    <row r="19" customFormat="false" ht="15" hidden="false" customHeight="false" outlineLevel="0" collapsed="false">
      <c r="A19" s="6" t="s">
        <v>177</v>
      </c>
      <c r="B19" s="8" t="n">
        <v>367436.64</v>
      </c>
    </row>
    <row r="21" customFormat="false" ht="15" hidden="false" customHeight="false" outlineLevel="0" collapsed="false">
      <c r="A21" s="17" t="s">
        <v>178</v>
      </c>
      <c r="B21" s="17"/>
      <c r="C21" s="17"/>
      <c r="D21" s="17"/>
      <c r="E21" s="17"/>
    </row>
    <row r="22" customFormat="false" ht="15" hidden="false" customHeight="false" outlineLevel="0" collapsed="false">
      <c r="A22" s="22" t="s">
        <v>179</v>
      </c>
    </row>
    <row r="23" customFormat="false" ht="15" hidden="false" customHeight="false" outlineLevel="0" collapsed="false">
      <c r="A23" s="22" t="s">
        <v>180</v>
      </c>
    </row>
    <row r="24" customFormat="false" ht="15" hidden="false" customHeight="false" outlineLevel="0" collapsed="false">
      <c r="A24" s="22" t="s">
        <v>181</v>
      </c>
    </row>
    <row r="25" customFormat="false" ht="15" hidden="false" customHeight="false" outlineLevel="0" collapsed="false">
      <c r="A25" s="22" t="s">
        <v>182</v>
      </c>
    </row>
    <row r="26" customFormat="false" ht="15" hidden="false" customHeight="false" outlineLevel="0" collapsed="false">
      <c r="A26" s="22" t="s">
        <v>183</v>
      </c>
    </row>
    <row r="27" customFormat="false" ht="15" hidden="false" customHeight="false" outlineLevel="0" collapsed="false">
      <c r="A27" s="2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185</v>
      </c>
    </row>
    <row r="4" customFormat="false" ht="15" hidden="false" customHeight="false" outlineLevel="0" collapsed="false">
      <c r="A4" s="3" t="s">
        <v>186</v>
      </c>
      <c r="B4" s="4" t="s">
        <v>187</v>
      </c>
      <c r="C4" s="4" t="s">
        <v>188</v>
      </c>
      <c r="D4" s="3" t="s">
        <v>189</v>
      </c>
    </row>
    <row r="5" customFormat="false" ht="15" hidden="false" customHeight="false" outlineLevel="0" collapsed="false">
      <c r="A5" s="6" t="s">
        <v>190</v>
      </c>
      <c r="B5" s="23" t="n">
        <v>147</v>
      </c>
      <c r="C5" s="8" t="n">
        <v>15825</v>
      </c>
      <c r="D5" s="6" t="s">
        <v>191</v>
      </c>
    </row>
    <row r="6" customFormat="false" ht="15" hidden="false" customHeight="false" outlineLevel="0" collapsed="false">
      <c r="A6" s="6" t="s">
        <v>192</v>
      </c>
      <c r="B6" s="23" t="n">
        <v>3</v>
      </c>
      <c r="C6" s="8" t="n">
        <v>6358.68</v>
      </c>
      <c r="D6" s="6" t="s">
        <v>191</v>
      </c>
    </row>
    <row r="7" customFormat="false" ht="15" hidden="false" customHeight="false" outlineLevel="0" collapsed="false">
      <c r="A7" s="6" t="s">
        <v>193</v>
      </c>
      <c r="B7" s="23" t="n">
        <v>120</v>
      </c>
      <c r="C7" s="8" t="n">
        <v>6000</v>
      </c>
      <c r="D7" s="6" t="s">
        <v>191</v>
      </c>
    </row>
    <row r="8" customFormat="false" ht="15" hidden="false" customHeight="false" outlineLevel="0" collapsed="false">
      <c r="A8" s="6" t="s">
        <v>194</v>
      </c>
      <c r="B8" s="23" t="n">
        <v>100</v>
      </c>
      <c r="C8" s="8" t="n">
        <v>4000</v>
      </c>
      <c r="D8" s="6" t="s">
        <v>191</v>
      </c>
    </row>
    <row r="9" customFormat="false" ht="15" hidden="false" customHeight="false" outlineLevel="0" collapsed="false">
      <c r="A9" s="6" t="s">
        <v>195</v>
      </c>
      <c r="B9" s="23" t="n">
        <v>100</v>
      </c>
      <c r="C9" s="8" t="n">
        <v>2600</v>
      </c>
      <c r="D9" s="6" t="s">
        <v>191</v>
      </c>
    </row>
    <row r="10" customFormat="false" ht="15" hidden="false" customHeight="false" outlineLevel="0" collapsed="false">
      <c r="A10" s="6" t="s">
        <v>196</v>
      </c>
      <c r="B10" s="23" t="n">
        <v>2</v>
      </c>
      <c r="C10" s="8" t="n">
        <v>2400</v>
      </c>
      <c r="D10" s="6" t="s">
        <v>191</v>
      </c>
    </row>
    <row r="11" customFormat="false" ht="15" hidden="false" customHeight="false" outlineLevel="0" collapsed="false">
      <c r="A11" s="6" t="s">
        <v>197</v>
      </c>
      <c r="B11" s="23" t="n">
        <v>1</v>
      </c>
      <c r="C11" s="8" t="n">
        <v>2232</v>
      </c>
      <c r="D11" s="6" t="s">
        <v>191</v>
      </c>
    </row>
    <row r="12" customFormat="false" ht="15" hidden="false" customHeight="false" outlineLevel="0" collapsed="false">
      <c r="A12" s="6" t="s">
        <v>198</v>
      </c>
      <c r="B12" s="23" t="n">
        <v>1</v>
      </c>
      <c r="C12" s="8" t="n">
        <v>2042.04</v>
      </c>
      <c r="D12" s="6" t="s">
        <v>191</v>
      </c>
    </row>
    <row r="13" customFormat="false" ht="15" hidden="false" customHeight="false" outlineLevel="0" collapsed="false">
      <c r="A13" s="6" t="s">
        <v>199</v>
      </c>
      <c r="B13" s="23" t="n">
        <v>52</v>
      </c>
      <c r="C13" s="8" t="n">
        <v>1420</v>
      </c>
      <c r="D13" s="6" t="s">
        <v>200</v>
      </c>
    </row>
    <row r="14" customFormat="false" ht="15" hidden="false" customHeight="false" outlineLevel="0" collapsed="false">
      <c r="A14" s="6" t="s">
        <v>201</v>
      </c>
      <c r="B14" s="23" t="n">
        <v>1</v>
      </c>
      <c r="C14" s="8" t="n">
        <v>1385</v>
      </c>
      <c r="D14" s="6" t="s">
        <v>191</v>
      </c>
    </row>
    <row r="15" customFormat="false" ht="15" hidden="false" customHeight="false" outlineLevel="0" collapsed="false">
      <c r="A15" s="6" t="s">
        <v>202</v>
      </c>
      <c r="B15" s="23" t="n">
        <v>32</v>
      </c>
      <c r="C15" s="8" t="n">
        <v>1341</v>
      </c>
      <c r="D15" s="6" t="s">
        <v>203</v>
      </c>
    </row>
    <row r="16" customFormat="false" ht="15" hidden="false" customHeight="false" outlineLevel="0" collapsed="false">
      <c r="A16" s="6" t="s">
        <v>204</v>
      </c>
      <c r="B16" s="23" t="n">
        <v>125</v>
      </c>
      <c r="C16" s="8" t="n">
        <v>1276.02</v>
      </c>
      <c r="D16" s="6" t="s">
        <v>191</v>
      </c>
    </row>
    <row r="17" customFormat="false" ht="15" hidden="false" customHeight="false" outlineLevel="0" collapsed="false">
      <c r="A17" s="6" t="s">
        <v>205</v>
      </c>
      <c r="B17" s="23" t="n">
        <v>1</v>
      </c>
      <c r="C17" s="8" t="n">
        <v>1200</v>
      </c>
      <c r="D17" s="6" t="s">
        <v>191</v>
      </c>
    </row>
    <row r="18" customFormat="false" ht="15" hidden="false" customHeight="false" outlineLevel="0" collapsed="false">
      <c r="A18" s="6" t="s">
        <v>206</v>
      </c>
      <c r="B18" s="23" t="n">
        <v>1</v>
      </c>
      <c r="C18" s="8" t="n">
        <v>1200</v>
      </c>
      <c r="D18" s="6" t="s">
        <v>191</v>
      </c>
    </row>
    <row r="19" customFormat="false" ht="15" hidden="false" customHeight="false" outlineLevel="0" collapsed="false">
      <c r="A19" s="6" t="s">
        <v>207</v>
      </c>
      <c r="B19" s="23" t="n">
        <v>1</v>
      </c>
      <c r="C19" s="8" t="n">
        <v>1170</v>
      </c>
      <c r="D19" s="6" t="s">
        <v>203</v>
      </c>
    </row>
    <row r="20" customFormat="false" ht="15" hidden="false" customHeight="false" outlineLevel="0" collapsed="false">
      <c r="A20" s="6" t="s">
        <v>208</v>
      </c>
      <c r="B20" s="23" t="n">
        <v>18</v>
      </c>
      <c r="C20" s="8" t="n">
        <v>1152</v>
      </c>
      <c r="D20" s="6" t="s">
        <v>191</v>
      </c>
    </row>
    <row r="21" customFormat="false" ht="15" hidden="false" customHeight="false" outlineLevel="0" collapsed="false">
      <c r="A21" s="6" t="s">
        <v>209</v>
      </c>
      <c r="B21" s="23" t="n">
        <v>1</v>
      </c>
      <c r="C21" s="8" t="n">
        <v>1000</v>
      </c>
      <c r="D21" s="6" t="s">
        <v>191</v>
      </c>
    </row>
    <row r="22" customFormat="false" ht="15" hidden="false" customHeight="false" outlineLevel="0" collapsed="false">
      <c r="A22" s="6" t="s">
        <v>210</v>
      </c>
      <c r="B22" s="23" t="n">
        <v>1</v>
      </c>
      <c r="C22" s="8" t="n">
        <v>980</v>
      </c>
      <c r="D22" s="6" t="s">
        <v>191</v>
      </c>
    </row>
    <row r="23" customFormat="false" ht="15" hidden="false" customHeight="false" outlineLevel="0" collapsed="false">
      <c r="A23" s="6" t="s">
        <v>211</v>
      </c>
      <c r="B23" s="23" t="n">
        <v>1</v>
      </c>
      <c r="C23" s="8" t="n">
        <v>840</v>
      </c>
      <c r="D23" s="6" t="s">
        <v>191</v>
      </c>
    </row>
    <row r="24" customFormat="false" ht="15" hidden="false" customHeight="false" outlineLevel="0" collapsed="false">
      <c r="A24" s="6" t="s">
        <v>212</v>
      </c>
      <c r="B24" s="23" t="n">
        <v>1</v>
      </c>
      <c r="C24" s="8" t="n">
        <v>800</v>
      </c>
      <c r="D24" s="6" t="s">
        <v>191</v>
      </c>
    </row>
    <row r="25" customFormat="false" ht="15" hidden="false" customHeight="false" outlineLevel="0" collapsed="false">
      <c r="A25" s="6" t="s">
        <v>213</v>
      </c>
      <c r="B25" s="23" t="n">
        <v>2</v>
      </c>
      <c r="C25" s="8" t="n">
        <v>680</v>
      </c>
      <c r="D25" s="6" t="s">
        <v>200</v>
      </c>
    </row>
    <row r="26" customFormat="false" ht="15" hidden="false" customHeight="false" outlineLevel="0" collapsed="false">
      <c r="A26" s="6" t="s">
        <v>214</v>
      </c>
      <c r="B26" s="23" t="n">
        <v>50</v>
      </c>
      <c r="C26" s="8" t="n">
        <v>600</v>
      </c>
      <c r="D26" s="6" t="s">
        <v>191</v>
      </c>
    </row>
    <row r="27" customFormat="false" ht="15" hidden="false" customHeight="false" outlineLevel="0" collapsed="false">
      <c r="A27" s="6" t="s">
        <v>215</v>
      </c>
      <c r="B27" s="23" t="n">
        <v>1</v>
      </c>
      <c r="C27" s="8" t="n">
        <v>500</v>
      </c>
      <c r="D27" s="6" t="s">
        <v>191</v>
      </c>
    </row>
    <row r="28" customFormat="false" ht="15" hidden="false" customHeight="false" outlineLevel="0" collapsed="false">
      <c r="A28" s="6" t="s">
        <v>216</v>
      </c>
      <c r="B28" s="23" t="n">
        <v>1</v>
      </c>
      <c r="C28" s="8" t="n">
        <v>480</v>
      </c>
      <c r="D28" s="6" t="s">
        <v>203</v>
      </c>
    </row>
    <row r="29" customFormat="false" ht="15" hidden="false" customHeight="false" outlineLevel="0" collapsed="false">
      <c r="A29" s="6" t="s">
        <v>217</v>
      </c>
      <c r="B29" s="23" t="n">
        <v>1</v>
      </c>
      <c r="C29" s="8" t="n">
        <v>480</v>
      </c>
      <c r="D29" s="6" t="s">
        <v>200</v>
      </c>
    </row>
    <row r="30" customFormat="false" ht="15" hidden="false" customHeight="false" outlineLevel="0" collapsed="false">
      <c r="A30" s="6" t="s">
        <v>218</v>
      </c>
      <c r="B30" s="23" t="n">
        <v>1</v>
      </c>
      <c r="C30" s="8" t="n">
        <v>250</v>
      </c>
      <c r="D30" s="6" t="s">
        <v>191</v>
      </c>
    </row>
    <row r="31" customFormat="false" ht="15" hidden="false" customHeight="false" outlineLevel="0" collapsed="false">
      <c r="A31" s="6" t="s">
        <v>219</v>
      </c>
      <c r="B31" s="23" t="n">
        <v>1</v>
      </c>
      <c r="C31" s="8" t="n">
        <v>75</v>
      </c>
      <c r="D31" s="6" t="s">
        <v>191</v>
      </c>
    </row>
    <row r="32" customFormat="false" ht="15" hidden="false" customHeight="false" outlineLevel="0" collapsed="false">
      <c r="A32" s="6" t="s">
        <v>220</v>
      </c>
      <c r="B32" s="23" t="n">
        <v>1</v>
      </c>
      <c r="C32" s="8" t="n">
        <v>45</v>
      </c>
      <c r="D32" s="6" t="s">
        <v>221</v>
      </c>
    </row>
    <row r="33" customFormat="false" ht="15" hidden="false" customHeight="false" outlineLevel="0" collapsed="false">
      <c r="A33" s="6" t="s">
        <v>222</v>
      </c>
      <c r="B33" s="23" t="n">
        <v>4</v>
      </c>
      <c r="C33" s="8" t="n">
        <v>36</v>
      </c>
      <c r="D33" s="6" t="s">
        <v>191</v>
      </c>
    </row>
    <row r="34" customFormat="false" ht="15" hidden="false" customHeight="false" outlineLevel="0" collapsed="false">
      <c r="A34" s="6" t="s">
        <v>223</v>
      </c>
      <c r="B34" s="23" t="n">
        <v>2</v>
      </c>
      <c r="C34" s="8" t="n">
        <v>27</v>
      </c>
      <c r="D34" s="6" t="s">
        <v>191</v>
      </c>
    </row>
    <row r="35" customFormat="false" ht="15" hidden="false" customHeight="false" outlineLevel="0" collapsed="false">
      <c r="A35" s="6" t="s">
        <v>224</v>
      </c>
      <c r="B35" s="23" t="n">
        <v>1</v>
      </c>
      <c r="C35" s="8" t="n">
        <v>14</v>
      </c>
      <c r="D35" s="6" t="s">
        <v>191</v>
      </c>
    </row>
    <row r="36" customFormat="false" ht="15" hidden="false" customHeight="false" outlineLevel="0" collapsed="false">
      <c r="A36" s="6" t="s">
        <v>225</v>
      </c>
      <c r="B36" s="23" t="n">
        <v>1</v>
      </c>
      <c r="C36" s="8" t="n">
        <v>14</v>
      </c>
      <c r="D36" s="6" t="s">
        <v>191</v>
      </c>
    </row>
    <row r="37" customFormat="false" ht="15" hidden="false" customHeight="false" outlineLevel="0" collapsed="false">
      <c r="A37" s="6" t="s">
        <v>226</v>
      </c>
      <c r="B37" s="23" t="n">
        <v>1</v>
      </c>
      <c r="C37" s="8" t="n">
        <v>14</v>
      </c>
      <c r="D37" s="6" t="s">
        <v>191</v>
      </c>
    </row>
    <row r="38" customFormat="false" ht="15" hidden="false" customHeight="false" outlineLevel="0" collapsed="false">
      <c r="A38" s="6" t="s">
        <v>227</v>
      </c>
      <c r="B38" s="23" t="n">
        <v>2</v>
      </c>
      <c r="C38" s="8" t="n">
        <v>14</v>
      </c>
      <c r="D38" s="6" t="s">
        <v>191</v>
      </c>
    </row>
    <row r="39" customFormat="false" ht="15" hidden="false" customHeight="false" outlineLevel="0" collapsed="false">
      <c r="A39" s="6" t="s">
        <v>228</v>
      </c>
      <c r="B39" s="23" t="n">
        <v>1</v>
      </c>
      <c r="C39" s="8" t="n">
        <v>10</v>
      </c>
      <c r="D39" s="6" t="s">
        <v>191</v>
      </c>
    </row>
    <row r="40" customFormat="false" ht="15" hidden="false" customHeight="false" outlineLevel="0" collapsed="false">
      <c r="A40" s="6" t="s">
        <v>229</v>
      </c>
      <c r="B40" s="23" t="n">
        <v>1</v>
      </c>
      <c r="C40" s="8" t="n">
        <v>10</v>
      </c>
      <c r="D40" s="6" t="s">
        <v>191</v>
      </c>
    </row>
    <row r="41" customFormat="false" ht="15" hidden="false" customHeight="false" outlineLevel="0" collapsed="false">
      <c r="A41" s="6" t="s">
        <v>230</v>
      </c>
      <c r="B41" s="23" t="n">
        <v>1</v>
      </c>
      <c r="C41" s="8" t="n">
        <v>1</v>
      </c>
      <c r="D41" s="6" t="s">
        <v>221</v>
      </c>
    </row>
    <row r="42" customFormat="false" ht="15" hidden="false" customHeight="false" outlineLevel="0" collapsed="false">
      <c r="A42" s="6" t="s">
        <v>231</v>
      </c>
      <c r="C42" s="8" t="n">
        <v>1766.25</v>
      </c>
      <c r="D42" s="6" t="s">
        <v>200</v>
      </c>
    </row>
    <row r="43" customFormat="false" ht="15" hidden="false" customHeight="false" outlineLevel="0" collapsed="false">
      <c r="A43" s="11" t="s">
        <v>232</v>
      </c>
      <c r="B43" s="12"/>
      <c r="C43" s="14" t="n">
        <f aca="false">SUM(C5:C42)</f>
        <v>60237.99</v>
      </c>
      <c r="D43" s="12"/>
    </row>
    <row r="45" customFormat="false" ht="15" hidden="false" customHeight="false" outlineLevel="0" collapsed="false">
      <c r="A45" s="17" t="s">
        <v>233</v>
      </c>
      <c r="B45" s="17"/>
      <c r="C45" s="17"/>
      <c r="D45" s="17"/>
    </row>
    <row r="46" customFormat="false" ht="15" hidden="false" customHeight="false" outlineLevel="0" collapsed="false">
      <c r="A46" s="6" t="s">
        <v>191</v>
      </c>
      <c r="C46" s="8" t="n">
        <v>52854.74</v>
      </c>
    </row>
    <row r="47" customFormat="false" ht="15" hidden="false" customHeight="false" outlineLevel="0" collapsed="false">
      <c r="A47" s="6" t="s">
        <v>200</v>
      </c>
      <c r="C47" s="8" t="n">
        <v>4346.25</v>
      </c>
    </row>
    <row r="48" customFormat="false" ht="15" hidden="false" customHeight="false" outlineLevel="0" collapsed="false">
      <c r="A48" s="6" t="s">
        <v>203</v>
      </c>
      <c r="C48" s="8" t="n">
        <v>2991</v>
      </c>
    </row>
    <row r="49" customFormat="false" ht="15" hidden="false" customHeight="false" outlineLevel="0" collapsed="false">
      <c r="A49" s="6" t="s">
        <v>221</v>
      </c>
      <c r="C49" s="8" t="n">
        <v>46</v>
      </c>
    </row>
    <row r="50" customFormat="false" ht="15" hidden="false" customHeight="false" outlineLevel="0" collapsed="false">
      <c r="A50" s="16" t="s">
        <v>234</v>
      </c>
    </row>
    <row r="52" customFormat="false" ht="15" hidden="false" customHeight="false" outlineLevel="0" collapsed="false">
      <c r="A52" s="18" t="s">
        <v>235</v>
      </c>
      <c r="C52" s="9" t="n">
        <v>136029.33</v>
      </c>
    </row>
    <row r="53" customFormat="false" ht="15" hidden="false" customHeight="false" outlineLevel="0" collapsed="false">
      <c r="A53" s="18" t="s">
        <v>236</v>
      </c>
      <c r="C53" s="9" t="n">
        <v>4346.25</v>
      </c>
    </row>
    <row r="54" customFormat="false" ht="15" hidden="false" customHeight="false" outlineLevel="0" collapsed="false">
      <c r="A54" s="6" t="s">
        <v>237</v>
      </c>
      <c r="C54" s="8" t="n">
        <v>46</v>
      </c>
    </row>
    <row r="55" customFormat="false" ht="15" hidden="false" customHeight="false" outlineLevel="0" collapsed="false">
      <c r="A55" s="6" t="s">
        <v>238</v>
      </c>
      <c r="C55" s="8" t="n">
        <v>86986.27</v>
      </c>
    </row>
    <row r="56" customFormat="false" ht="15" hidden="false" customHeight="false" outlineLevel="0" collapsed="false">
      <c r="A56" s="6" t="s">
        <v>239</v>
      </c>
      <c r="C56" s="8" t="n">
        <v>875</v>
      </c>
    </row>
    <row r="58" customFormat="false" ht="15" hidden="false" customHeight="false" outlineLevel="0" collapsed="false">
      <c r="A58" s="22" t="s">
        <v>240</v>
      </c>
    </row>
    <row r="59" customFormat="false" ht="15" hidden="false" customHeight="false" outlineLevel="0" collapsed="false">
      <c r="A59" s="22" t="s">
        <v>241</v>
      </c>
    </row>
    <row r="60" customFormat="false" ht="15" hidden="false" customHeight="false" outlineLevel="0" collapsed="false">
      <c r="A60" s="2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2026-07-21T19:50:31Z</dcterms:created>
  <dc:creator>openpyxl</dc:creator>
  <dc:description/>
  <dc:language>en-US</dc:language>
  <cp:lastModifiedBy/>
  <dcterms:modified xsi:type="dcterms:W3CDTF">2026-07-21T19:50:32Z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