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Roadmap" sheetId="9" state="visible" r:id="rId11"/>
    <sheet name="Vessel GL Basis" sheetId="10" state="visible" r:id="rId12"/>
    <sheet name="Vessel 2026 P&amp;L" sheetId="11" state="visible" r:id="rId13"/>
    <sheet name="LW 2026 P&amp;L" sheetId="12" state="visible" r:id="rId14"/>
    <sheet name="LW Rev Recon H1" sheetId="13" state="visible" r:id="rId15"/>
    <sheet name="LW Item Forecast" sheetId="14" state="visible" r:id="rId16"/>
    <sheet name="LW 2026 Modified" sheetId="15" state="visible" r:id="rId17"/>
    <sheet name="Vessel 2026 Modified" sheetId="16" state="visible" r:id="rId18"/>
    <sheet name="LW Assumptions" sheetId="17" state="visible" r:id="rId19"/>
    <sheet name="LW P&amp;L" sheetId="18" state="visible" r:id="rId20"/>
    <sheet name="LW Budget" sheetId="19" state="visible" r:id="rId21"/>
    <sheet name="LW Labor Model" sheetId="20" state="visible" r:id="rId22"/>
    <sheet name="LW Weekly Compare" sheetId="21" state="visible" r:id="rId23"/>
    <sheet name="LW Daypart Analysis" sheetId="22" state="visible" r:id="rId24"/>
    <sheet name="LW Shift Detail" sheetId="23" state="visible" r:id="rId25"/>
    <sheet name="LW GL Basis" sheetId="24" state="visible" r:id="rId26"/>
    <sheet name="LW Menu Pricing" sheetId="25" state="visible" r:id="rId27"/>
    <sheet name="LW Retail Plan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<sst xmlns="http://schemas.openxmlformats.org/spreadsheetml/2006/main" count="2322" uniqueCount="1346">
  <si>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</si>
  <si>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</si>
  <si>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</si>
  <si>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</si>
  <si>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</si>
  <si>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</si>
  <si>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</si>
  <si>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</si>
  <si>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</si>
  <si>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</si>
  <si>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</si>
  <si>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</si>
  <si>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</si>
  <si>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</si>
  <si>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</si>
  <si>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</si>
  <si>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</si>
  <si>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</si>
  <si>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</si>
  <si>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</si>
  <si>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</si>
  <si>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</si>
  <si>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</si>
  <si>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</si>
  <si>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</si>
  <si>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</si>
  <si>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</si>
  <si>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</si>
  <si>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</si>
  <si>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</si>
  <si>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</si>
  <si>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</si>
  <si>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</si>
  <si>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</si>
  <si>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</si>
  <si>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</si>
  <si>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</si>
  <si>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</si>
  <si>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</si>
  <si>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</si>
  <si>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</si>
  <si>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</si>
  <si>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</si>
  <si>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</si>
  <si>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</si>
  <si>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</si>
  <si>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</si>
  <si>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</si>
  <si>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</si>
  <si>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</si>
  <si>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</si>
  <si>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</si>
  <si>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</si>
  <si>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</si>
  <si>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</si>
  <si>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$14.8K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</si>
  <si>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</si>
  <si>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</si>
  <si>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</si>
  <si>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</si>
  <si>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</si>
  <si>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</si>
  <si>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</si>
  <si>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</si>
  <si>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</si>
  <si>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</si>
  <si>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</si>
  <si>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</si>
  <si>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</si>
  <si>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</si>
  <si>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</si>
  <si>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</si>
  <si>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</si>
  <si>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</si>
  <si>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</si>
  <si>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</si>
  <si>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</si>
  <si>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</si>
  <si>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</si>
  <si>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</si>
  <si>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</si>
  <si>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</si>
  <si>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</si>
  <si>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</si>
  <si>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</si>
  <si>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</si>
  <si>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</si>
  <si>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</si>
  <si>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</si>
  <si>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</si>
  <si>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</si>
  <si>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</si>
  <si>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</si>
  <si>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</si>
  <si>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</si>
  <si>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</si>
  <si>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</si>
  <si>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</si>
  <si>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</si>
  <si>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</si>
  <si>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</si>
  <si>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</si>
  <si>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</si>
  <si>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</si>
  <si>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</si>
  <si>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</si>
  <si>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</si>
  <si>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</si>
  <si>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</si>
  <si>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</si>
  <si>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</si>
  <si>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</si>
  <si>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(164.0)/(97.4)/+1.0K</t>
  </si>
  <si>
    <t xml:space="preserve">Scenario Summary row 14</t>
  </si>
  <si>
    <t xml:space="preserve">Loss cut vs Act/For</t>
  </si>
  <si>
    <t xml:space="preserve">loss eliminated</t>
  </si>
  <si>
    <t xml:space="preserve">1 − E14/C14</t>
  </si>
  <si>
    <t xml:space="preserve">Combined 2027 (with Vessel)</t>
  </si>
  <si>
    <t xml:space="preserve">+$88.1K</t>
  </si>
  <si>
    <t xml:space="preserve">Scenario Summary E40</t>
  </si>
  <si>
    <t xml:space="preserve">Immediate impact note: Aug–Dec with vs without changes</t>
  </si>
  <si>
    <t xml:space="preserve">+$66.6K</t>
  </si>
  <si>
    <t xml:space="preserve">2026 Bridge D19</t>
  </si>
  <si>
    <t xml:space="preserve">18</t>
  </si>
  <si>
    <t xml:space="preserve">Vessel go-forward: Aug–Dec immediate impact</t>
  </si>
  <si>
    <t xml:space="preserve">+$29.6K (9/1 go-live)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</si>
  <si>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</si>
  <si>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</si>
  <si>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</si>
  <si>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</si>
  <si>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</si>
  <si>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</si>
  <si>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</si>
  <si>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</si>
  <si>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</si>
  <si>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</si>
  <si>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</si>
  <si>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</si>
  <si>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</si>
  <si>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</si>
  <si>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</si>
  <si>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</si>
  <si>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</si>
  <si>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</si>
  <si>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</si>
  <si>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</si>
  <si>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</si>
  <si>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</si>
  <si>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</si>
  <si>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</si>
  <si>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</si>
  <si>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</si>
  <si>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</si>
  <si>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</si>
  <si>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</si>
  <si>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</si>
  <si>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</si>
  <si>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</si>
  <si>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</si>
  <si>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</si>
  <si>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</si>
  <si>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</si>
  <si>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</si>
  <si>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</si>
  <si>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</si>
  <si>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</si>
  <si>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LW — Cleanup levers (v23): food COGS → 40% of food sales · G&amp;A-unc → 4.5% of revenue · discounts &amp; comps → 2.5% of gross · retail COGS → 42% (LW Assumptions C51–C53, Retail Plan col D)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</si>
  <si>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</si>
  <si>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</si>
  <si>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</si>
  <si>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</si>
  <si>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8/1 fees · 9/1 revenue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</si>
  <si>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</si>
  <si>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</si>
  <si>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</si>
  <si>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</si>
  <si>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</si>
  <si>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</si>
  <si>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</si>
  <si>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</si>
  <si>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</si>
  <si>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</si>
  <si>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</si>
  <si>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</si>
  <si>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</si>
  <si>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</si>
  <si>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</si>
  <si>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</si>
  <si>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</si>
  <si>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</si>
  <si>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</si>
  <si>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</si>
  <si>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</si>
  <si>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</si>
  <si>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</si>
  <si>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</si>
  <si>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</si>
  <si>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</si>
  <si>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</si>
  <si>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</si>
  <si>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</si>
  <si>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</si>
  <si>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</si>
  <si>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</si>
  <si>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</si>
  <si>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</si>
  <si>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</si>
  <si>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</si>
  <si>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</si>
  <si>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</si>
  <si>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</si>
  <si>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</si>
  <si>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</si>
  <si>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</si>
  <si>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</si>
  <si>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</si>
  <si>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</si>
  <si>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</si>
  <si>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</si>
  <si>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</si>
  <si>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</si>
  <si>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</si>
  <si>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</si>
  <si>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</si>
  <si>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</si>
  <si>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</si>
  <si>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</si>
  <si>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</si>
  <si>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</si>
  <si>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</si>
  <si>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</si>
  <si>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</si>
  <si>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</si>
  <si>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</si>
  <si>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</si>
  <si>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</si>
  <si>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</si>
  <si>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</si>
  <si>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</si>
  <si>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</si>
  <si>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</si>
  <si>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</si>
  <si>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</si>
  <si>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</si>
  <si>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</si>
  <si>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</si>
  <si>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</si>
  <si>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</si>
  <si>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</si>
  <si>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</si>
  <si>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</si>
  <si>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</si>
  <si>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</si>
  <si>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</si>
  <si>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</si>
  <si>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</si>
  <si>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</si>
  <si>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</si>
  <si>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</si>
  <si>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</si>
  <si>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</si>
  <si>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</si>
  <si>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</si>
  <si>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</si>
  <si>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</si>
  <si>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</si>
  <si>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</si>
  <si>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</si>
  <si>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</si>
  <si>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</si>
  <si>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</si>
  <si>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</si>
  <si>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</si>
  <si>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</si>
  <si>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</si>
  <si>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</si>
  <si>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</si>
  <si>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</si>
  <si>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</si>
  <si>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</si>
  <si>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per-event F&amp;B realized (card: food $2,880 + bev $840; $4,000 contract minimum)</t>
  </si>
  <si>
    <t xml:space="preserve">Event volume (% of run-rate)</t>
  </si>
  <si>
    <t xml:space="preserve">scaled to ~$350K 2027 revenue — fewer, better events (~75/yr vs 105 run-rate)</t>
  </si>
  <si>
    <t xml:space="preserve">Food share of F&amp;B</t>
  </si>
  <si>
    <t xml:space="preserve">food share per the 2027 unit-economics card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</si>
  <si>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</si>
  <si>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</si>
  <si>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</si>
  <si>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</si>
  <si>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food cost per card: $1,600 on $2,880 (55.6%)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</si>
  <si>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</si>
  <si>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</si>
  <si>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</si>
  <si>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</si>
  <si>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</si>
  <si>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</si>
  <si>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</si>
  <si>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</si>
  <si>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</si>
  <si>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</si>
  <si>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PT&amp;B per card: $114 on $692 of wages (hourly+manager+bonus)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</si>
  <si>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</si>
  <si>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</si>
  <si>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</si>
  <si>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</si>
  <si>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</si>
  <si>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</si>
  <si>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</si>
  <si>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</si>
  <si>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</si>
  <si>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</si>
  <si>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</si>
  <si>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</si>
  <si>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</si>
  <si>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</si>
  <si>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</si>
  <si>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</si>
  <si>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Manager labor $/event</t>
  </si>
  <si>
    <t xml:space="preserve">2027 unit-economics card</t>
  </si>
  <si>
    <t xml:space="preserve">Bonus $/event</t>
  </si>
  <si>
    <t xml:space="preserve">Controllable expenses (% of revenue — 2027 card)</t>
  </si>
  <si>
    <t xml:space="preserve">$575/event incl CC fees</t>
  </si>
  <si>
    <t xml:space="preserve">Uncontrollable (% of revenue — 2027 card)</t>
  </si>
  <si>
    <t xml:space="preserve">$116/event</t>
  </si>
  <si>
    <t xml:space="preserve">Profit &amp; Loss Budget</t>
  </si>
  <si>
    <t xml:space="preserve">Events (2026 run-rate)</t>
  </si>
  <si>
    <t xml:space="preserve">Events (budgeted · monthly average)</t>
  </si>
  <si>
    <t xml:space="preserve">Other Operating Income (svc charge + 5% admin fee)</t>
  </si>
  <si>
    <t xml:space="preserve">Management Labor (per event, card $55)</t>
  </si>
  <si>
    <t xml:space="preserve">Bonus (per event, card $112)</t>
  </si>
  <si>
    <t xml:space="preserve">Operating Expenses (12.4% of revenue per card · incl CC)</t>
  </si>
  <si>
    <t xml:space="preserve">General &amp; Administrative - Controllable (4% target)</t>
  </si>
  <si>
    <t xml:space="preserve">General &amp; Administrative - Uncon (2.5% of revenue per card)</t>
  </si>
  <si>
    <t xml:space="preserve">Admin Fee (5% of F&amp;B — billed to clients, in income above)</t>
  </si>
  <si>
    <t xml:space="preserve"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</si>
  <si>
    <t xml:space="preserve">Roadmap at ~25% NOP — 2027 (Immediate) grown by the two rate inputs below</t>
  </si>
  <si>
    <t xml:space="preserve">GROWTH INPUTS (per year)</t>
  </si>
  <si>
    <t xml:space="preserve">Events added per year</t>
  </si>
  <si>
    <t xml:space="preserve">volume build: +10 events each year toward the ~125–130 stabilized calendar</t>
  </si>
  <si>
    <t xml:space="preserve">Avg revenue / event growth %/yr</t>
  </si>
  <si>
    <t xml:space="preserve">the driver: larger average events (minimums, upsells), not volume</t>
  </si>
  <si>
    <t xml:space="preserve">2027 · IMMEDIATE</t>
  </si>
  <si>
    <t xml:space="preserve">2028 · BUILDING</t>
  </si>
  <si>
    <t xml:space="preserve">2029 · STABILIZED</t>
  </si>
  <si>
    <t xml:space="preserve">Annual events</t>
  </si>
  <si>
    <t xml:space="preserve">Avg. revenue / event</t>
  </si>
  <si>
    <t xml:space="preserve">Annual revenue</t>
  </si>
  <si>
    <t xml:space="preserve">NOI margin (per-event card)</t>
  </si>
  <si>
    <t xml:space="preserve">Annual NOP</t>
  </si>
  <si>
    <t xml:space="preserve">2027 links live to the Vessel Budget (per-event card: $4,650 revenue · $1,157 NOP · 24.9% margin — margin holds at any volume). Roadmap: +10 events per year and +6%/yr average event revenue → stabilized in year 3 (2029): ~95 events, ~$498K revenue, ~$124K NOP at 25%. Growth comes from both a fuller calendar and larger average events, generating incremental ROOST room sales.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</si>
  <si>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</si>
  <si>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</si>
  <si>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</si>
  <si>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</si>
  <si>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</si>
  <si>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</si>
  <si>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</si>
  <si>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</si>
  <si>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</si>
  <si>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</si>
  <si>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</si>
  <si>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</si>
  <si>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</si>
  <si>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</si>
  <si>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</si>
  <si>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</si>
  <si>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</si>
  <si>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</si>
  <si>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</si>
  <si>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</si>
  <si>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</si>
  <si>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</si>
  <si>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</si>
  <si>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</si>
  <si>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</si>
  <si>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</si>
  <si>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</si>
  <si>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</si>
  <si>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</si>
  <si>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</si>
  <si>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Revenue Reconciliation — Toast PMIX vs reported P&amp;L · January–June 2026 · unreconciled amounts classified as Other Income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</si>
  <si>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</si>
  <si>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</si>
  <si>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</si>
  <si>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</si>
  <si>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</si>
  <si>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</si>
  <si>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H1 TOTAL</t>
  </si>
  <si>
    <t xml:space="preserve">THE BRIDGE — POS to reported income</t>
  </si>
  <si>
    <t xml:space="preserve">Toast PMIX — net item sales (POS, ex-void)</t>
  </si>
  <si>
    <t xml:space="preserve">GL gross revenue booked over POS net</t>
  </si>
  <si>
    <t xml:space="preserve">P&amp;L gross revenue (all category lines + other income)</t>
  </si>
  <si>
    <t xml:space="preserve">P&amp;L discounts &amp; comps</t>
  </si>
  <si>
    <t xml:space="preserve">P&amp;L REPORTED TOTAL INCOME</t>
  </si>
  <si>
    <t xml:space="preserve">Non-POS difference → classified as OTHER INCOME ($)</t>
  </si>
  <si>
    <t xml:space="preserve">Non-POS difference (% of POS net)</t>
  </si>
  <si>
    <t xml:space="preserve">RESTATED MONTHLY INCOME — POS category basis · residual plugged to Other Income</t>
  </si>
  <si>
    <t xml:space="preserve">Food (POS net)</t>
  </si>
  <si>
    <t xml:space="preserve">NA / Coffee (POS net)</t>
  </si>
  <si>
    <t xml:space="preserve">Liquor (POS net)</t>
  </si>
  <si>
    <t xml:space="preserve">Beer (POS net)</t>
  </si>
  <si>
    <t xml:space="preserve">Wine (POS net)</t>
  </si>
  <si>
    <t xml:space="preserve">Retail (POS net)</t>
  </si>
  <si>
    <t xml:space="preserve">Uncategorized rings (POS net)</t>
  </si>
  <si>
    <t xml:space="preserve">OTHER INCOME — non-POS / unreconciled (plug)</t>
  </si>
  <si>
    <t xml:space="preserve">RESTATED TOTAL INCOME</t>
  </si>
  <si>
    <t xml:space="preserve">Check vs reported P&amp;L (must be $0)</t>
  </si>
  <si>
    <t xml:space="preserve">Presentation-only restatement: reported monthly totals are unchanged; category lines tie to Toast and the residual (net of check-level comps) sits in Other Income.</t>
  </si>
  <si>
    <t xml:space="preserve">BY CATEGORY — POS net vs P&amp;L gross (as booked by the accountant)</t>
  </si>
  <si>
    <t xml:space="preserve">Food — POS net</t>
  </si>
  <si>
    <t xml:space="preserve">Food — P&amp;L gross</t>
  </si>
  <si>
    <t xml:space="preserve">Food — GL over POS</t>
  </si>
  <si>
    <t xml:space="preserve">NA / Coffee — POS net</t>
  </si>
  <si>
    <t xml:space="preserve">NA / Coffee — P&amp;L gross</t>
  </si>
  <si>
    <t xml:space="preserve">NA / Coffee — GL over POS</t>
  </si>
  <si>
    <t xml:space="preserve">Liquor — POS net</t>
  </si>
  <si>
    <t xml:space="preserve">Liquor — P&amp;L gross</t>
  </si>
  <si>
    <t xml:space="preserve">Liquor — GL over POS</t>
  </si>
  <si>
    <t xml:space="preserve">Beer — POS net</t>
  </si>
  <si>
    <t xml:space="preserve">Beer — P&amp;L gross</t>
  </si>
  <si>
    <t xml:space="preserve">Beer — GL over POS</t>
  </si>
  <si>
    <t xml:space="preserve">Wine — POS net</t>
  </si>
  <si>
    <t xml:space="preserve">Wine — P&amp;L gross</t>
  </si>
  <si>
    <t xml:space="preserve">Wine — GL over POS</t>
  </si>
  <si>
    <t xml:space="preserve">POS Retail sales (now shown as its own restated line above)</t>
  </si>
  <si>
    <t xml:space="preserve">POS uncategorized rings (blank category)</t>
  </si>
  <si>
    <t xml:space="preserve">P&amp;L Other Operating Income (as booked)</t>
  </si>
  <si>
    <t xml:space="preserve">H1 TIE TO THE OFFICIAL PMIX EXPORT (ProductMix_20260101_20260630)</t>
  </si>
  <si>
    <t xml:space="preserve">Toast gross item sales (export)</t>
  </si>
  <si>
    <t xml:space="preserve">Item-level discounts in POS (export)</t>
  </si>
  <si>
    <t xml:space="preserve">Toast net item sales (export)</t>
  </si>
  <si>
    <t xml:space="preserve">Revenue-center basis difference vs item CSVs</t>
  </si>
  <si>
    <t xml:space="preserve">POS net per monthly item detail (row 6)</t>
  </si>
  <si>
    <t xml:space="preserve">P&amp;L discounts &amp; comps H1 ($9,448) = POS item discounts ($6,718) + check-level discounts/comps booked in GL (~$2,730)</t>
  </si>
  <si>
    <t xml:space="preserve">TREATMENT ADOPTED &amp; NOTES FOR THE ACCOUNTANT</t>
  </si>
  <si>
    <t xml:space="preserve">0. TREATMENT: any reported revenue not supported by Toast POS is classified as OTHER OPERATING INCOME (restated view above). H1 total = +$1,586 net; reported totals unchanged.</t>
  </si>
  <si>
    <t xml:space="preserve">1. JANUARY: +$2,262 (+14.5%) of the Other Income plug sits in January — non-POS/journaled revenue. Ask what was booked; every other month is within ±1.6% of POS.</t>
  </si>
  <si>
    <t xml:space="preserve">2. LIQUOR: GL books $5,514 vs $2,575 in POS (+$2,939, concentrated Jan/Mar/Apr) — part of the amount reclassed to Other Income. Confirm source (PDR/private-bar or reclassed rings).</t>
  </si>
  <si>
    <t xml:space="preserve">3. RETAIL: $2,924 of POS retail sales have no P&amp;L line — restated view gives retail its own line; ask for a retail GL line going forward.</t>
  </si>
  <si>
    <t xml:space="preserve">4. Overall H1: GL gross exceeds POS net by $11,034 = $6,718 item discounts grossed up + ~$4.3K non-POS revenue. After the $9,448 discount line, the net non-POS residual of $1,586 is carried as Other Income.</t>
  </si>
  <si>
    <t xml:space="preserve">Item-Level Sales Forecast — actual units &amp; POS net sales Jan–Jun · forecast Jul–Dec at repriced menu (blue = editable: Rec +$ and forecast units)</t>
  </si>
  <si>
    <t xml:space="preserve">PRICING</t>
  </si>
  <si>
    <t xml:space="preserve">ACTUAL UNITS</t>
  </si>
  <si>
    <t xml:space="preserve">ACTUAL NET SALES (POS)</t>
  </si>
  <si>
    <t xml:space="preserve">FORECAST UNITS · JUL–DEC (INPUT)</t>
  </si>
  <si>
    <t xml:space="preserve">FORECAST SALES · JUL–DEC @ NEW PRICE</t>
  </si>
  <si>
    <t xml:space="preserve">Item</t>
  </si>
  <si>
    <t xml:space="preserve">Rec +$</t>
  </si>
  <si>
    <t xml:space="preserve">Avg $</t>
  </si>
  <si>
    <t xml:space="preserve">New $</t>
  </si>
  <si>
    <t xml:space="preserve">H1 u</t>
  </si>
  <si>
    <t xml:space="preserve">H1 $</t>
  </si>
  <si>
    <t xml:space="preserve">H2 $</t>
  </si>
  <si>
    <t xml:space="preserve">NA BEVERAGE — POS net</t>
  </si>
  <si>
    <t xml:space="preserve">Latte</t>
  </si>
  <si>
    <t xml:space="preserve">Drip Coffee</t>
  </si>
  <si>
    <t xml:space="preserve">Coldbrew</t>
  </si>
  <si>
    <t xml:space="preserve">Matcha Latte</t>
  </si>
  <si>
    <t xml:space="preserve">Espresso</t>
  </si>
  <si>
    <t xml:space="preserve">Natalie's Juice</t>
  </si>
  <si>
    <t xml:space="preserve">Americano</t>
  </si>
  <si>
    <t xml:space="preserve">Cappuccino</t>
  </si>
  <si>
    <t xml:space="preserve">Chai Latte</t>
  </si>
  <si>
    <t xml:space="preserve">Saratoga - Still Water</t>
  </si>
  <si>
    <t xml:space="preserve">Mocha</t>
  </si>
  <si>
    <t xml:space="preserve">Saratoga - Still (16oz)</t>
  </si>
  <si>
    <t xml:space="preserve">Brewed Tea</t>
  </si>
  <si>
    <t xml:space="preserve">Cortado</t>
  </si>
  <si>
    <t xml:space="preserve">Flat White</t>
  </si>
  <si>
    <t xml:space="preserve">Rich Juice</t>
  </si>
  <si>
    <t xml:space="preserve">Draft Latte</t>
  </si>
  <si>
    <t xml:space="preserve">Loop Juice</t>
  </si>
  <si>
    <t xml:space="preserve">Gatorade Can</t>
  </si>
  <si>
    <t xml:space="preserve">Coke</t>
  </si>
  <si>
    <t xml:space="preserve">Half Tan</t>
  </si>
  <si>
    <t xml:space="preserve">RICH Juice</t>
  </si>
  <si>
    <t xml:space="preserve">Saratoga - Still (28 oz)</t>
  </si>
  <si>
    <t xml:space="preserve">Saratoga - Sparkling Water</t>
  </si>
  <si>
    <t xml:space="preserve">Diet Coke</t>
  </si>
  <si>
    <t xml:space="preserve">Saratoga - Sparkling (16oz)</t>
  </si>
  <si>
    <t xml:space="preserve">Sprite</t>
  </si>
  <si>
    <t xml:space="preserve">Ginger Ale</t>
  </si>
  <si>
    <t xml:space="preserve">London Fog</t>
  </si>
  <si>
    <t xml:space="preserve">RedEye</t>
  </si>
  <si>
    <t xml:space="preserve">Hot Chocolate</t>
  </si>
  <si>
    <t xml:space="preserve">Martinelli's Apple Juice</t>
  </si>
  <si>
    <t xml:space="preserve">Boylan Soda</t>
  </si>
  <si>
    <t xml:space="preserve">Macchiato</t>
  </si>
  <si>
    <t xml:space="preserve">La Colombe Cold Brew Can</t>
  </si>
  <si>
    <t xml:space="preserve">Saratoga Still</t>
  </si>
  <si>
    <t xml:space="preserve">Harney and Sons Tea</t>
  </si>
  <si>
    <t xml:space="preserve">Saratoga Sparkling</t>
  </si>
  <si>
    <t xml:space="preserve">Non Alcoholic Beer</t>
  </si>
  <si>
    <t xml:space="preserve">La Colombe Strawberry Mocha Can</t>
  </si>
  <si>
    <t xml:space="preserve">RICH Wellness Shot</t>
  </si>
  <si>
    <t xml:space="preserve">Hazy Mobtown</t>
  </si>
  <si>
    <t xml:space="preserve">Here &amp; Now Rose Glass</t>
  </si>
  <si>
    <t xml:space="preserve">RAR Hefeweizen</t>
  </si>
  <si>
    <t xml:space="preserve">Tui by the glass</t>
  </si>
  <si>
    <t xml:space="preserve">Simple Syrup For Event 5/30</t>
  </si>
  <si>
    <t xml:space="preserve">Favuzzi Soda</t>
  </si>
  <si>
    <t xml:space="preserve">La Colombe Peppermint Mocha</t>
  </si>
  <si>
    <t xml:space="preserve">Peach Gose - Non Alcoholic</t>
  </si>
  <si>
    <t xml:space="preserve">Oriole Blonde Orange Ale HH</t>
  </si>
  <si>
    <t xml:space="preserve">Baby-Chino</t>
  </si>
  <si>
    <t xml:space="preserve">410 Cold Brew</t>
  </si>
  <si>
    <t xml:space="preserve">Almond Milk</t>
  </si>
  <si>
    <t xml:space="preserve">Boylan Creme Soda</t>
  </si>
  <si>
    <t xml:space="preserve">Feed The Monkey Hefeweizen HH</t>
  </si>
  <si>
    <t xml:space="preserve">Matthew Fritz by the glass</t>
  </si>
  <si>
    <t xml:space="preserve">Phony Negroni</t>
  </si>
  <si>
    <t xml:space="preserve">Lemonade</t>
  </si>
  <si>
    <t xml:space="preserve">Boylan Shirley Temple</t>
  </si>
  <si>
    <t xml:space="preserve">Slim Dust Hazy</t>
  </si>
  <si>
    <t xml:space="preserve">Rich Jucie</t>
  </si>
  <si>
    <t xml:space="preserve">Textbook by the glass</t>
  </si>
  <si>
    <t xml:space="preserve">410 Latte</t>
  </si>
  <si>
    <t xml:space="preserve">Non Alcoholic</t>
  </si>
  <si>
    <t xml:space="preserve">Oat Milk</t>
  </si>
  <si>
    <t xml:space="preserve">Gen by the glass</t>
  </si>
  <si>
    <t xml:space="preserve">Whole Milk Galln</t>
  </si>
  <si>
    <t xml:space="preserve">Dough by the glass</t>
  </si>
  <si>
    <t xml:space="preserve">Milk</t>
  </si>
  <si>
    <t xml:space="preserve">Red Panda- Ale</t>
  </si>
  <si>
    <t xml:space="preserve">Bluegrass</t>
  </si>
  <si>
    <t xml:space="preserve">Boat Day</t>
  </si>
  <si>
    <t xml:space="preserve">Gallon Milk</t>
  </si>
  <si>
    <t xml:space="preserve">Feed The Monkey Hefeweizen</t>
  </si>
  <si>
    <t xml:space="preserve">Michelob Ultra HH</t>
  </si>
  <si>
    <t xml:space="preserve">Iced Tea</t>
  </si>
  <si>
    <t xml:space="preserve">Orange Juice</t>
  </si>
  <si>
    <t xml:space="preserve">Cup Of Milk</t>
  </si>
  <si>
    <t xml:space="preserve">Cups</t>
  </si>
  <si>
    <t xml:space="preserve">Expresso</t>
  </si>
  <si>
    <t xml:space="preserve">Roost Employee Drip Coffee</t>
  </si>
  <si>
    <t xml:space="preserve">Drip 2</t>
  </si>
  <si>
    <t xml:space="preserve">TOTAL NA BEVERAGE</t>
  </si>
  <si>
    <t xml:space="preserve">FOOD — POS net</t>
  </si>
  <si>
    <t xml:space="preserve">Bacon, Egg, &amp; Cheese</t>
  </si>
  <si>
    <t xml:space="preserve">Egg &amp; Cheese</t>
  </si>
  <si>
    <t xml:space="preserve">Yogurt Parfait</t>
  </si>
  <si>
    <t xml:space="preserve">Turkey No Club</t>
  </si>
  <si>
    <t xml:space="preserve">Chocolate Croissant</t>
  </si>
  <si>
    <t xml:space="preserve">BLT</t>
  </si>
  <si>
    <t xml:space="preserve">Caprese</t>
  </si>
  <si>
    <t xml:space="preserve">Croissant</t>
  </si>
  <si>
    <t xml:space="preserve">Blueberry Matcha</t>
  </si>
  <si>
    <t xml:space="preserve">Berry Antioxidant Boost</t>
  </si>
  <si>
    <t xml:space="preserve">The Girl Scout</t>
  </si>
  <si>
    <t xml:space="preserve">Turkey Caesar Sandwich</t>
  </si>
  <si>
    <t xml:space="preserve">Route 11 Chips</t>
  </si>
  <si>
    <t xml:space="preserve">Sweet Onion Mornin'</t>
  </si>
  <si>
    <t xml:space="preserve">Bagel</t>
  </si>
  <si>
    <t xml:space="preserve">Green Daily Driver</t>
  </si>
  <si>
    <t xml:space="preserve">Donut</t>
  </si>
  <si>
    <t xml:space="preserve">Righteous Fellon Jerky</t>
  </si>
  <si>
    <t xml:space="preserve">Bella's Baked Goods</t>
  </si>
  <si>
    <t xml:space="preserve">Cheese Danish</t>
  </si>
  <si>
    <t xml:space="preserve">Blueberry Muffin</t>
  </si>
  <si>
    <t xml:space="preserve">Cold Brew Mocha Protein</t>
  </si>
  <si>
    <t xml:space="preserve">M&amp;Ms</t>
  </si>
  <si>
    <t xml:space="preserve">Italian</t>
  </si>
  <si>
    <t xml:space="preserve">Protein Puck</t>
  </si>
  <si>
    <t xml:space="preserve">Pistachio Croissant</t>
  </si>
  <si>
    <t xml:space="preserve">Turkey &amp; Cheese Sandwich</t>
  </si>
  <si>
    <t xml:space="preserve">Tropical Blast</t>
  </si>
  <si>
    <t xml:space="preserve">Steak, Egg &amp; Cheese</t>
  </si>
  <si>
    <t xml:space="preserve">Herb Roasted Chicken</t>
  </si>
  <si>
    <t xml:space="preserve">Seafood Paella</t>
  </si>
  <si>
    <t xml:space="preserve">Grilled Shrimp Skewers</t>
  </si>
  <si>
    <t xml:space="preserve">Almond Croissant</t>
  </si>
  <si>
    <t xml:space="preserve">Spinach &amp; Feta Danish</t>
  </si>
  <si>
    <t xml:space="preserve">Reese's</t>
  </si>
  <si>
    <t xml:space="preserve">Lasagna -Ground Beef</t>
  </si>
  <si>
    <t xml:space="preserve">Matcha Made in Heaven</t>
  </si>
  <si>
    <t xml:space="preserve">Stroopies</t>
  </si>
  <si>
    <t xml:space="preserve">Carne Asada Skewers</t>
  </si>
  <si>
    <t xml:space="preserve">Charcuterie Trays</t>
  </si>
  <si>
    <t xml:space="preserve">Haribo Gummy Bears</t>
  </si>
  <si>
    <t xml:space="preserve">Ice Cream Bar</t>
  </si>
  <si>
    <t xml:space="preserve">Apple Cinnamon Coffee Cake</t>
  </si>
  <si>
    <t xml:space="preserve">Quinn Sea Salt Pretzels</t>
  </si>
  <si>
    <t xml:space="preserve">Chicken Skewers</t>
  </si>
  <si>
    <t xml:space="preserve">JamBar</t>
  </si>
  <si>
    <t xml:space="preserve">Ham &amp; Cheese Sandwich</t>
  </si>
  <si>
    <t xml:space="preserve">Build Your Own</t>
  </si>
  <si>
    <t xml:space="preserve">Wilde Protein Chips</t>
  </si>
  <si>
    <t xml:space="preserve">Primi Italian Pasta</t>
  </si>
  <si>
    <t xml:space="preserve">Original Pringles Chips</t>
  </si>
  <si>
    <t xml:space="preserve">Spring Refresher</t>
  </si>
  <si>
    <t xml:space="preserve">Pain au Chocolate</t>
  </si>
  <si>
    <t xml:space="preserve">Grapes</t>
  </si>
  <si>
    <t xml:space="preserve">Biscoff Muffin</t>
  </si>
  <si>
    <t xml:space="preserve">Turkey Cheese Sandwich</t>
  </si>
  <si>
    <t xml:space="preserve">Italian Sandwich</t>
  </si>
  <si>
    <t xml:space="preserve">Jalapeno Danish</t>
  </si>
  <si>
    <t xml:space="preserve">Fisher's Popcorn</t>
  </si>
  <si>
    <t xml:space="preserve">Melon Cups</t>
  </si>
  <si>
    <t xml:space="preserve">Mixed Berries</t>
  </si>
  <si>
    <t xml:space="preserve">Charcuterie Plate</t>
  </si>
  <si>
    <t xml:space="preserve">Sweet Onion Morning</t>
  </si>
  <si>
    <t xml:space="preserve">Fig and Cheese Danish</t>
  </si>
  <si>
    <t xml:space="preserve">Cutwater Cocktails</t>
  </si>
  <si>
    <t xml:space="preserve">Ferris Mixed Nuts</t>
  </si>
  <si>
    <t xml:space="preserve">Raspberry Rose Danish</t>
  </si>
  <si>
    <t xml:space="preserve">Date Night</t>
  </si>
  <si>
    <t xml:space="preserve">Herb Hummus &amp; Tomato</t>
  </si>
  <si>
    <t xml:space="preserve">Table 87 Margerita</t>
  </si>
  <si>
    <t xml:space="preserve">Cupid's Coffee</t>
  </si>
  <si>
    <t xml:space="preserve">Macaroni &amp;Cheese</t>
  </si>
  <si>
    <t xml:space="preserve">Chocolate Bars</t>
  </si>
  <si>
    <t xml:space="preserve">Pesto Pasta</t>
  </si>
  <si>
    <t xml:space="preserve">Apple Danish</t>
  </si>
  <si>
    <t xml:space="preserve">Pistachio Snack</t>
  </si>
  <si>
    <t xml:space="preserve">Nacho Cheese Doritos Chips</t>
  </si>
  <si>
    <t xml:space="preserve">Fruit Cups</t>
  </si>
  <si>
    <t xml:space="preserve">Sour Cream and Onion Pringles</t>
  </si>
  <si>
    <t xml:space="preserve">Aahana's Power Bowl</t>
  </si>
  <si>
    <t xml:space="preserve">Favuzzi Pizza Tomato Sauce</t>
  </si>
  <si>
    <t xml:space="preserve">Pineapple Coconut Chia Pudding</t>
  </si>
  <si>
    <t xml:space="preserve">Caesar Pasta Salad</t>
  </si>
  <si>
    <t xml:space="preserve">Brightland 12.7oz</t>
  </si>
  <si>
    <t xml:space="preserve">Vanilla Cupcake</t>
  </si>
  <si>
    <t xml:space="preserve">Cadbury Creme Egg</t>
  </si>
  <si>
    <t xml:space="preserve">Cranberry Danish</t>
  </si>
  <si>
    <t xml:space="preserve">Glazed Donut</t>
  </si>
  <si>
    <t xml:space="preserve">Danish + Drip</t>
  </si>
  <si>
    <t xml:space="preserve">Caesar Salad</t>
  </si>
  <si>
    <t xml:space="preserve">Luck of the Irish</t>
  </si>
  <si>
    <t xml:space="preserve">Lays Classic Chips</t>
  </si>
  <si>
    <t xml:space="preserve">Bananas</t>
  </si>
  <si>
    <t xml:space="preserve">Glazed Apricot Ricotta w/ Maple Pepper Bacon</t>
  </si>
  <si>
    <t xml:space="preserve">Cheddar Cheese Pringles</t>
  </si>
  <si>
    <t xml:space="preserve">M&amp;M Peanuts</t>
  </si>
  <si>
    <t xml:space="preserve">Greek Chicken Salad</t>
  </si>
  <si>
    <t xml:space="preserve">Kate's Real Food Bar</t>
  </si>
  <si>
    <t xml:space="preserve">Coconut Chia Pudding</t>
  </si>
  <si>
    <t xml:space="preserve">Black Beans &amp; Yellow Rice</t>
  </si>
  <si>
    <t xml:space="preserve">Slicker Than A Snicker Lava Cake</t>
  </si>
  <si>
    <t xml:space="preserve">Table 87 Slice Pepperoni</t>
  </si>
  <si>
    <t xml:space="preserve">Pesto Pasta w/ Shrimp</t>
  </si>
  <si>
    <t xml:space="preserve">Peanut Butter &amp; Jelly Sandwich</t>
  </si>
  <si>
    <t xml:space="preserve">Muffin</t>
  </si>
  <si>
    <t xml:space="preserve">Bob's Red Mill Gluten Free Oatmeal- Apple Cinnamon</t>
  </si>
  <si>
    <t xml:space="preserve">Vegetable Medley</t>
  </si>
  <si>
    <t xml:space="preserve">Pastrami Swiss Sandwich</t>
  </si>
  <si>
    <t xml:space="preserve">Pastrami Sandwich</t>
  </si>
  <si>
    <t xml:space="preserve">Chocolate Cupcake</t>
  </si>
  <si>
    <t xml:space="preserve">Turkey and Cheese Sandwich</t>
  </si>
  <si>
    <t xml:space="preserve">Black Pearl Chai</t>
  </si>
  <si>
    <t xml:space="preserve">Chicken Dumpling</t>
  </si>
  <si>
    <t xml:space="preserve">Meatloaf Special</t>
  </si>
  <si>
    <t xml:space="preserve">Brownie</t>
  </si>
  <si>
    <t xml:space="preserve">Microwave Popcorn</t>
  </si>
  <si>
    <t xml:space="preserve">BBQ Pringles Chips</t>
  </si>
  <si>
    <t xml:space="preserve">Cinnamon Swirl Latte</t>
  </si>
  <si>
    <t xml:space="preserve">Rachel</t>
  </si>
  <si>
    <t xml:space="preserve">Nacho Cheese Doritos</t>
  </si>
  <si>
    <t xml:space="preserve">Fruit Salad</t>
  </si>
  <si>
    <t xml:space="preserve">Magic Bar</t>
  </si>
  <si>
    <t xml:space="preserve">Table 87 Slice Margerita</t>
  </si>
  <si>
    <t xml:space="preserve">Shrimp Asian Pasta Salad</t>
  </si>
  <si>
    <t xml:space="preserve">Tuna Salad and Crackers Box</t>
  </si>
  <si>
    <t xml:space="preserve">Sweet Deliverance Granola</t>
  </si>
  <si>
    <t xml:space="preserve">Carrot Cupcake</t>
  </si>
  <si>
    <t xml:space="preserve">Banana Almond Chia Pudding</t>
  </si>
  <si>
    <t xml:space="preserve">Pot o’ Gold Matcha</t>
  </si>
  <si>
    <t xml:space="preserve">Ham &amp; Cheese Sandwich with Pineapple Jam</t>
  </si>
  <si>
    <t xml:space="preserve">Chia Pudding with Protein</t>
  </si>
  <si>
    <t xml:space="preserve">Charcuterie Board</t>
  </si>
  <si>
    <t xml:space="preserve">Spicy Pasta Salad</t>
  </si>
  <si>
    <t xml:space="preserve">Caprese on Sourdough</t>
  </si>
  <si>
    <t xml:space="preserve">Cool Ranch Doritos</t>
  </si>
  <si>
    <t xml:space="preserve">Lamb Spaghetti special</t>
  </si>
  <si>
    <t xml:space="preserve">Cookie Butter Treats</t>
  </si>
  <si>
    <t xml:space="preserve">Blondie</t>
  </si>
  <si>
    <t xml:space="preserve">Ice Cream Cup</t>
  </si>
  <si>
    <t xml:space="preserve">Turkey Caesar</t>
  </si>
  <si>
    <t xml:space="preserve">Asian Pasta W/ Shrimp</t>
  </si>
  <si>
    <t xml:space="preserve">Gabriel &amp; Daniel</t>
  </si>
  <si>
    <t xml:space="preserve">Japanese Cheesecake</t>
  </si>
  <si>
    <t xml:space="preserve">Turkey, Bacon, Avocado Sandwich</t>
  </si>
  <si>
    <t xml:space="preserve">Fishwife - Sardines With Preserved Lemon</t>
  </si>
  <si>
    <t xml:space="preserve">Patagonia Curry Sardines</t>
  </si>
  <si>
    <t xml:space="preserve">Italian Pasta Salad</t>
  </si>
  <si>
    <t xml:space="preserve">Roasted Blueberry Ricotta</t>
  </si>
  <si>
    <t xml:space="preserve">Red Velvet Cupcake</t>
  </si>
  <si>
    <t xml:space="preserve">Spicy Cajun Pasta Salad</t>
  </si>
  <si>
    <t xml:space="preserve">Michelob Ultra</t>
  </si>
  <si>
    <t xml:space="preserve">Red Velvet Cupcake Duo</t>
  </si>
  <si>
    <t xml:space="preserve">Vegetarian Tomato, Pesto, and Feta Sandwich</t>
  </si>
  <si>
    <t xml:space="preserve">House Salad</t>
  </si>
  <si>
    <t xml:space="preserve">Ham &amp; Cheese</t>
  </si>
  <si>
    <t xml:space="preserve">Watermelon Cup</t>
  </si>
  <si>
    <t xml:space="preserve">Organic Fruit Jerky</t>
  </si>
  <si>
    <t xml:space="preserve">LWD JuneShine Mai Tai</t>
  </si>
  <si>
    <t xml:space="preserve">Simply Peppermint</t>
  </si>
  <si>
    <t xml:space="preserve">Overnight Oats (Dairy Free Coconut Milk)</t>
  </si>
  <si>
    <t xml:space="preserve">Jalapeno Popper Danish</t>
  </si>
  <si>
    <t xml:space="preserve">Ricotta Toast</t>
  </si>
  <si>
    <t xml:space="preserve">Bronze Venus Cortado</t>
  </si>
  <si>
    <t xml:space="preserve">Ferris Mixed Berries and Nuts</t>
  </si>
  <si>
    <t xml:space="preserve">Cheesecake Cup</t>
  </si>
  <si>
    <t xml:space="preserve">Balsamic Vinegar</t>
  </si>
  <si>
    <t xml:space="preserve">Pineapple Cups</t>
  </si>
  <si>
    <t xml:space="preserve">Love you a Latte (National Latte Day Special)</t>
  </si>
  <si>
    <t xml:space="preserve">Strawberry Jam Baked Bread Pudding Cup</t>
  </si>
  <si>
    <t xml:space="preserve">Watermelon Cups</t>
  </si>
  <si>
    <t xml:space="preserve">Rice Krispy Treats</t>
  </si>
  <si>
    <t xml:space="preserve">Ham and Havarti Cheese on Croissant</t>
  </si>
  <si>
    <t xml:space="preserve">Turkey and Cheese on Croissant</t>
  </si>
  <si>
    <t xml:space="preserve">American Vinegar Works - Red Wine Vinegar</t>
  </si>
  <si>
    <t xml:space="preserve">Spring Cupcake</t>
  </si>
  <si>
    <t xml:space="preserve">Twix Ice Cream Bar</t>
  </si>
  <si>
    <t xml:space="preserve">Apple Fritter</t>
  </si>
  <si>
    <t xml:space="preserve">Pineapple Cup</t>
  </si>
  <si>
    <t xml:space="preserve">Everything Bagel with Tomato Herb Cream Cheese and Bacon</t>
  </si>
  <si>
    <t xml:space="preserve">Haagen Daaz Cups</t>
  </si>
  <si>
    <t xml:space="preserve">Mixed Fruit Cup</t>
  </si>
  <si>
    <t xml:space="preserve">Chef Salad Bowl</t>
  </si>
  <si>
    <t xml:space="preserve">Teriyaki Turkey Sandwich</t>
  </si>
  <si>
    <t xml:space="preserve">Lentil Burger</t>
  </si>
  <si>
    <t xml:space="preserve">Potomac Chocolate Drinking Chocolate</t>
  </si>
  <si>
    <t xml:space="preserve">Salad</t>
  </si>
  <si>
    <t xml:space="preserve">Rainbow Carrot Salad</t>
  </si>
  <si>
    <t xml:space="preserve">Oriole Blonde Orange Ale</t>
  </si>
  <si>
    <t xml:space="preserve">Apples</t>
  </si>
  <si>
    <t xml:space="preserve">Chicken Salad Sliders</t>
  </si>
  <si>
    <t xml:space="preserve">Cookie Dough Cheesecake Cup</t>
  </si>
  <si>
    <t xml:space="preserve">Fruit Salad Cup</t>
  </si>
  <si>
    <t xml:space="preserve">Pickle Snack Cup</t>
  </si>
  <si>
    <t xml:space="preserve">Cake and Cream Dessert Cup</t>
  </si>
  <si>
    <t xml:space="preserve">Chocolate Chip Muffin</t>
  </si>
  <si>
    <t xml:space="preserve">Matcha Chia Pudding</t>
  </si>
  <si>
    <t xml:space="preserve">Häagen-Dazs</t>
  </si>
  <si>
    <t xml:space="preserve">Ruben</t>
  </si>
  <si>
    <t xml:space="preserve">Apple Pie Egg Roll</t>
  </si>
  <si>
    <t xml:space="preserve">Apple Cheese Bread Pudding</t>
  </si>
  <si>
    <t xml:space="preserve">Asian Pasta Salad</t>
  </si>
  <si>
    <t xml:space="preserve">Ham and Cheese on Croissant</t>
  </si>
  <si>
    <t xml:space="preserve">Matcha Chia Pudding with Protein</t>
  </si>
  <si>
    <t xml:space="preserve">chocolate peanut butter cup</t>
  </si>
  <si>
    <t xml:space="preserve">Favuzzi Tomato Paste</t>
  </si>
  <si>
    <t xml:space="preserve">Chocolate Covered Strawberries (3)</t>
  </si>
  <si>
    <t xml:space="preserve">White Chocolate Covered Fruits</t>
  </si>
  <si>
    <t xml:space="preserve">Rawmyun Ramen</t>
  </si>
  <si>
    <t xml:space="preserve">Ricotta &amp; Honey</t>
  </si>
  <si>
    <t xml:space="preserve">Watermelon</t>
  </si>
  <si>
    <t xml:space="preserve">Sprinkle Cookie</t>
  </si>
  <si>
    <t xml:space="preserve">Corona</t>
  </si>
  <si>
    <t xml:space="preserve">Everything Bagel with Cream Cheese Pack</t>
  </si>
  <si>
    <t xml:space="preserve">Jose Gourmet - Tuna in EVOO</t>
  </si>
  <si>
    <t xml:space="preserve">Dumpling Soup</t>
  </si>
  <si>
    <t xml:space="preserve">Bacon &amp; egg plate</t>
  </si>
  <si>
    <t xml:space="preserve">Shaquanda's Hot Sauce - Hot Pepper</t>
  </si>
  <si>
    <t xml:space="preserve">Bacon egg &amp; Cheese Plate</t>
  </si>
  <si>
    <t xml:space="preserve">Pb &amp; J Toast</t>
  </si>
  <si>
    <t xml:space="preserve">Tropicalsmoothie</t>
  </si>
  <si>
    <t xml:space="preserve">Lemon Poppyseed Muffin</t>
  </si>
  <si>
    <t xml:space="preserve">Mini grazing board</t>
  </si>
  <si>
    <t xml:space="preserve">Forbidden Fruit Jam</t>
  </si>
  <si>
    <t xml:space="preserve">Pickle Bites</t>
  </si>
  <si>
    <t xml:space="preserve">Stuffed Almond Croissant</t>
  </si>
  <si>
    <t xml:space="preserve">Mediterranean Dips</t>
  </si>
  <si>
    <t xml:space="preserve">Everything Bread Pudding</t>
  </si>
  <si>
    <t xml:space="preserve">Snickerdoodle Cookie</t>
  </si>
  <si>
    <t xml:space="preserve">Chocolate Almond Croissant</t>
  </si>
  <si>
    <t xml:space="preserve">Honeydew</t>
  </si>
  <si>
    <t xml:space="preserve">Potomac Chocolate Bar</t>
  </si>
  <si>
    <t xml:space="preserve">Grilled Cheese</t>
  </si>
  <si>
    <t xml:space="preserve">Perfectly Creamy BNutty Peanut Butter</t>
  </si>
  <si>
    <t xml:space="preserve">LWD Corona</t>
  </si>
  <si>
    <t xml:space="preserve">Old School Brand - Pancake Mix</t>
  </si>
  <si>
    <t xml:space="preserve">Pineapples</t>
  </si>
  <si>
    <t xml:space="preserve">Jose Gourmet - Sardines in EVOO</t>
  </si>
  <si>
    <t xml:space="preserve">Shaquanda's Hot Sauce - Mx Green Sass</t>
  </si>
  <si>
    <t xml:space="preserve">Bagel Sandwich</t>
  </si>
  <si>
    <t xml:space="preserve">Lemon Bliss</t>
  </si>
  <si>
    <t xml:space="preserve">Choc Crossiant</t>
  </si>
  <si>
    <t xml:space="preserve">Crossiant</t>
  </si>
  <si>
    <t xml:space="preserve">Jacobson Salt Company - Pure Sea Salt Grinder</t>
  </si>
  <si>
    <t xml:space="preserve">Biscoff Spread</t>
  </si>
  <si>
    <t xml:space="preserve">Banana Nut Muffin</t>
  </si>
  <si>
    <t xml:space="preserve">Favuzzi Dried Orrechiette</t>
  </si>
  <si>
    <t xml:space="preserve">Frozen Coffee</t>
  </si>
  <si>
    <t xml:space="preserve">Chocolate Muffin</t>
  </si>
  <si>
    <t xml:space="preserve">Mobtown Hazy IPA</t>
  </si>
  <si>
    <t xml:space="preserve">Steak Egg &amp; cheese</t>
  </si>
  <si>
    <t xml:space="preserve">Chickpea</t>
  </si>
  <si>
    <t xml:space="preserve">Chili Bomba - Pineapple Belts</t>
  </si>
  <si>
    <t xml:space="preserve">Bacon Snack</t>
  </si>
  <si>
    <t xml:space="preserve">Chocolate Chip Cookie</t>
  </si>
  <si>
    <t xml:space="preserve">Tuna Salad on Croissant</t>
  </si>
  <si>
    <t xml:space="preserve">Melon</t>
  </si>
  <si>
    <t xml:space="preserve">Chocolate Eggs</t>
  </si>
  <si>
    <t xml:space="preserve">cookies</t>
  </si>
  <si>
    <t xml:space="preserve">Chocolate Chip Cookies Cup</t>
  </si>
  <si>
    <t xml:space="preserve">Ciabatta With Bacon</t>
  </si>
  <si>
    <t xml:space="preserve">Bacon Sandwich</t>
  </si>
  <si>
    <t xml:space="preserve">Double Chocolate Chip Muffin</t>
  </si>
  <si>
    <t xml:space="preserve">Strawberry Fruit Cup</t>
  </si>
  <si>
    <t xml:space="preserve">Plain Bagels - 5 Pack</t>
  </si>
  <si>
    <t xml:space="preserve">Cinn Bun</t>
  </si>
  <si>
    <t xml:space="preserve">Foccacia loaf</t>
  </si>
  <si>
    <t xml:space="preserve">Vegetarian Seafood Sandwich</t>
  </si>
  <si>
    <t xml:space="preserve">Hummus</t>
  </si>
  <si>
    <t xml:space="preserve">Sourdough Batard</t>
  </si>
  <si>
    <t xml:space="preserve">Tomato Soup</t>
  </si>
  <si>
    <t xml:space="preserve">Cream of Crab with Shrimp</t>
  </si>
  <si>
    <t xml:space="preserve">Stroopies Discount</t>
  </si>
  <si>
    <t xml:space="preserve">Foccacia toast With Butter</t>
  </si>
  <si>
    <t xml:space="preserve">Bagel with Blueberry Cream Cheese</t>
  </si>
  <si>
    <t xml:space="preserve">Snickers Ice Cream Bar</t>
  </si>
  <si>
    <t xml:space="preserve">Rasberry Danish</t>
  </si>
  <si>
    <t xml:space="preserve">Bread</t>
  </si>
  <si>
    <t xml:space="preserve">Danish</t>
  </si>
  <si>
    <t xml:space="preserve">Ceasar Salad</t>
  </si>
  <si>
    <t xml:space="preserve">Bagel with Strawberry Cream Cheese</t>
  </si>
  <si>
    <t xml:space="preserve">Blueberry Danish</t>
  </si>
  <si>
    <t xml:space="preserve">LWD National Bohemian</t>
  </si>
  <si>
    <t xml:space="preserve">Cup of Grapes</t>
  </si>
  <si>
    <t xml:space="preserve">grapes</t>
  </si>
  <si>
    <t xml:space="preserve">Pringles Chips</t>
  </si>
  <si>
    <t xml:space="preserve">muffin</t>
  </si>
  <si>
    <t xml:space="preserve">Kit-Kat</t>
  </si>
  <si>
    <t xml:space="preserve">Arnold Palmer</t>
  </si>
  <si>
    <t xml:space="preserve">Chocolatecrossiant</t>
  </si>
  <si>
    <t xml:space="preserve">Cinnimon Muffin</t>
  </si>
  <si>
    <t xml:space="preserve">Everything Bagel with Cream Cheese</t>
  </si>
  <si>
    <t xml:space="preserve">Hen of the Woods Potato Chips - Small</t>
  </si>
  <si>
    <t xml:space="preserve">Ciabatta Rolls</t>
  </si>
  <si>
    <t xml:space="preserve">Cranberry Muffin</t>
  </si>
  <si>
    <t xml:space="preserve">Toast</t>
  </si>
  <si>
    <t xml:space="preserve">Ezekial Toast</t>
  </si>
  <si>
    <t xml:space="preserve">Lemons</t>
  </si>
  <si>
    <t xml:space="preserve">Cold Foam</t>
  </si>
  <si>
    <t xml:space="preserve">Basil Pesto</t>
  </si>
  <si>
    <t xml:space="preserve">Black Beans</t>
  </si>
  <si>
    <t xml:space="preserve">Old School Brand - Cookie MIx</t>
  </si>
  <si>
    <t xml:space="preserve">Jacobson Salt Company - Pepper Grinder</t>
  </si>
  <si>
    <t xml:space="preserve">TOTAL FOOD</t>
  </si>
  <si>
    <t xml:space="preserve">LIQUOR — POS net</t>
  </si>
  <si>
    <t xml:space="preserve">Juneshine Canned Cocktails</t>
  </si>
  <si>
    <t xml:space="preserve">Orange Smash</t>
  </si>
  <si>
    <t xml:space="preserve">Classic Margarita</t>
  </si>
  <si>
    <t xml:space="preserve">Lemon Drop</t>
  </si>
  <si>
    <t xml:space="preserve">Brandy - Chateau du Breuil Calvados 15yr</t>
  </si>
  <si>
    <t xml:space="preserve">Rye - Sagamore Straight Rye</t>
  </si>
  <si>
    <t xml:space="preserve">Tequila - Mi Campo Blanco</t>
  </si>
  <si>
    <t xml:space="preserve">Old Fashioned</t>
  </si>
  <si>
    <t xml:space="preserve">Mezcal - Union Uno</t>
  </si>
  <si>
    <t xml:space="preserve">Liqueurs - Disaronno Amaretto</t>
  </si>
  <si>
    <t xml:space="preserve">Pool Juneshine Mai Tai</t>
  </si>
  <si>
    <t xml:space="preserve">Florida Seltzer</t>
  </si>
  <si>
    <t xml:space="preserve">Vodka - Grey Goose</t>
  </si>
  <si>
    <t xml:space="preserve">Busker's Blend - Irish Whiskey</t>
  </si>
  <si>
    <t xml:space="preserve">Mi Campo Reposado</t>
  </si>
  <si>
    <t xml:space="preserve">Pool Juneshine Vodka Soda</t>
  </si>
  <si>
    <t xml:space="preserve">TOTAL LIQUOR</t>
  </si>
  <si>
    <t xml:space="preserve">BOTTLED BEER — POS net</t>
  </si>
  <si>
    <t xml:space="preserve">Natty Bo</t>
  </si>
  <si>
    <t xml:space="preserve">Annapolis Lager</t>
  </si>
  <si>
    <t xml:space="preserve">M8- Hazy IPA</t>
  </si>
  <si>
    <t xml:space="preserve">Pickett Blue Grass- Pilsner</t>
  </si>
  <si>
    <t xml:space="preserve">Blue Grass Sunday</t>
  </si>
  <si>
    <t xml:space="preserve">Dry Rock Amber Cider</t>
  </si>
  <si>
    <t xml:space="preserve">HH M8 Slim Dusty</t>
  </si>
  <si>
    <t xml:space="preserve">National Bohemian</t>
  </si>
  <si>
    <t xml:space="preserve">Beer Farm Blonde Orange Ale</t>
  </si>
  <si>
    <t xml:space="preserve">Red Panda Ale</t>
  </si>
  <si>
    <t xml:space="preserve">Annapolis- Lager</t>
  </si>
  <si>
    <t xml:space="preserve">Natty Bo HH</t>
  </si>
  <si>
    <t xml:space="preserve">NA Italian Pils</t>
  </si>
  <si>
    <t xml:space="preserve">TOTAL BOTTLED BEER</t>
  </si>
  <si>
    <t xml:space="preserve">WINE — POS net</t>
  </si>
  <si>
    <t xml:space="preserve">Argyle Pinot Noir</t>
  </si>
  <si>
    <t xml:space="preserve">LeCole Chardonnay</t>
  </si>
  <si>
    <t xml:space="preserve">Textbook Cab 375ml</t>
  </si>
  <si>
    <t xml:space="preserve">Alpina Pinot Grigio - 375 ml</t>
  </si>
  <si>
    <t xml:space="preserve">Argyle Pinot Noir - 375 ml</t>
  </si>
  <si>
    <t xml:space="preserve">H-M Cahors Malbec</t>
  </si>
  <si>
    <t xml:space="preserve">Alpina Pinot Grigio</t>
  </si>
  <si>
    <t xml:space="preserve">Tui Glass</t>
  </si>
  <si>
    <t xml:space="preserve">Maggio Glass</t>
  </si>
  <si>
    <t xml:space="preserve">Spy Valley S. Blanc 375 ml</t>
  </si>
  <si>
    <t xml:space="preserve">Gen5 Glass</t>
  </si>
  <si>
    <t xml:space="preserve">Matthew Fritz Glass</t>
  </si>
  <si>
    <t xml:space="preserve">Dough Glass</t>
  </si>
  <si>
    <t xml:space="preserve">Textbook Glass</t>
  </si>
  <si>
    <t xml:space="preserve">Textbook Glass HH</t>
  </si>
  <si>
    <t xml:space="preserve">Matthew Fritz Glass HH</t>
  </si>
  <si>
    <t xml:space="preserve">GL Prosecco</t>
  </si>
  <si>
    <t xml:space="preserve">Pool Underwood Pinto Noir</t>
  </si>
  <si>
    <t xml:space="preserve">HH GL Textbook Cabernet Sauvignon</t>
  </si>
  <si>
    <t xml:space="preserve">TOTAL WINE</t>
  </si>
  <si>
    <t xml:space="preserve">RETAIL — POS net</t>
  </si>
  <si>
    <t xml:space="preserve">Jaume  Serra Brut 375ml</t>
  </si>
  <si>
    <t xml:space="preserve">La Crema Chardonnay 375ml</t>
  </si>
  <si>
    <t xml:space="preserve">Tylenol Extra Strength (Acetaminophen)</t>
  </si>
  <si>
    <t xml:space="preserve">Siduri Pinot Noir 375 ml</t>
  </si>
  <si>
    <t xml:space="preserve">Rishi Tea Retail</t>
  </si>
  <si>
    <t xml:space="preserve">Joel Gott Cab Sav 375ml</t>
  </si>
  <si>
    <t xml:space="preserve">Advil (Ibuprofen)</t>
  </si>
  <si>
    <t xml:space="preserve">Paper Bag</t>
  </si>
  <si>
    <t xml:space="preserve">Little Wing Mug</t>
  </si>
  <si>
    <t xml:space="preserve">M Goode Sav Blanc 375ml</t>
  </si>
  <si>
    <t xml:space="preserve">Little Wing T Shirt</t>
  </si>
  <si>
    <t xml:space="preserve">Maggio</t>
  </si>
  <si>
    <t xml:space="preserve">Le Labo Hand Lotion</t>
  </si>
  <si>
    <t xml:space="preserve">Rishi Holiday Tea</t>
  </si>
  <si>
    <t xml:space="preserve">Hons Honey - Self Care Gift Box</t>
  </si>
  <si>
    <t xml:space="preserve">Wight Tea - Ginger Peach</t>
  </si>
  <si>
    <t xml:space="preserve">Slim Dusty Hazy</t>
  </si>
  <si>
    <t xml:space="preserve">Tui Sav Blanc</t>
  </si>
  <si>
    <t xml:space="preserve">M8 Hazy IPA</t>
  </si>
  <si>
    <t xml:space="preserve">That Sounds So Good</t>
  </si>
  <si>
    <t xml:space="preserve">Advil Allergy/Congestion</t>
  </si>
  <si>
    <t xml:space="preserve">Cook This Book</t>
  </si>
  <si>
    <t xml:space="preserve">Banana Boat Sunscreen</t>
  </si>
  <si>
    <t xml:space="preserve">Italian Style Pils - Non Alcoholic</t>
  </si>
  <si>
    <t xml:space="preserve">Advil</t>
  </si>
  <si>
    <t xml:space="preserve">Manuka Honey Lip Balm</t>
  </si>
  <si>
    <t xml:space="preserve">Markham&amp;Fitz  Hot Chocolate</t>
  </si>
  <si>
    <t xml:space="preserve">Wight Tea - Baltimore Breakfast</t>
  </si>
  <si>
    <t xml:space="preserve">Tenzo Sweetened Matcha Single Serving Pack</t>
  </si>
  <si>
    <t xml:space="preserve">Coffee &amp; Books Sticker</t>
  </si>
  <si>
    <t xml:space="preserve">Holiday Toffee Box</t>
  </si>
  <si>
    <t xml:space="preserve">Matcha Girlie Sticker</t>
  </si>
  <si>
    <t xml:space="preserve">Fueled by Caffeine Sticker</t>
  </si>
  <si>
    <t xml:space="preserve">Tenzo Unsweetened Matcha Single Serving Pack</t>
  </si>
  <si>
    <t xml:space="preserve">Maryland Floral Sticker</t>
  </si>
  <si>
    <t xml:space="preserve">TOTAL RETAIL</t>
  </si>
  <si>
    <t xml:space="preserve">UNCATEGORIZED — POS net</t>
  </si>
  <si>
    <t xml:space="preserve">Gift Card</t>
  </si>
  <si>
    <t xml:space="preserve">Juicy IPA - Non Alcoholic</t>
  </si>
  <si>
    <t xml:space="preserve">Pool Juneshine Margarita</t>
  </si>
  <si>
    <t xml:space="preserve">Add Value ($)</t>
  </si>
  <si>
    <t xml:space="preserve">Room Delivery Fee (Event Rental)</t>
  </si>
  <si>
    <t xml:space="preserve">TOTAL UNCATEGORIZED</t>
  </si>
  <si>
    <t xml:space="preserve">GRAND TOTAL — ALL CATEGORIES</t>
  </si>
  <si>
    <t xml:space="preserve">Tie: H1 POS net per LW Rev Recon H1 (row 6)</t>
  </si>
  <si>
    <t xml:space="preserve">Model — LW 2026 Modified Total Income (GL basis, incl other income &amp; discounts)</t>
  </si>
  <si>
    <t xml:space="preserve">Item forecast vs model ($ · POS basis ran ~1.2% under GL income in H1)</t>
  </si>
  <si>
    <t xml:space="preserve">HOW TO FORECAST: set Rec +$ (col B) and monthly forecast units (cols S–X) per item — forecast sales = units × new price. Seeded units = Apr–Jun average; prices per deck slide 9.</t>
  </si>
  <si>
    <t xml:space="preserve">Repriced per the deck: Latte +$0.50 · Drip +$0.50 · Cold Brew +$0.45 · Cappuccino +$0.50 · Americano +$0.25 · Matcha +$0.50 · Egg &amp; Cheese sandwiches +$1.00 · Smoothies +$1.00. All other items held at $0 (editable).</t>
  </si>
  <si>
    <t xml:space="preserve">Actuals are Toast POS net (ex-void, ex-item-discount) and tie to LW Rev Recon H1 to the dollar. The model comparison row is GL-basis income (adds non-POS other income, nets all discounts).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</si>
  <si>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</si>
  <si>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</si>
  <si>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</si>
  <si>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</si>
  <si>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</si>
  <si>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</si>
  <si>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</si>
  <si>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Discounts &amp; Comps (2.5% target when live)</t>
  </si>
  <si>
    <t xml:space="preserve">Food Cost (40% target when live)</t>
  </si>
  <si>
    <t xml:space="preserve">Operating Expenses (12.5% target when live · incl CC)</t>
  </si>
  <si>
    <t xml:space="preserve">G&amp;A - Uncon (4.5% target when live)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</si>
  <si>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</si>
  <si>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</si>
  <si>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Fees &amp; expense levers go-live (INPUT):</t>
  </si>
  <si>
    <t xml:space="preserve">4% fee · rent waiver · expense targets</t>
  </si>
  <si>
    <t xml:space="preserve">Revenue adjustments go-live (INPUT):</t>
  </si>
  <si>
    <t xml:space="preserve">client-billed 5% admin fee — Aug events contracted at old terms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</si>
  <si>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</si>
  <si>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</si>
  <si>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</si>
  <si>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</si>
  <si>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</si>
  <si>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</si>
  <si>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</si>
  <si>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</si>
  <si>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</si>
  <si>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</si>
  <si>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</si>
  <si>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</si>
  <si>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</si>
  <si>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</si>
  <si>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</si>
  <si>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</si>
  <si>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</si>
  <si>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</si>
  <si>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</si>
  <si>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</si>
  <si>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</si>
  <si>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</si>
  <si>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</si>
  <si>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</si>
  <si>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</si>
  <si>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</si>
  <si>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</si>
  <si>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</si>
  <si>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</si>
  <si>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</si>
  <si>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</si>
  <si>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</si>
  <si>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</si>
  <si>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</si>
  <si>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</si>
  <si>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</si>
  <si>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</si>
  <si>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</si>
  <si>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</si>
  <si>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</si>
  <si>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</si>
  <si>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</si>
  <si>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</si>
  <si>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</si>
  <si>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</si>
  <si>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</si>
  <si>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</si>
  <si>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</si>
  <si>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</si>
  <si>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</si>
  <si>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</si>
  <si>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</si>
  <si>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</si>
  <si>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</si>
  <si>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</si>
  <si>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</si>
  <si>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</si>
  <si>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</si>
  <si>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</si>
  <si>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</si>
  <si>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</si>
  <si>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</si>
  <si>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</si>
  <si>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</si>
  <si>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</si>
  <si>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</si>
  <si>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Food COGS % target (of food sales — modified/plan)</t>
  </si>
  <si>
    <t xml:space="preserve">was booking 52–58% in the forecast; POS math says ~44 — waste/coding cleanup to 40%</t>
  </si>
  <si>
    <t xml:space="preserve">G&amp;A uncontrollable (% of revenue — modified/plan)</t>
  </si>
  <si>
    <t xml:space="preserve">was ~5.4% of revenue in the forecast</t>
  </si>
  <si>
    <t xml:space="preserve">Discounts &amp; comps (% of gross sales — modified/plan)</t>
  </si>
  <si>
    <t xml:space="preserve">was ~5% — Peninsula Perks / employee comp discipline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</si>
  <si>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</si>
  <si>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</si>
  <si>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</si>
  <si>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</si>
  <si>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</si>
  <si>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</si>
  <si>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</si>
  <si>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Discounts &amp; Comps (2.5% of gross sales target)</t>
  </si>
  <si>
    <t xml:space="preserve">Food Cost (40% target of base food sales)</t>
  </si>
  <si>
    <t xml:space="preserve">Bonus / labor true-up (Dec — ties plan-year saving to the $39.0K deck basis)</t>
  </si>
  <si>
    <t xml:space="preserve">Operating Expenses (12.5% of revenue target · incl CC)</t>
  </si>
  <si>
    <t xml:space="preserve">General &amp; Administrative - Uncon (4.5% target)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</si>
  <si>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</si>
  <si>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</si>
  <si>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</si>
  <si>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</si>
  <si>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</si>
  <si>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</si>
  <si>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</si>
  <si>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</si>
  <si>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</si>
  <si>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</si>
  <si>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</si>
  <si>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</si>
  <si>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</si>
  <si>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</si>
  <si>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</si>
  <si>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</si>
  <si>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</si>
  <si>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</si>
  <si>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</si>
  <si>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</si>
  <si>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</si>
  <si>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</si>
  <si>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</si>
  <si>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</si>
  <si>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</si>
  <si>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</si>
  <si>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</si>
  <si>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</si>
  <si>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</si>
  <si>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</si>
  <si>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</si>
  <si>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</si>
  <si>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</si>
  <si>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</si>
  <si>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</si>
  <si>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</si>
  <si>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</si>
  <si>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</si>
  <si>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</si>
  <si>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</si>
  <si>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</si>
  <si>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</si>
  <si>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</si>
  <si>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</si>
  <si>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</si>
  <si>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</si>
  <si>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</si>
  <si>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</si>
  <si>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</si>
  <si>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</si>
  <si>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</si>
  <si>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</si>
  <si>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</si>
  <si>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</si>
  <si>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</si>
  <si>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</si>
  <si>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</si>
  <si>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</si>
  <si>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</si>
  <si>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</si>
  <si>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</si>
  <si>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</si>
  <si>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</si>
  <si>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</si>
  <si>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</si>
  <si>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</si>
  <si>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</si>
  <si>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</si>
  <si>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</si>
  <si>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</si>
  <si>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</si>
  <si>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</si>
  <si>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</si>
  <si>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</si>
  <si>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</si>
  <si>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</si>
  <si>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</si>
  <si>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</si>
  <si>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</si>
  <si>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</si>
  <si>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</si>
  <si>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</si>
  <si>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</si>
  <si>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</si>
  <si>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</si>
  <si>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</si>
  <si>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</si>
  <si>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</si>
  <si>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</si>
  <si>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</si>
  <si>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</si>
  <si>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</si>
  <si>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</si>
  <si>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</si>
  <si>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</si>
  <si>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</si>
  <si>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</si>
  <si>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</si>
  <si>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</si>
  <si>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</si>
  <si>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</si>
  <si>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</si>
  <si>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</si>
  <si>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</si>
  <si>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</si>
  <si>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</si>
  <si>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</si>
  <si>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</si>
  <si>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</si>
  <si>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</si>
  <si>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</si>
  <si>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</si>
  <si>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</si>
  <si>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</si>
  <si>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</si>
  <si>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</si>
  <si>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</si>
  <si>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</si>
  <si>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</si>
  <si>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</si>
  <si>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</si>
  <si>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</si>
  <si>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</si>
  <si>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</si>
  <si>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</si>
  <si>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</si>
  <si>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</si>
  <si>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</si>
  <si>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</si>
  <si>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</si>
  <si>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</si>
  <si>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</si>
  <si>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</si>
  <si>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</si>
  <si>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</si>
  <si>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</si>
  <si>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</si>
  <si>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</si>
  <si>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</si>
  <si>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</si>
  <si>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</si>
  <si>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</si>
  <si>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</si>
  <si>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</si>
  <si>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</si>
  <si>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</si>
  <si>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</si>
  <si>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</si>
  <si>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</si>
  <si>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</si>
  <si>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</si>
  <si>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</si>
  <si>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</si>
  <si>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</si>
  <si>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</si>
  <si>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</si>
  <si>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</si>
  <si>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</si>
  <si>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</si>
  <si>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</si>
  <si>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</si>
  <si>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</si>
  <si>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</si>
  <si>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</si>
  <si>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</si>
  <si>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</si>
  <si>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</si>
  <si>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</si>
  <si>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</si>
  <si>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</si>
  <si>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</si>
  <si>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</si>
  <si>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</si>
  <si>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</si>
  <si>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</si>
  <si>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</si>
  <si>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</si>
  <si>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</si>
  <si>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</si>
  <si>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</si>
  <si>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</si>
  <si>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</si>
  <si>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</si>
  <si>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</si>
  <si>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</si>
  <si>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</si>
  <si>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</si>
  <si>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</si>
  <si>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</si>
  <si>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</si>
  <si>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</si>
  <si>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</si>
  <si>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</si>
  <si>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</si>
  <si>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</si>
  <si>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</si>
  <si>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</si>
  <si>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</si>
  <si>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</si>
  <si>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</si>
  <si>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</si>
  <si>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</si>
  <si>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</si>
  <si>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</si>
  <si>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</si>
  <si>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</si>
  <si>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</si>
  <si>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</si>
  <si>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</si>
  <si>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</si>
  <si>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</si>
  <si>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</si>
  <si>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</si>
  <si>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</si>
  <si>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</si>
  <si>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</si>
  <si>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</si>
  <si>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</si>
  <si>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</si>
  <si>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</si>
  <si>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</si>
  <si>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</si>
  <si>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</si>
  <si>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</si>
  <si>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</si>
  <si>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</si>
  <si>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</si>
  <si>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</si>
  <si>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</si>
  <si>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</si>
  <si>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</si>
  <si>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</si>
  <si>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</si>
  <si>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</si>
  <si>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</si>
  <si>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</si>
  <si>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</si>
  <si>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</si>
  <si>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</si>
  <si>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</si>
  <si>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</si>
  <si>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</si>
  <si>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</si>
  <si>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Cold Brew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</si>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</sst>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\$#,##0"/>
    <numFmt numFmtId="173" formatCode="0.00%"/>
    <numFmt numFmtId="174" formatCode="0.0"/>
    <numFmt numFmtId="175" formatCode="\$#,##0.00"/>
    <numFmt numFmtId="176" formatCode="\$#,##0;&quot;($&quot;#,##0\)"/>
    <numFmt numFmtId="177" formatCode="0%"/>
    <numFmt numFmtId="178" formatCode="@"/>
    <numFmt numFmtId="179" formatCode="\$#,##0;;\–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9"/>
      <color rgb="FF1F3864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/>
      <right/>
      <top style="thin">
        <color rgb="FFB0B0B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8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B0B0B0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CDB4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27283.9076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14834.23188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50546.76812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0.309877857996649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27283.9076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370855.797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1034.33158999994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1.00630663075357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88148.10119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66646.4714958334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36552.702</v>
      </c>
      <c r="F36" s="5" t="s">
        <v>127</v>
      </c>
    </row>
    <row r="37" customFormat="false" ht="15" hidden="false" customHeight="true" outlineLevel="0" collapsed="false">
      <c r="A37" s="5" t="s">
        <v>70</v>
      </c>
      <c r="B37" s="5" t="s">
        <v>128</v>
      </c>
      <c r="C37" s="6" t="s">
        <v>129</v>
      </c>
      <c r="D37" s="3" t="s">
        <v>130</v>
      </c>
      <c r="E37" s="7" t="n">
        <f aca="false">'LW Daypart Analysis'!$C$70</f>
        <v>27533.37</v>
      </c>
      <c r="F37" s="5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B5" s="13" t="s">
        <v>134</v>
      </c>
      <c r="C5" s="13" t="s">
        <v>135</v>
      </c>
      <c r="D5" s="13" t="s">
        <v>136</v>
      </c>
      <c r="E5" s="13" t="s">
        <v>137</v>
      </c>
    </row>
    <row r="6" customFormat="false" ht="15" hidden="false" customHeight="true" outlineLevel="0" collapsed="false">
      <c r="A6" s="1" t="s">
        <v>138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314870.24875</v>
      </c>
      <c r="E6" s="15" t="n">
        <f aca="false">'LW Budget'!$AB$20</f>
        <v>370855.797</v>
      </c>
    </row>
    <row r="7" customFormat="false" ht="15" hidden="false" customHeight="true" outlineLevel="0" collapsed="false">
      <c r="A7" s="1" t="s">
        <v>139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103761.0385</v>
      </c>
      <c r="E7" s="15" t="n">
        <f aca="false">'LW Budget'!$AB$29</f>
        <v>112332.0924</v>
      </c>
    </row>
    <row r="8" customFormat="false" ht="15" hidden="false" customHeight="true" outlineLevel="0" collapsed="false">
      <c r="A8" s="16" t="s">
        <v>140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211109.21025</v>
      </c>
      <c r="E8" s="17" t="n">
        <f aca="false">E6-E7</f>
        <v>258523.7046</v>
      </c>
    </row>
    <row r="9" customFormat="false" ht="15" hidden="false" customHeight="true" outlineLevel="0" collapsed="false">
      <c r="A9" s="1" t="s">
        <v>141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109129.7421375</v>
      </c>
      <c r="E10" s="15" t="n">
        <f aca="false">'LW Budget'!$AB$50+'LW Budget'!$AB$60-'LW Budget'!$AB$54-'LW Budget'!$AB$56-'LW Budget'!$AB$57</f>
        <v>111412.18113</v>
      </c>
    </row>
    <row r="11" customFormat="false" ht="15" hidden="false" customHeight="true" outlineLevel="0" collapsed="false">
      <c r="A11" s="1" t="s">
        <v>143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34180.92995</v>
      </c>
      <c r="E11" s="15" t="n">
        <f aca="false">'LW Budget'!$AB$56</f>
        <v>14834.23188</v>
      </c>
    </row>
    <row r="12" customFormat="false" ht="15" hidden="false" customHeight="true" outlineLevel="0" collapsed="false">
      <c r="A12" s="1" t="s">
        <v>144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145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146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-97360.5285041667</v>
      </c>
      <c r="E14" s="17" t="n">
        <f aca="false">E6-E7-E9-E10-E11-E12-E13</f>
        <v>1034.33158999994</v>
      </c>
    </row>
    <row r="15" customFormat="false" ht="15" hidden="false" customHeight="true" outlineLevel="0" collapsed="false">
      <c r="A15" s="1" t="s">
        <v>147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-0.309208408513276</v>
      </c>
      <c r="E15" s="18" t="n">
        <f aca="false">E14/E6</f>
        <v>0.002789039832644</v>
      </c>
    </row>
    <row r="17" customFormat="false" ht="15" hidden="false" customHeight="true" outlineLevel="0" collapsed="false">
      <c r="A17" s="12" t="s">
        <v>148</v>
      </c>
    </row>
    <row r="18" customFormat="false" ht="15" hidden="false" customHeight="true" outlineLevel="0" collapsed="false">
      <c r="B18" s="13" t="s">
        <v>134</v>
      </c>
      <c r="C18" s="13" t="s">
        <v>135</v>
      </c>
      <c r="D18" s="13" t="s">
        <v>136</v>
      </c>
      <c r="E18" s="13" t="s">
        <v>137</v>
      </c>
    </row>
    <row r="19" customFormat="false" ht="15" hidden="false" customHeight="true" outlineLevel="0" collapsed="false">
      <c r="A19" s="1" t="s">
        <v>138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354765.8</v>
      </c>
      <c r="E19" s="15" t="n">
        <f aca="false">'Vessel Budget'!$AB$20</f>
        <v>350111.52</v>
      </c>
    </row>
    <row r="20" customFormat="false" ht="15" hidden="false" customHeight="true" outlineLevel="0" collapsed="false">
      <c r="A20" s="1" t="s">
        <v>139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136279.968</v>
      </c>
    </row>
    <row r="21" customFormat="false" ht="15" hidden="false" customHeight="true" outlineLevel="0" collapsed="false">
      <c r="A21" s="16" t="s">
        <v>140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231833.8</v>
      </c>
      <c r="E21" s="17" t="n">
        <f aca="false">E19-E20</f>
        <v>213831.552</v>
      </c>
    </row>
    <row r="22" customFormat="false" ht="15" hidden="false" customHeight="true" outlineLevel="0" collapsed="false">
      <c r="A22" s="1" t="s">
        <v>141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60685.9968</v>
      </c>
    </row>
    <row r="23" customFormat="false" ht="15" hidden="false" customHeight="true" outlineLevel="0" collapsed="false">
      <c r="A23" s="1" t="s">
        <v>142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81795.426</v>
      </c>
      <c r="E23" s="15" t="n">
        <f aca="false">'Vessel Budget'!$AB$50+'Vessel Budget'!$AB$60-'Vessel Budget'!$AB$54-'Vessel Budget'!$AB$56-'Vessel Budget'!$AB$57</f>
        <v>52027.3248</v>
      </c>
    </row>
    <row r="24" customFormat="false" ht="15" hidden="false" customHeight="true" outlineLevel="0" collapsed="false">
      <c r="A24" s="1" t="s">
        <v>143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33111.672</v>
      </c>
      <c r="E24" s="15" t="n">
        <f aca="false">'Vessel Budget'!$AB$56</f>
        <v>14004.4608</v>
      </c>
    </row>
    <row r="25" customFormat="false" ht="15" hidden="false" customHeight="true" outlineLevel="0" collapsed="false">
      <c r="A25" s="1" t="s">
        <v>144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13841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146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23051.702</v>
      </c>
      <c r="E27" s="17" t="n">
        <f aca="false">E19-E20-E22-E23-E24-E25-E26</f>
        <v>87113.7696</v>
      </c>
    </row>
    <row r="28" customFormat="false" ht="15" hidden="false" customHeight="true" outlineLevel="0" collapsed="false">
      <c r="A28" s="1" t="s">
        <v>147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0.0649772385049517</v>
      </c>
      <c r="E28" s="18" t="n">
        <f aca="false">E27/E19</f>
        <v>0.248817204301075</v>
      </c>
    </row>
    <row r="30" customFormat="false" ht="15" hidden="false" customHeight="true" outlineLevel="0" collapsed="false">
      <c r="A30" s="12" t="s">
        <v>149</v>
      </c>
    </row>
    <row r="31" customFormat="false" ht="15" hidden="false" customHeight="true" outlineLevel="0" collapsed="false">
      <c r="B31" s="13" t="s">
        <v>134</v>
      </c>
      <c r="C31" s="13" t="s">
        <v>135</v>
      </c>
      <c r="D31" s="13" t="s">
        <v>136</v>
      </c>
      <c r="E31" s="13" t="s">
        <v>137</v>
      </c>
    </row>
    <row r="32" customFormat="false" ht="15" hidden="false" customHeight="true" outlineLevel="0" collapsed="false">
      <c r="A32" s="1" t="s">
        <v>138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669636.04875</v>
      </c>
      <c r="E32" s="15" t="n">
        <f aca="false">E6+E19</f>
        <v>720967.317</v>
      </c>
    </row>
    <row r="33" customFormat="false" ht="15" hidden="false" customHeight="true" outlineLevel="0" collapsed="false">
      <c r="A33" s="1" t="s">
        <v>139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226693.0385</v>
      </c>
      <c r="E33" s="15" t="n">
        <f aca="false">E7+E20</f>
        <v>248612.0604</v>
      </c>
    </row>
    <row r="34" customFormat="false" ht="15" hidden="false" customHeight="true" outlineLevel="0" collapsed="false">
      <c r="A34" s="16" t="s">
        <v>140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442943.01025</v>
      </c>
      <c r="E34" s="17" t="n">
        <f aca="false">E32-E33</f>
        <v>472355.2566</v>
      </c>
    </row>
    <row r="35" customFormat="false" ht="15" hidden="false" customHeight="true" outlineLevel="0" collapsed="false">
      <c r="A35" s="1" t="s">
        <v>141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191928.9568</v>
      </c>
    </row>
    <row r="36" customFormat="false" ht="15" hidden="false" customHeight="true" outlineLevel="0" collapsed="false">
      <c r="A36" s="1" t="s">
        <v>142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190925.1681375</v>
      </c>
      <c r="E36" s="15" t="n">
        <f aca="false">E10+E23</f>
        <v>163439.50593</v>
      </c>
    </row>
    <row r="37" customFormat="false" ht="15" hidden="false" customHeight="true" outlineLevel="0" collapsed="false">
      <c r="A37" s="1" t="s">
        <v>143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67292.60195</v>
      </c>
      <c r="E37" s="15" t="n">
        <f aca="false">E11+E24</f>
        <v>28838.69268</v>
      </c>
    </row>
    <row r="38" customFormat="false" ht="15" hidden="false" customHeight="true" outlineLevel="0" collapsed="false">
      <c r="A38" s="1" t="s">
        <v>144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23522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146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-74308.8265041668</v>
      </c>
      <c r="E40" s="17" t="n">
        <f aca="false">E32-E33-E35-E36-E37-E38-E39</f>
        <v>88148.10119</v>
      </c>
    </row>
    <row r="41" customFormat="false" ht="15" hidden="false" customHeight="true" outlineLevel="0" collapsed="false">
      <c r="A41" s="1" t="s">
        <v>147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-0.110968975823327</v>
      </c>
      <c r="E41" s="18" t="n">
        <f aca="false">E40/E32</f>
        <v>0.122263657604884</v>
      </c>
    </row>
    <row r="43" customFormat="false" ht="15" hidden="false" customHeight="true" outlineLevel="0" collapsed="false">
      <c r="A43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152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19"/>
      <c r="G4" s="19"/>
      <c r="H4" s="19"/>
    </row>
    <row r="5" customFormat="false" ht="15" hidden="false" customHeight="true" outlineLevel="0" collapsed="false">
      <c r="A5" s="20" t="s">
        <v>157</v>
      </c>
      <c r="B5" s="21" t="n">
        <f aca="false">'LW 2026 P&amp;L'!$AB$55</f>
        <v>-164007</v>
      </c>
      <c r="C5" s="21" t="n">
        <f aca="false">'LW 2026 Modified'!$AB$62-'LW 2026 P&amp;L'!$AB$55</f>
        <v>66646.4714958333</v>
      </c>
      <c r="D5" s="21" t="n">
        <f aca="false">'LW 2026 Modified'!$AB$62</f>
        <v>-97360.5285041667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158</v>
      </c>
      <c r="B6" s="24" t="n">
        <f aca="false">'Vessel 2026 P&amp;L'!$AB$55</f>
        <v>-13501</v>
      </c>
      <c r="C6" s="24" t="n">
        <f aca="false">'Vessel 2026 Modified'!$AB$62-'Vessel 2026 P&amp;L'!$AB$55</f>
        <v>36552.702</v>
      </c>
      <c r="D6" s="24" t="n">
        <f aca="false">'Vessel 2026 Modified'!$AB$62</f>
        <v>23051.702</v>
      </c>
      <c r="E6" s="25" t="n">
        <f aca="false">'Vessel 2026 Modified'!$C$4</f>
        <v>46235</v>
      </c>
      <c r="F6" s="26"/>
      <c r="G6" s="19"/>
      <c r="H6" s="19"/>
    </row>
    <row r="7" customFormat="false" ht="15" hidden="false" customHeight="true" outlineLevel="0" collapsed="false">
      <c r="A7" s="6" t="s">
        <v>149</v>
      </c>
      <c r="B7" s="27" t="n">
        <f aca="false">B5+B6</f>
        <v>-177508</v>
      </c>
      <c r="C7" s="27" t="n">
        <f aca="false">C5+C6</f>
        <v>103199.173495833</v>
      </c>
      <c r="D7" s="27" t="n">
        <f aca="false">D5+D6</f>
        <v>-74308.8265041667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159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160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161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162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163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164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5" t="s">
        <v>165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5" t="s">
        <v>166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19"/>
      <c r="F18" s="26"/>
      <c r="G18" s="19"/>
      <c r="H18" s="19"/>
    </row>
    <row r="19" customFormat="false" ht="15" hidden="false" customHeight="true" outlineLevel="0" collapsed="false">
      <c r="A19" s="5" t="s">
        <v>157</v>
      </c>
      <c r="B19" s="24" t="n">
        <f aca="false">'LW 2026 P&amp;L'!Q55+'LW 2026 P&amp;L'!S55+'LW 2026 P&amp;L'!U55+'LW 2026 P&amp;L'!W55+'LW 2026 P&amp;L'!Y55</f>
        <v>-67807</v>
      </c>
      <c r="C19" s="24" t="n">
        <f aca="false">'LW 2026 Modified'!Q62+'LW 2026 Modified'!S62+'LW 2026 Modified'!U62+'LW 2026 Modified'!W62+'LW 2026 Modified'!Y62</f>
        <v>-1160.52850416665</v>
      </c>
      <c r="D19" s="24" t="n">
        <f aca="false">C19-B19</f>
        <v>66646.4714958334</v>
      </c>
      <c r="E19" s="19"/>
      <c r="F19" s="26"/>
      <c r="G19" s="19"/>
      <c r="H19" s="19"/>
    </row>
    <row r="20" customFormat="false" ht="15" hidden="false" customHeight="true" outlineLevel="0" collapsed="false">
      <c r="A20" s="5" t="s">
        <v>158</v>
      </c>
      <c r="B20" s="24" t="n">
        <f aca="false">'Vessel 2026 P&amp;L'!Q55+'Vessel 2026 P&amp;L'!S55+'Vessel 2026 P&amp;L'!U55+'Vessel 2026 P&amp;L'!W55+'Vessel 2026 P&amp;L'!Y55</f>
        <v>8977</v>
      </c>
      <c r="C20" s="24" t="n">
        <f aca="false">'Vessel 2026 Modified'!Q62+'Vessel 2026 Modified'!S62+'Vessel 2026 Modified'!U62+'Vessel 2026 Modified'!W62+'Vessel 2026 Modified'!Y62</f>
        <v>45529.702</v>
      </c>
      <c r="D20" s="24" t="n">
        <f aca="false">C20-B20</f>
        <v>36552.702</v>
      </c>
      <c r="E20" s="19" t="s">
        <v>171</v>
      </c>
      <c r="F20" s="26"/>
      <c r="G20" s="19"/>
      <c r="H20" s="19"/>
    </row>
    <row r="21" customFormat="false" ht="15" hidden="false" customHeight="true" outlineLevel="0" collapsed="false">
      <c r="A21" s="6" t="s">
        <v>149</v>
      </c>
      <c r="B21" s="27" t="n">
        <f aca="false">B19+B20</f>
        <v>-58830</v>
      </c>
      <c r="C21" s="27" t="n">
        <f aca="false">C19+C20</f>
        <v>44369.1734958334</v>
      </c>
      <c r="D21" s="27" t="n">
        <f aca="false">C21-B21</f>
        <v>103199.173495833</v>
      </c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172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158</v>
      </c>
      <c r="D5" s="30"/>
      <c r="E5" s="31"/>
      <c r="F5" s="30" t="s">
        <v>157</v>
      </c>
      <c r="G5" s="30"/>
      <c r="H5" s="31"/>
      <c r="I5" s="30" t="s">
        <v>174</v>
      </c>
      <c r="J5" s="30"/>
    </row>
    <row r="6" customFormat="false" ht="15" hidden="false" customHeight="true" outlineLevel="0" collapsed="false">
      <c r="C6" s="32" t="s">
        <v>175</v>
      </c>
      <c r="D6" s="32"/>
      <c r="E6" s="33"/>
      <c r="F6" s="32" t="s">
        <v>175</v>
      </c>
      <c r="G6" s="32"/>
      <c r="H6" s="33"/>
      <c r="I6" s="32" t="s">
        <v>175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Budget'!$AB$12</f>
        <v>216843.264</v>
      </c>
      <c r="D12" s="34" t="n">
        <f aca="false">IFERROR(C12/C$20,0)</f>
        <v>0.619354838709677</v>
      </c>
      <c r="F12" s="24" t="n">
        <f aca="false">'LW Budget'!$AB$12</f>
        <v>135366.3</v>
      </c>
      <c r="G12" s="34" t="n">
        <f aca="false">IFERROR(F12/F$20,0)</f>
        <v>0.365010608152904</v>
      </c>
      <c r="I12" s="24" t="n">
        <f aca="false">C12+F12</f>
        <v>352209.564</v>
      </c>
      <c r="J12" s="34" t="n">
        <f aca="false">IFERROR(I12/I$20,0)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Budget'!$AB$13</f>
        <v>21224.7341541804</v>
      </c>
      <c r="D13" s="34" t="n">
        <f aca="false">IFERROR(C13/C$20,0)</f>
        <v>0.0606227814331285</v>
      </c>
      <c r="F13" s="24" t="n">
        <f aca="false">'LW Budget'!$AB$13</f>
        <v>168766.62</v>
      </c>
      <c r="G13" s="34" t="n">
        <f aca="false">IFERROR(F13/F$20,0)</f>
        <v>0.455073431142833</v>
      </c>
      <c r="I13" s="24" t="n">
        <f aca="false">C13+F13</f>
        <v>189991.35415418</v>
      </c>
      <c r="J13" s="34" t="n">
        <f aca="false">IFERROR(I13/I$20,0)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Budget'!$AB$14</f>
        <v>35697.4623526089</v>
      </c>
      <c r="D14" s="34" t="n">
        <f aca="false">IFERROR(C14/C$20,0)</f>
        <v>0.101960262126219</v>
      </c>
      <c r="F14" s="24" t="n">
        <f aca="false">'LW Budget'!$AB$14</f>
        <v>7308</v>
      </c>
      <c r="G14" s="34" t="n">
        <f aca="false">IFERROR(F14/F$20,0)</f>
        <v>0.0197057725917117</v>
      </c>
      <c r="I14" s="24" t="n">
        <f aca="false">C14+F14</f>
        <v>43005.4623526089</v>
      </c>
      <c r="J14" s="34" t="n">
        <f aca="false">IFERROR(I14/I$20,0)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Budget'!$AB$15</f>
        <v>1316.04954977007</v>
      </c>
      <c r="D15" s="34" t="n">
        <f aca="false">IFERROR(C15/C$20,0)</f>
        <v>0.00375894386385821</v>
      </c>
      <c r="F15" s="24" t="n">
        <f aca="false">'LW Budget'!$AB$15</f>
        <v>7380</v>
      </c>
      <c r="G15" s="34" t="n">
        <f aca="false">IFERROR(F15/F$20,0)</f>
        <v>0.0198999181344872</v>
      </c>
      <c r="I15" s="24" t="n">
        <f aca="false">C15+F15</f>
        <v>8696.04954977007</v>
      </c>
      <c r="J15" s="34" t="n">
        <f aca="false">IFERROR(I15/I$20,0)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Budget'!$AB$16</f>
        <v>5007.70594344064</v>
      </c>
      <c r="D16" s="34" t="n">
        <f aca="false">IFERROR(C16/C$20,0)</f>
        <v>0.0143031738671171</v>
      </c>
      <c r="F16" s="24" t="n">
        <f aca="false">'LW Budget'!$AB$16</f>
        <v>12540</v>
      </c>
      <c r="G16" s="34" t="n">
        <f aca="false">IFERROR(F16/F$20,0)</f>
        <v>0.0338136820333969</v>
      </c>
      <c r="I16" s="24" t="n">
        <f aca="false">C16+F16</f>
        <v>17547.7059434406</v>
      </c>
      <c r="J16" s="34" t="n">
        <f aca="false">IFERROR(I16/I$20,0)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0.121136032828415</v>
      </c>
      <c r="I17" s="24" t="n">
        <f aca="false">C17+F17</f>
        <v>44924</v>
      </c>
      <c r="J17" s="34" t="n">
        <f aca="false">IFERROR(I17/I$20,0)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Budget'!$AB$18</f>
        <v>70022.304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0.0110015807572775</v>
      </c>
      <c r="I18" s="24" t="n">
        <f aca="false">C18+F18</f>
        <v>74102.304</v>
      </c>
      <c r="J18" s="34" t="n">
        <f aca="false">IFERROR(I18/I$20,0)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-9509.123</v>
      </c>
      <c r="G19" s="34" t="n">
        <f aca="false">IFERROR(F19/F$20,0)</f>
        <v>-0.0256410256410256</v>
      </c>
      <c r="I19" s="24" t="n">
        <f aca="false">C19+F19</f>
        <v>-9509.123</v>
      </c>
      <c r="J19" s="34" t="n">
        <f aca="false">IFERROR(I19/I$20,0)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'Vessel Budget'!$AB$20</f>
        <v>350111.52</v>
      </c>
      <c r="D20" s="35" t="n">
        <f aca="false">IFERROR(C20/C$20,0)</f>
        <v>1</v>
      </c>
      <c r="F20" s="27" t="n">
        <f aca="false">'LW Budget'!$AB$20</f>
        <v>370855.797</v>
      </c>
      <c r="G20" s="35" t="n">
        <f aca="false">IFERROR(F20/F$20,0)</f>
        <v>1</v>
      </c>
      <c r="I20" s="27" t="n">
        <f aca="false">C20+F20</f>
        <v>720967.317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Budget'!$AB$23</f>
        <v>120468.48</v>
      </c>
      <c r="D23" s="34" t="n">
        <f aca="false">IFERROR(C23/C$12,0)</f>
        <v>0.555555555555556</v>
      </c>
      <c r="F23" s="24" t="n">
        <f aca="false">'LW Budget'!$AB$23</f>
        <v>53208</v>
      </c>
      <c r="G23" s="34" t="n">
        <f aca="false">IFERROR(F23/F$12,0)</f>
        <v>0.393066812049971</v>
      </c>
      <c r="I23" s="24" t="n">
        <f aca="false">C23+F23</f>
        <v>173676.48</v>
      </c>
      <c r="J23" s="34" t="n">
        <f aca="false">IFERROR(I23/I$12,0)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Budget'!$AB$24</f>
        <v>5306.1835385451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39302.1835385451</v>
      </c>
      <c r="J24" s="34" t="n">
        <f aca="false">IFERROR(I24/I$13,0)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Budget'!$AB$25</f>
        <v>8924.36558815223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9872.36558815223</v>
      </c>
      <c r="J25" s="34" t="n">
        <f aca="false">IFERROR(I25/I$14,0)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Budget'!$AB$26</f>
        <v>329.012387442517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2393.01238744252</v>
      </c>
      <c r="J26" s="34" t="n">
        <f aca="false">IFERROR(I26/I$15,0)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Budget'!$AB$27</f>
        <v>1251.92648586016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5727.92648586016</v>
      </c>
      <c r="J27" s="34" t="n">
        <f aca="false">IFERROR(I27/I$16,0)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17640.0924</v>
      </c>
      <c r="G28" s="34" t="n">
        <f aca="false">IFERROR(F28/F$17,0)</f>
        <v>0.392665221262577</v>
      </c>
      <c r="I28" s="24" t="n">
        <f aca="false">C28+F28</f>
        <v>17640.0924</v>
      </c>
      <c r="J28" s="34" t="n">
        <f aca="false">IFERROR(I28/I$17,0)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'Vessel Budget'!$AB$29</f>
        <v>136279.968</v>
      </c>
      <c r="D29" s="35" t="n">
        <f aca="false">IFERROR(C29/C$20,0)</f>
        <v>0.389247311827957</v>
      </c>
      <c r="F29" s="27" t="n">
        <f aca="false">'LW Budget'!$AB$29</f>
        <v>112332.0924</v>
      </c>
      <c r="G29" s="35" t="n">
        <f aca="false">IFERROR(F29/F$20,0)</f>
        <v>0.302899653473665</v>
      </c>
      <c r="I29" s="27" t="n">
        <f aca="false">C29+F29</f>
        <v>248612.0604</v>
      </c>
      <c r="J29" s="35" t="n">
        <f aca="false">IFERROR(I29/I$20,0)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213831.552</v>
      </c>
      <c r="D30" s="8" t="n">
        <f aca="false">IFERROR(C30/C$20,0)</f>
        <v>0.610752688172043</v>
      </c>
      <c r="F30" s="7" t="n">
        <f aca="false">'LW Budget'!$AB$30</f>
        <v>258523.7046</v>
      </c>
      <c r="G30" s="8" t="n">
        <f aca="false">IFERROR(F30/F$20,0)</f>
        <v>0.697100346526335</v>
      </c>
      <c r="I30" s="7" t="n">
        <f aca="false">C30+F30</f>
        <v>472355.2566</v>
      </c>
      <c r="J30" s="8" t="n">
        <f aca="false">IFERROR(I30/I$20,0)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Budget'!$AB$33</f>
        <v>4141.104</v>
      </c>
      <c r="D33" s="34" t="n">
        <f aca="false">IFERROR(C33/C$20,0)</f>
        <v>0.0118279569892473</v>
      </c>
      <c r="F33" s="24" t="n">
        <f aca="false">'LW Budget'!$AB$33</f>
        <v>19884</v>
      </c>
      <c r="G33" s="34" t="n">
        <f aca="false">IFERROR(F33/F$20,0)</f>
        <v>0.0536165273964964</v>
      </c>
      <c r="I33" s="24" t="n">
        <f aca="false">C33+F33</f>
        <v>24025.104</v>
      </c>
      <c r="J33" s="34" t="n">
        <f aca="false">IFERROR(I33/I$20,0)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0.0415040027000036</v>
      </c>
      <c r="I34" s="24" t="n">
        <f aca="false">C34+F34</f>
        <v>15392</v>
      </c>
      <c r="J34" s="34" t="n">
        <f aca="false">IFERROR(I34/I$20,0)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Budget'!$AB$35</f>
        <v>39528.72</v>
      </c>
      <c r="D35" s="34" t="n">
        <f aca="false">IFERROR(C35/C$20,0)</f>
        <v>0.112903225806452</v>
      </c>
      <c r="F35" s="24" t="n">
        <f aca="false">'LW Budget'!$AB$35</f>
        <v>81120</v>
      </c>
      <c r="G35" s="34" t="n">
        <f aca="false">IFERROR(F35/F$20,0)</f>
        <v>0.218737311527046</v>
      </c>
      <c r="I35" s="24" t="n">
        <f aca="false">C35+F35</f>
        <v>120648.72</v>
      </c>
      <c r="J35" s="34" t="n">
        <f aca="false">IFERROR(I35/I$20,0)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Budget'!$AB$36</f>
        <v>8583.3792</v>
      </c>
      <c r="D36" s="34" t="n">
        <f aca="false">IFERROR(C36/C$20,0)</f>
        <v>0.0245161290322581</v>
      </c>
      <c r="F36" s="24" t="n">
        <f aca="false">'LW Budget'!$AB$36</f>
        <v>18623.36</v>
      </c>
      <c r="G36" s="34" t="n">
        <f aca="false">IFERROR(F36/F$20,0)</f>
        <v>0.0502172546597674</v>
      </c>
      <c r="I36" s="24" t="n">
        <f aca="false">C36+F36</f>
        <v>27206.7392</v>
      </c>
      <c r="J36" s="34" t="n">
        <f aca="false">IFERROR(I36/I$20,0)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Budget'!$AB$37</f>
        <v>8432.7936</v>
      </c>
      <c r="D37" s="34" t="n">
        <f aca="false">IFERROR(C37/C$20,0)</f>
        <v>0.0240860215053763</v>
      </c>
      <c r="F37" s="24" t="n">
        <f aca="false">'LW Budget'!$AB$37</f>
        <v>-3776.39999999999</v>
      </c>
      <c r="G37" s="34" t="n">
        <f aca="false">IFERROR(F37/F$20,0)</f>
        <v>-0.0101829337185742</v>
      </c>
      <c r="I37" s="24" t="n">
        <f aca="false">C37+F37</f>
        <v>4656.39360000001</v>
      </c>
      <c r="J37" s="34" t="n">
        <f aca="false">IFERROR(I37/I$20,0)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'Vessel Budget'!$AB$38</f>
        <v>60685.9968</v>
      </c>
      <c r="D38" s="35" t="n">
        <f aca="false">IFERROR(C38/C$20,0)</f>
        <v>0.173333333333333</v>
      </c>
      <c r="F38" s="27" t="n">
        <f aca="false">'LW Budget'!$AB$38</f>
        <v>131242.96</v>
      </c>
      <c r="G38" s="35" t="n">
        <f aca="false">IFERROR(F38/F$20,0)</f>
        <v>0.35389216256474</v>
      </c>
      <c r="I38" s="27" t="n">
        <f aca="false">C38+F38</f>
        <v>191928.9568</v>
      </c>
      <c r="J38" s="35" t="n">
        <f aca="false">IFERROR(I38/I$20,0)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'Vessel Budget'!$AB$40</f>
        <v>196965.9648</v>
      </c>
      <c r="D40" s="8" t="n">
        <f aca="false">IFERROR(C40/C$20,0)</f>
        <v>0.56258064516129</v>
      </c>
      <c r="F40" s="7" t="n">
        <f aca="false">'LW Budget'!$AB$40</f>
        <v>243575.0524</v>
      </c>
      <c r="G40" s="8" t="n">
        <f aca="false">IFERROR(F40/F$20,0)</f>
        <v>0.656791816038405</v>
      </c>
      <c r="I40" s="7" t="n">
        <f aca="false">C40+F40</f>
        <v>440541.0172</v>
      </c>
      <c r="J40" s="8" t="n">
        <f aca="false">IFERROR(I40/I$20,0)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'Vessel Budget'!$AB$41</f>
        <v>153145.5552</v>
      </c>
      <c r="D41" s="8" t="n">
        <f aca="false">IFERROR(C41/C$20,0)</f>
        <v>0.43741935483871</v>
      </c>
      <c r="F41" s="7" t="n">
        <f aca="false">'LW Budget'!$AB$41</f>
        <v>127280.7446</v>
      </c>
      <c r="G41" s="8" t="n">
        <f aca="false">IFERROR(F41/F$20,0)</f>
        <v>0.343208183961595</v>
      </c>
      <c r="I41" s="7" t="n">
        <f aca="false">C41+F41</f>
        <v>280426.2998</v>
      </c>
      <c r="J41" s="8" t="n">
        <f aca="false">IFERROR(I41/I$20,0)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Budget'!$AB$44</f>
        <v>43293.36</v>
      </c>
      <c r="D44" s="34" t="n">
        <f aca="false">IFERROR(C44/C$20,0)</f>
        <v>0.123655913978495</v>
      </c>
      <c r="F44" s="24" t="n">
        <f aca="false">'LW Budget'!$AB$44</f>
        <v>46356.974625</v>
      </c>
      <c r="G44" s="34" t="n">
        <f aca="false">IFERROR(F44/F$20,0)</f>
        <v>0.125</v>
      </c>
      <c r="I44" s="24" t="n">
        <f aca="false">C44+F44</f>
        <v>89650.334625</v>
      </c>
      <c r="J44" s="34" t="n">
        <f aca="false">IFERROR(I44/I$20,0)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Budget'!$AB$45</f>
        <v>0</v>
      </c>
      <c r="D45" s="34" t="n">
        <f aca="false">IFERROR(C45/C$20,0)</f>
        <v>0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0</v>
      </c>
      <c r="J45" s="34" t="n">
        <f aca="false">IFERROR(I45/I$20,0)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Budget'!$AB$46</f>
        <v>0</v>
      </c>
      <c r="D46" s="34" t="n">
        <f aca="false">IFERROR(C46/C$20,0)</f>
        <v>0</v>
      </c>
      <c r="F46" s="24" t="n">
        <f aca="false">'LW Budget'!$AB$46</f>
        <v>12979.952895</v>
      </c>
      <c r="G46" s="34" t="n">
        <f aca="false">IFERROR(F46/F$20,0)</f>
        <v>0.035</v>
      </c>
      <c r="I46" s="24" t="n">
        <f aca="false">C46+F46</f>
        <v>12979.952895</v>
      </c>
      <c r="J46" s="34" t="n">
        <f aca="false">IFERROR(I46/I$20,0)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Budget'!$AB$47</f>
        <v>0</v>
      </c>
      <c r="D47" s="34" t="n">
        <f aca="false">IFERROR(C47/C$20,0)</f>
        <v>0</v>
      </c>
      <c r="F47" s="24" t="n">
        <f aca="false">'LW Budget'!$AB$47</f>
        <v>31522.742745</v>
      </c>
      <c r="G47" s="34" t="n">
        <f aca="false">IFERROR(F47/F$20,0)</f>
        <v>0.085</v>
      </c>
      <c r="I47" s="24" t="n">
        <f aca="false">C47+F47</f>
        <v>31522.742745</v>
      </c>
      <c r="J47" s="34" t="n">
        <f aca="false">IFERROR(I47/I$20,0)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Budget'!$AB$48</f>
        <v>0</v>
      </c>
      <c r="D48" s="34" t="n">
        <f aca="false">IFERROR(C48/C$20,0)</f>
        <v>0</v>
      </c>
      <c r="F48" s="24" t="n">
        <f aca="false">'LW Budget'!$AB$48</f>
        <v>876</v>
      </c>
      <c r="G48" s="34" t="n">
        <f aca="false">IFERROR(F48/F$20,0)</f>
        <v>0.0023621041037684</v>
      </c>
      <c r="I48" s="24" t="n">
        <f aca="false">C48+F48</f>
        <v>876</v>
      </c>
      <c r="J48" s="34" t="n">
        <f aca="false">IFERROR(I48/I$20,0)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Budget'!$AB$49</f>
        <v>0</v>
      </c>
      <c r="D49" s="34" t="n">
        <f aca="false">IFERROR(C49/C$20,0)</f>
        <v>0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0</v>
      </c>
      <c r="J49" s="34" t="n">
        <f aca="false">IFERROR(I49/I$20,0)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'Vessel Budget'!$AB$50</f>
        <v>43293.36</v>
      </c>
      <c r="D50" s="35" t="n">
        <f aca="false">IFERROR(C50/C$20,0)</f>
        <v>0.123655913978495</v>
      </c>
      <c r="F50" s="27" t="n">
        <f aca="false">'LW Budget'!$AB$50</f>
        <v>91735.670265</v>
      </c>
      <c r="G50" s="35" t="n">
        <f aca="false">IFERROR(F50/F$20,0)</f>
        <v>0.247362104103768</v>
      </c>
      <c r="I50" s="27" t="n">
        <f aca="false">C50+F50</f>
        <v>135029.030265</v>
      </c>
      <c r="J50" s="35" t="n">
        <f aca="false">IFERROR(I50/I$20,0)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Budget'!$AB$53</f>
        <v>0</v>
      </c>
      <c r="D53" s="34" t="n">
        <f aca="false">IFERROR(C53/C$20,0)</f>
        <v>0</v>
      </c>
      <c r="F53" s="24" t="n">
        <f aca="false">'LW Budget'!$AB$53</f>
        <v>2988</v>
      </c>
      <c r="G53" s="34" t="n">
        <f aca="false">IFERROR(F53/F$20,0)</f>
        <v>0.00805704002518262</v>
      </c>
      <c r="I53" s="24" t="n">
        <f aca="false">C53+F53</f>
        <v>2988</v>
      </c>
      <c r="J53" s="34" t="n">
        <f aca="false">IFERROR(I53/I$20,0)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Budget'!$AB$55</f>
        <v>8733.9648</v>
      </c>
      <c r="D55" s="34" t="n">
        <f aca="false">IFERROR(C55/C$20,0)</f>
        <v>0.0249462365591398</v>
      </c>
      <c r="F55" s="24" t="n">
        <f aca="false">'LW Budget'!$AB$55</f>
        <v>16688.510865</v>
      </c>
      <c r="G55" s="34" t="n">
        <f aca="false">IFERROR(F55/F$20,0)</f>
        <v>0.045</v>
      </c>
      <c r="I55" s="24" t="n">
        <f aca="false">C55+F55</f>
        <v>25422.475665</v>
      </c>
      <c r="J55" s="34" t="n">
        <f aca="false">IFERROR(I55/I$20,0)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Budget'!$AB$56</f>
        <v>14004.4608</v>
      </c>
      <c r="D56" s="34" t="n">
        <f aca="false">IFERROR(C56/C$20,0)</f>
        <v>0.04</v>
      </c>
      <c r="F56" s="24" t="n">
        <f aca="false">'LW Budget'!$AB$56</f>
        <v>14834.23188</v>
      </c>
      <c r="G56" s="34" t="n">
        <f aca="false">IFERROR(F56/F$20,0)</f>
        <v>0.04</v>
      </c>
      <c r="I56" s="24" t="n">
        <f aca="false">C56+F56</f>
        <v>28838.69268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'Vessel Budget'!$AB$60</f>
        <v>22738.4256</v>
      </c>
      <c r="D60" s="35" t="n">
        <f aca="false">IFERROR(C60/C$20,0)</f>
        <v>0.0649462365591398</v>
      </c>
      <c r="F60" s="27" t="n">
        <f aca="false">'LW Budget'!$AB$60</f>
        <v>34510.742745</v>
      </c>
      <c r="G60" s="35" t="n">
        <f aca="false">IFERROR(F60/F$20,0)</f>
        <v>0.0930570400251826</v>
      </c>
      <c r="I60" s="27" t="n">
        <f aca="false">C60+F60</f>
        <v>57249.168345</v>
      </c>
      <c r="J60" s="35" t="n">
        <f aca="false">IFERROR(I60/I$20,0)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'Vessel Budget'!$AB$62</f>
        <v>87113.7696</v>
      </c>
      <c r="D62" s="35" t="n">
        <f aca="false">IFERROR(C62/C$20,0)</f>
        <v>0.248817204301075</v>
      </c>
      <c r="F62" s="27" t="n">
        <f aca="false">'LW Budget'!$AB$62</f>
        <v>1034.33158999994</v>
      </c>
      <c r="G62" s="35" t="n">
        <f aca="false">IFERROR(F62/F$20,0)</f>
        <v>0.00278903983264402</v>
      </c>
      <c r="I62" s="27" t="n">
        <f aca="false">C62+F62</f>
        <v>88148.1011899999</v>
      </c>
      <c r="J62" s="35" t="n">
        <f aca="false">IFERROR(I62/I$20,0)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220</v>
      </c>
      <c r="C66" s="7" t="n">
        <f aca="false">'Vessel Budget'!$AB$66</f>
        <v>87113.7696</v>
      </c>
      <c r="D66" s="8" t="n">
        <f aca="false">IFERROR(C66/C$20,0)</f>
        <v>0.248817204301075</v>
      </c>
      <c r="F66" s="7" t="n">
        <f aca="false">'LW Budget'!$AB$66</f>
        <v>1034.33158999994</v>
      </c>
      <c r="G66" s="8" t="n">
        <f aca="false">IFERROR(F66/F$20,0)</f>
        <v>0.00278903983264402</v>
      </c>
      <c r="I66" s="7" t="n">
        <f aca="false">C66+F66</f>
        <v>88148.1011899999</v>
      </c>
      <c r="J66" s="8" t="n">
        <f aca="false">IFERROR(I66/I$20,0)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0.00805704002518262</v>
      </c>
      <c r="I69" s="24" t="n">
        <f aca="false">C69+F69</f>
        <v>2988</v>
      </c>
      <c r="J69" s="34" t="n">
        <f aca="false">IFERROR(I69/I$20,0)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'Vessel Budget'!$AB$70</f>
        <v>87113.7696</v>
      </c>
      <c r="D70" s="37" t="n">
        <f aca="false">IFERROR(C70/C$20,0)</f>
        <v>0.248817204301075</v>
      </c>
      <c r="F70" s="36" t="n">
        <f aca="false">'LW Budget'!$AB$70</f>
        <v>-1953.66841000006</v>
      </c>
      <c r="G70" s="37" t="n">
        <f aca="false">IFERROR(F70/F$20,0)</f>
        <v>-0.0052680001925386</v>
      </c>
      <c r="I70" s="36" t="n">
        <f aca="false">C70+F70</f>
        <v>85160.1011899999</v>
      </c>
      <c r="J70" s="37" t="n">
        <f aca="false">IFERROR(I70/I$20,0)</f>
        <v>0.118119225631971</v>
      </c>
    </row>
    <row r="74" customFormat="false" ht="15" hidden="false" customHeight="true" outlineLevel="0" collapsed="false">
      <c r="A74" s="4" t="s">
        <v>224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225</v>
      </c>
      <c r="B75" s="6" t="s">
        <v>158</v>
      </c>
      <c r="C75" s="6" t="s">
        <v>157</v>
      </c>
      <c r="D75" s="6" t="s">
        <v>174</v>
      </c>
      <c r="E75" s="6" t="s">
        <v>226</v>
      </c>
    </row>
    <row r="76" customFormat="false" ht="15" hidden="false" customHeight="true" outlineLevel="0" collapsed="false">
      <c r="A76" s="5" t="s">
        <v>227</v>
      </c>
      <c r="B76" s="24" t="n">
        <f aca="false">'Vessel Budget'!C62</f>
        <v>10724.233</v>
      </c>
      <c r="C76" s="24" t="n">
        <f aca="false">'LW Budget'!C62</f>
        <v>-228.505700833331</v>
      </c>
      <c r="D76" s="24" t="n">
        <f aca="false">B76+C76</f>
        <v>10495.7272991667</v>
      </c>
      <c r="E76" s="24" t="n">
        <f aca="false">SUM($D$76:D76)</f>
        <v>10495.7272991667</v>
      </c>
    </row>
    <row r="77" customFormat="false" ht="15" hidden="false" customHeight="true" outlineLevel="0" collapsed="false">
      <c r="A77" s="5" t="s">
        <v>228</v>
      </c>
      <c r="B77" s="24" t="n">
        <f aca="false">'Vessel Budget'!E62</f>
        <v>3299.764</v>
      </c>
      <c r="C77" s="24" t="n">
        <f aca="false">'LW Budget'!E62</f>
        <v>-228.505700833331</v>
      </c>
      <c r="D77" s="24" t="n">
        <f aca="false">B77+C77</f>
        <v>3071.25829916667</v>
      </c>
      <c r="E77" s="24" t="n">
        <f aca="false">SUM($D$76:D77)</f>
        <v>13566.9855983333</v>
      </c>
    </row>
    <row r="78" customFormat="false" ht="15" hidden="false" customHeight="true" outlineLevel="0" collapsed="false">
      <c r="A78" s="5" t="s">
        <v>229</v>
      </c>
      <c r="B78" s="24" t="n">
        <f aca="false">'Vessel Budget'!G62</f>
        <v>10724.233</v>
      </c>
      <c r="C78" s="24" t="n">
        <f aca="false">'LW Budget'!G62</f>
        <v>-228.505700833331</v>
      </c>
      <c r="D78" s="24" t="n">
        <f aca="false">B78+C78</f>
        <v>10495.7272991667</v>
      </c>
      <c r="E78" s="24" t="n">
        <f aca="false">SUM($D$76:D78)</f>
        <v>24062.7128975</v>
      </c>
    </row>
    <row r="79" customFormat="false" ht="15" hidden="false" customHeight="true" outlineLevel="0" collapsed="false">
      <c r="A79" s="5" t="s">
        <v>230</v>
      </c>
      <c r="B79" s="24" t="n">
        <f aca="false">'Vessel Budget'!I62</f>
        <v>3299.764</v>
      </c>
      <c r="C79" s="24" t="n">
        <f aca="false">'LW Budget'!I62</f>
        <v>-228.505700833331</v>
      </c>
      <c r="D79" s="24" t="n">
        <f aca="false">B79+C79</f>
        <v>3071.25829916667</v>
      </c>
      <c r="E79" s="24" t="n">
        <f aca="false">SUM($D$76:D79)</f>
        <v>27133.9711966667</v>
      </c>
    </row>
    <row r="80" customFormat="false" ht="15" hidden="false" customHeight="true" outlineLevel="0" collapsed="false">
      <c r="A80" s="5" t="s">
        <v>231</v>
      </c>
      <c r="B80" s="24" t="n">
        <f aca="false">'Vessel Budget'!K62</f>
        <v>8249.41</v>
      </c>
      <c r="C80" s="24" t="n">
        <f aca="false">'LW Budget'!K62</f>
        <v>-228.505700833331</v>
      </c>
      <c r="D80" s="24" t="n">
        <f aca="false">B80+C80</f>
        <v>8020.90429916667</v>
      </c>
      <c r="E80" s="24" t="n">
        <f aca="false">SUM($D$76:D80)</f>
        <v>35154.8754958333</v>
      </c>
    </row>
    <row r="81" customFormat="false" ht="15" hidden="false" customHeight="true" outlineLevel="0" collapsed="false">
      <c r="A81" s="5" t="s">
        <v>232</v>
      </c>
      <c r="B81" s="24" t="n">
        <f aca="false">'Vessel Budget'!M62</f>
        <v>7259.4808</v>
      </c>
      <c r="C81" s="24" t="n">
        <f aca="false">'LW Budget'!M62</f>
        <v>-228.505700833331</v>
      </c>
      <c r="D81" s="24" t="n">
        <f aca="false">B81+C81</f>
        <v>7030.97509916667</v>
      </c>
      <c r="E81" s="24" t="n">
        <f aca="false">SUM($D$76:D81)</f>
        <v>42185.850595</v>
      </c>
    </row>
    <row r="82" customFormat="false" ht="15" hidden="false" customHeight="true" outlineLevel="0" collapsed="false">
      <c r="A82" s="5" t="s">
        <v>233</v>
      </c>
      <c r="B82" s="24" t="n">
        <f aca="false">'Vessel Budget'!O62</f>
        <v>7259.4808</v>
      </c>
      <c r="C82" s="24" t="n">
        <f aca="false">'LW Budget'!O62</f>
        <v>-228.505700833331</v>
      </c>
      <c r="D82" s="24" t="n">
        <f aca="false">B82+C82</f>
        <v>7030.97509916667</v>
      </c>
      <c r="E82" s="24" t="n">
        <f aca="false">SUM($D$76:D82)</f>
        <v>49216.8256941667</v>
      </c>
    </row>
    <row r="83" customFormat="false" ht="15" hidden="false" customHeight="true" outlineLevel="0" collapsed="false">
      <c r="A83" s="5" t="s">
        <v>234</v>
      </c>
      <c r="B83" s="24" t="n">
        <f aca="false">'Vessel Budget'!Q62</f>
        <v>7259.4808</v>
      </c>
      <c r="C83" s="24" t="n">
        <f aca="false">'LW Budget'!Q62</f>
        <v>-228.505700833331</v>
      </c>
      <c r="D83" s="24" t="n">
        <f aca="false">B83+C83</f>
        <v>7030.97509916667</v>
      </c>
      <c r="E83" s="24" t="n">
        <f aca="false">SUM($D$76:D83)</f>
        <v>56247.8007933333</v>
      </c>
    </row>
    <row r="84" customFormat="false" ht="15" hidden="false" customHeight="true" outlineLevel="0" collapsed="false">
      <c r="A84" s="5" t="s">
        <v>235</v>
      </c>
      <c r="B84" s="24" t="n">
        <f aca="false">'Vessel Budget'!S62</f>
        <v>7259.4808</v>
      </c>
      <c r="C84" s="24" t="n">
        <f aca="false">'LW Budget'!S62</f>
        <v>-228.505700833331</v>
      </c>
      <c r="D84" s="24" t="n">
        <f aca="false">B84+C84</f>
        <v>7030.97509916667</v>
      </c>
      <c r="E84" s="24" t="n">
        <f aca="false">SUM($D$76:D84)</f>
        <v>63278.7758925</v>
      </c>
    </row>
    <row r="85" customFormat="false" ht="15" hidden="false" customHeight="true" outlineLevel="0" collapsed="false">
      <c r="A85" s="5" t="s">
        <v>236</v>
      </c>
      <c r="B85" s="24" t="n">
        <f aca="false">'Vessel Budget'!U62</f>
        <v>7259.4808</v>
      </c>
      <c r="C85" s="24" t="n">
        <f aca="false">'LW Budget'!U62</f>
        <v>-228.505700833331</v>
      </c>
      <c r="D85" s="24" t="n">
        <f aca="false">B85+C85</f>
        <v>7030.97509916667</v>
      </c>
      <c r="E85" s="24" t="n">
        <f aca="false">SUM($D$76:D85)</f>
        <v>70309.7509916667</v>
      </c>
    </row>
    <row r="86" customFormat="false" ht="15" hidden="false" customHeight="true" outlineLevel="0" collapsed="false">
      <c r="A86" s="5" t="s">
        <v>237</v>
      </c>
      <c r="B86" s="24" t="n">
        <f aca="false">'Vessel Budget'!W62</f>
        <v>7259.4808</v>
      </c>
      <c r="C86" s="24" t="n">
        <f aca="false">'LW Budget'!W62</f>
        <v>-228.505700833331</v>
      </c>
      <c r="D86" s="24" t="n">
        <f aca="false">B86+C86</f>
        <v>7030.97509916667</v>
      </c>
      <c r="E86" s="24" t="n">
        <f aca="false">SUM($D$76:D86)</f>
        <v>77340.7260908333</v>
      </c>
    </row>
    <row r="87" customFormat="false" ht="15" hidden="false" customHeight="true" outlineLevel="0" collapsed="false">
      <c r="A87" s="5" t="s">
        <v>238</v>
      </c>
      <c r="B87" s="24" t="n">
        <f aca="false">'Vessel Budget'!Y62</f>
        <v>7259.4808</v>
      </c>
      <c r="C87" s="24" t="n">
        <f aca="false">'LW Budget'!Y62</f>
        <v>3547.89429916666</v>
      </c>
      <c r="D87" s="24" t="n">
        <f aca="false">B87+C87</f>
        <v>10807.3750991667</v>
      </c>
      <c r="E87" s="24" t="n">
        <f aca="false">SUM($D$76:D87)</f>
        <v>88148.10119</v>
      </c>
    </row>
    <row r="88" customFormat="false" ht="15" hidden="false" customHeight="true" outlineLevel="0" collapsed="false">
      <c r="A88" s="6" t="s">
        <v>175</v>
      </c>
      <c r="B88" s="27" t="n">
        <f aca="false">SUM(B76:B87)</f>
        <v>87113.7696</v>
      </c>
      <c r="C88" s="27" t="n">
        <f aca="false">SUM(C76:C87)</f>
        <v>1034.33159000003</v>
      </c>
      <c r="D88" s="27" t="n">
        <f aca="false">SUM(D76:D87)</f>
        <v>88148.10119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239</v>
      </c>
    </row>
    <row r="2" customFormat="false" ht="15" hidden="false" customHeight="true" outlineLevel="0" collapsed="false">
      <c r="A2" s="2" t="s">
        <v>240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253</v>
      </c>
      <c r="C8" s="39" t="n">
        <f aca="false">'Vessel Budget'!C9</f>
        <v>9.269</v>
      </c>
      <c r="E8" s="39" t="n">
        <f aca="false">'Vessel Budget'!E9</f>
        <v>2.852</v>
      </c>
      <c r="G8" s="39" t="n">
        <f aca="false">'Vessel Budget'!G9</f>
        <v>9.269</v>
      </c>
      <c r="I8" s="39" t="n">
        <f aca="false">'Vessel Budget'!I9</f>
        <v>2.852</v>
      </c>
      <c r="K8" s="39" t="n">
        <f aca="false">'Vessel Budget'!K9</f>
        <v>7.13</v>
      </c>
      <c r="M8" s="39" t="n">
        <f aca="false">'Vessel Budget'!M9</f>
        <v>6.2744</v>
      </c>
      <c r="O8" s="39" t="n">
        <f aca="false">'Vessel Budget'!O9</f>
        <v>6.2744</v>
      </c>
      <c r="Q8" s="39" t="n">
        <f aca="false">'Vessel Budget'!Q9</f>
        <v>6.2744</v>
      </c>
      <c r="S8" s="39" t="n">
        <f aca="false">'Vessel Budget'!S9</f>
        <v>6.2744</v>
      </c>
      <c r="U8" s="39" t="n">
        <f aca="false">'Vessel Budget'!U9</f>
        <v>6.2744</v>
      </c>
      <c r="W8" s="39" t="n">
        <f aca="false">'Vessel Budget'!W9</f>
        <v>6.2744</v>
      </c>
      <c r="Y8" s="39" t="n">
        <f aca="false">'Vessel Budget'!Y9</f>
        <v>6.2744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Budget'!C12+'LW Budget'!C12</f>
        <v>37975.245</v>
      </c>
      <c r="D12" s="34" t="n">
        <f aca="false">IFERROR(C12/C$20,0)</f>
        <v>0.513140849373158</v>
      </c>
      <c r="E12" s="24" t="n">
        <f aca="false">'Vessel Budget'!E12+'LW Budget'!E12</f>
        <v>19494.285</v>
      </c>
      <c r="F12" s="34" t="n">
        <f aca="false">IFERROR(E12/E$20,0)</f>
        <v>0.441382205505436</v>
      </c>
      <c r="G12" s="24" t="n">
        <f aca="false">'Vessel Budget'!G12+'LW Budget'!G12</f>
        <v>37975.245</v>
      </c>
      <c r="H12" s="34" t="n">
        <f aca="false">IFERROR(G12/G$20,0)</f>
        <v>0.513140849373158</v>
      </c>
      <c r="I12" s="24" t="n">
        <f aca="false">'Vessel Budget'!I12+'LW Budget'!I12</f>
        <v>19494.285</v>
      </c>
      <c r="J12" s="34" t="n">
        <f aca="false">IFERROR(I12/I$20,0)</f>
        <v>0.441382205505436</v>
      </c>
      <c r="K12" s="24" t="n">
        <f aca="false">'Vessel Budget'!K12+'LW Budget'!K12</f>
        <v>31814.925</v>
      </c>
      <c r="L12" s="34" t="n">
        <f aca="false">IFERROR(K12/K$20,0)</f>
        <v>0.496649192569091</v>
      </c>
      <c r="M12" s="24" t="n">
        <f aca="false">'Vessel Budget'!M12+'LW Budget'!M12</f>
        <v>29350.797</v>
      </c>
      <c r="N12" s="34" t="n">
        <f aca="false">IFERROR(M12/M$20,0)</f>
        <v>0.488523620551304</v>
      </c>
      <c r="O12" s="24" t="n">
        <f aca="false">'Vessel Budget'!O12+'LW Budget'!O12</f>
        <v>29350.797</v>
      </c>
      <c r="P12" s="34" t="n">
        <f aca="false">IFERROR(O12/O$20,0)</f>
        <v>0.488523620551304</v>
      </c>
      <c r="Q12" s="24" t="n">
        <f aca="false">'Vessel Budget'!Q12+'LW Budget'!Q12</f>
        <v>29350.797</v>
      </c>
      <c r="R12" s="34" t="n">
        <f aca="false">IFERROR(Q12/Q$20,0)</f>
        <v>0.488523620551304</v>
      </c>
      <c r="S12" s="24" t="n">
        <f aca="false">'Vessel Budget'!S12+'LW Budget'!S12</f>
        <v>29350.797</v>
      </c>
      <c r="T12" s="34" t="n">
        <f aca="false">IFERROR(S12/S$20,0)</f>
        <v>0.488523620551304</v>
      </c>
      <c r="U12" s="24" t="n">
        <f aca="false">'Vessel Budget'!U12+'LW Budget'!U12</f>
        <v>29350.797</v>
      </c>
      <c r="V12" s="34" t="n">
        <f aca="false">IFERROR(U12/U$20,0)</f>
        <v>0.488523620551304</v>
      </c>
      <c r="W12" s="24" t="n">
        <f aca="false">'Vessel Budget'!W12+'LW Budget'!W12</f>
        <v>29350.797</v>
      </c>
      <c r="X12" s="34" t="n">
        <f aca="false">IFERROR(W12/W$20,0)</f>
        <v>0.488523620551304</v>
      </c>
      <c r="Y12" s="24" t="n">
        <f aca="false">'Vessel Budget'!Y12+'LW Budget'!Y12</f>
        <v>29350.797</v>
      </c>
      <c r="Z12" s="34" t="n">
        <f aca="false">IFERROR(Y12/Y$20,0)</f>
        <v>0.488523620551304</v>
      </c>
      <c r="AB12" s="24" t="n">
        <f aca="false">SUM(C12,E12,G12,I12,K12,M12,O12,Q12,S12,U12,W12,Y12)</f>
        <v>352209.564</v>
      </c>
      <c r="AC12" s="34" t="n">
        <f aca="false">IFERROR(AB12/AB$20,0)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Budget'!C13+'LW Budget'!C13</f>
        <v>16676.7784091321</v>
      </c>
      <c r="D13" s="34" t="n">
        <f aca="false">IFERROR(C13/C$20,0)</f>
        <v>0.225345122531006</v>
      </c>
      <c r="E13" s="24" t="n">
        <f aca="false">'Vessel Budget'!E13+'LW Budget'!E13</f>
        <v>14867.8522028099</v>
      </c>
      <c r="F13" s="34" t="n">
        <f aca="false">IFERROR(E13/E$20,0)</f>
        <v>0.336632269221727</v>
      </c>
      <c r="G13" s="24" t="n">
        <f aca="false">'Vessel Budget'!G13+'LW Budget'!G13</f>
        <v>16676.7784091321</v>
      </c>
      <c r="H13" s="34" t="n">
        <f aca="false">IFERROR(G13/G$20,0)</f>
        <v>0.225345122531006</v>
      </c>
      <c r="I13" s="24" t="n">
        <f aca="false">'Vessel Budget'!I13+'LW Budget'!I13</f>
        <v>14867.8522028099</v>
      </c>
      <c r="J13" s="34" t="n">
        <f aca="false">IFERROR(I13/I$20,0)</f>
        <v>0.336632269221727</v>
      </c>
      <c r="K13" s="24" t="n">
        <f aca="false">'Vessel Budget'!K13+'LW Budget'!K13</f>
        <v>16073.8030070247</v>
      </c>
      <c r="L13" s="34" t="n">
        <f aca="false">IFERROR(K13/K$20,0)</f>
        <v>0.250921266825348</v>
      </c>
      <c r="M13" s="24" t="n">
        <f aca="false">'Vessel Budget'!M13+'LW Budget'!M13</f>
        <v>15832.6128461817</v>
      </c>
      <c r="N13" s="34" t="n">
        <f aca="false">IFERROR(M13/M$20,0)</f>
        <v>0.2635228389336</v>
      </c>
      <c r="O13" s="24" t="n">
        <f aca="false">'Vessel Budget'!O13+'LW Budget'!O13</f>
        <v>15832.6128461817</v>
      </c>
      <c r="P13" s="34" t="n">
        <f aca="false">IFERROR(O13/O$20,0)</f>
        <v>0.2635228389336</v>
      </c>
      <c r="Q13" s="24" t="n">
        <f aca="false">'Vessel Budget'!Q13+'LW Budget'!Q13</f>
        <v>15832.6128461817</v>
      </c>
      <c r="R13" s="34" t="n">
        <f aca="false">IFERROR(Q13/Q$20,0)</f>
        <v>0.2635228389336</v>
      </c>
      <c r="S13" s="24" t="n">
        <f aca="false">'Vessel Budget'!S13+'LW Budget'!S13</f>
        <v>15832.6128461817</v>
      </c>
      <c r="T13" s="34" t="n">
        <f aca="false">IFERROR(S13/S$20,0)</f>
        <v>0.2635228389336</v>
      </c>
      <c r="U13" s="24" t="n">
        <f aca="false">'Vessel Budget'!U13+'LW Budget'!U13</f>
        <v>15832.6128461817</v>
      </c>
      <c r="V13" s="34" t="n">
        <f aca="false">IFERROR(U13/U$20,0)</f>
        <v>0.2635228389336</v>
      </c>
      <c r="W13" s="24" t="n">
        <f aca="false">'Vessel Budget'!W13+'LW Budget'!W13</f>
        <v>15832.6128461817</v>
      </c>
      <c r="X13" s="34" t="n">
        <f aca="false">IFERROR(W13/W$20,0)</f>
        <v>0.2635228389336</v>
      </c>
      <c r="Y13" s="24" t="n">
        <f aca="false">'Vessel Budget'!Y13+'LW Budget'!Y13</f>
        <v>15832.6128461817</v>
      </c>
      <c r="Z13" s="34" t="n">
        <f aca="false">IFERROR(Y13/Y$20,0)</f>
        <v>0.2635228389336</v>
      </c>
      <c r="AB13" s="24" t="n">
        <f aca="false">SUM(C13,E13,G13,I13,K13,M13,O13,Q13,S13,U13,W13,Y13)</f>
        <v>189991.35415418</v>
      </c>
      <c r="AC13" s="34" t="n">
        <f aca="false">IFERROR(AB13/AB$20,0)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Budget'!C14+'LW Budget'!C14</f>
        <v>5003.57396386284</v>
      </c>
      <c r="D14" s="34" t="n">
        <f aca="false">IFERROR(C14/C$20,0)</f>
        <v>0.0676108394749789</v>
      </c>
      <c r="E14" s="24" t="n">
        <f aca="false">'Vessel Budget'!E14+'LW Budget'!E14</f>
        <v>1961.17660426549</v>
      </c>
      <c r="F14" s="34" t="n">
        <f aca="false">IFERROR(E14/E$20,0)</f>
        <v>0.0444042166704941</v>
      </c>
      <c r="G14" s="24" t="n">
        <f aca="false">'Vessel Budget'!G14+'LW Budget'!G14</f>
        <v>5003.57396386284</v>
      </c>
      <c r="H14" s="34" t="n">
        <f aca="false">IFERROR(G14/G$20,0)</f>
        <v>0.0676108394749789</v>
      </c>
      <c r="I14" s="24" t="n">
        <f aca="false">'Vessel Budget'!I14+'LW Budget'!I14</f>
        <v>1961.17660426549</v>
      </c>
      <c r="J14" s="34" t="n">
        <f aca="false">IFERROR(I14/I$20,0)</f>
        <v>0.0444042166704941</v>
      </c>
      <c r="K14" s="24" t="n">
        <f aca="false">'Vessel Budget'!K14+'LW Budget'!K14</f>
        <v>3989.44151066372</v>
      </c>
      <c r="L14" s="34" t="n">
        <f aca="false">IFERROR(K14/K$20,0)</f>
        <v>0.0622774658457549</v>
      </c>
      <c r="M14" s="24" t="n">
        <f aca="false">'Vessel Budget'!M14+'LW Budget'!M14</f>
        <v>3583.78852938408</v>
      </c>
      <c r="N14" s="34" t="n">
        <f aca="false">IFERROR(M14/M$20,0)</f>
        <v>0.0596496697403121</v>
      </c>
      <c r="O14" s="24" t="n">
        <f aca="false">'Vessel Budget'!O14+'LW Budget'!O14</f>
        <v>3583.78852938408</v>
      </c>
      <c r="P14" s="34" t="n">
        <f aca="false">IFERROR(O14/O$20,0)</f>
        <v>0.0596496697403121</v>
      </c>
      <c r="Q14" s="24" t="n">
        <f aca="false">'Vessel Budget'!Q14+'LW Budget'!Q14</f>
        <v>3583.78852938408</v>
      </c>
      <c r="R14" s="34" t="n">
        <f aca="false">IFERROR(Q14/Q$20,0)</f>
        <v>0.0596496697403121</v>
      </c>
      <c r="S14" s="24" t="n">
        <f aca="false">'Vessel Budget'!S14+'LW Budget'!S14</f>
        <v>3583.78852938408</v>
      </c>
      <c r="T14" s="34" t="n">
        <f aca="false">IFERROR(S14/S$20,0)</f>
        <v>0.0596496697403121</v>
      </c>
      <c r="U14" s="24" t="n">
        <f aca="false">'Vessel Budget'!U14+'LW Budget'!U14</f>
        <v>3583.78852938408</v>
      </c>
      <c r="V14" s="34" t="n">
        <f aca="false">IFERROR(U14/U$20,0)</f>
        <v>0.0596496697403121</v>
      </c>
      <c r="W14" s="24" t="n">
        <f aca="false">'Vessel Budget'!W14+'LW Budget'!W14</f>
        <v>3583.78852938408</v>
      </c>
      <c r="X14" s="34" t="n">
        <f aca="false">IFERROR(W14/W$20,0)</f>
        <v>0.0596496697403121</v>
      </c>
      <c r="Y14" s="24" t="n">
        <f aca="false">'Vessel Budget'!Y14+'LW Budget'!Y14</f>
        <v>3583.78852938408</v>
      </c>
      <c r="Z14" s="34" t="n">
        <f aca="false">IFERROR(Y14/Y$20,0)</f>
        <v>0.0596496697403121</v>
      </c>
      <c r="AB14" s="24" t="n">
        <f aca="false">SUM(C14,E14,G14,I14,K14,M14,O14,Q14,S14,U14,W14,Y14)</f>
        <v>43005.4623526089</v>
      </c>
      <c r="AC14" s="34" t="n">
        <f aca="false">IFERROR(AB14/AB$20,0)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Budget'!C15+'LW Budget'!C15</f>
        <v>777.013675634573</v>
      </c>
      <c r="D15" s="34" t="n">
        <f aca="false">IFERROR(C15/C$20,0)</f>
        <v>0.0104994044801998</v>
      </c>
      <c r="E15" s="24" t="n">
        <f aca="false">'Vessel Budget'!E15+'LW Budget'!E15</f>
        <v>664.850361733715</v>
      </c>
      <c r="F15" s="34" t="n">
        <f aca="false">IFERROR(E15/E$20,0)</f>
        <v>0.0150532896689011</v>
      </c>
      <c r="G15" s="24" t="n">
        <f aca="false">'Vessel Budget'!G15+'LW Budget'!G15</f>
        <v>777.013675634573</v>
      </c>
      <c r="H15" s="34" t="n">
        <f aca="false">IFERROR(G15/G$20,0)</f>
        <v>0.0104994044801998</v>
      </c>
      <c r="I15" s="24" t="n">
        <f aca="false">'Vessel Budget'!I15+'LW Budget'!I15</f>
        <v>664.850361733715</v>
      </c>
      <c r="J15" s="34" t="n">
        <f aca="false">IFERROR(I15/I$20,0)</f>
        <v>0.0150532896689011</v>
      </c>
      <c r="K15" s="24" t="n">
        <f aca="false">'Vessel Budget'!K15+'LW Budget'!K15</f>
        <v>739.625904334287</v>
      </c>
      <c r="L15" s="34" t="n">
        <f aca="false">IFERROR(K15/K$20,0)</f>
        <v>0.0115459837856229</v>
      </c>
      <c r="M15" s="24" t="n">
        <f aca="false">'Vessel Budget'!M15+'LW Budget'!M15</f>
        <v>724.670795814172</v>
      </c>
      <c r="N15" s="34" t="n">
        <f aca="false">IFERROR(M15/M$20,0)</f>
        <v>0.0120616418313593</v>
      </c>
      <c r="O15" s="24" t="n">
        <f aca="false">'Vessel Budget'!O15+'LW Budget'!O15</f>
        <v>724.670795814172</v>
      </c>
      <c r="P15" s="34" t="n">
        <f aca="false">IFERROR(O15/O$20,0)</f>
        <v>0.0120616418313593</v>
      </c>
      <c r="Q15" s="24" t="n">
        <f aca="false">'Vessel Budget'!Q15+'LW Budget'!Q15</f>
        <v>724.670795814172</v>
      </c>
      <c r="R15" s="34" t="n">
        <f aca="false">IFERROR(Q15/Q$20,0)</f>
        <v>0.0120616418313593</v>
      </c>
      <c r="S15" s="24" t="n">
        <f aca="false">'Vessel Budget'!S15+'LW Budget'!S15</f>
        <v>724.670795814172</v>
      </c>
      <c r="T15" s="34" t="n">
        <f aca="false">IFERROR(S15/S$20,0)</f>
        <v>0.0120616418313593</v>
      </c>
      <c r="U15" s="24" t="n">
        <f aca="false">'Vessel Budget'!U15+'LW Budget'!U15</f>
        <v>724.670795814172</v>
      </c>
      <c r="V15" s="34" t="n">
        <f aca="false">IFERROR(U15/U$20,0)</f>
        <v>0.0120616418313593</v>
      </c>
      <c r="W15" s="24" t="n">
        <f aca="false">'Vessel Budget'!W15+'LW Budget'!W15</f>
        <v>724.670795814172</v>
      </c>
      <c r="X15" s="34" t="n">
        <f aca="false">IFERROR(W15/W$20,0)</f>
        <v>0.0120616418313593</v>
      </c>
      <c r="Y15" s="24" t="n">
        <f aca="false">'Vessel Budget'!Y15+'LW Budget'!Y15</f>
        <v>724.670795814172</v>
      </c>
      <c r="Z15" s="34" t="n">
        <f aca="false">IFERROR(Y15/Y$20,0)</f>
        <v>0.0120616418313593</v>
      </c>
      <c r="AB15" s="24" t="n">
        <f aca="false">SUM(C15,E15,G15,I15,K15,M15,O15,Q15,S15,U15,W15,Y15)</f>
        <v>8696.04954977007</v>
      </c>
      <c r="AC15" s="34" t="n">
        <f aca="false">IFERROR(AB15/AB$20,0)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Budget'!C16+'LW Budget'!C16</f>
        <v>1661.47895137053</v>
      </c>
      <c r="D16" s="34" t="n">
        <f aca="false">IFERROR(C16/C$20,0)</f>
        <v>0.022450749700809</v>
      </c>
      <c r="E16" s="24" t="n">
        <f aca="false">'Vessel Budget'!E16+'LW Budget'!E16</f>
        <v>1234.68583119093</v>
      </c>
      <c r="F16" s="34" t="n">
        <f aca="false">IFERROR(E16/E$20,0)</f>
        <v>0.0279552881922762</v>
      </c>
      <c r="G16" s="24" t="n">
        <f aca="false">'Vessel Budget'!G16+'LW Budget'!G16</f>
        <v>1661.47895137053</v>
      </c>
      <c r="H16" s="34" t="n">
        <f aca="false">IFERROR(G16/G$20,0)</f>
        <v>0.022450749700809</v>
      </c>
      <c r="I16" s="24" t="n">
        <f aca="false">'Vessel Budget'!I16+'LW Budget'!I16</f>
        <v>1234.68583119093</v>
      </c>
      <c r="J16" s="34" t="n">
        <f aca="false">IFERROR(I16/I$20,0)</f>
        <v>0.0279552881922762</v>
      </c>
      <c r="K16" s="24" t="n">
        <f aca="false">'Vessel Budget'!K16+'LW Budget'!K16</f>
        <v>1519.21457797733</v>
      </c>
      <c r="L16" s="34" t="n">
        <f aca="false">IFERROR(K16/K$20,0)</f>
        <v>0.0237158092779296</v>
      </c>
      <c r="M16" s="24" t="n">
        <f aca="false">'Vessel Budget'!M16+'LW Budget'!M16</f>
        <v>1462.30882862005</v>
      </c>
      <c r="N16" s="34" t="n">
        <f aca="false">IFERROR(M16/M$20,0)</f>
        <v>0.0243391143116695</v>
      </c>
      <c r="O16" s="24" t="n">
        <f aca="false">'Vessel Budget'!O16+'LW Budget'!O16</f>
        <v>1462.30882862005</v>
      </c>
      <c r="P16" s="34" t="n">
        <f aca="false">IFERROR(O16/O$20,0)</f>
        <v>0.0243391143116695</v>
      </c>
      <c r="Q16" s="24" t="n">
        <f aca="false">'Vessel Budget'!Q16+'LW Budget'!Q16</f>
        <v>1462.30882862005</v>
      </c>
      <c r="R16" s="34" t="n">
        <f aca="false">IFERROR(Q16/Q$20,0)</f>
        <v>0.0243391143116695</v>
      </c>
      <c r="S16" s="24" t="n">
        <f aca="false">'Vessel Budget'!S16+'LW Budget'!S16</f>
        <v>1462.30882862005</v>
      </c>
      <c r="T16" s="34" t="n">
        <f aca="false">IFERROR(S16/S$20,0)</f>
        <v>0.0243391143116695</v>
      </c>
      <c r="U16" s="24" t="n">
        <f aca="false">'Vessel Budget'!U16+'LW Budget'!U16</f>
        <v>1462.30882862005</v>
      </c>
      <c r="V16" s="34" t="n">
        <f aca="false">IFERROR(U16/U$20,0)</f>
        <v>0.0243391143116695</v>
      </c>
      <c r="W16" s="24" t="n">
        <f aca="false">'Vessel Budget'!W16+'LW Budget'!W16</f>
        <v>1462.30882862005</v>
      </c>
      <c r="X16" s="34" t="n">
        <f aca="false">IFERROR(W16/W$20,0)</f>
        <v>0.0243391143116695</v>
      </c>
      <c r="Y16" s="24" t="n">
        <f aca="false">'Vessel Budget'!Y16+'LW Budget'!Y16</f>
        <v>1462.30882862005</v>
      </c>
      <c r="Z16" s="34" t="n">
        <f aca="false">IFERROR(Y16/Y$20,0)</f>
        <v>0.0243391143116695</v>
      </c>
      <c r="AB16" s="24" t="n">
        <f aca="false">SUM(C16,E16,G16,I16,K16,M16,O16,Q16,S16,U16,W16,Y16)</f>
        <v>17547.7059434406</v>
      </c>
      <c r="AC16" s="34" t="n">
        <f aca="false">IFERROR(AB16/AB$20,0)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Budget'!C17+'LW Budget'!C17</f>
        <v>3743.66666666667</v>
      </c>
      <c r="D17" s="34" t="n">
        <f aca="false">IFERROR(C17/C$20,0)</f>
        <v>0.0505863304661579</v>
      </c>
      <c r="E17" s="24" t="n">
        <f aca="false">'Vessel Budget'!E17+'LW Budget'!E17</f>
        <v>3743.66666666667</v>
      </c>
      <c r="F17" s="34" t="n">
        <f aca="false">IFERROR(E17/E$20,0)</f>
        <v>0.0847626804476551</v>
      </c>
      <c r="G17" s="24" t="n">
        <f aca="false">'Vessel Budget'!G17+'LW Budget'!G17</f>
        <v>3743.66666666667</v>
      </c>
      <c r="H17" s="34" t="n">
        <f aca="false">IFERROR(G17/G$20,0)</f>
        <v>0.0505863304661579</v>
      </c>
      <c r="I17" s="24" t="n">
        <f aca="false">'Vessel Budget'!I17+'LW Budget'!I17</f>
        <v>3743.66666666667</v>
      </c>
      <c r="J17" s="34" t="n">
        <f aca="false">IFERROR(I17/I$20,0)</f>
        <v>0.0847626804476551</v>
      </c>
      <c r="K17" s="24" t="n">
        <f aca="false">'Vessel Budget'!K17+'LW Budget'!K17</f>
        <v>3743.66666666667</v>
      </c>
      <c r="L17" s="34" t="n">
        <f aca="false">IFERROR(K17/K$20,0)</f>
        <v>0.058440779830467</v>
      </c>
      <c r="M17" s="24" t="n">
        <f aca="false">'Vessel Budget'!M17+'LW Budget'!M17</f>
        <v>3743.66666666667</v>
      </c>
      <c r="N17" s="34" t="n">
        <f aca="false">IFERROR(M17/M$20,0)</f>
        <v>0.0623107302379977</v>
      </c>
      <c r="O17" s="24" t="n">
        <f aca="false">'Vessel Budget'!O17+'LW Budget'!O17</f>
        <v>3743.66666666667</v>
      </c>
      <c r="P17" s="34" t="n">
        <f aca="false">IFERROR(O17/O$20,0)</f>
        <v>0.0623107302379977</v>
      </c>
      <c r="Q17" s="24" t="n">
        <f aca="false">'Vessel Budget'!Q17+'LW Budget'!Q17</f>
        <v>3743.66666666667</v>
      </c>
      <c r="R17" s="34" t="n">
        <f aca="false">IFERROR(Q17/Q$20,0)</f>
        <v>0.0623107302379977</v>
      </c>
      <c r="S17" s="24" t="n">
        <f aca="false">'Vessel Budget'!S17+'LW Budget'!S17</f>
        <v>3743.66666666667</v>
      </c>
      <c r="T17" s="34" t="n">
        <f aca="false">IFERROR(S17/S$20,0)</f>
        <v>0.0623107302379977</v>
      </c>
      <c r="U17" s="24" t="n">
        <f aca="false">'Vessel Budget'!U17+'LW Budget'!U17</f>
        <v>3743.66666666667</v>
      </c>
      <c r="V17" s="34" t="n">
        <f aca="false">IFERROR(U17/U$20,0)</f>
        <v>0.0623107302379977</v>
      </c>
      <c r="W17" s="24" t="n">
        <f aca="false">'Vessel Budget'!W17+'LW Budget'!W17</f>
        <v>3743.66666666667</v>
      </c>
      <c r="X17" s="34" t="n">
        <f aca="false">IFERROR(W17/W$20,0)</f>
        <v>0.0623107302379977</v>
      </c>
      <c r="Y17" s="24" t="n">
        <f aca="false">'Vessel Budget'!Y17+'LW Budget'!Y17</f>
        <v>3743.66666666667</v>
      </c>
      <c r="Z17" s="34" t="n">
        <f aca="false">IFERROR(Y17/Y$20,0)</f>
        <v>0.0623107302379977</v>
      </c>
      <c r="AB17" s="24" t="n">
        <f aca="false">SUM(C17,E17,G17,I17,K17,M17,O17,Q17,S17,U17,W17,Y17)</f>
        <v>44924</v>
      </c>
      <c r="AC17" s="34" t="n">
        <f aca="false">IFERROR(AB17/AB$20,0)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Budget'!C18+'LW Budget'!C18</f>
        <v>8960.17</v>
      </c>
      <c r="D18" s="34" t="n">
        <f aca="false">IFERROR(C18/C$20,0)</f>
        <v>0.121074380015926</v>
      </c>
      <c r="E18" s="24" t="n">
        <f aca="false">'Vessel Budget'!E18+'LW Budget'!E18</f>
        <v>2992.36</v>
      </c>
      <c r="F18" s="34" t="n">
        <f aca="false">IFERROR(E18/E$20,0)</f>
        <v>0.0677518799210253</v>
      </c>
      <c r="G18" s="24" t="n">
        <f aca="false">'Vessel Budget'!G18+'LW Budget'!G18</f>
        <v>8960.17</v>
      </c>
      <c r="H18" s="34" t="n">
        <f aca="false">IFERROR(G18/G$20,0)</f>
        <v>0.121074380015926</v>
      </c>
      <c r="I18" s="24" t="n">
        <f aca="false">'Vessel Budget'!I18+'LW Budget'!I18</f>
        <v>2992.36</v>
      </c>
      <c r="J18" s="34" t="n">
        <f aca="false">IFERROR(I18/I$20,0)</f>
        <v>0.0677518799210253</v>
      </c>
      <c r="K18" s="24" t="n">
        <f aca="false">'Vessel Budget'!K18+'LW Budget'!K18</f>
        <v>6970.9</v>
      </c>
      <c r="L18" s="34" t="n">
        <f aca="false">IFERROR(K18/K$20,0)</f>
        <v>0.108819739681294</v>
      </c>
      <c r="M18" s="24" t="n">
        <f aca="false">'Vessel Budget'!M18+'LW Budget'!M18</f>
        <v>6175.192</v>
      </c>
      <c r="N18" s="34" t="n">
        <f aca="false">IFERROR(M18/M$20,0)</f>
        <v>0.102781779773798</v>
      </c>
      <c r="O18" s="24" t="n">
        <f aca="false">'Vessel Budget'!O18+'LW Budget'!O18</f>
        <v>6175.192</v>
      </c>
      <c r="P18" s="34" t="n">
        <f aca="false">IFERROR(O18/O$20,0)</f>
        <v>0.102781779773798</v>
      </c>
      <c r="Q18" s="24" t="n">
        <f aca="false">'Vessel Budget'!Q18+'LW Budget'!Q18</f>
        <v>6175.192</v>
      </c>
      <c r="R18" s="34" t="n">
        <f aca="false">IFERROR(Q18/Q$20,0)</f>
        <v>0.102781779773798</v>
      </c>
      <c r="S18" s="24" t="n">
        <f aca="false">'Vessel Budget'!S18+'LW Budget'!S18</f>
        <v>6175.192</v>
      </c>
      <c r="T18" s="34" t="n">
        <f aca="false">IFERROR(S18/S$20,0)</f>
        <v>0.102781779773798</v>
      </c>
      <c r="U18" s="24" t="n">
        <f aca="false">'Vessel Budget'!U18+'LW Budget'!U18</f>
        <v>6175.192</v>
      </c>
      <c r="V18" s="34" t="n">
        <f aca="false">IFERROR(U18/U$20,0)</f>
        <v>0.102781779773798</v>
      </c>
      <c r="W18" s="24" t="n">
        <f aca="false">'Vessel Budget'!W18+'LW Budget'!W18</f>
        <v>6175.192</v>
      </c>
      <c r="X18" s="34" t="n">
        <f aca="false">IFERROR(W18/W$20,0)</f>
        <v>0.102781779773798</v>
      </c>
      <c r="Y18" s="24" t="n">
        <f aca="false">'Vessel Budget'!Y18+'LW Budget'!Y18</f>
        <v>6175.192</v>
      </c>
      <c r="Z18" s="34" t="n">
        <f aca="false">IFERROR(Y18/Y$20,0)</f>
        <v>0.102781779773798</v>
      </c>
      <c r="AB18" s="24" t="n">
        <f aca="false">SUM(C18,E18,G18,I18,K18,M18,O18,Q18,S18,U18,W18,Y18)</f>
        <v>74102.304</v>
      </c>
      <c r="AC18" s="34" t="n">
        <f aca="false">IFERROR(AB18/AB$20,0)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Budget'!C19+'LW Budget'!C19</f>
        <v>-792.426916666667</v>
      </c>
      <c r="D19" s="34" t="n">
        <f aca="false">IFERROR(C19/C$20,0)</f>
        <v>-0.0107076760422345</v>
      </c>
      <c r="E19" s="24" t="n">
        <f aca="false">'Vessel Budget'!E19+'LW Budget'!E19</f>
        <v>-792.426916666667</v>
      </c>
      <c r="F19" s="34" t="n">
        <f aca="false">IFERROR(E19/E$20,0)</f>
        <v>-0.0179418296275142</v>
      </c>
      <c r="G19" s="24" t="n">
        <f aca="false">'Vessel Budget'!G19+'LW Budget'!G19</f>
        <v>-792.426916666667</v>
      </c>
      <c r="H19" s="34" t="n">
        <f aca="false">IFERROR(G19/G$20,0)</f>
        <v>-0.0107076760422345</v>
      </c>
      <c r="I19" s="24" t="n">
        <f aca="false">'Vessel Budget'!I19+'LW Budget'!I19</f>
        <v>-792.426916666667</v>
      </c>
      <c r="J19" s="34" t="n">
        <f aca="false">IFERROR(I19/I$20,0)</f>
        <v>-0.0179418296275142</v>
      </c>
      <c r="K19" s="24" t="n">
        <f aca="false">'Vessel Budget'!K19+'LW Budget'!K19</f>
        <v>-792.426916666667</v>
      </c>
      <c r="L19" s="34" t="n">
        <f aca="false">IFERROR(K19/K$20,0)</f>
        <v>-0.0123702378155069</v>
      </c>
      <c r="M19" s="24" t="n">
        <f aca="false">'Vessel Budget'!M19+'LW Budget'!M19</f>
        <v>-792.426916666667</v>
      </c>
      <c r="N19" s="34" t="n">
        <f aca="false">IFERROR(M19/M$20,0)</f>
        <v>-0.0131893953800405</v>
      </c>
      <c r="O19" s="24" t="n">
        <f aca="false">'Vessel Budget'!O19+'LW Budget'!O19</f>
        <v>-792.426916666667</v>
      </c>
      <c r="P19" s="34" t="n">
        <f aca="false">IFERROR(O19/O$20,0)</f>
        <v>-0.0131893953800405</v>
      </c>
      <c r="Q19" s="24" t="n">
        <f aca="false">'Vessel Budget'!Q19+'LW Budget'!Q19</f>
        <v>-792.426916666667</v>
      </c>
      <c r="R19" s="34" t="n">
        <f aca="false">IFERROR(Q19/Q$20,0)</f>
        <v>-0.0131893953800405</v>
      </c>
      <c r="S19" s="24" t="n">
        <f aca="false">'Vessel Budget'!S19+'LW Budget'!S19</f>
        <v>-792.426916666667</v>
      </c>
      <c r="T19" s="34" t="n">
        <f aca="false">IFERROR(S19/S$20,0)</f>
        <v>-0.0131893953800405</v>
      </c>
      <c r="U19" s="24" t="n">
        <f aca="false">'Vessel Budget'!U19+'LW Budget'!U19</f>
        <v>-792.426916666667</v>
      </c>
      <c r="V19" s="34" t="n">
        <f aca="false">IFERROR(U19/U$20,0)</f>
        <v>-0.0131893953800405</v>
      </c>
      <c r="W19" s="24" t="n">
        <f aca="false">'Vessel Budget'!W19+'LW Budget'!W19</f>
        <v>-792.426916666667</v>
      </c>
      <c r="X19" s="34" t="n">
        <f aca="false">IFERROR(W19/W$20,0)</f>
        <v>-0.0131893953800405</v>
      </c>
      <c r="Y19" s="24" t="n">
        <f aca="false">'Vessel Budget'!Y19+'LW Budget'!Y19</f>
        <v>-792.426916666667</v>
      </c>
      <c r="Z19" s="34" t="n">
        <f aca="false">IFERROR(Y19/Y$20,0)</f>
        <v>-0.0131893953800405</v>
      </c>
      <c r="AB19" s="24" t="n">
        <f aca="false">SUM(C19,E19,G19,I19,K19,M19,O19,Q19,S19,U19,W19,Y19)</f>
        <v>-9509.123</v>
      </c>
      <c r="AC19" s="34" t="n">
        <f aca="false">IFERROR(AB19/AB$20,0)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74005.49975</v>
      </c>
      <c r="D20" s="35" t="n">
        <f aca="false">IFERROR(C20/C$20,0)</f>
        <v>1</v>
      </c>
      <c r="E20" s="27" t="n">
        <f aca="false">SUM(E12:E19)</f>
        <v>44166.44975</v>
      </c>
      <c r="F20" s="35" t="n">
        <f aca="false">IFERROR(E20/E$20,0)</f>
        <v>1</v>
      </c>
      <c r="G20" s="27" t="n">
        <f aca="false">SUM(G12:G19)</f>
        <v>74005.49975</v>
      </c>
      <c r="H20" s="35" t="n">
        <f aca="false">IFERROR(G20/G$20,0)</f>
        <v>1</v>
      </c>
      <c r="I20" s="27" t="n">
        <f aca="false">SUM(I12:I19)</f>
        <v>44166.44975</v>
      </c>
      <c r="J20" s="35" t="n">
        <f aca="false">IFERROR(I20/I$20,0)</f>
        <v>1</v>
      </c>
      <c r="K20" s="27" t="n">
        <f aca="false">SUM(K12:K19)</f>
        <v>64059.14975</v>
      </c>
      <c r="L20" s="35" t="n">
        <f aca="false">IFERROR(K20/K$20,0)</f>
        <v>1</v>
      </c>
      <c r="M20" s="27" t="n">
        <f aca="false">SUM(M12:M19)</f>
        <v>60080.60975</v>
      </c>
      <c r="N20" s="35" t="n">
        <f aca="false">IFERROR(M20/M$20,0)</f>
        <v>1</v>
      </c>
      <c r="O20" s="27" t="n">
        <f aca="false">SUM(O12:O19)</f>
        <v>60080.60975</v>
      </c>
      <c r="P20" s="35" t="n">
        <f aca="false">IFERROR(O20/O$20,0)</f>
        <v>1</v>
      </c>
      <c r="Q20" s="27" t="n">
        <f aca="false">SUM(Q12:Q19)</f>
        <v>60080.60975</v>
      </c>
      <c r="R20" s="35" t="n">
        <f aca="false">IFERROR(Q20/Q$20,0)</f>
        <v>1</v>
      </c>
      <c r="S20" s="27" t="n">
        <f aca="false">SUM(S12:S19)</f>
        <v>60080.60975</v>
      </c>
      <c r="T20" s="35" t="n">
        <f aca="false">IFERROR(S20/S$20,0)</f>
        <v>1</v>
      </c>
      <c r="U20" s="27" t="n">
        <f aca="false">SUM(U12:U19)</f>
        <v>60080.60975</v>
      </c>
      <c r="V20" s="35" t="n">
        <f aca="false">IFERROR(U20/U$20,0)</f>
        <v>1</v>
      </c>
      <c r="W20" s="27" t="n">
        <f aca="false">SUM(W12:W19)</f>
        <v>60080.60975</v>
      </c>
      <c r="X20" s="35" t="n">
        <f aca="false">IFERROR(W20/W$20,0)</f>
        <v>1</v>
      </c>
      <c r="Y20" s="27" t="n">
        <f aca="false">SUM(Y12:Y19)</f>
        <v>60080.60975</v>
      </c>
      <c r="Z20" s="35" t="n">
        <f aca="false">IFERROR(Y20/Y$20,0)</f>
        <v>1</v>
      </c>
      <c r="AB20" s="27" t="n">
        <f aca="false">SUM(AB12:AB19)</f>
        <v>720967.317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Budget'!C23+'LW Budget'!C23</f>
        <v>19264.4</v>
      </c>
      <c r="D23" s="34" t="n">
        <f aca="false">IFERROR(C23/C$12,0)</f>
        <v>0.507288366408169</v>
      </c>
      <c r="E23" s="24" t="n">
        <f aca="false">'Vessel Budget'!E23+'LW Budget'!E23</f>
        <v>8997.2</v>
      </c>
      <c r="F23" s="34" t="n">
        <f aca="false">IFERROR(E23/E$12,0)</f>
        <v>0.461530135626929</v>
      </c>
      <c r="G23" s="24" t="n">
        <f aca="false">'Vessel Budget'!G23+'LW Budget'!G23</f>
        <v>19264.4</v>
      </c>
      <c r="H23" s="34" t="n">
        <f aca="false">IFERROR(G23/G$12,0)</f>
        <v>0.507288366408169</v>
      </c>
      <c r="I23" s="24" t="n">
        <f aca="false">'Vessel Budget'!I23+'LW Budget'!I23</f>
        <v>8997.2</v>
      </c>
      <c r="J23" s="34" t="n">
        <f aca="false">IFERROR(I23/I$12,0)</f>
        <v>0.461530135626929</v>
      </c>
      <c r="K23" s="24" t="n">
        <f aca="false">'Vessel Budget'!K23+'LW Budget'!K23</f>
        <v>15842</v>
      </c>
      <c r="L23" s="34" t="n">
        <f aca="false">IFERROR(K23/K$12,0)</f>
        <v>0.497942396532445</v>
      </c>
      <c r="M23" s="24" t="n">
        <f aca="false">'Vessel Budget'!M23+'LW Budget'!M23</f>
        <v>14473.04</v>
      </c>
      <c r="N23" s="34" t="n">
        <f aca="false">IFERROR(M23/M$12,0)</f>
        <v>0.493105519417411</v>
      </c>
      <c r="O23" s="24" t="n">
        <f aca="false">'Vessel Budget'!O23+'LW Budget'!O23</f>
        <v>14473.04</v>
      </c>
      <c r="P23" s="34" t="n">
        <f aca="false">IFERROR(O23/O$12,0)</f>
        <v>0.493105519417411</v>
      </c>
      <c r="Q23" s="24" t="n">
        <f aca="false">'Vessel Budget'!Q23+'LW Budget'!Q23</f>
        <v>14473.04</v>
      </c>
      <c r="R23" s="34" t="n">
        <f aca="false">IFERROR(Q23/Q$12,0)</f>
        <v>0.493105519417411</v>
      </c>
      <c r="S23" s="24" t="n">
        <f aca="false">'Vessel Budget'!S23+'LW Budget'!S23</f>
        <v>14473.04</v>
      </c>
      <c r="T23" s="34" t="n">
        <f aca="false">IFERROR(S23/S$12,0)</f>
        <v>0.493105519417411</v>
      </c>
      <c r="U23" s="24" t="n">
        <f aca="false">'Vessel Budget'!U23+'LW Budget'!U23</f>
        <v>14473.04</v>
      </c>
      <c r="V23" s="34" t="n">
        <f aca="false">IFERROR(U23/U$12,0)</f>
        <v>0.493105519417411</v>
      </c>
      <c r="W23" s="24" t="n">
        <f aca="false">'Vessel Budget'!W23+'LW Budget'!W23</f>
        <v>14473.04</v>
      </c>
      <c r="X23" s="34" t="n">
        <f aca="false">IFERROR(W23/W$12,0)</f>
        <v>0.493105519417411</v>
      </c>
      <c r="Y23" s="24" t="n">
        <f aca="false">'Vessel Budget'!Y23+'LW Budget'!Y23</f>
        <v>14473.04</v>
      </c>
      <c r="Z23" s="34" t="n">
        <f aca="false">IFERROR(Y23/Y$12,0)</f>
        <v>0.493105519417411</v>
      </c>
      <c r="AB23" s="24" t="n">
        <f aca="false">SUM(C23,E23,G23,I23,K23,M23,O23,Q23,S23,U23,W23,Y23)</f>
        <v>173676.48</v>
      </c>
      <c r="AC23" s="34" t="n">
        <f aca="false">IFERROR(AB23/AB$12,0)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Budget'!C24+'LW Budget'!C24</f>
        <v>3486.22335228301</v>
      </c>
      <c r="D24" s="34" t="n">
        <f aca="false">IFERROR(C24/C$13,0)</f>
        <v>0.209046571631244</v>
      </c>
      <c r="E24" s="24" t="n">
        <f aca="false">'Vessel Budget'!E24+'LW Budget'!E24</f>
        <v>3033.99180070247</v>
      </c>
      <c r="F24" s="34" t="n">
        <f aca="false">IFERROR(E24/E$13,0)</f>
        <v>0.204063892976356</v>
      </c>
      <c r="G24" s="24" t="n">
        <f aca="false">'Vessel Budget'!G24+'LW Budget'!G24</f>
        <v>3486.22335228301</v>
      </c>
      <c r="H24" s="34" t="n">
        <f aca="false">IFERROR(G24/G$13,0)</f>
        <v>0.209046571631244</v>
      </c>
      <c r="I24" s="24" t="n">
        <f aca="false">'Vessel Budget'!I24+'LW Budget'!I24</f>
        <v>3033.99180070247</v>
      </c>
      <c r="J24" s="34" t="n">
        <f aca="false">IFERROR(I24/I$13,0)</f>
        <v>0.204063892976356</v>
      </c>
      <c r="K24" s="24" t="n">
        <f aca="false">'Vessel Budget'!K24+'LW Budget'!K24</f>
        <v>3335.47950175616</v>
      </c>
      <c r="L24" s="34" t="n">
        <f aca="false">IFERROR(K24/K$13,0)</f>
        <v>0.207510288654059</v>
      </c>
      <c r="M24" s="24" t="n">
        <f aca="false">'Vessel Budget'!M24+'LW Budget'!M24</f>
        <v>3275.18196154543</v>
      </c>
      <c r="N24" s="34" t="n">
        <f aca="false">IFERROR(M24/M$13,0)</f>
        <v>0.206863010759168</v>
      </c>
      <c r="O24" s="24" t="n">
        <f aca="false">'Vessel Budget'!O24+'LW Budget'!O24</f>
        <v>3275.18196154543</v>
      </c>
      <c r="P24" s="34" t="n">
        <f aca="false">IFERROR(O24/O$13,0)</f>
        <v>0.206863010759168</v>
      </c>
      <c r="Q24" s="24" t="n">
        <f aca="false">'Vessel Budget'!Q24+'LW Budget'!Q24</f>
        <v>3275.18196154543</v>
      </c>
      <c r="R24" s="34" t="n">
        <f aca="false">IFERROR(Q24/Q$13,0)</f>
        <v>0.206863010759168</v>
      </c>
      <c r="S24" s="24" t="n">
        <f aca="false">'Vessel Budget'!S24+'LW Budget'!S24</f>
        <v>3275.18196154543</v>
      </c>
      <c r="T24" s="34" t="n">
        <f aca="false">IFERROR(S24/S$13,0)</f>
        <v>0.206863010759168</v>
      </c>
      <c r="U24" s="24" t="n">
        <f aca="false">'Vessel Budget'!U24+'LW Budget'!U24</f>
        <v>3275.18196154543</v>
      </c>
      <c r="V24" s="34" t="n">
        <f aca="false">IFERROR(U24/U$13,0)</f>
        <v>0.206863010759168</v>
      </c>
      <c r="W24" s="24" t="n">
        <f aca="false">'Vessel Budget'!W24+'LW Budget'!W24</f>
        <v>3275.18196154543</v>
      </c>
      <c r="X24" s="34" t="n">
        <f aca="false">IFERROR(W24/W$13,0)</f>
        <v>0.206863010759168</v>
      </c>
      <c r="Y24" s="24" t="n">
        <f aca="false">'Vessel Budget'!Y24+'LW Budget'!Y24</f>
        <v>3275.18196154543</v>
      </c>
      <c r="Z24" s="34" t="n">
        <f aca="false">IFERROR(Y24/Y$13,0)</f>
        <v>0.206863010759168</v>
      </c>
      <c r="AB24" s="24" t="n">
        <f aca="false">SUM(C24,E24,G24,I24,K24,M24,O24,Q24,S24,U24,W24,Y24)</f>
        <v>39302.1835385451</v>
      </c>
      <c r="AC24" s="34" t="n">
        <f aca="false">IFERROR(AB24/AB$13,0)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Budget'!C25+'LW Budget'!C25</f>
        <v>1177.64349096571</v>
      </c>
      <c r="D25" s="34" t="n">
        <f aca="false">IFERROR(C25/C$14,0)</f>
        <v>0.235360464234359</v>
      </c>
      <c r="E25" s="24" t="n">
        <f aca="false">'Vessel Budget'!E25+'LW Budget'!E25</f>
        <v>417.044151066372</v>
      </c>
      <c r="F25" s="34" t="n">
        <f aca="false">IFERROR(E25/E$14,0)</f>
        <v>0.212649972551843</v>
      </c>
      <c r="G25" s="24" t="n">
        <f aca="false">'Vessel Budget'!G25+'LW Budget'!G25</f>
        <v>1177.64349096571</v>
      </c>
      <c r="H25" s="34" t="n">
        <f aca="false">IFERROR(G25/G$14,0)</f>
        <v>0.235360464234359</v>
      </c>
      <c r="I25" s="24" t="n">
        <f aca="false">'Vessel Budget'!I25+'LW Budget'!I25</f>
        <v>417.044151066372</v>
      </c>
      <c r="J25" s="34" t="n">
        <f aca="false">IFERROR(I25/I$14,0)</f>
        <v>0.212649972551843</v>
      </c>
      <c r="K25" s="24" t="n">
        <f aca="false">'Vessel Budget'!K25+'LW Budget'!K25</f>
        <v>924.11037766593</v>
      </c>
      <c r="L25" s="34" t="n">
        <f aca="false">IFERROR(K25/K$14,0)</f>
        <v>0.231639033984029</v>
      </c>
      <c r="M25" s="24" t="n">
        <f aca="false">'Vessel Budget'!M25+'LW Budget'!M25</f>
        <v>822.697132346019</v>
      </c>
      <c r="N25" s="34" t="n">
        <f aca="false">IFERROR(M25/M$14,0)</f>
        <v>0.229560735964354</v>
      </c>
      <c r="O25" s="24" t="n">
        <f aca="false">'Vessel Budget'!O25+'LW Budget'!O25</f>
        <v>822.697132346019</v>
      </c>
      <c r="P25" s="34" t="n">
        <f aca="false">IFERROR(O25/O$14,0)</f>
        <v>0.229560735964354</v>
      </c>
      <c r="Q25" s="24" t="n">
        <f aca="false">'Vessel Budget'!Q25+'LW Budget'!Q25</f>
        <v>822.697132346019</v>
      </c>
      <c r="R25" s="34" t="n">
        <f aca="false">IFERROR(Q25/Q$14,0)</f>
        <v>0.229560735964354</v>
      </c>
      <c r="S25" s="24" t="n">
        <f aca="false">'Vessel Budget'!S25+'LW Budget'!S25</f>
        <v>822.697132346019</v>
      </c>
      <c r="T25" s="34" t="n">
        <f aca="false">IFERROR(S25/S$14,0)</f>
        <v>0.229560735964354</v>
      </c>
      <c r="U25" s="24" t="n">
        <f aca="false">'Vessel Budget'!U25+'LW Budget'!U25</f>
        <v>822.697132346019</v>
      </c>
      <c r="V25" s="34" t="n">
        <f aca="false">IFERROR(U25/U$14,0)</f>
        <v>0.229560735964354</v>
      </c>
      <c r="W25" s="24" t="n">
        <f aca="false">'Vessel Budget'!W25+'LW Budget'!W25</f>
        <v>822.697132346019</v>
      </c>
      <c r="X25" s="34" t="n">
        <f aca="false">IFERROR(W25/W$14,0)</f>
        <v>0.229560735964354</v>
      </c>
      <c r="Y25" s="24" t="n">
        <f aca="false">'Vessel Budget'!Y25+'LW Budget'!Y25</f>
        <v>822.697132346019</v>
      </c>
      <c r="Z25" s="34" t="n">
        <f aca="false">IFERROR(Y25/Y$14,0)</f>
        <v>0.229560735964354</v>
      </c>
      <c r="AB25" s="24" t="n">
        <f aca="false">SUM(C25,E25,G25,I25,K25,M25,O25,Q25,S25,U25,W25,Y25)</f>
        <v>9872.36558815223</v>
      </c>
      <c r="AC25" s="34" t="n">
        <f aca="false">IFERROR(AB25/AB$14,0)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Budget'!C26+'LW Budget'!C26</f>
        <v>212.503418908643</v>
      </c>
      <c r="D26" s="34" t="n">
        <f aca="false">IFERROR(C26/C$15,0)</f>
        <v>0.273487360097099</v>
      </c>
      <c r="E26" s="24" t="n">
        <f aca="false">'Vessel Budget'!E26+'LW Budget'!E26</f>
        <v>184.462590433429</v>
      </c>
      <c r="F26" s="34" t="n">
        <f aca="false">IFERROR(E26/E$15,0)</f>
        <v>0.277449785771959</v>
      </c>
      <c r="G26" s="24" t="n">
        <f aca="false">'Vessel Budget'!G26+'LW Budget'!G26</f>
        <v>212.503418908643</v>
      </c>
      <c r="H26" s="34" t="n">
        <f aca="false">IFERROR(G26/G$15,0)</f>
        <v>0.273487360097099</v>
      </c>
      <c r="I26" s="24" t="n">
        <f aca="false">'Vessel Budget'!I26+'LW Budget'!I26</f>
        <v>184.462590433429</v>
      </c>
      <c r="J26" s="34" t="n">
        <f aca="false">IFERROR(I26/I$15,0)</f>
        <v>0.277449785771959</v>
      </c>
      <c r="K26" s="24" t="n">
        <f aca="false">'Vessel Budget'!K26+'LW Budget'!K26</f>
        <v>203.156476083572</v>
      </c>
      <c r="L26" s="34" t="n">
        <f aca="false">IFERROR(K26/K$15,0)</f>
        <v>0.274674636046484</v>
      </c>
      <c r="M26" s="24" t="n">
        <f aca="false">'Vessel Budget'!M26+'LW Budget'!M26</f>
        <v>199.417698953543</v>
      </c>
      <c r="N26" s="34" t="n">
        <f aca="false">IFERROR(M26/M$15,0)</f>
        <v>0.275183849142832</v>
      </c>
      <c r="O26" s="24" t="n">
        <f aca="false">'Vessel Budget'!O26+'LW Budget'!O26</f>
        <v>199.417698953543</v>
      </c>
      <c r="P26" s="34" t="n">
        <f aca="false">IFERROR(O26/O$15,0)</f>
        <v>0.275183849142832</v>
      </c>
      <c r="Q26" s="24" t="n">
        <f aca="false">'Vessel Budget'!Q26+'LW Budget'!Q26</f>
        <v>199.417698953543</v>
      </c>
      <c r="R26" s="34" t="n">
        <f aca="false">IFERROR(Q26/Q$15,0)</f>
        <v>0.275183849142832</v>
      </c>
      <c r="S26" s="24" t="n">
        <f aca="false">'Vessel Budget'!S26+'LW Budget'!S26</f>
        <v>199.417698953543</v>
      </c>
      <c r="T26" s="34" t="n">
        <f aca="false">IFERROR(S26/S$15,0)</f>
        <v>0.275183849142832</v>
      </c>
      <c r="U26" s="24" t="n">
        <f aca="false">'Vessel Budget'!U26+'LW Budget'!U26</f>
        <v>199.417698953543</v>
      </c>
      <c r="V26" s="34" t="n">
        <f aca="false">IFERROR(U26/U$15,0)</f>
        <v>0.275183849142832</v>
      </c>
      <c r="W26" s="24" t="n">
        <f aca="false">'Vessel Budget'!W26+'LW Budget'!W26</f>
        <v>199.417698953543</v>
      </c>
      <c r="X26" s="34" t="n">
        <f aca="false">IFERROR(W26/W$15,0)</f>
        <v>0.275183849142832</v>
      </c>
      <c r="Y26" s="24" t="n">
        <f aca="false">'Vessel Budget'!Y26+'LW Budget'!Y26</f>
        <v>199.417698953543</v>
      </c>
      <c r="Z26" s="34" t="n">
        <f aca="false">IFERROR(Y26/Y$15,0)</f>
        <v>0.275183849142832</v>
      </c>
      <c r="AB26" s="24" t="n">
        <f aca="false">SUM(C26,E26,G26,I26,K26,M26,O26,Q26,S26,U26,W26,Y26)</f>
        <v>2393.01238744252</v>
      </c>
      <c r="AC26" s="34" t="n">
        <f aca="false">IFERROR(AB26/AB$15,0)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Budget'!C27+'LW Budget'!C27</f>
        <v>527.119737842633</v>
      </c>
      <c r="D27" s="34" t="n">
        <f aca="false">IFERROR(C27/C$16,0)</f>
        <v>0.317259353425946</v>
      </c>
      <c r="E27" s="24" t="n">
        <f aca="false">'Vessel Budget'!E27+'LW Budget'!E27</f>
        <v>420.421457797733</v>
      </c>
      <c r="F27" s="34" t="n">
        <f aca="false">IFERROR(E27/E$16,0)</f>
        <v>0.340508854298757</v>
      </c>
      <c r="G27" s="24" t="n">
        <f aca="false">'Vessel Budget'!G27+'LW Budget'!G27</f>
        <v>527.119737842633</v>
      </c>
      <c r="H27" s="34" t="n">
        <f aca="false">IFERROR(G27/G$16,0)</f>
        <v>0.317259353425946</v>
      </c>
      <c r="I27" s="24" t="n">
        <f aca="false">'Vessel Budget'!I27+'LW Budget'!I27</f>
        <v>420.421457797733</v>
      </c>
      <c r="J27" s="34" t="n">
        <f aca="false">IFERROR(I27/I$16,0)</f>
        <v>0.340508854298757</v>
      </c>
      <c r="K27" s="24" t="n">
        <f aca="false">'Vessel Budget'!K27+'LW Budget'!K27</f>
        <v>491.553644494333</v>
      </c>
      <c r="L27" s="34" t="n">
        <f aca="false">IFERROR(K27/K$16,0)</f>
        <v>0.323557745969488</v>
      </c>
      <c r="M27" s="24" t="n">
        <f aca="false">'Vessel Budget'!M27+'LW Budget'!M27</f>
        <v>477.327207155013</v>
      </c>
      <c r="N27" s="34" t="n">
        <f aca="false">IFERROR(M27/M$16,0)</f>
        <v>0.326420245718858</v>
      </c>
      <c r="O27" s="24" t="n">
        <f aca="false">'Vessel Budget'!O27+'LW Budget'!O27</f>
        <v>477.327207155013</v>
      </c>
      <c r="P27" s="34" t="n">
        <f aca="false">IFERROR(O27/O$16,0)</f>
        <v>0.326420245718858</v>
      </c>
      <c r="Q27" s="24" t="n">
        <f aca="false">'Vessel Budget'!Q27+'LW Budget'!Q27</f>
        <v>477.327207155013</v>
      </c>
      <c r="R27" s="34" t="n">
        <f aca="false">IFERROR(Q27/Q$16,0)</f>
        <v>0.326420245718858</v>
      </c>
      <c r="S27" s="24" t="n">
        <f aca="false">'Vessel Budget'!S27+'LW Budget'!S27</f>
        <v>477.327207155013</v>
      </c>
      <c r="T27" s="34" t="n">
        <f aca="false">IFERROR(S27/S$16,0)</f>
        <v>0.326420245718858</v>
      </c>
      <c r="U27" s="24" t="n">
        <f aca="false">'Vessel Budget'!U27+'LW Budget'!U27</f>
        <v>477.327207155013</v>
      </c>
      <c r="V27" s="34" t="n">
        <f aca="false">IFERROR(U27/U$16,0)</f>
        <v>0.326420245718858</v>
      </c>
      <c r="W27" s="24" t="n">
        <f aca="false">'Vessel Budget'!W27+'LW Budget'!W27</f>
        <v>477.327207155013</v>
      </c>
      <c r="X27" s="34" t="n">
        <f aca="false">IFERROR(W27/W$16,0)</f>
        <v>0.326420245718858</v>
      </c>
      <c r="Y27" s="24" t="n">
        <f aca="false">'Vessel Budget'!Y27+'LW Budget'!Y27</f>
        <v>477.327207155013</v>
      </c>
      <c r="Z27" s="34" t="n">
        <f aca="false">IFERROR(Y27/Y$16,0)</f>
        <v>0.326420245718858</v>
      </c>
      <c r="AB27" s="24" t="n">
        <f aca="false">SUM(C27,E27,G27,I27,K27,M27,O27,Q27,S27,U27,W27,Y27)</f>
        <v>5727.92648586016</v>
      </c>
      <c r="AC27" s="34" t="n">
        <f aca="false">IFERROR(AB27/AB$16,0)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Budget'!C28+'LW Budget'!C28</f>
        <v>1470.0077</v>
      </c>
      <c r="D28" s="34" t="n">
        <f aca="false">IFERROR(C28/C$17,0)</f>
        <v>0.392665221262577</v>
      </c>
      <c r="E28" s="24" t="n">
        <f aca="false">'Vessel Budget'!E28+'LW Budget'!E28</f>
        <v>1470.0077</v>
      </c>
      <c r="F28" s="34" t="n">
        <f aca="false">IFERROR(E28/E$17,0)</f>
        <v>0.392665221262577</v>
      </c>
      <c r="G28" s="24" t="n">
        <f aca="false">'Vessel Budget'!G28+'LW Budget'!G28</f>
        <v>1470.0077</v>
      </c>
      <c r="H28" s="34" t="n">
        <f aca="false">IFERROR(G28/G$17,0)</f>
        <v>0.392665221262577</v>
      </c>
      <c r="I28" s="24" t="n">
        <f aca="false">'Vessel Budget'!I28+'LW Budget'!I28</f>
        <v>1470.0077</v>
      </c>
      <c r="J28" s="34" t="n">
        <f aca="false">IFERROR(I28/I$17,0)</f>
        <v>0.392665221262577</v>
      </c>
      <c r="K28" s="24" t="n">
        <f aca="false">'Vessel Budget'!K28+'LW Budget'!K28</f>
        <v>1470.0077</v>
      </c>
      <c r="L28" s="34" t="n">
        <f aca="false">IFERROR(K28/K$17,0)</f>
        <v>0.392665221262577</v>
      </c>
      <c r="M28" s="24" t="n">
        <f aca="false">'Vessel Budget'!M28+'LW Budget'!M28</f>
        <v>1470.0077</v>
      </c>
      <c r="N28" s="34" t="n">
        <f aca="false">IFERROR(M28/M$17,0)</f>
        <v>0.392665221262577</v>
      </c>
      <c r="O28" s="24" t="n">
        <f aca="false">'Vessel Budget'!O28+'LW Budget'!O28</f>
        <v>1470.0077</v>
      </c>
      <c r="P28" s="34" t="n">
        <f aca="false">IFERROR(O28/O$17,0)</f>
        <v>0.392665221262577</v>
      </c>
      <c r="Q28" s="24" t="n">
        <f aca="false">'Vessel Budget'!Q28+'LW Budget'!Q28</f>
        <v>1470.0077</v>
      </c>
      <c r="R28" s="34" t="n">
        <f aca="false">IFERROR(Q28/Q$17,0)</f>
        <v>0.392665221262577</v>
      </c>
      <c r="S28" s="24" t="n">
        <f aca="false">'Vessel Budget'!S28+'LW Budget'!S28</f>
        <v>1470.0077</v>
      </c>
      <c r="T28" s="34" t="n">
        <f aca="false">IFERROR(S28/S$17,0)</f>
        <v>0.392665221262577</v>
      </c>
      <c r="U28" s="24" t="n">
        <f aca="false">'Vessel Budget'!U28+'LW Budget'!U28</f>
        <v>1470.0077</v>
      </c>
      <c r="V28" s="34" t="n">
        <f aca="false">IFERROR(U28/U$17,0)</f>
        <v>0.392665221262577</v>
      </c>
      <c r="W28" s="24" t="n">
        <f aca="false">'Vessel Budget'!W28+'LW Budget'!W28</f>
        <v>1470.0077</v>
      </c>
      <c r="X28" s="34" t="n">
        <f aca="false">IFERROR(W28/W$17,0)</f>
        <v>0.392665221262577</v>
      </c>
      <c r="Y28" s="24" t="n">
        <f aca="false">'Vessel Budget'!Y28+'LW Budget'!Y28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26137.8977</v>
      </c>
      <c r="D29" s="35" t="n">
        <f aca="false">IFERROR(C29/C$20,0)</f>
        <v>0.353188584474088</v>
      </c>
      <c r="E29" s="27" t="n">
        <f aca="false">SUM(E23:E28)</f>
        <v>14523.1277</v>
      </c>
      <c r="F29" s="35" t="n">
        <f aca="false">IFERROR(E29/E$20,0)</f>
        <v>0.328827147805784</v>
      </c>
      <c r="G29" s="27" t="n">
        <f aca="false">SUM(G23:G28)</f>
        <v>26137.8977</v>
      </c>
      <c r="H29" s="35" t="n">
        <f aca="false">IFERROR(G29/G$20,0)</f>
        <v>0.353188584474088</v>
      </c>
      <c r="I29" s="27" t="n">
        <f aca="false">SUM(I23:I28)</f>
        <v>14523.1277</v>
      </c>
      <c r="J29" s="35" t="n">
        <f aca="false">IFERROR(I29/I$20,0)</f>
        <v>0.328827147805784</v>
      </c>
      <c r="K29" s="27" t="n">
        <f aca="false">SUM(K23:K28)</f>
        <v>22266.3077</v>
      </c>
      <c r="L29" s="35" t="n">
        <f aca="false">IFERROR(K29/K$20,0)</f>
        <v>0.347589810150423</v>
      </c>
      <c r="M29" s="27" t="n">
        <f aca="false">SUM(M23:M28)</f>
        <v>20717.6717</v>
      </c>
      <c r="N29" s="35" t="n">
        <f aca="false">IFERROR(M29/M$20,0)</f>
        <v>0.344831248987116</v>
      </c>
      <c r="O29" s="27" t="n">
        <f aca="false">SUM(O23:O28)</f>
        <v>20717.6717</v>
      </c>
      <c r="P29" s="35" t="n">
        <f aca="false">IFERROR(O29/O$20,0)</f>
        <v>0.344831248987116</v>
      </c>
      <c r="Q29" s="27" t="n">
        <f aca="false">SUM(Q23:Q28)</f>
        <v>20717.6717</v>
      </c>
      <c r="R29" s="35" t="n">
        <f aca="false">IFERROR(Q29/Q$20,0)</f>
        <v>0.344831248987116</v>
      </c>
      <c r="S29" s="27" t="n">
        <f aca="false">SUM(S23:S28)</f>
        <v>20717.6717</v>
      </c>
      <c r="T29" s="35" t="n">
        <f aca="false">IFERROR(S29/S$20,0)</f>
        <v>0.344831248987116</v>
      </c>
      <c r="U29" s="27" t="n">
        <f aca="false">SUM(U23:U28)</f>
        <v>20717.6717</v>
      </c>
      <c r="V29" s="35" t="n">
        <f aca="false">IFERROR(U29/U$20,0)</f>
        <v>0.344831248987116</v>
      </c>
      <c r="W29" s="27" t="n">
        <f aca="false">SUM(W23:W28)</f>
        <v>20717.6717</v>
      </c>
      <c r="X29" s="35" t="n">
        <f aca="false">IFERROR(W29/W$20,0)</f>
        <v>0.344831248987116</v>
      </c>
      <c r="Y29" s="27" t="n">
        <f aca="false">SUM(Y23:Y28)</f>
        <v>20717.6717</v>
      </c>
      <c r="Z29" s="35" t="n">
        <f aca="false">IFERROR(Y29/Y$20,0)</f>
        <v>0.344831248987116</v>
      </c>
      <c r="AB29" s="27" t="n">
        <f aca="false">SUM(AB23:AB28)</f>
        <v>248612.0604</v>
      </c>
      <c r="AC29" s="35" t="n">
        <f aca="false">IFERROR(AB29/AB$20,0)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47867.60205</v>
      </c>
      <c r="D30" s="8" t="n">
        <f aca="false">IFERROR(C30/C$20,0)</f>
        <v>0.646811415525912</v>
      </c>
      <c r="E30" s="7" t="n">
        <f aca="false">E20-E29</f>
        <v>29643.32205</v>
      </c>
      <c r="F30" s="8" t="n">
        <f aca="false">IFERROR(E30/E$20,0)</f>
        <v>0.671172852194216</v>
      </c>
      <c r="G30" s="7" t="n">
        <f aca="false">G20-G29</f>
        <v>47867.60205</v>
      </c>
      <c r="H30" s="8" t="n">
        <f aca="false">IFERROR(G30/G$20,0)</f>
        <v>0.646811415525912</v>
      </c>
      <c r="I30" s="7" t="n">
        <f aca="false">I20-I29</f>
        <v>29643.32205</v>
      </c>
      <c r="J30" s="8" t="n">
        <f aca="false">IFERROR(I30/I$20,0)</f>
        <v>0.671172852194216</v>
      </c>
      <c r="K30" s="7" t="n">
        <f aca="false">K20-K29</f>
        <v>41792.84205</v>
      </c>
      <c r="L30" s="8" t="n">
        <f aca="false">IFERROR(K30/K$20,0)</f>
        <v>0.652410189849577</v>
      </c>
      <c r="M30" s="7" t="n">
        <f aca="false">M20-M29</f>
        <v>39362.93805</v>
      </c>
      <c r="N30" s="8" t="n">
        <f aca="false">IFERROR(M30/M$20,0)</f>
        <v>0.655168751012884</v>
      </c>
      <c r="O30" s="7" t="n">
        <f aca="false">O20-O29</f>
        <v>39362.93805</v>
      </c>
      <c r="P30" s="8" t="n">
        <f aca="false">IFERROR(O30/O$20,0)</f>
        <v>0.655168751012884</v>
      </c>
      <c r="Q30" s="7" t="n">
        <f aca="false">Q20-Q29</f>
        <v>39362.93805</v>
      </c>
      <c r="R30" s="8" t="n">
        <f aca="false">IFERROR(Q30/Q$20,0)</f>
        <v>0.655168751012884</v>
      </c>
      <c r="S30" s="7" t="n">
        <f aca="false">S20-S29</f>
        <v>39362.93805</v>
      </c>
      <c r="T30" s="8" t="n">
        <f aca="false">IFERROR(S30/S$20,0)</f>
        <v>0.655168751012884</v>
      </c>
      <c r="U30" s="7" t="n">
        <f aca="false">U20-U29</f>
        <v>39362.93805</v>
      </c>
      <c r="V30" s="8" t="n">
        <f aca="false">IFERROR(U30/U$20,0)</f>
        <v>0.655168751012884</v>
      </c>
      <c r="W30" s="7" t="n">
        <f aca="false">W20-W29</f>
        <v>39362.93805</v>
      </c>
      <c r="X30" s="8" t="n">
        <f aca="false">IFERROR(W30/W$20,0)</f>
        <v>0.655168751012884</v>
      </c>
      <c r="Y30" s="7" t="n">
        <f aca="false">Y20-Y29</f>
        <v>39362.93805</v>
      </c>
      <c r="Z30" s="8" t="n">
        <f aca="false">IFERROR(Y30/Y$20,0)</f>
        <v>0.655168751012884</v>
      </c>
      <c r="AB30" s="7" t="n">
        <f aca="false">AB20-AB29</f>
        <v>472355.2566</v>
      </c>
      <c r="AC30" s="8" t="n">
        <f aca="false">IFERROR(AB30/AB$20,0)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Budget'!C33+'LW Budget'!C33</f>
        <v>2166.795</v>
      </c>
      <c r="D33" s="34" t="n">
        <f aca="false">IFERROR(C33/C$20,0)</f>
        <v>0.0292788374826156</v>
      </c>
      <c r="E33" s="24" t="n">
        <f aca="false">'Vessel Budget'!E33+'LW Budget'!E33</f>
        <v>1813.86</v>
      </c>
      <c r="F33" s="34" t="n">
        <f aca="false">IFERROR(E33/E$20,0)</f>
        <v>0.0410687300035928</v>
      </c>
      <c r="G33" s="24" t="n">
        <f aca="false">'Vessel Budget'!G33+'LW Budget'!G33</f>
        <v>2166.795</v>
      </c>
      <c r="H33" s="34" t="n">
        <f aca="false">IFERROR(G33/G$20,0)</f>
        <v>0.0292788374826156</v>
      </c>
      <c r="I33" s="24" t="n">
        <f aca="false">'Vessel Budget'!I33+'LW Budget'!I33</f>
        <v>1813.86</v>
      </c>
      <c r="J33" s="34" t="n">
        <f aca="false">IFERROR(I33/I$20,0)</f>
        <v>0.0410687300035928</v>
      </c>
      <c r="K33" s="24" t="n">
        <f aca="false">'Vessel Budget'!K33+'LW Budget'!K33</f>
        <v>2049.15</v>
      </c>
      <c r="L33" s="34" t="n">
        <f aca="false">IFERROR(K33/K$20,0)</f>
        <v>0.0319884045916485</v>
      </c>
      <c r="M33" s="24" t="n">
        <f aca="false">'Vessel Budget'!M33+'LW Budget'!M33</f>
        <v>2002.092</v>
      </c>
      <c r="N33" s="34" t="n">
        <f aca="false">IFERROR(M33/M$20,0)</f>
        <v>0.0333234301104942</v>
      </c>
      <c r="O33" s="24" t="n">
        <f aca="false">'Vessel Budget'!O33+'LW Budget'!O33</f>
        <v>2002.092</v>
      </c>
      <c r="P33" s="34" t="n">
        <f aca="false">IFERROR(O33/O$20,0)</f>
        <v>0.0333234301104942</v>
      </c>
      <c r="Q33" s="24" t="n">
        <f aca="false">'Vessel Budget'!Q33+'LW Budget'!Q33</f>
        <v>2002.092</v>
      </c>
      <c r="R33" s="34" t="n">
        <f aca="false">IFERROR(Q33/Q$20,0)</f>
        <v>0.0333234301104942</v>
      </c>
      <c r="S33" s="24" t="n">
        <f aca="false">'Vessel Budget'!S33+'LW Budget'!S33</f>
        <v>2002.092</v>
      </c>
      <c r="T33" s="34" t="n">
        <f aca="false">IFERROR(S33/S$20,0)</f>
        <v>0.0333234301104942</v>
      </c>
      <c r="U33" s="24" t="n">
        <f aca="false">'Vessel Budget'!U33+'LW Budget'!U33</f>
        <v>2002.092</v>
      </c>
      <c r="V33" s="34" t="n">
        <f aca="false">IFERROR(U33/U$20,0)</f>
        <v>0.0333234301104942</v>
      </c>
      <c r="W33" s="24" t="n">
        <f aca="false">'Vessel Budget'!W33+'LW Budget'!W33</f>
        <v>2002.092</v>
      </c>
      <c r="X33" s="34" t="n">
        <f aca="false">IFERROR(W33/W$20,0)</f>
        <v>0.0333234301104942</v>
      </c>
      <c r="Y33" s="24" t="n">
        <f aca="false">'Vessel Budget'!Y33+'LW Budget'!Y33</f>
        <v>2002.092</v>
      </c>
      <c r="Z33" s="34" t="n">
        <f aca="false">IFERROR(Y33/Y$20,0)</f>
        <v>0.0333234301104942</v>
      </c>
      <c r="AB33" s="24" t="n">
        <f aca="false">SUM(C33,E33,G33,I33,K33,M33,O33,Q33,S33,U33,W33,Y33)</f>
        <v>24025.104</v>
      </c>
      <c r="AC33" s="34" t="n">
        <f aca="false">IFERROR(AB33/AB$20,0)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Budget'!C34+'LW Budget'!C34</f>
        <v>1282.66666666667</v>
      </c>
      <c r="D34" s="34" t="n">
        <f aca="false">IFERROR(C34/C$20,0)</f>
        <v>0.0173320451993389</v>
      </c>
      <c r="E34" s="24" t="n">
        <f aca="false">'Vessel Budget'!E34+'LW Budget'!E34</f>
        <v>1282.66666666667</v>
      </c>
      <c r="F34" s="34" t="n">
        <f aca="false">IFERROR(E34/E$20,0)</f>
        <v>0.0290416520668308</v>
      </c>
      <c r="G34" s="24" t="n">
        <f aca="false">'Vessel Budget'!G34+'LW Budget'!G34</f>
        <v>1282.66666666667</v>
      </c>
      <c r="H34" s="34" t="n">
        <f aca="false">IFERROR(G34/G$20,0)</f>
        <v>0.0173320451993389</v>
      </c>
      <c r="I34" s="24" t="n">
        <f aca="false">'Vessel Budget'!I34+'LW Budget'!I34</f>
        <v>1282.66666666667</v>
      </c>
      <c r="J34" s="34" t="n">
        <f aca="false">IFERROR(I34/I$20,0)</f>
        <v>0.0290416520668308</v>
      </c>
      <c r="K34" s="24" t="n">
        <f aca="false">'Vessel Budget'!K34+'LW Budget'!K34</f>
        <v>1282.66666666667</v>
      </c>
      <c r="L34" s="34" t="n">
        <f aca="false">IFERROR(K34/K$20,0)</f>
        <v>0.0200231609640849</v>
      </c>
      <c r="M34" s="24" t="n">
        <f aca="false">'Vessel Budget'!M34+'LW Budget'!M34</f>
        <v>1282.66666666667</v>
      </c>
      <c r="N34" s="34" t="n">
        <f aca="false">IFERROR(M34/M$20,0)</f>
        <v>0.0213490953571201</v>
      </c>
      <c r="O34" s="24" t="n">
        <f aca="false">'Vessel Budget'!O34+'LW Budget'!O34</f>
        <v>1282.66666666667</v>
      </c>
      <c r="P34" s="34" t="n">
        <f aca="false">IFERROR(O34/O$20,0)</f>
        <v>0.0213490953571201</v>
      </c>
      <c r="Q34" s="24" t="n">
        <f aca="false">'Vessel Budget'!Q34+'LW Budget'!Q34</f>
        <v>1282.66666666667</v>
      </c>
      <c r="R34" s="34" t="n">
        <f aca="false">IFERROR(Q34/Q$20,0)</f>
        <v>0.0213490953571201</v>
      </c>
      <c r="S34" s="24" t="n">
        <f aca="false">'Vessel Budget'!S34+'LW Budget'!S34</f>
        <v>1282.66666666667</v>
      </c>
      <c r="T34" s="34" t="n">
        <f aca="false">IFERROR(S34/S$20,0)</f>
        <v>0.0213490953571201</v>
      </c>
      <c r="U34" s="24" t="n">
        <f aca="false">'Vessel Budget'!U34+'LW Budget'!U34</f>
        <v>1282.66666666667</v>
      </c>
      <c r="V34" s="34" t="n">
        <f aca="false">IFERROR(U34/U$20,0)</f>
        <v>0.0213490953571201</v>
      </c>
      <c r="W34" s="24" t="n">
        <f aca="false">'Vessel Budget'!W34+'LW Budget'!W34</f>
        <v>1282.66666666667</v>
      </c>
      <c r="X34" s="34" t="n">
        <f aca="false">IFERROR(W34/W$20,0)</f>
        <v>0.0213490953571201</v>
      </c>
      <c r="Y34" s="24" t="n">
        <f aca="false">'Vessel Budget'!Y34+'LW Budget'!Y34</f>
        <v>1282.66666666667</v>
      </c>
      <c r="Z34" s="34" t="n">
        <f aca="false">IFERROR(Y34/Y$20,0)</f>
        <v>0.0213490953571201</v>
      </c>
      <c r="AB34" s="24" t="n">
        <f aca="false">SUM(C34,E34,G34,I34,K34,M34,O34,Q34,S34,U34,W34,Y34)</f>
        <v>15392</v>
      </c>
      <c r="AC34" s="34" t="n">
        <f aca="false">IFERROR(AB34/AB$20,0)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Budget'!C35+'LW Budget'!C35</f>
        <v>11626.225</v>
      </c>
      <c r="D35" s="34" t="n">
        <f aca="false">IFERROR(C35/C$20,0)</f>
        <v>0.157099472867218</v>
      </c>
      <c r="E35" s="24" t="n">
        <f aca="false">'Vessel Budget'!E35+'LW Budget'!E35</f>
        <v>8257.3</v>
      </c>
      <c r="F35" s="34" t="n">
        <f aca="false">IFERROR(E35/E$20,0)</f>
        <v>0.186958654062975</v>
      </c>
      <c r="G35" s="24" t="n">
        <f aca="false">'Vessel Budget'!G35+'LW Budget'!G35</f>
        <v>11626.225</v>
      </c>
      <c r="H35" s="34" t="n">
        <f aca="false">IFERROR(G35/G$20,0)</f>
        <v>0.157099472867218</v>
      </c>
      <c r="I35" s="24" t="n">
        <f aca="false">'Vessel Budget'!I35+'LW Budget'!I35</f>
        <v>8257.3</v>
      </c>
      <c r="J35" s="34" t="n">
        <f aca="false">IFERROR(I35/I$20,0)</f>
        <v>0.186958654062975</v>
      </c>
      <c r="K35" s="24" t="n">
        <f aca="false">'Vessel Budget'!K35+'LW Budget'!K35</f>
        <v>10503.25</v>
      </c>
      <c r="L35" s="34" t="n">
        <f aca="false">IFERROR(K35/K$20,0)</f>
        <v>0.163961745371121</v>
      </c>
      <c r="M35" s="24" t="n">
        <f aca="false">'Vessel Budget'!M35+'LW Budget'!M35</f>
        <v>10054.06</v>
      </c>
      <c r="N35" s="34" t="n">
        <f aca="false">IFERROR(M35/M$20,0)</f>
        <v>0.167342842255358</v>
      </c>
      <c r="O35" s="24" t="n">
        <f aca="false">'Vessel Budget'!O35+'LW Budget'!O35</f>
        <v>10054.06</v>
      </c>
      <c r="P35" s="34" t="n">
        <f aca="false">IFERROR(O35/O$20,0)</f>
        <v>0.167342842255358</v>
      </c>
      <c r="Q35" s="24" t="n">
        <f aca="false">'Vessel Budget'!Q35+'LW Budget'!Q35</f>
        <v>10054.06</v>
      </c>
      <c r="R35" s="34" t="n">
        <f aca="false">IFERROR(Q35/Q$20,0)</f>
        <v>0.167342842255358</v>
      </c>
      <c r="S35" s="24" t="n">
        <f aca="false">'Vessel Budget'!S35+'LW Budget'!S35</f>
        <v>10054.06</v>
      </c>
      <c r="T35" s="34" t="n">
        <f aca="false">IFERROR(S35/S$20,0)</f>
        <v>0.167342842255358</v>
      </c>
      <c r="U35" s="24" t="n">
        <f aca="false">'Vessel Budget'!U35+'LW Budget'!U35</f>
        <v>10054.06</v>
      </c>
      <c r="V35" s="34" t="n">
        <f aca="false">IFERROR(U35/U$20,0)</f>
        <v>0.167342842255358</v>
      </c>
      <c r="W35" s="24" t="n">
        <f aca="false">'Vessel Budget'!W35+'LW Budget'!W35</f>
        <v>10054.06</v>
      </c>
      <c r="X35" s="34" t="n">
        <f aca="false">IFERROR(W35/W$20,0)</f>
        <v>0.167342842255358</v>
      </c>
      <c r="Y35" s="24" t="n">
        <f aca="false">'Vessel Budget'!Y35+'LW Budget'!Y35</f>
        <v>10054.06</v>
      </c>
      <c r="Z35" s="34" t="n">
        <f aca="false">IFERROR(Y35/Y$20,0)</f>
        <v>0.167342842255358</v>
      </c>
      <c r="AB35" s="24" t="n">
        <f aca="false">SUM(C35,E35,G35,I35,K35,M35,O35,Q35,S35,U35,W35,Y35)</f>
        <v>120648.72</v>
      </c>
      <c r="AC35" s="34" t="n">
        <f aca="false">IFERROR(AB35/AB$20,0)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Budget'!C36+'LW Budget'!C36</f>
        <v>2608.61266666667</v>
      </c>
      <c r="D36" s="34" t="n">
        <f aca="false">IFERROR(C36/C$20,0)</f>
        <v>0.0352489027907236</v>
      </c>
      <c r="E36" s="24" t="n">
        <f aca="false">'Vessel Budget'!E36+'LW Budget'!E36</f>
        <v>1877.07466666667</v>
      </c>
      <c r="F36" s="34" t="n">
        <f aca="false">IFERROR(E36/E$20,0)</f>
        <v>0.0425000125047784</v>
      </c>
      <c r="G36" s="24" t="n">
        <f aca="false">'Vessel Budget'!G36+'LW Budget'!G36</f>
        <v>2608.61266666667</v>
      </c>
      <c r="H36" s="34" t="n">
        <f aca="false">IFERROR(G36/G$20,0)</f>
        <v>0.0352489027907236</v>
      </c>
      <c r="I36" s="24" t="n">
        <f aca="false">'Vessel Budget'!I36+'LW Budget'!I36</f>
        <v>1877.07466666667</v>
      </c>
      <c r="J36" s="34" t="n">
        <f aca="false">IFERROR(I36/I$20,0)</f>
        <v>0.0425000125047784</v>
      </c>
      <c r="K36" s="24" t="n">
        <f aca="false">'Vessel Budget'!K36+'LW Budget'!K36</f>
        <v>2364.76666666667</v>
      </c>
      <c r="L36" s="34" t="n">
        <f aca="false">IFERROR(K36/K$20,0)</f>
        <v>0.0369153614416599</v>
      </c>
      <c r="M36" s="24" t="n">
        <f aca="false">'Vessel Budget'!M36+'LW Budget'!M36</f>
        <v>2267.22826666667</v>
      </c>
      <c r="N36" s="34" t="n">
        <f aca="false">IFERROR(M36/M$20,0)</f>
        <v>0.0377364390291772</v>
      </c>
      <c r="O36" s="24" t="n">
        <f aca="false">'Vessel Budget'!O36+'LW Budget'!O36</f>
        <v>2267.22826666667</v>
      </c>
      <c r="P36" s="34" t="n">
        <f aca="false">IFERROR(O36/O$20,0)</f>
        <v>0.0377364390291772</v>
      </c>
      <c r="Q36" s="24" t="n">
        <f aca="false">'Vessel Budget'!Q36+'LW Budget'!Q36</f>
        <v>2267.22826666667</v>
      </c>
      <c r="R36" s="34" t="n">
        <f aca="false">IFERROR(Q36/Q$20,0)</f>
        <v>0.0377364390291772</v>
      </c>
      <c r="S36" s="24" t="n">
        <f aca="false">'Vessel Budget'!S36+'LW Budget'!S36</f>
        <v>2267.22826666667</v>
      </c>
      <c r="T36" s="34" t="n">
        <f aca="false">IFERROR(S36/S$20,0)</f>
        <v>0.0377364390291772</v>
      </c>
      <c r="U36" s="24" t="n">
        <f aca="false">'Vessel Budget'!U36+'LW Budget'!U36</f>
        <v>2267.22826666667</v>
      </c>
      <c r="V36" s="34" t="n">
        <f aca="false">IFERROR(U36/U$20,0)</f>
        <v>0.0377364390291772</v>
      </c>
      <c r="W36" s="24" t="n">
        <f aca="false">'Vessel Budget'!W36+'LW Budget'!W36</f>
        <v>2267.22826666667</v>
      </c>
      <c r="X36" s="34" t="n">
        <f aca="false">IFERROR(W36/W$20,0)</f>
        <v>0.0377364390291772</v>
      </c>
      <c r="Y36" s="24" t="n">
        <f aca="false">'Vessel Budget'!Y36+'LW Budget'!Y36</f>
        <v>2267.22826666667</v>
      </c>
      <c r="Z36" s="34" t="n">
        <f aca="false">IFERROR(Y36/Y$20,0)</f>
        <v>0.0377364390291772</v>
      </c>
      <c r="AB36" s="24" t="n">
        <f aca="false">SUM(C36,E36,G36,I36,K36,M36,O36,Q36,S36,U36,W36,Y36)</f>
        <v>27206.7392</v>
      </c>
      <c r="AC36" s="34" t="n">
        <f aca="false">IFERROR(AB36/AB$20,0)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Budget'!C37+'LW Budget'!C37</f>
        <v>1038.128</v>
      </c>
      <c r="D37" s="34" t="n">
        <f aca="false">IFERROR(C37/C$20,0)</f>
        <v>0.0140277142037677</v>
      </c>
      <c r="E37" s="24" t="n">
        <f aca="false">'Vessel Budget'!E37+'LW Budget'!E37</f>
        <v>319.424</v>
      </c>
      <c r="F37" s="34" t="n">
        <f aca="false">IFERROR(E37/E$20,0)</f>
        <v>0.00723227702946624</v>
      </c>
      <c r="G37" s="24" t="n">
        <f aca="false">'Vessel Budget'!G37+'LW Budget'!G37</f>
        <v>1038.128</v>
      </c>
      <c r="H37" s="34" t="n">
        <f aca="false">IFERROR(G37/G$20,0)</f>
        <v>0.0140277142037677</v>
      </c>
      <c r="I37" s="24" t="n">
        <f aca="false">'Vessel Budget'!I37+'LW Budget'!I37</f>
        <v>319.424</v>
      </c>
      <c r="J37" s="34" t="n">
        <f aca="false">IFERROR(I37/I$20,0)</f>
        <v>0.00723227702946624</v>
      </c>
      <c r="K37" s="24" t="n">
        <f aca="false">'Vessel Budget'!K37+'LW Budget'!K37</f>
        <v>798.56</v>
      </c>
      <c r="L37" s="34" t="n">
        <f aca="false">IFERROR(K37/K$20,0)</f>
        <v>0.0124659787573905</v>
      </c>
      <c r="M37" s="24" t="n">
        <f aca="false">'Vessel Budget'!M37+'LW Budget'!M37</f>
        <v>702.7328</v>
      </c>
      <c r="N37" s="34" t="n">
        <f aca="false">IFERROR(M37/M$20,0)</f>
        <v>0.0116964991354802</v>
      </c>
      <c r="O37" s="24" t="n">
        <f aca="false">'Vessel Budget'!O37+'LW Budget'!O37</f>
        <v>702.7328</v>
      </c>
      <c r="P37" s="34" t="n">
        <f aca="false">IFERROR(O37/O$20,0)</f>
        <v>0.0116964991354802</v>
      </c>
      <c r="Q37" s="24" t="n">
        <f aca="false">'Vessel Budget'!Q37+'LW Budget'!Q37</f>
        <v>702.7328</v>
      </c>
      <c r="R37" s="34" t="n">
        <f aca="false">IFERROR(Q37/Q$20,0)</f>
        <v>0.0116964991354802</v>
      </c>
      <c r="S37" s="24" t="n">
        <f aca="false">'Vessel Budget'!S37+'LW Budget'!S37</f>
        <v>702.7328</v>
      </c>
      <c r="T37" s="34" t="n">
        <f aca="false">IFERROR(S37/S$20,0)</f>
        <v>0.0116964991354802</v>
      </c>
      <c r="U37" s="24" t="n">
        <f aca="false">'Vessel Budget'!U37+'LW Budget'!U37</f>
        <v>702.7328</v>
      </c>
      <c r="V37" s="34" t="n">
        <f aca="false">IFERROR(U37/U$20,0)</f>
        <v>0.0116964991354802</v>
      </c>
      <c r="W37" s="24" t="n">
        <f aca="false">'Vessel Budget'!W37+'LW Budget'!W37</f>
        <v>702.7328</v>
      </c>
      <c r="X37" s="34" t="n">
        <f aca="false">IFERROR(W37/W$20,0)</f>
        <v>0.0116964991354802</v>
      </c>
      <c r="Y37" s="24" t="n">
        <f aca="false">'Vessel Budget'!Y37+'LW Budget'!Y37</f>
        <v>-3073.66719999999</v>
      </c>
      <c r="Z37" s="34" t="n">
        <f aca="false">IFERROR(Y37/Y$20,0)</f>
        <v>-0.0511590546898535</v>
      </c>
      <c r="AB37" s="24" t="n">
        <f aca="false">SUM(C37,E37,G37,I37,K37,M37,O37,Q37,S37,U37,W37,Y37)</f>
        <v>4656.39360000001</v>
      </c>
      <c r="AC37" s="34" t="n">
        <f aca="false">IFERROR(AB37/AB$20,0)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18722.4273333333</v>
      </c>
      <c r="D38" s="35" t="n">
        <f aca="false">IFERROR(C38/C$20,0)</f>
        <v>0.252986972543663</v>
      </c>
      <c r="E38" s="27" t="n">
        <f aca="false">SUM(E33:E37)</f>
        <v>13550.3253333333</v>
      </c>
      <c r="F38" s="35" t="n">
        <f aca="false">IFERROR(E38/E$20,0)</f>
        <v>0.306801325667643</v>
      </c>
      <c r="G38" s="27" t="n">
        <f aca="false">SUM(G33:G37)</f>
        <v>18722.4273333333</v>
      </c>
      <c r="H38" s="35" t="n">
        <f aca="false">IFERROR(G38/G$20,0)</f>
        <v>0.252986972543663</v>
      </c>
      <c r="I38" s="27" t="n">
        <f aca="false">SUM(I33:I37)</f>
        <v>13550.3253333333</v>
      </c>
      <c r="J38" s="35" t="n">
        <f aca="false">IFERROR(I38/I$20,0)</f>
        <v>0.306801325667643</v>
      </c>
      <c r="K38" s="27" t="n">
        <f aca="false">SUM(K33:K37)</f>
        <v>16998.3933333333</v>
      </c>
      <c r="L38" s="35" t="n">
        <f aca="false">IFERROR(K38/K$20,0)</f>
        <v>0.265354651125905</v>
      </c>
      <c r="M38" s="27" t="n">
        <f aca="false">SUM(M33:M37)</f>
        <v>16308.7797333333</v>
      </c>
      <c r="N38" s="35" t="n">
        <f aca="false">IFERROR(M38/M$20,0)</f>
        <v>0.27144830588763</v>
      </c>
      <c r="O38" s="27" t="n">
        <f aca="false">SUM(O33:O37)</f>
        <v>16308.7797333333</v>
      </c>
      <c r="P38" s="35" t="n">
        <f aca="false">IFERROR(O38/O$20,0)</f>
        <v>0.27144830588763</v>
      </c>
      <c r="Q38" s="27" t="n">
        <f aca="false">SUM(Q33:Q37)</f>
        <v>16308.7797333333</v>
      </c>
      <c r="R38" s="35" t="n">
        <f aca="false">IFERROR(Q38/Q$20,0)</f>
        <v>0.27144830588763</v>
      </c>
      <c r="S38" s="27" t="n">
        <f aca="false">SUM(S33:S37)</f>
        <v>16308.7797333333</v>
      </c>
      <c r="T38" s="35" t="n">
        <f aca="false">IFERROR(S38/S$20,0)</f>
        <v>0.27144830588763</v>
      </c>
      <c r="U38" s="27" t="n">
        <f aca="false">SUM(U33:U37)</f>
        <v>16308.7797333333</v>
      </c>
      <c r="V38" s="35" t="n">
        <f aca="false">IFERROR(U38/U$20,0)</f>
        <v>0.27144830588763</v>
      </c>
      <c r="W38" s="27" t="n">
        <f aca="false">SUM(W33:W37)</f>
        <v>16308.7797333333</v>
      </c>
      <c r="X38" s="35" t="n">
        <f aca="false">IFERROR(W38/W$20,0)</f>
        <v>0.27144830588763</v>
      </c>
      <c r="Y38" s="27" t="n">
        <f aca="false">SUM(Y33:Y37)</f>
        <v>12532.3797333333</v>
      </c>
      <c r="Z38" s="35" t="n">
        <f aca="false">IFERROR(Y38/Y$20,0)</f>
        <v>0.208592752062296</v>
      </c>
      <c r="AB38" s="27" t="n">
        <f aca="false">SUM(AB33:AB37)</f>
        <v>191928.9568</v>
      </c>
      <c r="AC38" s="35" t="n">
        <f aca="false">IFERROR(AB38/AB$20,0)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44860.3250333333</v>
      </c>
      <c r="D40" s="8" t="n">
        <f aca="false">IFERROR(C40/C$20,0)</f>
        <v>0.606175557017752</v>
      </c>
      <c r="E40" s="7" t="n">
        <f aca="false">E29+E38</f>
        <v>28073.4530333333</v>
      </c>
      <c r="F40" s="8" t="n">
        <f aca="false">IFERROR(E40/E$20,0)</f>
        <v>0.635628473473427</v>
      </c>
      <c r="G40" s="7" t="n">
        <f aca="false">G29+G38</f>
        <v>44860.3250333333</v>
      </c>
      <c r="H40" s="8" t="n">
        <f aca="false">IFERROR(G40/G$20,0)</f>
        <v>0.606175557017752</v>
      </c>
      <c r="I40" s="7" t="n">
        <f aca="false">I29+I38</f>
        <v>28073.4530333333</v>
      </c>
      <c r="J40" s="8" t="n">
        <f aca="false">IFERROR(I40/I$20,0)</f>
        <v>0.635628473473427</v>
      </c>
      <c r="K40" s="7" t="n">
        <f aca="false">K29+K38</f>
        <v>39264.7010333333</v>
      </c>
      <c r="L40" s="8" t="n">
        <f aca="false">IFERROR(K40/K$20,0)</f>
        <v>0.612944461276327</v>
      </c>
      <c r="M40" s="7" t="n">
        <f aca="false">M29+M38</f>
        <v>37026.4514333333</v>
      </c>
      <c r="N40" s="8" t="n">
        <f aca="false">IFERROR(M40/M$20,0)</f>
        <v>0.616279554874746</v>
      </c>
      <c r="O40" s="7" t="n">
        <f aca="false">O29+O38</f>
        <v>37026.4514333333</v>
      </c>
      <c r="P40" s="8" t="n">
        <f aca="false">IFERROR(O40/O$20,0)</f>
        <v>0.616279554874746</v>
      </c>
      <c r="Q40" s="7" t="n">
        <f aca="false">Q29+Q38</f>
        <v>37026.4514333333</v>
      </c>
      <c r="R40" s="8" t="n">
        <f aca="false">IFERROR(Q40/Q$20,0)</f>
        <v>0.616279554874746</v>
      </c>
      <c r="S40" s="7" t="n">
        <f aca="false">S29+S38</f>
        <v>37026.4514333333</v>
      </c>
      <c r="T40" s="8" t="n">
        <f aca="false">IFERROR(S40/S$20,0)</f>
        <v>0.616279554874746</v>
      </c>
      <c r="U40" s="7" t="n">
        <f aca="false">U29+U38</f>
        <v>37026.4514333333</v>
      </c>
      <c r="V40" s="8" t="n">
        <f aca="false">IFERROR(U40/U$20,0)</f>
        <v>0.616279554874746</v>
      </c>
      <c r="W40" s="7" t="n">
        <f aca="false">W29+W38</f>
        <v>37026.4514333333</v>
      </c>
      <c r="X40" s="8" t="n">
        <f aca="false">IFERROR(W40/W$20,0)</f>
        <v>0.616279554874746</v>
      </c>
      <c r="Y40" s="7" t="n">
        <f aca="false">Y29+Y38</f>
        <v>33250.0514333333</v>
      </c>
      <c r="Z40" s="8" t="n">
        <f aca="false">IFERROR(Y40/Y$20,0)</f>
        <v>0.553424001049413</v>
      </c>
      <c r="AB40" s="7" t="n">
        <f aca="false">AB29+AB38</f>
        <v>440541.0172</v>
      </c>
      <c r="AC40" s="8" t="n">
        <f aca="false">IFERROR(AB40/AB$20,0)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29145.1747166667</v>
      </c>
      <c r="D41" s="8" t="n">
        <f aca="false">IFERROR(C41/C$20,0)</f>
        <v>0.393824442982248</v>
      </c>
      <c r="E41" s="7" t="n">
        <f aca="false">E30-E38</f>
        <v>16092.9967166667</v>
      </c>
      <c r="F41" s="8" t="n">
        <f aca="false">IFERROR(E41/E$20,0)</f>
        <v>0.364371526526573</v>
      </c>
      <c r="G41" s="7" t="n">
        <f aca="false">G30-G38</f>
        <v>29145.1747166667</v>
      </c>
      <c r="H41" s="8" t="n">
        <f aca="false">IFERROR(G41/G$20,0)</f>
        <v>0.393824442982248</v>
      </c>
      <c r="I41" s="7" t="n">
        <f aca="false">I30-I38</f>
        <v>16092.9967166667</v>
      </c>
      <c r="J41" s="8" t="n">
        <f aca="false">IFERROR(I41/I$20,0)</f>
        <v>0.364371526526573</v>
      </c>
      <c r="K41" s="7" t="n">
        <f aca="false">K30-K38</f>
        <v>24794.4487166667</v>
      </c>
      <c r="L41" s="8" t="n">
        <f aca="false">IFERROR(K41/K$20,0)</f>
        <v>0.387055538723673</v>
      </c>
      <c r="M41" s="7" t="n">
        <f aca="false">M30-M38</f>
        <v>23054.1583166667</v>
      </c>
      <c r="N41" s="8" t="n">
        <f aca="false">IFERROR(M41/M$20,0)</f>
        <v>0.383720445125254</v>
      </c>
      <c r="O41" s="7" t="n">
        <f aca="false">O30-O38</f>
        <v>23054.1583166667</v>
      </c>
      <c r="P41" s="8" t="n">
        <f aca="false">IFERROR(O41/O$20,0)</f>
        <v>0.383720445125254</v>
      </c>
      <c r="Q41" s="7" t="n">
        <f aca="false">Q30-Q38</f>
        <v>23054.1583166667</v>
      </c>
      <c r="R41" s="8" t="n">
        <f aca="false">IFERROR(Q41/Q$20,0)</f>
        <v>0.383720445125254</v>
      </c>
      <c r="S41" s="7" t="n">
        <f aca="false">S30-S38</f>
        <v>23054.1583166667</v>
      </c>
      <c r="T41" s="8" t="n">
        <f aca="false">IFERROR(S41/S$20,0)</f>
        <v>0.383720445125254</v>
      </c>
      <c r="U41" s="7" t="n">
        <f aca="false">U30-U38</f>
        <v>23054.1583166667</v>
      </c>
      <c r="V41" s="8" t="n">
        <f aca="false">IFERROR(U41/U$20,0)</f>
        <v>0.383720445125254</v>
      </c>
      <c r="W41" s="7" t="n">
        <f aca="false">W30-W38</f>
        <v>23054.1583166667</v>
      </c>
      <c r="X41" s="8" t="n">
        <f aca="false">IFERROR(W41/W$20,0)</f>
        <v>0.383720445125254</v>
      </c>
      <c r="Y41" s="7" t="n">
        <f aca="false">Y30-Y38</f>
        <v>26830.5583166667</v>
      </c>
      <c r="Z41" s="8" t="n">
        <f aca="false">IFERROR(Y41/Y$20,0)</f>
        <v>0.446575998950588</v>
      </c>
      <c r="AB41" s="7" t="n">
        <f aca="false">AB30-AB38</f>
        <v>280426.2998</v>
      </c>
      <c r="AC41" s="8" t="n">
        <f aca="false">IFERROR(AB41/AB$20,0)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Budget'!C44+'LW Budget'!C44</f>
        <v>9192.75621875</v>
      </c>
      <c r="D44" s="34" t="n">
        <f aca="false">IFERROR(C44/C$20,0)</f>
        <v>0.12421720344845</v>
      </c>
      <c r="E44" s="24" t="n">
        <f aca="false">'Vessel Budget'!E44+'LW Budget'!E44</f>
        <v>5502.98121875</v>
      </c>
      <c r="F44" s="34" t="n">
        <f aca="false">IFERROR(E44/E$20,0)</f>
        <v>0.124596413112195</v>
      </c>
      <c r="G44" s="24" t="n">
        <f aca="false">'Vessel Budget'!G44+'LW Budget'!G44</f>
        <v>9192.75621875</v>
      </c>
      <c r="H44" s="34" t="n">
        <f aca="false">IFERROR(G44/G$20,0)</f>
        <v>0.12421720344845</v>
      </c>
      <c r="I44" s="24" t="n">
        <f aca="false">'Vessel Budget'!I44+'LW Budget'!I44</f>
        <v>5502.98121875</v>
      </c>
      <c r="J44" s="34" t="n">
        <f aca="false">IFERROR(I44/I$20,0)</f>
        <v>0.124596413112195</v>
      </c>
      <c r="K44" s="24" t="n">
        <f aca="false">'Vessel Budget'!K44+'LW Budget'!K44</f>
        <v>7962.83121875</v>
      </c>
      <c r="L44" s="34" t="n">
        <f aca="false">IFERROR(K44/K$20,0)</f>
        <v>0.124304353863985</v>
      </c>
      <c r="M44" s="24" t="n">
        <f aca="false">'Vessel Budget'!M44+'LW Budget'!M44</f>
        <v>7470.86121875</v>
      </c>
      <c r="N44" s="34" t="n">
        <f aca="false">IFERROR(M44/M$20,0)</f>
        <v>0.124347293575029</v>
      </c>
      <c r="O44" s="24" t="n">
        <f aca="false">'Vessel Budget'!O44+'LW Budget'!O44</f>
        <v>7470.86121875</v>
      </c>
      <c r="P44" s="34" t="n">
        <f aca="false">IFERROR(O44/O$20,0)</f>
        <v>0.124347293575029</v>
      </c>
      <c r="Q44" s="24" t="n">
        <f aca="false">'Vessel Budget'!Q44+'LW Budget'!Q44</f>
        <v>7470.86121875</v>
      </c>
      <c r="R44" s="34" t="n">
        <f aca="false">IFERROR(Q44/Q$20,0)</f>
        <v>0.124347293575029</v>
      </c>
      <c r="S44" s="24" t="n">
        <f aca="false">'Vessel Budget'!S44+'LW Budget'!S44</f>
        <v>7470.86121875</v>
      </c>
      <c r="T44" s="34" t="n">
        <f aca="false">IFERROR(S44/S$20,0)</f>
        <v>0.124347293575029</v>
      </c>
      <c r="U44" s="24" t="n">
        <f aca="false">'Vessel Budget'!U44+'LW Budget'!U44</f>
        <v>7470.86121875</v>
      </c>
      <c r="V44" s="34" t="n">
        <f aca="false">IFERROR(U44/U$20,0)</f>
        <v>0.124347293575029</v>
      </c>
      <c r="W44" s="24" t="n">
        <f aca="false">'Vessel Budget'!W44+'LW Budget'!W44</f>
        <v>7470.86121875</v>
      </c>
      <c r="X44" s="34" t="n">
        <f aca="false">IFERROR(W44/W$20,0)</f>
        <v>0.124347293575029</v>
      </c>
      <c r="Y44" s="24" t="n">
        <f aca="false">'Vessel Budget'!Y44+'LW Budget'!Y44</f>
        <v>7470.86121875</v>
      </c>
      <c r="Z44" s="34" t="n">
        <f aca="false">IFERROR(Y44/Y$20,0)</f>
        <v>0.124347293575029</v>
      </c>
      <c r="AB44" s="24" t="n">
        <f aca="false">SUM(C44,E44,G44,I44,K44,M44,O44,Q44,S44,U44,W44,Y44)</f>
        <v>89650.334625</v>
      </c>
      <c r="AC44" s="34" t="n">
        <f aca="false">IFERROR(AB44/AB$20,0)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Budget'!C45+'LW Budget'!C45</f>
        <v>0</v>
      </c>
      <c r="D45" s="34" t="n">
        <f aca="false">IFERROR(C45/C$20,0)</f>
        <v>0</v>
      </c>
      <c r="E45" s="24" t="n">
        <f aca="false">'Vessel Budget'!E45+'LW Budget'!E45</f>
        <v>0</v>
      </c>
      <c r="F45" s="34" t="n">
        <f aca="false">IFERROR(E45/E$20,0)</f>
        <v>0</v>
      </c>
      <c r="G45" s="24" t="n">
        <f aca="false">'Vessel Budget'!G45+'LW Budget'!G45</f>
        <v>0</v>
      </c>
      <c r="H45" s="34" t="n">
        <f aca="false">IFERROR(G45/G$20,0)</f>
        <v>0</v>
      </c>
      <c r="I45" s="24" t="n">
        <f aca="false">'Vessel Budget'!I45+'LW Budget'!I45</f>
        <v>0</v>
      </c>
      <c r="J45" s="34" t="n">
        <f aca="false">IFERROR(I45/I$20,0)</f>
        <v>0</v>
      </c>
      <c r="K45" s="24" t="n">
        <f aca="false">'Vessel Budget'!K45+'LW Budget'!K45</f>
        <v>0</v>
      </c>
      <c r="L45" s="34" t="n">
        <f aca="false">IFERROR(K45/K$20,0)</f>
        <v>0</v>
      </c>
      <c r="M45" s="24" t="n">
        <f aca="false">'Vessel Budget'!M45+'LW Budget'!M45</f>
        <v>0</v>
      </c>
      <c r="N45" s="34" t="n">
        <f aca="false">IFERROR(M45/M$20,0)</f>
        <v>0</v>
      </c>
      <c r="O45" s="24" t="n">
        <f aca="false">'Vessel Budget'!O45+'LW Budget'!O45</f>
        <v>0</v>
      </c>
      <c r="P45" s="34" t="n">
        <f aca="false">IFERROR(O45/O$20,0)</f>
        <v>0</v>
      </c>
      <c r="Q45" s="24" t="n">
        <f aca="false">'Vessel Budget'!Q45+'LW Budget'!Q45</f>
        <v>0</v>
      </c>
      <c r="R45" s="34" t="n">
        <f aca="false">IFERROR(Q45/Q$20,0)</f>
        <v>0</v>
      </c>
      <c r="S45" s="24" t="n">
        <f aca="false">'Vessel Budget'!S45+'LW Budget'!S45</f>
        <v>0</v>
      </c>
      <c r="T45" s="34" t="n">
        <f aca="false">IFERROR(S45/S$20,0)</f>
        <v>0</v>
      </c>
      <c r="U45" s="24" t="n">
        <f aca="false">'Vessel Budget'!U45+'LW Budget'!U45</f>
        <v>0</v>
      </c>
      <c r="V45" s="34" t="n">
        <f aca="false">IFERROR(U45/U$20,0)</f>
        <v>0</v>
      </c>
      <c r="W45" s="24" t="n">
        <f aca="false">'Vessel Budget'!W45+'LW Budget'!W45</f>
        <v>0</v>
      </c>
      <c r="X45" s="34" t="n">
        <f aca="false">IFERROR(W45/W$20,0)</f>
        <v>0</v>
      </c>
      <c r="Y45" s="24" t="n">
        <f aca="false">'Vessel Budget'!Y45+'LW Budget'!Y45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Budget'!C46+'LW Budget'!C46</f>
        <v>1081.66274125</v>
      </c>
      <c r="D46" s="34" t="n">
        <f aca="false">IFERROR(C46/C$20,0)</f>
        <v>0.0146159777976501</v>
      </c>
      <c r="E46" s="24" t="n">
        <f aca="false">'Vessel Budget'!E46+'LW Budget'!E46</f>
        <v>1081.66274125</v>
      </c>
      <c r="F46" s="34" t="n">
        <f aca="false">IFERROR(E46/E$20,0)</f>
        <v>0.0244905974415569</v>
      </c>
      <c r="G46" s="24" t="n">
        <f aca="false">'Vessel Budget'!G46+'LW Budget'!G46</f>
        <v>1081.66274125</v>
      </c>
      <c r="H46" s="34" t="n">
        <f aca="false">IFERROR(G46/G$20,0)</f>
        <v>0.0146159777976501</v>
      </c>
      <c r="I46" s="24" t="n">
        <f aca="false">'Vessel Budget'!I46+'LW Budget'!I46</f>
        <v>1081.66274125</v>
      </c>
      <c r="J46" s="34" t="n">
        <f aca="false">IFERROR(I46/I$20,0)</f>
        <v>0.0244905974415569</v>
      </c>
      <c r="K46" s="24" t="n">
        <f aca="false">'Vessel Budget'!K46+'LW Budget'!K46</f>
        <v>1081.66274125</v>
      </c>
      <c r="L46" s="34" t="n">
        <f aca="false">IFERROR(K46/K$20,0)</f>
        <v>0.0168853746181669</v>
      </c>
      <c r="M46" s="24" t="n">
        <f aca="false">'Vessel Budget'!M46+'LW Budget'!M46</f>
        <v>1081.66274125</v>
      </c>
      <c r="N46" s="34" t="n">
        <f aca="false">IFERROR(M46/M$20,0)</f>
        <v>0.0180035246937553</v>
      </c>
      <c r="O46" s="24" t="n">
        <f aca="false">'Vessel Budget'!O46+'LW Budget'!O46</f>
        <v>1081.66274125</v>
      </c>
      <c r="P46" s="34" t="n">
        <f aca="false">IFERROR(O46/O$20,0)</f>
        <v>0.0180035246937553</v>
      </c>
      <c r="Q46" s="24" t="n">
        <f aca="false">'Vessel Budget'!Q46+'LW Budget'!Q46</f>
        <v>1081.66274125</v>
      </c>
      <c r="R46" s="34" t="n">
        <f aca="false">IFERROR(Q46/Q$20,0)</f>
        <v>0.0180035246937553</v>
      </c>
      <c r="S46" s="24" t="n">
        <f aca="false">'Vessel Budget'!S46+'LW Budget'!S46</f>
        <v>1081.66274125</v>
      </c>
      <c r="T46" s="34" t="n">
        <f aca="false">IFERROR(S46/S$20,0)</f>
        <v>0.0180035246937553</v>
      </c>
      <c r="U46" s="24" t="n">
        <f aca="false">'Vessel Budget'!U46+'LW Budget'!U46</f>
        <v>1081.66274125</v>
      </c>
      <c r="V46" s="34" t="n">
        <f aca="false">IFERROR(U46/U$20,0)</f>
        <v>0.0180035246937553</v>
      </c>
      <c r="W46" s="24" t="n">
        <f aca="false">'Vessel Budget'!W46+'LW Budget'!W46</f>
        <v>1081.66274125</v>
      </c>
      <c r="X46" s="34" t="n">
        <f aca="false">IFERROR(W46/W$20,0)</f>
        <v>0.0180035246937553</v>
      </c>
      <c r="Y46" s="24" t="n">
        <f aca="false">'Vessel Budget'!Y46+'LW Budget'!Y46</f>
        <v>1081.66274125</v>
      </c>
      <c r="Z46" s="34" t="n">
        <f aca="false">IFERROR(Y46/Y$20,0)</f>
        <v>0.0180035246937553</v>
      </c>
      <c r="AB46" s="24" t="n">
        <f aca="false">SUM(C46,E46,G46,I46,K46,M46,O46,Q46,S46,U46,W46,Y46)</f>
        <v>12979.952895</v>
      </c>
      <c r="AC46" s="34" t="n">
        <f aca="false">IFERROR(AB46/AB$20,0)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Budget'!C47+'LW Budget'!C47</f>
        <v>2626.89522875</v>
      </c>
      <c r="D47" s="34" t="n">
        <f aca="false">IFERROR(C47/C$20,0)</f>
        <v>0.0354959460800074</v>
      </c>
      <c r="E47" s="24" t="n">
        <f aca="false">'Vessel Budget'!E47+'LW Budget'!E47</f>
        <v>2626.89522875</v>
      </c>
      <c r="F47" s="34" t="n">
        <f aca="false">IFERROR(E47/E$20,0)</f>
        <v>0.0594771652152095</v>
      </c>
      <c r="G47" s="24" t="n">
        <f aca="false">'Vessel Budget'!G47+'LW Budget'!G47</f>
        <v>2626.89522875</v>
      </c>
      <c r="H47" s="34" t="n">
        <f aca="false">IFERROR(G47/G$20,0)</f>
        <v>0.0354959460800074</v>
      </c>
      <c r="I47" s="24" t="n">
        <f aca="false">'Vessel Budget'!I47+'LW Budget'!I47</f>
        <v>2626.89522875</v>
      </c>
      <c r="J47" s="34" t="n">
        <f aca="false">IFERROR(I47/I$20,0)</f>
        <v>0.0594771652152095</v>
      </c>
      <c r="K47" s="24" t="n">
        <f aca="false">'Vessel Budget'!K47+'LW Budget'!K47</f>
        <v>2626.89522875</v>
      </c>
      <c r="L47" s="34" t="n">
        <f aca="false">IFERROR(K47/K$20,0)</f>
        <v>0.0410073383584052</v>
      </c>
      <c r="M47" s="24" t="n">
        <f aca="false">'Vessel Budget'!M47+'LW Budget'!M47</f>
        <v>2626.89522875</v>
      </c>
      <c r="N47" s="34" t="n">
        <f aca="false">IFERROR(M47/M$20,0)</f>
        <v>0.0437228456848343</v>
      </c>
      <c r="O47" s="24" t="n">
        <f aca="false">'Vessel Budget'!O47+'LW Budget'!O47</f>
        <v>2626.89522875</v>
      </c>
      <c r="P47" s="34" t="n">
        <f aca="false">IFERROR(O47/O$20,0)</f>
        <v>0.0437228456848343</v>
      </c>
      <c r="Q47" s="24" t="n">
        <f aca="false">'Vessel Budget'!Q47+'LW Budget'!Q47</f>
        <v>2626.89522875</v>
      </c>
      <c r="R47" s="34" t="n">
        <f aca="false">IFERROR(Q47/Q$20,0)</f>
        <v>0.0437228456848343</v>
      </c>
      <c r="S47" s="24" t="n">
        <f aca="false">'Vessel Budget'!S47+'LW Budget'!S47</f>
        <v>2626.89522875</v>
      </c>
      <c r="T47" s="34" t="n">
        <f aca="false">IFERROR(S47/S$20,0)</f>
        <v>0.0437228456848343</v>
      </c>
      <c r="U47" s="24" t="n">
        <f aca="false">'Vessel Budget'!U47+'LW Budget'!U47</f>
        <v>2626.89522875</v>
      </c>
      <c r="V47" s="34" t="n">
        <f aca="false">IFERROR(U47/U$20,0)</f>
        <v>0.0437228456848343</v>
      </c>
      <c r="W47" s="24" t="n">
        <f aca="false">'Vessel Budget'!W47+'LW Budget'!W47</f>
        <v>2626.89522875</v>
      </c>
      <c r="X47" s="34" t="n">
        <f aca="false">IFERROR(W47/W$20,0)</f>
        <v>0.0437228456848343</v>
      </c>
      <c r="Y47" s="24" t="n">
        <f aca="false">'Vessel Budget'!Y47+'LW Budget'!Y47</f>
        <v>2626.89522875</v>
      </c>
      <c r="Z47" s="34" t="n">
        <f aca="false">IFERROR(Y47/Y$20,0)</f>
        <v>0.0437228456848343</v>
      </c>
      <c r="AB47" s="24" t="n">
        <f aca="false">SUM(C47,E47,G47,I47,K47,M47,O47,Q47,S47,U47,W47,Y47)</f>
        <v>31522.742745</v>
      </c>
      <c r="AC47" s="34" t="n">
        <f aca="false">IFERROR(AB47/AB$20,0)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Budget'!C48+'LW Budget'!C48</f>
        <v>73</v>
      </c>
      <c r="D48" s="34" t="n">
        <f aca="false">IFERROR(C48/C$20,0)</f>
        <v>0.000986413175326203</v>
      </c>
      <c r="E48" s="24" t="n">
        <f aca="false">'Vessel Budget'!E48+'LW Budget'!E48</f>
        <v>73</v>
      </c>
      <c r="F48" s="34" t="n">
        <f aca="false">IFERROR(E48/E$20,0)</f>
        <v>0.00165283830629832</v>
      </c>
      <c r="G48" s="24" t="n">
        <f aca="false">'Vessel Budget'!G48+'LW Budget'!G48</f>
        <v>73</v>
      </c>
      <c r="H48" s="34" t="n">
        <f aca="false">IFERROR(G48/G$20,0)</f>
        <v>0.000986413175326203</v>
      </c>
      <c r="I48" s="24" t="n">
        <f aca="false">'Vessel Budget'!I48+'LW Budget'!I48</f>
        <v>73</v>
      </c>
      <c r="J48" s="34" t="n">
        <f aca="false">IFERROR(I48/I$20,0)</f>
        <v>0.00165283830629832</v>
      </c>
      <c r="K48" s="24" t="n">
        <f aca="false">'Vessel Budget'!K48+'LW Budget'!K48</f>
        <v>73</v>
      </c>
      <c r="L48" s="34" t="n">
        <f aca="false">IFERROR(K48/K$20,0)</f>
        <v>0.00113957179083539</v>
      </c>
      <c r="M48" s="24" t="n">
        <f aca="false">'Vessel Budget'!M48+'LW Budget'!M48</f>
        <v>73</v>
      </c>
      <c r="N48" s="34" t="n">
        <f aca="false">IFERROR(M48/M$20,0)</f>
        <v>0.00121503427318329</v>
      </c>
      <c r="O48" s="24" t="n">
        <f aca="false">'Vessel Budget'!O48+'LW Budget'!O48</f>
        <v>73</v>
      </c>
      <c r="P48" s="34" t="n">
        <f aca="false">IFERROR(O48/O$20,0)</f>
        <v>0.00121503427318329</v>
      </c>
      <c r="Q48" s="24" t="n">
        <f aca="false">'Vessel Budget'!Q48+'LW Budget'!Q48</f>
        <v>73</v>
      </c>
      <c r="R48" s="34" t="n">
        <f aca="false">IFERROR(Q48/Q$20,0)</f>
        <v>0.00121503427318329</v>
      </c>
      <c r="S48" s="24" t="n">
        <f aca="false">'Vessel Budget'!S48+'LW Budget'!S48</f>
        <v>73</v>
      </c>
      <c r="T48" s="34" t="n">
        <f aca="false">IFERROR(S48/S$20,0)</f>
        <v>0.00121503427318329</v>
      </c>
      <c r="U48" s="24" t="n">
        <f aca="false">'Vessel Budget'!U48+'LW Budget'!U48</f>
        <v>73</v>
      </c>
      <c r="V48" s="34" t="n">
        <f aca="false">IFERROR(U48/U$20,0)</f>
        <v>0.00121503427318329</v>
      </c>
      <c r="W48" s="24" t="n">
        <f aca="false">'Vessel Budget'!W48+'LW Budget'!W48</f>
        <v>73</v>
      </c>
      <c r="X48" s="34" t="n">
        <f aca="false">IFERROR(W48/W$20,0)</f>
        <v>0.00121503427318329</v>
      </c>
      <c r="Y48" s="24" t="n">
        <f aca="false">'Vessel Budget'!Y48+'LW Budget'!Y48</f>
        <v>73</v>
      </c>
      <c r="Z48" s="34" t="n">
        <f aca="false">IFERROR(Y48/Y$20,0)</f>
        <v>0.00121503427318329</v>
      </c>
      <c r="AB48" s="24" t="n">
        <f aca="false">SUM(C48,E48,G48,I48,K48,M48,O48,Q48,S48,U48,W48,Y48)</f>
        <v>876</v>
      </c>
      <c r="AC48" s="34" t="n">
        <f aca="false">IFERROR(AB48/AB$20,0)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Budget'!C49+'LW Budget'!C49</f>
        <v>0</v>
      </c>
      <c r="D49" s="34" t="n">
        <f aca="false">IFERROR(C49/C$20,0)</f>
        <v>0</v>
      </c>
      <c r="E49" s="24" t="n">
        <f aca="false">'Vessel Budget'!E49+'LW Budget'!E49</f>
        <v>0</v>
      </c>
      <c r="F49" s="34" t="n">
        <f aca="false">IFERROR(E49/E$20,0)</f>
        <v>0</v>
      </c>
      <c r="G49" s="24" t="n">
        <f aca="false">'Vessel Budget'!G49+'LW Budget'!G49</f>
        <v>0</v>
      </c>
      <c r="H49" s="34" t="n">
        <f aca="false">IFERROR(G49/G$20,0)</f>
        <v>0</v>
      </c>
      <c r="I49" s="24" t="n">
        <f aca="false">'Vessel Budget'!I49+'LW Budget'!I49</f>
        <v>0</v>
      </c>
      <c r="J49" s="34" t="n">
        <f aca="false">IFERROR(I49/I$20,0)</f>
        <v>0</v>
      </c>
      <c r="K49" s="24" t="n">
        <f aca="false">'Vessel Budget'!K49+'LW Budget'!K49</f>
        <v>0</v>
      </c>
      <c r="L49" s="34" t="n">
        <f aca="false">IFERROR(K49/K$20,0)</f>
        <v>0</v>
      </c>
      <c r="M49" s="24" t="n">
        <f aca="false">'Vessel Budget'!M49+'LW Budget'!M49</f>
        <v>0</v>
      </c>
      <c r="N49" s="34" t="n">
        <f aca="false">IFERROR(M49/M$20,0)</f>
        <v>0</v>
      </c>
      <c r="O49" s="24" t="n">
        <f aca="false">'Vessel Budget'!O49+'LW Budget'!O49</f>
        <v>0</v>
      </c>
      <c r="P49" s="34" t="n">
        <f aca="false">IFERROR(O49/O$20,0)</f>
        <v>0</v>
      </c>
      <c r="Q49" s="24" t="n">
        <f aca="false">'Vessel Budget'!Q49+'LW Budget'!Q49</f>
        <v>0</v>
      </c>
      <c r="R49" s="34" t="n">
        <f aca="false">IFERROR(Q49/Q$20,0)</f>
        <v>0</v>
      </c>
      <c r="S49" s="24" t="n">
        <f aca="false">'Vessel Budget'!S49+'LW Budget'!S49</f>
        <v>0</v>
      </c>
      <c r="T49" s="34" t="n">
        <f aca="false">IFERROR(S49/S$20,0)</f>
        <v>0</v>
      </c>
      <c r="U49" s="24" t="n">
        <f aca="false">'Vessel Budget'!U49+'LW Budget'!U49</f>
        <v>0</v>
      </c>
      <c r="V49" s="34" t="n">
        <f aca="false">IFERROR(U49/U$20,0)</f>
        <v>0</v>
      </c>
      <c r="W49" s="24" t="n">
        <f aca="false">'Vessel Budget'!W49+'LW Budget'!W49</f>
        <v>0</v>
      </c>
      <c r="X49" s="34" t="n">
        <f aca="false">IFERROR(W49/W$20,0)</f>
        <v>0</v>
      </c>
      <c r="Y49" s="24" t="n">
        <f aca="false">'Vessel Budget'!Y49+'LW Budget'!Y49</f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12974.31418875</v>
      </c>
      <c r="D50" s="35" t="n">
        <f aca="false">IFERROR(C50/C$20,0)</f>
        <v>0.175315540501434</v>
      </c>
      <c r="E50" s="27" t="n">
        <f aca="false">SUM(E44:E49)</f>
        <v>9284.53918875</v>
      </c>
      <c r="F50" s="35" t="n">
        <f aca="false">IFERROR(E50/E$20,0)</f>
        <v>0.21021701407526</v>
      </c>
      <c r="G50" s="27" t="n">
        <f aca="false">SUM(G44:G49)</f>
        <v>12974.31418875</v>
      </c>
      <c r="H50" s="35" t="n">
        <f aca="false">IFERROR(G50/G$20,0)</f>
        <v>0.175315540501434</v>
      </c>
      <c r="I50" s="27" t="n">
        <f aca="false">SUM(I44:I49)</f>
        <v>9284.53918875</v>
      </c>
      <c r="J50" s="35" t="n">
        <f aca="false">IFERROR(I50/I$20,0)</f>
        <v>0.21021701407526</v>
      </c>
      <c r="K50" s="27" t="n">
        <f aca="false">SUM(K44:K49)</f>
        <v>11744.38918875</v>
      </c>
      <c r="L50" s="35" t="n">
        <f aca="false">IFERROR(K50/K$20,0)</f>
        <v>0.183336638631392</v>
      </c>
      <c r="M50" s="27" t="n">
        <f aca="false">SUM(M44:M49)</f>
        <v>11252.41918875</v>
      </c>
      <c r="N50" s="35" t="n">
        <f aca="false">IFERROR(M50/M$20,0)</f>
        <v>0.187288698226802</v>
      </c>
      <c r="O50" s="27" t="n">
        <f aca="false">SUM(O44:O49)</f>
        <v>11252.41918875</v>
      </c>
      <c r="P50" s="35" t="n">
        <f aca="false">IFERROR(O50/O$20,0)</f>
        <v>0.187288698226802</v>
      </c>
      <c r="Q50" s="27" t="n">
        <f aca="false">SUM(Q44:Q49)</f>
        <v>11252.41918875</v>
      </c>
      <c r="R50" s="35" t="n">
        <f aca="false">IFERROR(Q50/Q$20,0)</f>
        <v>0.187288698226802</v>
      </c>
      <c r="S50" s="27" t="n">
        <f aca="false">SUM(S44:S49)</f>
        <v>11252.41918875</v>
      </c>
      <c r="T50" s="35" t="n">
        <f aca="false">IFERROR(S50/S$20,0)</f>
        <v>0.187288698226802</v>
      </c>
      <c r="U50" s="27" t="n">
        <f aca="false">SUM(U44:U49)</f>
        <v>11252.41918875</v>
      </c>
      <c r="V50" s="35" t="n">
        <f aca="false">IFERROR(U50/U$20,0)</f>
        <v>0.187288698226802</v>
      </c>
      <c r="W50" s="27" t="n">
        <f aca="false">SUM(W44:W49)</f>
        <v>11252.41918875</v>
      </c>
      <c r="X50" s="35" t="n">
        <f aca="false">IFERROR(W50/W$20,0)</f>
        <v>0.187288698226802</v>
      </c>
      <c r="Y50" s="27" t="n">
        <f aca="false">SUM(Y44:Y49)</f>
        <v>11252.41918875</v>
      </c>
      <c r="Z50" s="35" t="n">
        <f aca="false">IFERROR(Y50/Y$20,0)</f>
        <v>0.187288698226802</v>
      </c>
      <c r="AB50" s="27" t="n">
        <f aca="false">SUM(AB44:AB49)</f>
        <v>135029.030265</v>
      </c>
      <c r="AC50" s="35" t="n">
        <f aca="false">IFERROR(AB50/AB$20,0)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Budget'!C53+'LW Budget'!C53</f>
        <v>249</v>
      </c>
      <c r="D53" s="34" t="n">
        <f aca="false">IFERROR(C53/C$20,0)</f>
        <v>0.00336461480350992</v>
      </c>
      <c r="E53" s="24" t="n">
        <f aca="false">'Vessel Budget'!E53+'LW Budget'!E53</f>
        <v>249</v>
      </c>
      <c r="F53" s="34" t="n">
        <f aca="false">IFERROR(E53/E$20,0)</f>
        <v>0.00563776353792168</v>
      </c>
      <c r="G53" s="24" t="n">
        <f aca="false">'Vessel Budget'!G53+'LW Budget'!G53</f>
        <v>249</v>
      </c>
      <c r="H53" s="34" t="n">
        <f aca="false">IFERROR(G53/G$20,0)</f>
        <v>0.00336461480350992</v>
      </c>
      <c r="I53" s="24" t="n">
        <f aca="false">'Vessel Budget'!I53+'LW Budget'!I53</f>
        <v>249</v>
      </c>
      <c r="J53" s="34" t="n">
        <f aca="false">IFERROR(I53/I$20,0)</f>
        <v>0.00563776353792168</v>
      </c>
      <c r="K53" s="24" t="n">
        <f aca="false">'Vessel Budget'!K53+'LW Budget'!K53</f>
        <v>249</v>
      </c>
      <c r="L53" s="34" t="n">
        <f aca="false">IFERROR(K53/K$20,0)</f>
        <v>0.00388703254682209</v>
      </c>
      <c r="M53" s="24" t="n">
        <f aca="false">'Vessel Budget'!M53+'LW Budget'!M53</f>
        <v>249</v>
      </c>
      <c r="N53" s="34" t="n">
        <f aca="false">IFERROR(M53/M$20,0)</f>
        <v>0.00414443197291286</v>
      </c>
      <c r="O53" s="24" t="n">
        <f aca="false">'Vessel Budget'!O53+'LW Budget'!O53</f>
        <v>249</v>
      </c>
      <c r="P53" s="34" t="n">
        <f aca="false">IFERROR(O53/O$20,0)</f>
        <v>0.00414443197291286</v>
      </c>
      <c r="Q53" s="24" t="n">
        <f aca="false">'Vessel Budget'!Q53+'LW Budget'!Q53</f>
        <v>249</v>
      </c>
      <c r="R53" s="34" t="n">
        <f aca="false">IFERROR(Q53/Q$20,0)</f>
        <v>0.00414443197291286</v>
      </c>
      <c r="S53" s="24" t="n">
        <f aca="false">'Vessel Budget'!S53+'LW Budget'!S53</f>
        <v>249</v>
      </c>
      <c r="T53" s="34" t="n">
        <f aca="false">IFERROR(S53/S$20,0)</f>
        <v>0.00414443197291286</v>
      </c>
      <c r="U53" s="24" t="n">
        <f aca="false">'Vessel Budget'!U53+'LW Budget'!U53</f>
        <v>249</v>
      </c>
      <c r="V53" s="34" t="n">
        <f aca="false">IFERROR(U53/U$20,0)</f>
        <v>0.00414443197291286</v>
      </c>
      <c r="W53" s="24" t="n">
        <f aca="false">'Vessel Budget'!W53+'LW Budget'!W53</f>
        <v>249</v>
      </c>
      <c r="X53" s="34" t="n">
        <f aca="false">IFERROR(W53/W$20,0)</f>
        <v>0.00414443197291286</v>
      </c>
      <c r="Y53" s="24" t="n">
        <f aca="false">'Vessel Budget'!Y53+'LW Budget'!Y53</f>
        <v>249</v>
      </c>
      <c r="Z53" s="34" t="n">
        <f aca="false">IFERROR(Y53/Y$20,0)</f>
        <v>0.00414443197291286</v>
      </c>
      <c r="AB53" s="24" t="n">
        <f aca="false">SUM(C53,E53,G53,I53,K53,M53,O53,Q53,S53,U53,W53,Y53)</f>
        <v>2988</v>
      </c>
      <c r="AC53" s="34" t="n">
        <f aca="false">IFERROR(AB53/AB$20,0)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Budget'!C55+'LW Budget'!C55</f>
        <v>2465.91323875</v>
      </c>
      <c r="D55" s="34" t="n">
        <f aca="false">IFERROR(C55/C$20,0)</f>
        <v>0.0333206754508809</v>
      </c>
      <c r="E55" s="24" t="n">
        <f aca="false">'Vessel Budget'!E55+'LW Budget'!E55</f>
        <v>1721.54123875</v>
      </c>
      <c r="F55" s="34" t="n">
        <f aca="false">IFERROR(E55/E$20,0)</f>
        <v>0.0389784836339489</v>
      </c>
      <c r="G55" s="24" t="n">
        <f aca="false">'Vessel Budget'!G55+'LW Budget'!G55</f>
        <v>2465.91323875</v>
      </c>
      <c r="H55" s="34" t="n">
        <f aca="false">IFERROR(G55/G$20,0)</f>
        <v>0.0333206754508809</v>
      </c>
      <c r="I55" s="24" t="n">
        <f aca="false">'Vessel Budget'!I55+'LW Budget'!I55</f>
        <v>1721.54123875</v>
      </c>
      <c r="J55" s="34" t="n">
        <f aca="false">IFERROR(I55/I$20,0)</f>
        <v>0.0389784836339489</v>
      </c>
      <c r="K55" s="24" t="n">
        <f aca="false">'Vessel Budget'!K55+'LW Budget'!K55</f>
        <v>2217.78923875</v>
      </c>
      <c r="L55" s="34" t="n">
        <f aca="false">IFERROR(K55/K$20,0)</f>
        <v>0.0346209596506547</v>
      </c>
      <c r="M55" s="24" t="n">
        <f aca="false">'Vessel Budget'!M55+'LW Budget'!M55</f>
        <v>2118.53963875</v>
      </c>
      <c r="N55" s="34" t="n">
        <f aca="false">IFERROR(M55/M$20,0)</f>
        <v>0.0352616201394328</v>
      </c>
      <c r="O55" s="24" t="n">
        <f aca="false">'Vessel Budget'!O55+'LW Budget'!O55</f>
        <v>2118.53963875</v>
      </c>
      <c r="P55" s="34" t="n">
        <f aca="false">IFERROR(O55/O$20,0)</f>
        <v>0.0352616201394328</v>
      </c>
      <c r="Q55" s="24" t="n">
        <f aca="false">'Vessel Budget'!Q55+'LW Budget'!Q55</f>
        <v>2118.53963875</v>
      </c>
      <c r="R55" s="34" t="n">
        <f aca="false">IFERROR(Q55/Q$20,0)</f>
        <v>0.0352616201394328</v>
      </c>
      <c r="S55" s="24" t="n">
        <f aca="false">'Vessel Budget'!S55+'LW Budget'!S55</f>
        <v>2118.53963875</v>
      </c>
      <c r="T55" s="34" t="n">
        <f aca="false">IFERROR(S55/S$20,0)</f>
        <v>0.0352616201394328</v>
      </c>
      <c r="U55" s="24" t="n">
        <f aca="false">'Vessel Budget'!U55+'LW Budget'!U55</f>
        <v>2118.53963875</v>
      </c>
      <c r="V55" s="34" t="n">
        <f aca="false">IFERROR(U55/U$20,0)</f>
        <v>0.0352616201394328</v>
      </c>
      <c r="W55" s="24" t="n">
        <f aca="false">'Vessel Budget'!W55+'LW Budget'!W55</f>
        <v>2118.53963875</v>
      </c>
      <c r="X55" s="34" t="n">
        <f aca="false">IFERROR(W55/W$20,0)</f>
        <v>0.0352616201394328</v>
      </c>
      <c r="Y55" s="24" t="n">
        <f aca="false">'Vessel Budget'!Y55+'LW Budget'!Y55</f>
        <v>2118.53963875</v>
      </c>
      <c r="Z55" s="34" t="n">
        <f aca="false">IFERROR(Y55/Y$20,0)</f>
        <v>0.0352616201394328</v>
      </c>
      <c r="AB55" s="24" t="n">
        <f aca="false">SUM(C55,E55,G55,I55,K55,M55,O55,Q55,S55,U55,W55,Y55)</f>
        <v>25422.475665</v>
      </c>
      <c r="AC55" s="34" t="n">
        <f aca="false">IFERROR(AB55/AB$20,0)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Budget'!C56+'LW Budget'!C56</f>
        <v>2960.21999</v>
      </c>
      <c r="D56" s="34" t="n">
        <f aca="false">IFERROR(C56/C$20,0)</f>
        <v>0.04</v>
      </c>
      <c r="E56" s="24" t="n">
        <f aca="false">'Vessel Budget'!E56+'LW Budget'!E56</f>
        <v>1766.65799</v>
      </c>
      <c r="F56" s="34" t="n">
        <f aca="false">IFERROR(E56/E$20,0)</f>
        <v>0.04</v>
      </c>
      <c r="G56" s="24" t="n">
        <f aca="false">'Vessel Budget'!G56+'LW Budget'!G56</f>
        <v>2960.21999</v>
      </c>
      <c r="H56" s="34" t="n">
        <f aca="false">IFERROR(G56/G$20,0)</f>
        <v>0.04</v>
      </c>
      <c r="I56" s="24" t="n">
        <f aca="false">'Vessel Budget'!I56+'LW Budget'!I56</f>
        <v>1766.65799</v>
      </c>
      <c r="J56" s="34" t="n">
        <f aca="false">IFERROR(I56/I$20,0)</f>
        <v>0.04</v>
      </c>
      <c r="K56" s="24" t="n">
        <f aca="false">'Vessel Budget'!K56+'LW Budget'!K56</f>
        <v>2562.36599</v>
      </c>
      <c r="L56" s="34" t="n">
        <f aca="false">IFERROR(K56/K$20,0)</f>
        <v>0.04</v>
      </c>
      <c r="M56" s="24" t="n">
        <f aca="false">'Vessel Budget'!M56+'LW Budget'!M56</f>
        <v>2403.22439</v>
      </c>
      <c r="N56" s="34" t="n">
        <f aca="false">IFERROR(M56/M$20,0)</f>
        <v>0.04</v>
      </c>
      <c r="O56" s="24" t="n">
        <f aca="false">'Vessel Budget'!O56+'LW Budget'!O56</f>
        <v>2403.22439</v>
      </c>
      <c r="P56" s="34" t="n">
        <f aca="false">IFERROR(O56/O$20,0)</f>
        <v>0.04</v>
      </c>
      <c r="Q56" s="24" t="n">
        <f aca="false">'Vessel Budget'!Q56+'LW Budget'!Q56</f>
        <v>2403.22439</v>
      </c>
      <c r="R56" s="34" t="n">
        <f aca="false">IFERROR(Q56/Q$20,0)</f>
        <v>0.04</v>
      </c>
      <c r="S56" s="24" t="n">
        <f aca="false">'Vessel Budget'!S56+'LW Budget'!S56</f>
        <v>2403.22439</v>
      </c>
      <c r="T56" s="34" t="n">
        <f aca="false">IFERROR(S56/S$20,0)</f>
        <v>0.04</v>
      </c>
      <c r="U56" s="24" t="n">
        <f aca="false">'Vessel Budget'!U56+'LW Budget'!U56</f>
        <v>2403.22439</v>
      </c>
      <c r="V56" s="34" t="n">
        <f aca="false">IFERROR(U56/U$20,0)</f>
        <v>0.04</v>
      </c>
      <c r="W56" s="24" t="n">
        <f aca="false">'Vessel Budget'!W56+'LW Budget'!W56</f>
        <v>2403.22439</v>
      </c>
      <c r="X56" s="34" t="n">
        <f aca="false">IFERROR(W56/W$20,0)</f>
        <v>0.04</v>
      </c>
      <c r="Y56" s="24" t="n">
        <f aca="false">'Vessel Budget'!Y56+'LW Budget'!Y56</f>
        <v>2403.22439</v>
      </c>
      <c r="Z56" s="34" t="n">
        <f aca="false">IFERROR(Y56/Y$20,0)</f>
        <v>0.04</v>
      </c>
      <c r="AB56" s="24" t="n">
        <f aca="false">SUM(C56,E56,G56,I56,K56,M56,O56,Q56,S56,U56,W56,Y56)</f>
        <v>28838.69268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5675.13322875</v>
      </c>
      <c r="D60" s="35" t="n">
        <f aca="false">IFERROR(C60/C$20,0)</f>
        <v>0.0766852902543908</v>
      </c>
      <c r="E60" s="27" t="n">
        <f aca="false">SUM(E53:E59)</f>
        <v>3737.19922875</v>
      </c>
      <c r="F60" s="35" t="n">
        <f aca="false">IFERROR(E60/E$20,0)</f>
        <v>0.0846162471718705</v>
      </c>
      <c r="G60" s="27" t="n">
        <f aca="false">SUM(G53:G59)</f>
        <v>5675.13322875</v>
      </c>
      <c r="H60" s="35" t="n">
        <f aca="false">IFERROR(G60/G$20,0)</f>
        <v>0.0766852902543908</v>
      </c>
      <c r="I60" s="27" t="n">
        <f aca="false">SUM(I53:I59)</f>
        <v>3737.19922875</v>
      </c>
      <c r="J60" s="35" t="n">
        <f aca="false">IFERROR(I60/I$20,0)</f>
        <v>0.0846162471718705</v>
      </c>
      <c r="K60" s="27" t="n">
        <f aca="false">SUM(K53:K59)</f>
        <v>5029.15522875</v>
      </c>
      <c r="L60" s="35" t="n">
        <f aca="false">IFERROR(K60/K$20,0)</f>
        <v>0.0785079921974768</v>
      </c>
      <c r="M60" s="27" t="n">
        <f aca="false">SUM(M53:M59)</f>
        <v>4770.76402875</v>
      </c>
      <c r="N60" s="35" t="n">
        <f aca="false">IFERROR(M60/M$20,0)</f>
        <v>0.0794060521123456</v>
      </c>
      <c r="O60" s="27" t="n">
        <f aca="false">SUM(O53:O59)</f>
        <v>4770.76402875</v>
      </c>
      <c r="P60" s="35" t="n">
        <f aca="false">IFERROR(O60/O$20,0)</f>
        <v>0.0794060521123456</v>
      </c>
      <c r="Q60" s="27" t="n">
        <f aca="false">SUM(Q53:Q59)</f>
        <v>4770.76402875</v>
      </c>
      <c r="R60" s="35" t="n">
        <f aca="false">IFERROR(Q60/Q$20,0)</f>
        <v>0.0794060521123456</v>
      </c>
      <c r="S60" s="27" t="n">
        <f aca="false">SUM(S53:S59)</f>
        <v>4770.76402875</v>
      </c>
      <c r="T60" s="35" t="n">
        <f aca="false">IFERROR(S60/S$20,0)</f>
        <v>0.0794060521123456</v>
      </c>
      <c r="U60" s="27" t="n">
        <f aca="false">SUM(U53:U59)</f>
        <v>4770.76402875</v>
      </c>
      <c r="V60" s="35" t="n">
        <f aca="false">IFERROR(U60/U$20,0)</f>
        <v>0.0794060521123456</v>
      </c>
      <c r="W60" s="27" t="n">
        <f aca="false">SUM(W53:W59)</f>
        <v>4770.76402875</v>
      </c>
      <c r="X60" s="35" t="n">
        <f aca="false">IFERROR(W60/W$20,0)</f>
        <v>0.0794060521123456</v>
      </c>
      <c r="Y60" s="27" t="n">
        <f aca="false">SUM(Y53:Y59)</f>
        <v>4770.76402875</v>
      </c>
      <c r="Z60" s="35" t="n">
        <f aca="false">IFERROR(Y60/Y$20,0)</f>
        <v>0.0794060521123456</v>
      </c>
      <c r="AB60" s="27" t="n">
        <f aca="false">SUM(AB53:AB59)</f>
        <v>57249.168345</v>
      </c>
      <c r="AC60" s="35" t="n">
        <f aca="false">IFERROR(AB60/AB$20,0)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10495.7272991667</v>
      </c>
      <c r="D62" s="35" t="n">
        <f aca="false">IFERROR(C62/C$20,0)</f>
        <v>0.141823612226423</v>
      </c>
      <c r="E62" s="27" t="n">
        <f aca="false">E41-E50-E60</f>
        <v>3071.25829916667</v>
      </c>
      <c r="F62" s="35" t="n">
        <f aca="false">IFERROR(E62/E$20,0)</f>
        <v>0.0695382652794425</v>
      </c>
      <c r="G62" s="27" t="n">
        <f aca="false">G41-G50-G60</f>
        <v>10495.7272991667</v>
      </c>
      <c r="H62" s="35" t="n">
        <f aca="false">IFERROR(G62/G$20,0)</f>
        <v>0.141823612226423</v>
      </c>
      <c r="I62" s="27" t="n">
        <f aca="false">I41-I50-I60</f>
        <v>3071.25829916667</v>
      </c>
      <c r="J62" s="35" t="n">
        <f aca="false">IFERROR(I62/I$20,0)</f>
        <v>0.0695382652794425</v>
      </c>
      <c r="K62" s="27" t="n">
        <f aca="false">K41-K50-K60</f>
        <v>8020.90429916667</v>
      </c>
      <c r="L62" s="35" t="n">
        <f aca="false">IFERROR(K62/K$20,0)</f>
        <v>0.125210907894803</v>
      </c>
      <c r="M62" s="27" t="n">
        <f aca="false">M41-M50-M60</f>
        <v>7030.97509916667</v>
      </c>
      <c r="N62" s="35" t="n">
        <f aca="false">IFERROR(M62/M$20,0)</f>
        <v>0.117025694786106</v>
      </c>
      <c r="O62" s="27" t="n">
        <f aca="false">O41-O50-O60</f>
        <v>7030.97509916667</v>
      </c>
      <c r="P62" s="35" t="n">
        <f aca="false">IFERROR(O62/O$20,0)</f>
        <v>0.117025694786106</v>
      </c>
      <c r="Q62" s="27" t="n">
        <f aca="false">Q41-Q50-Q60</f>
        <v>7030.97509916667</v>
      </c>
      <c r="R62" s="35" t="n">
        <f aca="false">IFERROR(Q62/Q$20,0)</f>
        <v>0.117025694786106</v>
      </c>
      <c r="S62" s="27" t="n">
        <f aca="false">S41-S50-S60</f>
        <v>7030.97509916667</v>
      </c>
      <c r="T62" s="35" t="n">
        <f aca="false">IFERROR(S62/S$20,0)</f>
        <v>0.117025694786106</v>
      </c>
      <c r="U62" s="27" t="n">
        <f aca="false">U41-U50-U60</f>
        <v>7030.97509916667</v>
      </c>
      <c r="V62" s="35" t="n">
        <f aca="false">IFERROR(U62/U$20,0)</f>
        <v>0.117025694786106</v>
      </c>
      <c r="W62" s="27" t="n">
        <f aca="false">W41-W50-W60</f>
        <v>7030.97509916667</v>
      </c>
      <c r="X62" s="35" t="n">
        <f aca="false">IFERROR(W62/W$20,0)</f>
        <v>0.117025694786106</v>
      </c>
      <c r="Y62" s="27" t="n">
        <f aca="false">Y41-Y50-Y60</f>
        <v>10807.3750991667</v>
      </c>
      <c r="Z62" s="35" t="n">
        <f aca="false">IFERROR(Y62/Y$20,0)</f>
        <v>0.17988124861144</v>
      </c>
      <c r="AB62" s="27" t="n">
        <f aca="false">AB41-AB50-AB60</f>
        <v>88148.10119</v>
      </c>
      <c r="AC62" s="35" t="n">
        <f aca="false">IFERROR(AB62/AB$20,0)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10495.7272991667</v>
      </c>
      <c r="D66" s="8" t="n">
        <f aca="false">IFERROR(C66/C$20,0)</f>
        <v>0.141823612226423</v>
      </c>
      <c r="E66" s="7" t="n">
        <f aca="false">E62-E64</f>
        <v>3071.25829916667</v>
      </c>
      <c r="F66" s="8" t="n">
        <f aca="false">IFERROR(E66/E$20,0)</f>
        <v>0.0695382652794425</v>
      </c>
      <c r="G66" s="7" t="n">
        <f aca="false">G62-G64</f>
        <v>10495.7272991667</v>
      </c>
      <c r="H66" s="8" t="n">
        <f aca="false">IFERROR(G66/G$20,0)</f>
        <v>0.141823612226423</v>
      </c>
      <c r="I66" s="7" t="n">
        <f aca="false">I62-I64</f>
        <v>3071.25829916667</v>
      </c>
      <c r="J66" s="8" t="n">
        <f aca="false">IFERROR(I66/I$20,0)</f>
        <v>0.0695382652794425</v>
      </c>
      <c r="K66" s="7" t="n">
        <f aca="false">K62-K64</f>
        <v>8020.90429916667</v>
      </c>
      <c r="L66" s="8" t="n">
        <f aca="false">IFERROR(K66/K$20,0)</f>
        <v>0.125210907894803</v>
      </c>
      <c r="M66" s="7" t="n">
        <f aca="false">M62-M64</f>
        <v>7030.97509916667</v>
      </c>
      <c r="N66" s="8" t="n">
        <f aca="false">IFERROR(M66/M$20,0)</f>
        <v>0.117025694786106</v>
      </c>
      <c r="O66" s="7" t="n">
        <f aca="false">O62-O64</f>
        <v>7030.97509916667</v>
      </c>
      <c r="P66" s="8" t="n">
        <f aca="false">IFERROR(O66/O$20,0)</f>
        <v>0.117025694786106</v>
      </c>
      <c r="Q66" s="7" t="n">
        <f aca="false">Q62-Q64</f>
        <v>7030.97509916667</v>
      </c>
      <c r="R66" s="8" t="n">
        <f aca="false">IFERROR(Q66/Q$20,0)</f>
        <v>0.117025694786106</v>
      </c>
      <c r="S66" s="7" t="n">
        <f aca="false">S62-S64</f>
        <v>7030.97509916667</v>
      </c>
      <c r="T66" s="8" t="n">
        <f aca="false">IFERROR(S66/S$20,0)</f>
        <v>0.117025694786106</v>
      </c>
      <c r="U66" s="7" t="n">
        <f aca="false">U62-U64</f>
        <v>7030.97509916667</v>
      </c>
      <c r="V66" s="8" t="n">
        <f aca="false">IFERROR(U66/U$20,0)</f>
        <v>0.117025694786106</v>
      </c>
      <c r="W66" s="7" t="n">
        <f aca="false">W62-W64</f>
        <v>7030.97509916667</v>
      </c>
      <c r="X66" s="8" t="n">
        <f aca="false">IFERROR(W66/W$20,0)</f>
        <v>0.117025694786106</v>
      </c>
      <c r="Y66" s="7" t="n">
        <f aca="false">Y62-Y64</f>
        <v>10807.3750991667</v>
      </c>
      <c r="Z66" s="8" t="n">
        <f aca="false">IFERROR(Y66/Y$20,0)</f>
        <v>0.17988124861144</v>
      </c>
      <c r="AB66" s="7" t="n">
        <f aca="false">AB62-AB64</f>
        <v>88148.10119</v>
      </c>
      <c r="AC66" s="8" t="n">
        <f aca="false">IFERROR(AB66/AB$20,0)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Budget'!C69+'LW Budget'!C69</f>
        <v>249</v>
      </c>
      <c r="D69" s="34" t="n">
        <f aca="false">IFERROR(C69/C$20,0)</f>
        <v>0.00336461480350992</v>
      </c>
      <c r="E69" s="24" t="n">
        <f aca="false">'Vessel Budget'!E69+'LW Budget'!E69</f>
        <v>249</v>
      </c>
      <c r="F69" s="34" t="n">
        <f aca="false">IFERROR(E69/E$20,0)</f>
        <v>0.00563776353792168</v>
      </c>
      <c r="G69" s="24" t="n">
        <f aca="false">'Vessel Budget'!G69+'LW Budget'!G69</f>
        <v>249</v>
      </c>
      <c r="H69" s="34" t="n">
        <f aca="false">IFERROR(G69/G$20,0)</f>
        <v>0.00336461480350992</v>
      </c>
      <c r="I69" s="24" t="n">
        <f aca="false">'Vessel Budget'!I69+'LW Budget'!I69</f>
        <v>249</v>
      </c>
      <c r="J69" s="34" t="n">
        <f aca="false">IFERROR(I69/I$20,0)</f>
        <v>0.00563776353792168</v>
      </c>
      <c r="K69" s="24" t="n">
        <f aca="false">'Vessel Budget'!K69+'LW Budget'!K69</f>
        <v>249</v>
      </c>
      <c r="L69" s="34" t="n">
        <f aca="false">IFERROR(K69/K$20,0)</f>
        <v>0.00388703254682209</v>
      </c>
      <c r="M69" s="24" t="n">
        <f aca="false">'Vessel Budget'!M69+'LW Budget'!M69</f>
        <v>249</v>
      </c>
      <c r="N69" s="34" t="n">
        <f aca="false">IFERROR(M69/M$20,0)</f>
        <v>0.00414443197291286</v>
      </c>
      <c r="O69" s="24" t="n">
        <f aca="false">'Vessel Budget'!O69+'LW Budget'!O69</f>
        <v>249</v>
      </c>
      <c r="P69" s="34" t="n">
        <f aca="false">IFERROR(O69/O$20,0)</f>
        <v>0.00414443197291286</v>
      </c>
      <c r="Q69" s="24" t="n">
        <f aca="false">'Vessel Budget'!Q69+'LW Budget'!Q69</f>
        <v>249</v>
      </c>
      <c r="R69" s="34" t="n">
        <f aca="false">IFERROR(Q69/Q$20,0)</f>
        <v>0.00414443197291286</v>
      </c>
      <c r="S69" s="24" t="n">
        <f aca="false">'Vessel Budget'!S69+'LW Budget'!S69</f>
        <v>249</v>
      </c>
      <c r="T69" s="34" t="n">
        <f aca="false">IFERROR(S69/S$20,0)</f>
        <v>0.00414443197291286</v>
      </c>
      <c r="U69" s="24" t="n">
        <f aca="false">'Vessel Budget'!U69+'LW Budget'!U69</f>
        <v>249</v>
      </c>
      <c r="V69" s="34" t="n">
        <f aca="false">IFERROR(U69/U$20,0)</f>
        <v>0.00414443197291286</v>
      </c>
      <c r="W69" s="24" t="n">
        <f aca="false">'Vessel Budget'!W69+'LW Budget'!W69</f>
        <v>249</v>
      </c>
      <c r="X69" s="34" t="n">
        <f aca="false">IFERROR(W69/W$20,0)</f>
        <v>0.00414443197291286</v>
      </c>
      <c r="Y69" s="24" t="n">
        <f aca="false">'Vessel Budget'!Y69+'LW Budget'!Y69</f>
        <v>249</v>
      </c>
      <c r="Z69" s="34" t="n">
        <f aca="false">IFERROR(Y69/Y$20,0)</f>
        <v>0.00414443197291286</v>
      </c>
      <c r="AB69" s="24" t="n">
        <f aca="false">SUM(C69,E69,G69,I69,K69,M69,O69,Q69,S69,U69,W69,Y69)</f>
        <v>2988</v>
      </c>
      <c r="AC69" s="34" t="n">
        <f aca="false">IFERROR(AB69/AB$20,0)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10246.7272991667</v>
      </c>
      <c r="D70" s="37" t="n">
        <f aca="false">IFERROR(C70/C$20,0)</f>
        <v>0.138458997422913</v>
      </c>
      <c r="E70" s="36" t="n">
        <f aca="false">E66-E68-E69</f>
        <v>2822.25829916667</v>
      </c>
      <c r="F70" s="37" t="n">
        <f aca="false">IFERROR(E70/E$20,0)</f>
        <v>0.0639005017415208</v>
      </c>
      <c r="G70" s="36" t="n">
        <f aca="false">G66-G68-G69</f>
        <v>10246.7272991667</v>
      </c>
      <c r="H70" s="37" t="n">
        <f aca="false">IFERROR(G70/G$20,0)</f>
        <v>0.138458997422913</v>
      </c>
      <c r="I70" s="36" t="n">
        <f aca="false">I66-I68-I69</f>
        <v>2822.25829916667</v>
      </c>
      <c r="J70" s="37" t="n">
        <f aca="false">IFERROR(I70/I$20,0)</f>
        <v>0.0639005017415208</v>
      </c>
      <c r="K70" s="36" t="n">
        <f aca="false">K66-K68-K69</f>
        <v>7771.90429916667</v>
      </c>
      <c r="L70" s="37" t="n">
        <f aca="false">IFERROR(K70/K$20,0)</f>
        <v>0.121323875347981</v>
      </c>
      <c r="M70" s="36" t="n">
        <f aca="false">M66-M68-M69</f>
        <v>6781.97509916667</v>
      </c>
      <c r="N70" s="37" t="n">
        <f aca="false">IFERROR(M70/M$20,0)</f>
        <v>0.112881262813194</v>
      </c>
      <c r="O70" s="36" t="n">
        <f aca="false">O66-O68-O69</f>
        <v>6781.97509916667</v>
      </c>
      <c r="P70" s="37" t="n">
        <f aca="false">IFERROR(O70/O$20,0)</f>
        <v>0.112881262813194</v>
      </c>
      <c r="Q70" s="36" t="n">
        <f aca="false">Q66-Q68-Q69</f>
        <v>6781.97509916667</v>
      </c>
      <c r="R70" s="37" t="n">
        <f aca="false">IFERROR(Q70/Q$20,0)</f>
        <v>0.112881262813194</v>
      </c>
      <c r="S70" s="36" t="n">
        <f aca="false">S66-S68-S69</f>
        <v>6781.97509916667</v>
      </c>
      <c r="T70" s="37" t="n">
        <f aca="false">IFERROR(S70/S$20,0)</f>
        <v>0.112881262813194</v>
      </c>
      <c r="U70" s="36" t="n">
        <f aca="false">U66-U68-U69</f>
        <v>6781.97509916667</v>
      </c>
      <c r="V70" s="37" t="n">
        <f aca="false">IFERROR(U70/U$20,0)</f>
        <v>0.112881262813194</v>
      </c>
      <c r="W70" s="36" t="n">
        <f aca="false">W66-W68-W69</f>
        <v>6781.97509916667</v>
      </c>
      <c r="X70" s="37" t="n">
        <f aca="false">IFERROR(W70/W$20,0)</f>
        <v>0.112881262813194</v>
      </c>
      <c r="Y70" s="36" t="n">
        <f aca="false">Y66-Y68-Y69</f>
        <v>10558.3750991667</v>
      </c>
      <c r="Z70" s="37" t="n">
        <f aca="false">IFERROR(Y70/Y$20,0)</f>
        <v>0.175736816638527</v>
      </c>
      <c r="AB70" s="36" t="n">
        <f aca="false">AB66-AB68-AB69</f>
        <v>85160.10119</v>
      </c>
      <c r="AC70" s="37" t="n">
        <f aca="false">IFERROR(AB70/AB$20,0)</f>
        <v>0.118119225631971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254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$3,720 F&amp;B min  ·  71%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255</v>
      </c>
      <c r="C5" s="43" t="s">
        <v>256</v>
      </c>
      <c r="D5" s="43" t="s">
        <v>257</v>
      </c>
      <c r="F5" s="42" t="s">
        <v>258</v>
      </c>
    </row>
    <row r="6" customFormat="false" ht="15" hidden="false" customHeight="true" outlineLevel="0" collapsed="false">
      <c r="B6" s="44" t="s">
        <v>259</v>
      </c>
      <c r="C6" s="45" t="n">
        <f aca="false">'Vessel Budget'!$AB$20</f>
        <v>350111.52</v>
      </c>
      <c r="D6" s="46" t="n">
        <f aca="false">C6/C6</f>
        <v>1</v>
      </c>
      <c r="F6" s="47" t="s">
        <v>260</v>
      </c>
      <c r="G6" s="48" t="n">
        <f aca="false">'Vessel Budget'!$AB$62/'Vessel Budget'!$AB$20</f>
        <v>0.248817204301075</v>
      </c>
    </row>
    <row r="7" customFormat="false" ht="15" hidden="false" customHeight="true" outlineLevel="0" collapsed="false">
      <c r="B7" s="49" t="s">
        <v>139</v>
      </c>
      <c r="C7" s="50" t="n">
        <f aca="false">'Vessel Budget'!$AB$29</f>
        <v>136279.968</v>
      </c>
      <c r="D7" s="51" t="n">
        <f aca="false">C7/C6</f>
        <v>0.389247311827957</v>
      </c>
      <c r="F7" s="47" t="s">
        <v>19</v>
      </c>
      <c r="G7" s="48" t="n">
        <f aca="false">'Vessel Budget'!$AB$40/'Vessel Budget'!$AB$20</f>
        <v>0.56258064516129</v>
      </c>
    </row>
    <row r="8" customFormat="false" ht="15" hidden="false" customHeight="true" outlineLevel="0" collapsed="false">
      <c r="B8" s="44" t="s">
        <v>261</v>
      </c>
      <c r="C8" s="45" t="n">
        <f aca="false">'Vessel Budget'!$AB$30</f>
        <v>213831.552</v>
      </c>
      <c r="D8" s="46" t="n">
        <f aca="false">C8/C6</f>
        <v>0.610752688172043</v>
      </c>
      <c r="F8" s="47" t="s">
        <v>262</v>
      </c>
      <c r="G8" s="48" t="n">
        <f aca="false">'Vessel Budget'!$AB$29/'Vessel Budget'!$AB$20</f>
        <v>0.389247311827957</v>
      </c>
    </row>
    <row r="9" customFormat="false" ht="15" hidden="false" customHeight="true" outlineLevel="0" collapsed="false">
      <c r="B9" s="49" t="s">
        <v>263</v>
      </c>
      <c r="C9" s="50" t="n">
        <f aca="false">'Vessel Budget'!$AB$38</f>
        <v>60685.9968</v>
      </c>
      <c r="D9" s="51" t="n">
        <f aca="false">C9/C6</f>
        <v>0.173333333333333</v>
      </c>
      <c r="F9" s="47" t="s">
        <v>264</v>
      </c>
      <c r="G9" s="52" t="n">
        <f aca="false">'Vessel Budget'!$AB$9</f>
        <v>75.2928</v>
      </c>
    </row>
    <row r="10" customFormat="false" ht="15" hidden="false" customHeight="true" outlineLevel="0" collapsed="false">
      <c r="B10" s="44" t="s">
        <v>265</v>
      </c>
      <c r="C10" s="45" t="n">
        <f aca="false">'Vessel Budget'!$AB$40</f>
        <v>196965.9648</v>
      </c>
      <c r="D10" s="46" t="n">
        <f aca="false">C10/C6</f>
        <v>0.56258064516129</v>
      </c>
      <c r="F10" s="47" t="s">
        <v>266</v>
      </c>
      <c r="G10" s="53" t="n">
        <f aca="false">SUM('Vessel Budget'!$AB$12:$AB$16)/'Vessel Budget'!$AB$9</f>
        <v>3720</v>
      </c>
    </row>
    <row r="11" customFormat="false" ht="15" hidden="false" customHeight="true" outlineLevel="0" collapsed="false">
      <c r="B11" s="49" t="s">
        <v>267</v>
      </c>
      <c r="C11" s="54" t="n">
        <f aca="false">'Vessel Budget'!$AB$50-'Vessel Budget'!$AB$49</f>
        <v>43293.36</v>
      </c>
      <c r="D11" s="51" t="n">
        <f aca="false">C11/C6</f>
        <v>0.123655913978495</v>
      </c>
      <c r="F11" s="47" t="s">
        <v>268</v>
      </c>
      <c r="G11" s="53" t="n">
        <f aca="false">'Vessel Budget'!$AB$20/'Vessel Budget'!$AB$9</f>
        <v>4650</v>
      </c>
    </row>
    <row r="12" customFormat="false" ht="15" hidden="false" customHeight="true" outlineLevel="0" collapsed="false">
      <c r="B12" s="49" t="s">
        <v>269</v>
      </c>
      <c r="C12" s="54" t="n">
        <f aca="false">'Vessel Budget'!$AB$49</f>
        <v>0</v>
      </c>
      <c r="D12" s="51" t="n">
        <f aca="false">C12/C6</f>
        <v>0</v>
      </c>
    </row>
    <row r="13" customFormat="false" ht="15" hidden="false" customHeight="true" outlineLevel="0" collapsed="false">
      <c r="B13" s="49" t="s">
        <v>270</v>
      </c>
      <c r="C13" s="54" t="n">
        <f aca="false">'Vessel Budget'!$AB$60-'Vessel Budget'!$AB$54-'Vessel Budget'!$AB$56-'Vessel Budget'!$AB$57</f>
        <v>8733.9648</v>
      </c>
      <c r="D13" s="51" t="n">
        <f aca="false">C13/C6</f>
        <v>0.0249462365591398</v>
      </c>
    </row>
    <row r="14" customFormat="false" ht="15" hidden="false" customHeight="true" outlineLevel="0" collapsed="false">
      <c r="B14" s="55" t="s">
        <v>271</v>
      </c>
      <c r="C14" s="56" t="n">
        <f aca="false">'Vessel Budget'!$AB$56</f>
        <v>14004.4608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272</v>
      </c>
      <c r="C15" s="15" t="n">
        <f aca="false">SUM('Vessel Budget'!$AB$12:$AB$16)*'Vessel Assumptions'!$C$32</f>
        <v>14004.4608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273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274</v>
      </c>
      <c r="C17" s="59" t="n">
        <f aca="false">'Vessel Budget'!$AB$62</f>
        <v>87113.7696</v>
      </c>
      <c r="D17" s="46" t="n">
        <f aca="false">C17/C6</f>
        <v>0.248817204301075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275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276</v>
      </c>
      <c r="C2" s="40"/>
      <c r="D2" s="40"/>
    </row>
    <row r="3" customFormat="false" ht="15" hidden="false" customHeight="true" outlineLevel="0" collapsed="false">
      <c r="B3" s="41" t="s">
        <v>277</v>
      </c>
      <c r="C3" s="41"/>
      <c r="D3" s="41"/>
    </row>
    <row r="5" customFormat="false" ht="19.5" hidden="false" customHeight="true" outlineLevel="0" collapsed="false">
      <c r="B5" s="61" t="s">
        <v>278</v>
      </c>
      <c r="C5" s="61"/>
      <c r="D5" s="61"/>
    </row>
    <row r="6" customFormat="false" ht="15" hidden="false" customHeight="true" outlineLevel="0" collapsed="false">
      <c r="B6" s="47" t="s">
        <v>279</v>
      </c>
      <c r="C6" s="62" t="n">
        <v>3720</v>
      </c>
      <c r="D6" s="63" t="s">
        <v>280</v>
      </c>
    </row>
    <row r="7" customFormat="false" ht="15" hidden="false" customHeight="true" outlineLevel="0" collapsed="false">
      <c r="B7" s="47" t="s">
        <v>281</v>
      </c>
      <c r="C7" s="64" t="n">
        <v>0.713</v>
      </c>
      <c r="D7" s="63" t="s">
        <v>282</v>
      </c>
    </row>
    <row r="8" customFormat="false" ht="15" hidden="false" customHeight="true" outlineLevel="0" collapsed="false">
      <c r="B8" s="47" t="s">
        <v>283</v>
      </c>
      <c r="C8" s="64" t="n">
        <f aca="false">2880/3720</f>
        <v>0.774193548387097</v>
      </c>
      <c r="D8" s="63" t="s">
        <v>284</v>
      </c>
    </row>
    <row r="9" customFormat="false" ht="15" hidden="false" customHeight="true" outlineLevel="0" collapsed="false">
      <c r="B9" s="47" t="s">
        <v>285</v>
      </c>
      <c r="C9" s="64" t="n">
        <v>0.2</v>
      </c>
      <c r="D9" s="63" t="s">
        <v>286</v>
      </c>
    </row>
    <row r="11" customFormat="false" ht="19.5" hidden="false" customHeight="true" outlineLevel="0" collapsed="false">
      <c r="B11" s="61" t="s">
        <v>287</v>
      </c>
      <c r="C11" s="61"/>
      <c r="D11" s="61"/>
    </row>
    <row r="12" customFormat="false" ht="15" hidden="false" customHeight="true" outlineLevel="0" collapsed="false">
      <c r="B12" s="47" t="s">
        <v>288</v>
      </c>
      <c r="C12" s="64" t="n">
        <f aca="false">1600/2880</f>
        <v>0.555555555555556</v>
      </c>
      <c r="D12" s="63" t="s">
        <v>289</v>
      </c>
    </row>
    <row r="13" customFormat="false" ht="15" hidden="false" customHeight="true" outlineLevel="0" collapsed="false">
      <c r="B13" s="47" t="s">
        <v>290</v>
      </c>
      <c r="C13" s="64" t="n">
        <v>0.25</v>
      </c>
      <c r="D13" s="63" t="str">
        <f aca="false">TEXT(1-$C$13,"0%")&amp;" margin"</f>
        <v>75% margin</v>
      </c>
    </row>
    <row r="15" customFormat="false" ht="19.5" hidden="false" customHeight="true" outlineLevel="0" collapsed="false">
      <c r="B15" s="61" t="s">
        <v>291</v>
      </c>
      <c r="C15" s="61"/>
      <c r="D15" s="61"/>
    </row>
    <row r="16" customFormat="false" ht="15" hidden="false" customHeight="true" outlineLevel="0" collapsed="false">
      <c r="B16" s="47" t="s">
        <v>292</v>
      </c>
      <c r="C16" s="65" t="n">
        <v>1</v>
      </c>
    </row>
    <row r="17" customFormat="false" ht="15" hidden="false" customHeight="true" outlineLevel="0" collapsed="false">
      <c r="B17" s="47" t="s">
        <v>293</v>
      </c>
      <c r="C17" s="65" t="n">
        <v>2</v>
      </c>
    </row>
    <row r="18" customFormat="false" ht="15" hidden="false" customHeight="true" outlineLevel="0" collapsed="false">
      <c r="B18" s="47" t="s">
        <v>294</v>
      </c>
      <c r="C18" s="62" t="n">
        <v>35</v>
      </c>
    </row>
    <row r="19" customFormat="false" ht="15" hidden="false" customHeight="true" outlineLevel="0" collapsed="false">
      <c r="B19" s="47" t="s">
        <v>295</v>
      </c>
      <c r="C19" s="65" t="n">
        <v>5</v>
      </c>
    </row>
    <row r="20" customFormat="false" ht="15" hidden="false" customHeight="true" outlineLevel="0" collapsed="false">
      <c r="B20" s="66" t="s">
        <v>296</v>
      </c>
      <c r="C20" s="67" t="n">
        <f aca="false">(C16+C17)*C18*C19</f>
        <v>525</v>
      </c>
    </row>
    <row r="21" customFormat="false" ht="15" hidden="false" customHeight="true" outlineLevel="0" collapsed="false">
      <c r="B21" s="47" t="s">
        <v>297</v>
      </c>
      <c r="C21" s="67" t="n">
        <f aca="false">'Vessel GL Basis'!D8</f>
        <v>1435.83333333333</v>
      </c>
      <c r="D21" s="63" t="s">
        <v>298</v>
      </c>
    </row>
    <row r="22" customFormat="false" ht="15" hidden="false" customHeight="true" outlineLevel="0" collapsed="false">
      <c r="B22" s="47" t="s">
        <v>299</v>
      </c>
      <c r="C22" s="64" t="n">
        <f aca="false">114/692</f>
        <v>0.164739884393064</v>
      </c>
      <c r="D22" s="63" t="s">
        <v>300</v>
      </c>
    </row>
    <row r="24" customFormat="false" ht="19.5" hidden="false" customHeight="true" outlineLevel="0" collapsed="false">
      <c r="B24" s="61" t="s">
        <v>301</v>
      </c>
      <c r="C24" s="61"/>
      <c r="D24" s="61"/>
    </row>
    <row r="25" customFormat="false" ht="15" hidden="false" customHeight="true" outlineLevel="0" collapsed="false">
      <c r="B25" s="47" t="s">
        <v>302</v>
      </c>
      <c r="C25" s="67" t="n">
        <f aca="false">'Vessel GL Basis'!D18</f>
        <v>6718.66666666667</v>
      </c>
      <c r="D25" s="63" t="s">
        <v>298</v>
      </c>
    </row>
    <row r="26" customFormat="false" ht="15" hidden="false" customHeight="true" outlineLevel="0" collapsed="false">
      <c r="B26" s="47" t="s">
        <v>303</v>
      </c>
      <c r="C26" s="67" t="n">
        <f aca="false">'Vessel GL Basis'!D24</f>
        <v>1045.41666666667</v>
      </c>
      <c r="D26" s="63" t="s">
        <v>298</v>
      </c>
    </row>
    <row r="27" customFormat="false" ht="15" hidden="false" customHeight="true" outlineLevel="0" collapsed="false">
      <c r="B27" s="47" t="s">
        <v>304</v>
      </c>
      <c r="C27" s="64" t="n">
        <v>0.025</v>
      </c>
      <c r="D27" s="63" t="s">
        <v>305</v>
      </c>
    </row>
    <row r="29" customFormat="false" ht="19.5" hidden="false" customHeight="true" outlineLevel="0" collapsed="false">
      <c r="B29" s="61" t="s">
        <v>306</v>
      </c>
      <c r="C29" s="61"/>
      <c r="D29" s="61"/>
    </row>
    <row r="30" customFormat="false" ht="15" hidden="false" customHeight="true" outlineLevel="0" collapsed="false">
      <c r="B30" s="47" t="s">
        <v>307</v>
      </c>
      <c r="C30" s="68" t="n">
        <v>0.04</v>
      </c>
      <c r="D30" s="63" t="s">
        <v>308</v>
      </c>
    </row>
    <row r="31" customFormat="false" ht="15" hidden="false" customHeight="true" outlineLevel="0" collapsed="false">
      <c r="B31" s="66" t="s">
        <v>309</v>
      </c>
      <c r="C31" s="69" t="n">
        <v>0</v>
      </c>
      <c r="D31" s="1" t="s">
        <v>310</v>
      </c>
    </row>
    <row r="32" customFormat="false" ht="15" hidden="false" customHeight="true" outlineLevel="0" collapsed="false">
      <c r="B32" s="1" t="s">
        <v>311</v>
      </c>
      <c r="C32" s="70" t="n">
        <v>0.05</v>
      </c>
      <c r="D32" s="1" t="s">
        <v>312</v>
      </c>
    </row>
    <row r="34" customFormat="false" ht="15" hidden="false" customHeight="true" outlineLevel="0" collapsed="false">
      <c r="B34" s="47" t="s">
        <v>313</v>
      </c>
      <c r="C34" s="68" t="n">
        <v>0.03</v>
      </c>
      <c r="D34" s="63" t="s">
        <v>314</v>
      </c>
    </row>
    <row r="35" customFormat="false" ht="15" hidden="false" customHeight="true" outlineLevel="0" collapsed="false">
      <c r="B35" s="47" t="s">
        <v>315</v>
      </c>
      <c r="C35" s="68" t="n">
        <v>0.04</v>
      </c>
      <c r="D35" s="63" t="s">
        <v>316</v>
      </c>
    </row>
    <row r="36" customFormat="false" ht="15" hidden="false" customHeight="true" outlineLevel="0" collapsed="false">
      <c r="B36" s="47" t="s">
        <v>317</v>
      </c>
      <c r="C36" s="71" t="n">
        <v>55</v>
      </c>
      <c r="D36" s="63" t="s">
        <v>318</v>
      </c>
    </row>
    <row r="37" customFormat="false" ht="15" hidden="false" customHeight="true" outlineLevel="0" collapsed="false">
      <c r="B37" s="47" t="s">
        <v>319</v>
      </c>
      <c r="C37" s="71" t="n">
        <v>112</v>
      </c>
      <c r="D37" s="63" t="s">
        <v>318</v>
      </c>
    </row>
    <row r="38" customFormat="false" ht="15" hidden="false" customHeight="true" outlineLevel="0" collapsed="false">
      <c r="B38" s="47" t="s">
        <v>320</v>
      </c>
      <c r="C38" s="72" t="n">
        <f aca="false">575/4650</f>
        <v>0.123655913978495</v>
      </c>
      <c r="D38" s="63" t="s">
        <v>321</v>
      </c>
    </row>
    <row r="39" customFormat="false" ht="15" hidden="false" customHeight="true" outlineLevel="0" collapsed="false">
      <c r="B39" s="47" t="s">
        <v>322</v>
      </c>
      <c r="C39" s="72" t="n">
        <f aca="false">116/4650</f>
        <v>0.0249462365591398</v>
      </c>
      <c r="D39" s="63" t="s">
        <v>323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324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325</v>
      </c>
      <c r="C8" s="73" t="n">
        <v>13</v>
      </c>
      <c r="E8" s="73" t="n">
        <v>4</v>
      </c>
      <c r="G8" s="73" t="n">
        <v>13</v>
      </c>
      <c r="I8" s="73" t="n">
        <v>4</v>
      </c>
      <c r="K8" s="73" t="n">
        <v>10</v>
      </c>
      <c r="M8" s="74" t="n">
        <f aca="false">AVERAGE($C$8,$E$8,$G$8,$I$8,$K$8)</f>
        <v>8.8</v>
      </c>
      <c r="O8" s="74" t="n">
        <f aca="false">AVERAGE($C$8,$E$8,$G$8,$I$8,$K$8)</f>
        <v>8.8</v>
      </c>
      <c r="Q8" s="74" t="n">
        <f aca="false">AVERAGE($C$8,$E$8,$G$8,$I$8,$K$8)</f>
        <v>8.8</v>
      </c>
      <c r="S8" s="74" t="n">
        <f aca="false">AVERAGE($C$8,$E$8,$G$8,$I$8,$K$8)</f>
        <v>8.8</v>
      </c>
      <c r="U8" s="74" t="n">
        <f aca="false">AVERAGE($C$8,$E$8,$G$8,$I$8,$K$8)</f>
        <v>8.8</v>
      </c>
      <c r="W8" s="74" t="n">
        <f aca="false">AVERAGE($C$8,$E$8,$G$8,$I$8,$K$8)</f>
        <v>8.8</v>
      </c>
      <c r="Y8" s="74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326</v>
      </c>
      <c r="C9" s="74" t="n">
        <f aca="false">C8*'Vessel Assumptions'!$C$7</f>
        <v>9.269</v>
      </c>
      <c r="E9" s="74" t="n">
        <f aca="false">E8*'Vessel Assumptions'!$C$7</f>
        <v>2.852</v>
      </c>
      <c r="G9" s="74" t="n">
        <f aca="false">G8*'Vessel Assumptions'!$C$7</f>
        <v>9.269</v>
      </c>
      <c r="I9" s="74" t="n">
        <f aca="false">I8*'Vessel Assumptions'!$C$7</f>
        <v>2.852</v>
      </c>
      <c r="K9" s="74" t="n">
        <f aca="false">K8*'Vessel Assumptions'!$C$7</f>
        <v>7.13</v>
      </c>
      <c r="M9" s="74" t="n">
        <f aca="false">M8*'Vessel Assumptions'!$C$7</f>
        <v>6.2744</v>
      </c>
      <c r="O9" s="74" t="n">
        <f aca="false">O8*'Vessel Assumptions'!$C$7</f>
        <v>6.2744</v>
      </c>
      <c r="Q9" s="74" t="n">
        <f aca="false">Q8*'Vessel Assumptions'!$C$7</f>
        <v>6.2744</v>
      </c>
      <c r="S9" s="74" t="n">
        <f aca="false">S8*'Vessel Assumptions'!$C$7</f>
        <v>6.2744</v>
      </c>
      <c r="U9" s="74" t="n">
        <f aca="false">U8*'Vessel Assumptions'!$C$7</f>
        <v>6.2744</v>
      </c>
      <c r="W9" s="74" t="n">
        <f aca="false">W8*'Vessel Assumptions'!$C$7</f>
        <v>6.2744</v>
      </c>
      <c r="Y9" s="74" t="n">
        <f aca="false">Y8*'Vessel Assumptions'!$C$7</f>
        <v>6.2744</v>
      </c>
      <c r="AB9" s="74" t="n">
        <f aca="false">SUM(C9,E9,G9,I9,K9,M9,O9,Q9,S9,U9,W9,Y9)</f>
        <v>75.2928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C9*'Vessel Assumptions'!$C$6*'Vessel Assumptions'!$C$8</f>
        <v>26694.72</v>
      </c>
      <c r="D12" s="34" t="n">
        <f aca="false">IFERROR(C12/C$20,0)</f>
        <v>0.619354838709677</v>
      </c>
      <c r="E12" s="24" t="n">
        <f aca="false">E9*'Vessel Assumptions'!$C$6*'Vessel Assumptions'!$C$8</f>
        <v>8213.76</v>
      </c>
      <c r="F12" s="34" t="n">
        <f aca="false">IFERROR(E12/E$20,0)</f>
        <v>0.619354838709677</v>
      </c>
      <c r="G12" s="24" t="n">
        <f aca="false">G9*'Vessel Assumptions'!$C$6*'Vessel Assumptions'!$C$8</f>
        <v>26694.72</v>
      </c>
      <c r="H12" s="34" t="n">
        <f aca="false">IFERROR(G12/G$20,0)</f>
        <v>0.619354838709677</v>
      </c>
      <c r="I12" s="24" t="n">
        <f aca="false">I9*'Vessel Assumptions'!$C$6*'Vessel Assumptions'!$C$8</f>
        <v>8213.76</v>
      </c>
      <c r="J12" s="34" t="n">
        <f aca="false">IFERROR(I12/I$20,0)</f>
        <v>0.619354838709677</v>
      </c>
      <c r="K12" s="24" t="n">
        <f aca="false">K9*'Vessel Assumptions'!$C$6*'Vessel Assumptions'!$C$8</f>
        <v>20534.4</v>
      </c>
      <c r="L12" s="34" t="n">
        <f aca="false">IFERROR(K12/K$20,0)</f>
        <v>0.619354838709677</v>
      </c>
      <c r="M12" s="24" t="n">
        <f aca="false">M9*'Vessel Assumptions'!$C$6*'Vessel Assumptions'!$C$8</f>
        <v>18070.272</v>
      </c>
      <c r="N12" s="34" t="n">
        <f aca="false">IFERROR(M12/M$20,0)</f>
        <v>0.619354838709677</v>
      </c>
      <c r="O12" s="24" t="n">
        <f aca="false">O9*'Vessel Assumptions'!$C$6*'Vessel Assumptions'!$C$8</f>
        <v>18070.272</v>
      </c>
      <c r="P12" s="34" t="n">
        <f aca="false">IFERROR(O12/O$20,0)</f>
        <v>0.619354838709677</v>
      </c>
      <c r="Q12" s="24" t="n">
        <f aca="false">Q9*'Vessel Assumptions'!$C$6*'Vessel Assumptions'!$C$8</f>
        <v>18070.272</v>
      </c>
      <c r="R12" s="34" t="n">
        <f aca="false">IFERROR(Q12/Q$20,0)</f>
        <v>0.619354838709677</v>
      </c>
      <c r="S12" s="24" t="n">
        <f aca="false">S9*'Vessel Assumptions'!$C$6*'Vessel Assumptions'!$C$8</f>
        <v>18070.272</v>
      </c>
      <c r="T12" s="34" t="n">
        <f aca="false">IFERROR(S12/S$20,0)</f>
        <v>0.619354838709677</v>
      </c>
      <c r="U12" s="24" t="n">
        <f aca="false">U9*'Vessel Assumptions'!$C$6*'Vessel Assumptions'!$C$8</f>
        <v>18070.272</v>
      </c>
      <c r="V12" s="34" t="n">
        <f aca="false">IFERROR(U12/U$20,0)</f>
        <v>0.619354838709677</v>
      </c>
      <c r="W12" s="24" t="n">
        <f aca="false">W9*'Vessel Assumptions'!$C$6*'Vessel Assumptions'!$C$8</f>
        <v>18070.272</v>
      </c>
      <c r="X12" s="34" t="n">
        <f aca="false">IFERROR(W12/W$20,0)</f>
        <v>0.619354838709677</v>
      </c>
      <c r="Y12" s="24" t="n">
        <f aca="false">Y9*'Vessel Assumptions'!$C$6*'Vessel Assumptions'!$C$8</f>
        <v>18070.272</v>
      </c>
      <c r="Z12" s="34" t="n">
        <f aca="false">IFERROR(Y12/Y$20,0)</f>
        <v>0.619354838709677</v>
      </c>
      <c r="AB12" s="24" t="n">
        <f aca="false">SUM(C12,E12,G12,I12,K12,M12,O12,Q12,S12,U12,W12,Y12)</f>
        <v>216843.264</v>
      </c>
      <c r="AC12" s="34" t="n">
        <f aca="false">IFERROR(AB12/AB$20,0)</f>
        <v>0.619354838709677</v>
      </c>
    </row>
    <row r="13" customFormat="false" ht="15" hidden="false" customHeight="true" outlineLevel="0" collapsed="false">
      <c r="A13" s="5" t="s">
        <v>180</v>
      </c>
      <c r="C13" s="24" t="n">
        <f aca="false">(C9*'Vessel Assumptions'!$C$6*(1-'Vessel Assumptions'!$C$8))*'Vessel 2026 P&amp;L'!$AB$10/SUM('Vessel 2026 P&amp;L'!$AB$10:$AB$13)</f>
        <v>2612.89340913206</v>
      </c>
      <c r="D13" s="34" t="n">
        <f aca="false">IFERROR(C13/C$20,0)</f>
        <v>0.0606227814331285</v>
      </c>
      <c r="E13" s="24" t="n">
        <f aca="false">(E9*'Vessel Assumptions'!$C$6*(1-'Vessel Assumptions'!$C$8))*'Vessel 2026 P&amp;L'!$AB$10/SUM('Vessel 2026 P&amp;L'!$AB$10:$AB$13)</f>
        <v>803.967202809864</v>
      </c>
      <c r="F13" s="34" t="n">
        <f aca="false">IFERROR(E13/E$20,0)</f>
        <v>0.0606227814331285</v>
      </c>
      <c r="G13" s="24" t="n">
        <f aca="false">(G9*'Vessel Assumptions'!$C$6*(1-'Vessel Assumptions'!$C$8))*'Vessel 2026 P&amp;L'!$AB$10/SUM('Vessel 2026 P&amp;L'!$AB$10:$AB$13)</f>
        <v>2612.89340913206</v>
      </c>
      <c r="H13" s="34" t="n">
        <f aca="false">IFERROR(G13/G$20,0)</f>
        <v>0.0606227814331285</v>
      </c>
      <c r="I13" s="24" t="n">
        <f aca="false">(I9*'Vessel Assumptions'!$C$6*(1-'Vessel Assumptions'!$C$8))*'Vessel 2026 P&amp;L'!$AB$10/SUM('Vessel 2026 P&amp;L'!$AB$10:$AB$13)</f>
        <v>803.967202809864</v>
      </c>
      <c r="J13" s="34" t="n">
        <f aca="false">IFERROR(I13/I$20,0)</f>
        <v>0.0606227814331285</v>
      </c>
      <c r="K13" s="24" t="n">
        <f aca="false">(K9*'Vessel Assumptions'!$C$6*(1-'Vessel Assumptions'!$C$8))*'Vessel 2026 P&amp;L'!$AB$10/SUM('Vessel 2026 P&amp;L'!$AB$10:$AB$13)</f>
        <v>2009.91800702466</v>
      </c>
      <c r="L13" s="34" t="n">
        <f aca="false">IFERROR(K13/K$20,0)</f>
        <v>0.0606227814331285</v>
      </c>
      <c r="M13" s="24" t="n">
        <f aca="false">(M9*'Vessel Assumptions'!$C$6*(1-'Vessel Assumptions'!$C$8))*'Vessel 2026 P&amp;L'!$AB$10/SUM('Vessel 2026 P&amp;L'!$AB$10:$AB$13)</f>
        <v>1768.7278461817</v>
      </c>
      <c r="N13" s="34" t="n">
        <f aca="false">IFERROR(M13/M$20,0)</f>
        <v>0.0606227814331285</v>
      </c>
      <c r="O13" s="24" t="n">
        <f aca="false">(O9*'Vessel Assumptions'!$C$6*(1-'Vessel Assumptions'!$C$8))*'Vessel 2026 P&amp;L'!$AB$10/SUM('Vessel 2026 P&amp;L'!$AB$10:$AB$13)</f>
        <v>1768.7278461817</v>
      </c>
      <c r="P13" s="34" t="n">
        <f aca="false">IFERROR(O13/O$20,0)</f>
        <v>0.0606227814331285</v>
      </c>
      <c r="Q13" s="24" t="n">
        <f aca="false">(Q9*'Vessel Assumptions'!$C$6*(1-'Vessel Assumptions'!$C$8))*'Vessel 2026 P&amp;L'!$AB$10/SUM('Vessel 2026 P&amp;L'!$AB$10:$AB$13)</f>
        <v>1768.7278461817</v>
      </c>
      <c r="R13" s="34" t="n">
        <f aca="false">IFERROR(Q13/Q$20,0)</f>
        <v>0.0606227814331285</v>
      </c>
      <c r="S13" s="24" t="n">
        <f aca="false">(S9*'Vessel Assumptions'!$C$6*(1-'Vessel Assumptions'!$C$8))*'Vessel 2026 P&amp;L'!$AB$10/SUM('Vessel 2026 P&amp;L'!$AB$10:$AB$13)</f>
        <v>1768.7278461817</v>
      </c>
      <c r="T13" s="34" t="n">
        <f aca="false">IFERROR(S13/S$20,0)</f>
        <v>0.0606227814331285</v>
      </c>
      <c r="U13" s="24" t="n">
        <f aca="false">(U9*'Vessel Assumptions'!$C$6*(1-'Vessel Assumptions'!$C$8))*'Vessel 2026 P&amp;L'!$AB$10/SUM('Vessel 2026 P&amp;L'!$AB$10:$AB$13)</f>
        <v>1768.7278461817</v>
      </c>
      <c r="V13" s="34" t="n">
        <f aca="false">IFERROR(U13/U$20,0)</f>
        <v>0.0606227814331285</v>
      </c>
      <c r="W13" s="24" t="n">
        <f aca="false">(W9*'Vessel Assumptions'!$C$6*(1-'Vessel Assumptions'!$C$8))*'Vessel 2026 P&amp;L'!$AB$10/SUM('Vessel 2026 P&amp;L'!$AB$10:$AB$13)</f>
        <v>1768.7278461817</v>
      </c>
      <c r="X13" s="34" t="n">
        <f aca="false">IFERROR(W13/W$20,0)</f>
        <v>0.0606227814331285</v>
      </c>
      <c r="Y13" s="24" t="n">
        <f aca="false">(Y9*'Vessel Assumptions'!$C$6*(1-'Vessel Assumptions'!$C$8))*'Vessel 2026 P&amp;L'!$AB$10/SUM('Vessel 2026 P&amp;L'!$AB$10:$AB$13)</f>
        <v>1768.7278461817</v>
      </c>
      <c r="Z13" s="34" t="n">
        <f aca="false">IFERROR(Y13/Y$20,0)</f>
        <v>0.0606227814331285</v>
      </c>
      <c r="AB13" s="24" t="n">
        <f aca="false">SUM(C13,E13,G13,I13,K13,M13,O13,Q13,S13,U13,W13,Y13)</f>
        <v>21224.7341541804</v>
      </c>
      <c r="AC13" s="34" t="n">
        <f aca="false">IFERROR(AB13/AB$20,0)</f>
        <v>0.0606227814331285</v>
      </c>
    </row>
    <row r="14" customFormat="false" ht="15" hidden="false" customHeight="true" outlineLevel="0" collapsed="false">
      <c r="A14" s="5" t="s">
        <v>181</v>
      </c>
      <c r="C14" s="24" t="n">
        <f aca="false">(C9*'Vessel Assumptions'!$C$6*(1-'Vessel Assumptions'!$C$8))*'Vessel 2026 P&amp;L'!$AB$11/SUM('Vessel 2026 P&amp;L'!$AB$10:$AB$13)</f>
        <v>4394.57396386284</v>
      </c>
      <c r="D14" s="34" t="n">
        <f aca="false">IFERROR(C14/C$20,0)</f>
        <v>0.101960262126219</v>
      </c>
      <c r="E14" s="24" t="n">
        <f aca="false">(E9*'Vessel Assumptions'!$C$6*(1-'Vessel Assumptions'!$C$8))*'Vessel 2026 P&amp;L'!$AB$11/SUM('Vessel 2026 P&amp;L'!$AB$10:$AB$13)</f>
        <v>1352.17660426549</v>
      </c>
      <c r="F14" s="34" t="n">
        <f aca="false">IFERROR(E14/E$20,0)</f>
        <v>0.101960262126219</v>
      </c>
      <c r="G14" s="24" t="n">
        <f aca="false">(G9*'Vessel Assumptions'!$C$6*(1-'Vessel Assumptions'!$C$8))*'Vessel 2026 P&amp;L'!$AB$11/SUM('Vessel 2026 P&amp;L'!$AB$10:$AB$13)</f>
        <v>4394.57396386284</v>
      </c>
      <c r="H14" s="34" t="n">
        <f aca="false">IFERROR(G14/G$20,0)</f>
        <v>0.101960262126219</v>
      </c>
      <c r="I14" s="24" t="n">
        <f aca="false">(I9*'Vessel Assumptions'!$C$6*(1-'Vessel Assumptions'!$C$8))*'Vessel 2026 P&amp;L'!$AB$11/SUM('Vessel 2026 P&amp;L'!$AB$10:$AB$13)</f>
        <v>1352.17660426549</v>
      </c>
      <c r="J14" s="34" t="n">
        <f aca="false">IFERROR(I14/I$20,0)</f>
        <v>0.101960262126219</v>
      </c>
      <c r="K14" s="24" t="n">
        <f aca="false">(K9*'Vessel Assumptions'!$C$6*(1-'Vessel Assumptions'!$C$8))*'Vessel 2026 P&amp;L'!$AB$11/SUM('Vessel 2026 P&amp;L'!$AB$10:$AB$13)</f>
        <v>3380.44151066372</v>
      </c>
      <c r="L14" s="34" t="n">
        <f aca="false">IFERROR(K14/K$20,0)</f>
        <v>0.101960262126219</v>
      </c>
      <c r="M14" s="24" t="n">
        <f aca="false">(M9*'Vessel Assumptions'!$C$6*(1-'Vessel Assumptions'!$C$8))*'Vessel 2026 P&amp;L'!$AB$11/SUM('Vessel 2026 P&amp;L'!$AB$10:$AB$13)</f>
        <v>2974.78852938408</v>
      </c>
      <c r="N14" s="34" t="n">
        <f aca="false">IFERROR(M14/M$20,0)</f>
        <v>0.101960262126219</v>
      </c>
      <c r="O14" s="24" t="n">
        <f aca="false">(O9*'Vessel Assumptions'!$C$6*(1-'Vessel Assumptions'!$C$8))*'Vessel 2026 P&amp;L'!$AB$11/SUM('Vessel 2026 P&amp;L'!$AB$10:$AB$13)</f>
        <v>2974.78852938408</v>
      </c>
      <c r="P14" s="34" t="n">
        <f aca="false">IFERROR(O14/O$20,0)</f>
        <v>0.101960262126219</v>
      </c>
      <c r="Q14" s="24" t="n">
        <f aca="false">(Q9*'Vessel Assumptions'!$C$6*(1-'Vessel Assumptions'!$C$8))*'Vessel 2026 P&amp;L'!$AB$11/SUM('Vessel 2026 P&amp;L'!$AB$10:$AB$13)</f>
        <v>2974.78852938408</v>
      </c>
      <c r="R14" s="34" t="n">
        <f aca="false">IFERROR(Q14/Q$20,0)</f>
        <v>0.101960262126219</v>
      </c>
      <c r="S14" s="24" t="n">
        <f aca="false">(S9*'Vessel Assumptions'!$C$6*(1-'Vessel Assumptions'!$C$8))*'Vessel 2026 P&amp;L'!$AB$11/SUM('Vessel 2026 P&amp;L'!$AB$10:$AB$13)</f>
        <v>2974.78852938408</v>
      </c>
      <c r="T14" s="34" t="n">
        <f aca="false">IFERROR(S14/S$20,0)</f>
        <v>0.101960262126219</v>
      </c>
      <c r="U14" s="24" t="n">
        <f aca="false">(U9*'Vessel Assumptions'!$C$6*(1-'Vessel Assumptions'!$C$8))*'Vessel 2026 P&amp;L'!$AB$11/SUM('Vessel 2026 P&amp;L'!$AB$10:$AB$13)</f>
        <v>2974.78852938408</v>
      </c>
      <c r="V14" s="34" t="n">
        <f aca="false">IFERROR(U14/U$20,0)</f>
        <v>0.101960262126219</v>
      </c>
      <c r="W14" s="24" t="n">
        <f aca="false">(W9*'Vessel Assumptions'!$C$6*(1-'Vessel Assumptions'!$C$8))*'Vessel 2026 P&amp;L'!$AB$11/SUM('Vessel 2026 P&amp;L'!$AB$10:$AB$13)</f>
        <v>2974.78852938408</v>
      </c>
      <c r="X14" s="34" t="n">
        <f aca="false">IFERROR(W14/W$20,0)</f>
        <v>0.101960262126219</v>
      </c>
      <c r="Y14" s="24" t="n">
        <f aca="false">(Y9*'Vessel Assumptions'!$C$6*(1-'Vessel Assumptions'!$C$8))*'Vessel 2026 P&amp;L'!$AB$11/SUM('Vessel 2026 P&amp;L'!$AB$10:$AB$13)</f>
        <v>2974.78852938408</v>
      </c>
      <c r="Z14" s="34" t="n">
        <f aca="false">IFERROR(Y14/Y$20,0)</f>
        <v>0.101960262126219</v>
      </c>
      <c r="AB14" s="24" t="n">
        <f aca="false">SUM(C14,E14,G14,I14,K14,M14,O14,Q14,S14,U14,W14,Y14)</f>
        <v>35697.4623526089</v>
      </c>
      <c r="AC14" s="34" t="n">
        <f aca="false">IFERROR(AB14/AB$20,0)</f>
        <v>0.101960262126219</v>
      </c>
    </row>
    <row r="15" customFormat="false" ht="15" hidden="false" customHeight="true" outlineLevel="0" collapsed="false">
      <c r="A15" s="5" t="s">
        <v>182</v>
      </c>
      <c r="C15" s="24" t="n">
        <f aca="false">(C9*'Vessel Assumptions'!$C$6*(1-'Vessel Assumptions'!$C$8))*'Vessel 2026 P&amp;L'!$AB$12/SUM('Vessel 2026 P&amp;L'!$AB$10:$AB$13)</f>
        <v>162.013675634573</v>
      </c>
      <c r="D15" s="34" t="n">
        <f aca="false">IFERROR(C15/C$20,0)</f>
        <v>0.00375894386385821</v>
      </c>
      <c r="E15" s="24" t="n">
        <f aca="false">(E9*'Vessel Assumptions'!$C$6*(1-'Vessel Assumptions'!$C$8))*'Vessel 2026 P&amp;L'!$AB$12/SUM('Vessel 2026 P&amp;L'!$AB$10:$AB$13)</f>
        <v>49.8503617337147</v>
      </c>
      <c r="F15" s="34" t="n">
        <f aca="false">IFERROR(E15/E$20,0)</f>
        <v>0.00375894386385821</v>
      </c>
      <c r="G15" s="24" t="n">
        <f aca="false">(G9*'Vessel Assumptions'!$C$6*(1-'Vessel Assumptions'!$C$8))*'Vessel 2026 P&amp;L'!$AB$12/SUM('Vessel 2026 P&amp;L'!$AB$10:$AB$13)</f>
        <v>162.013675634573</v>
      </c>
      <c r="H15" s="34" t="n">
        <f aca="false">IFERROR(G15/G$20,0)</f>
        <v>0.00375894386385821</v>
      </c>
      <c r="I15" s="24" t="n">
        <f aca="false">(I9*'Vessel Assumptions'!$C$6*(1-'Vessel Assumptions'!$C$8))*'Vessel 2026 P&amp;L'!$AB$12/SUM('Vessel 2026 P&amp;L'!$AB$10:$AB$13)</f>
        <v>49.8503617337147</v>
      </c>
      <c r="J15" s="34" t="n">
        <f aca="false">IFERROR(I15/I$20,0)</f>
        <v>0.00375894386385821</v>
      </c>
      <c r="K15" s="24" t="n">
        <f aca="false">(K9*'Vessel Assumptions'!$C$6*(1-'Vessel Assumptions'!$C$8))*'Vessel 2026 P&amp;L'!$AB$12/SUM('Vessel 2026 P&amp;L'!$AB$10:$AB$13)</f>
        <v>124.625904334287</v>
      </c>
      <c r="L15" s="34" t="n">
        <f aca="false">IFERROR(K15/K$20,0)</f>
        <v>0.0037589438638582</v>
      </c>
      <c r="M15" s="24" t="n">
        <f aca="false">(M9*'Vessel Assumptions'!$C$6*(1-'Vessel Assumptions'!$C$8))*'Vessel 2026 P&amp;L'!$AB$12/SUM('Vessel 2026 P&amp;L'!$AB$10:$AB$13)</f>
        <v>109.670795814172</v>
      </c>
      <c r="N15" s="34" t="n">
        <f aca="false">IFERROR(M15/M$20,0)</f>
        <v>0.00375894386385821</v>
      </c>
      <c r="O15" s="24" t="n">
        <f aca="false">(O9*'Vessel Assumptions'!$C$6*(1-'Vessel Assumptions'!$C$8))*'Vessel 2026 P&amp;L'!$AB$12/SUM('Vessel 2026 P&amp;L'!$AB$10:$AB$13)</f>
        <v>109.670795814172</v>
      </c>
      <c r="P15" s="34" t="n">
        <f aca="false">IFERROR(O15/O$20,0)</f>
        <v>0.00375894386385821</v>
      </c>
      <c r="Q15" s="24" t="n">
        <f aca="false">(Q9*'Vessel Assumptions'!$C$6*(1-'Vessel Assumptions'!$C$8))*'Vessel 2026 P&amp;L'!$AB$12/SUM('Vessel 2026 P&amp;L'!$AB$10:$AB$13)</f>
        <v>109.670795814172</v>
      </c>
      <c r="R15" s="34" t="n">
        <f aca="false">IFERROR(Q15/Q$20,0)</f>
        <v>0.00375894386385821</v>
      </c>
      <c r="S15" s="24" t="n">
        <f aca="false">(S9*'Vessel Assumptions'!$C$6*(1-'Vessel Assumptions'!$C$8))*'Vessel 2026 P&amp;L'!$AB$12/SUM('Vessel 2026 P&amp;L'!$AB$10:$AB$13)</f>
        <v>109.670795814172</v>
      </c>
      <c r="T15" s="34" t="n">
        <f aca="false">IFERROR(S15/S$20,0)</f>
        <v>0.00375894386385821</v>
      </c>
      <c r="U15" s="24" t="n">
        <f aca="false">(U9*'Vessel Assumptions'!$C$6*(1-'Vessel Assumptions'!$C$8))*'Vessel 2026 P&amp;L'!$AB$12/SUM('Vessel 2026 P&amp;L'!$AB$10:$AB$13)</f>
        <v>109.670795814172</v>
      </c>
      <c r="V15" s="34" t="n">
        <f aca="false">IFERROR(U15/U$20,0)</f>
        <v>0.00375894386385821</v>
      </c>
      <c r="W15" s="24" t="n">
        <f aca="false">(W9*'Vessel Assumptions'!$C$6*(1-'Vessel Assumptions'!$C$8))*'Vessel 2026 P&amp;L'!$AB$12/SUM('Vessel 2026 P&amp;L'!$AB$10:$AB$13)</f>
        <v>109.670795814172</v>
      </c>
      <c r="X15" s="34" t="n">
        <f aca="false">IFERROR(W15/W$20,0)</f>
        <v>0.00375894386385821</v>
      </c>
      <c r="Y15" s="24" t="n">
        <f aca="false">(Y9*'Vessel Assumptions'!$C$6*(1-'Vessel Assumptions'!$C$8))*'Vessel 2026 P&amp;L'!$AB$12/SUM('Vessel 2026 P&amp;L'!$AB$10:$AB$13)</f>
        <v>109.670795814172</v>
      </c>
      <c r="Z15" s="34" t="n">
        <f aca="false">IFERROR(Y15/Y$20,0)</f>
        <v>0.00375894386385821</v>
      </c>
      <c r="AB15" s="24" t="n">
        <f aca="false">SUM(C15,E15,G15,I15,K15,M15,O15,Q15,S15,U15,W15,Y15)</f>
        <v>1316.04954977007</v>
      </c>
      <c r="AC15" s="34" t="n">
        <f aca="false">IFERROR(AB15/AB$20,0)</f>
        <v>0.00375894386385821</v>
      </c>
    </row>
    <row r="16" customFormat="false" ht="15" hidden="false" customHeight="true" outlineLevel="0" collapsed="false">
      <c r="A16" s="5" t="s">
        <v>183</v>
      </c>
      <c r="C16" s="24" t="n">
        <f aca="false">(C9*'Vessel Assumptions'!$C$6*(1-'Vessel Assumptions'!$C$8))*'Vessel 2026 P&amp;L'!$AB$13/SUM('Vessel 2026 P&amp;L'!$AB$10:$AB$13)</f>
        <v>616.478951370533</v>
      </c>
      <c r="D16" s="34" t="n">
        <f aca="false">IFERROR(C16/C$20,0)</f>
        <v>0.0143031738671171</v>
      </c>
      <c r="E16" s="24" t="n">
        <f aca="false">(E9*'Vessel Assumptions'!$C$6*(1-'Vessel Assumptions'!$C$8))*'Vessel 2026 P&amp;L'!$AB$13/SUM('Vessel 2026 P&amp;L'!$AB$10:$AB$13)</f>
        <v>189.685831190933</v>
      </c>
      <c r="F16" s="34" t="n">
        <f aca="false">IFERROR(E16/E$20,0)</f>
        <v>0.0143031738671171</v>
      </c>
      <c r="G16" s="24" t="n">
        <f aca="false">(G9*'Vessel Assumptions'!$C$6*(1-'Vessel Assumptions'!$C$8))*'Vessel 2026 P&amp;L'!$AB$13/SUM('Vessel 2026 P&amp;L'!$AB$10:$AB$13)</f>
        <v>616.478951370533</v>
      </c>
      <c r="H16" s="34" t="n">
        <f aca="false">IFERROR(G16/G$20,0)</f>
        <v>0.0143031738671171</v>
      </c>
      <c r="I16" s="24" t="n">
        <f aca="false">(I9*'Vessel Assumptions'!$C$6*(1-'Vessel Assumptions'!$C$8))*'Vessel 2026 P&amp;L'!$AB$13/SUM('Vessel 2026 P&amp;L'!$AB$10:$AB$13)</f>
        <v>189.685831190933</v>
      </c>
      <c r="J16" s="34" t="n">
        <f aca="false">IFERROR(I16/I$20,0)</f>
        <v>0.0143031738671171</v>
      </c>
      <c r="K16" s="24" t="n">
        <f aca="false">(K9*'Vessel Assumptions'!$C$6*(1-'Vessel Assumptions'!$C$8))*'Vessel 2026 P&amp;L'!$AB$13/SUM('Vessel 2026 P&amp;L'!$AB$10:$AB$13)</f>
        <v>474.214577977333</v>
      </c>
      <c r="L16" s="34" t="n">
        <f aca="false">IFERROR(K16/K$20,0)</f>
        <v>0.0143031738671171</v>
      </c>
      <c r="M16" s="24" t="n">
        <f aca="false">(M9*'Vessel Assumptions'!$C$6*(1-'Vessel Assumptions'!$C$8))*'Vessel 2026 P&amp;L'!$AB$13/SUM('Vessel 2026 P&amp;L'!$AB$10:$AB$13)</f>
        <v>417.308828620053</v>
      </c>
      <c r="N16" s="34" t="n">
        <f aca="false">IFERROR(M16/M$20,0)</f>
        <v>0.0143031738671171</v>
      </c>
      <c r="O16" s="24" t="n">
        <f aca="false">(O9*'Vessel Assumptions'!$C$6*(1-'Vessel Assumptions'!$C$8))*'Vessel 2026 P&amp;L'!$AB$13/SUM('Vessel 2026 P&amp;L'!$AB$10:$AB$13)</f>
        <v>417.308828620053</v>
      </c>
      <c r="P16" s="34" t="n">
        <f aca="false">IFERROR(O16/O$20,0)</f>
        <v>0.0143031738671171</v>
      </c>
      <c r="Q16" s="24" t="n">
        <f aca="false">(Q9*'Vessel Assumptions'!$C$6*(1-'Vessel Assumptions'!$C$8))*'Vessel 2026 P&amp;L'!$AB$13/SUM('Vessel 2026 P&amp;L'!$AB$10:$AB$13)</f>
        <v>417.308828620053</v>
      </c>
      <c r="R16" s="34" t="n">
        <f aca="false">IFERROR(Q16/Q$20,0)</f>
        <v>0.0143031738671171</v>
      </c>
      <c r="S16" s="24" t="n">
        <f aca="false">(S9*'Vessel Assumptions'!$C$6*(1-'Vessel Assumptions'!$C$8))*'Vessel 2026 P&amp;L'!$AB$13/SUM('Vessel 2026 P&amp;L'!$AB$10:$AB$13)</f>
        <v>417.308828620053</v>
      </c>
      <c r="T16" s="34" t="n">
        <f aca="false">IFERROR(S16/S$20,0)</f>
        <v>0.0143031738671171</v>
      </c>
      <c r="U16" s="24" t="n">
        <f aca="false">(U9*'Vessel Assumptions'!$C$6*(1-'Vessel Assumptions'!$C$8))*'Vessel 2026 P&amp;L'!$AB$13/SUM('Vessel 2026 P&amp;L'!$AB$10:$AB$13)</f>
        <v>417.308828620053</v>
      </c>
      <c r="V16" s="34" t="n">
        <f aca="false">IFERROR(U16/U$20,0)</f>
        <v>0.0143031738671171</v>
      </c>
      <c r="W16" s="24" t="n">
        <f aca="false">(W9*'Vessel Assumptions'!$C$6*(1-'Vessel Assumptions'!$C$8))*'Vessel 2026 P&amp;L'!$AB$13/SUM('Vessel 2026 P&amp;L'!$AB$10:$AB$13)</f>
        <v>417.308828620053</v>
      </c>
      <c r="X16" s="34" t="n">
        <f aca="false">IFERROR(W16/W$20,0)</f>
        <v>0.0143031738671171</v>
      </c>
      <c r="Y16" s="24" t="n">
        <f aca="false">(Y9*'Vessel Assumptions'!$C$6*(1-'Vessel Assumptions'!$C$8))*'Vessel 2026 P&amp;L'!$AB$13/SUM('Vessel 2026 P&amp;L'!$AB$10:$AB$13)</f>
        <v>417.308828620053</v>
      </c>
      <c r="Z16" s="34" t="n">
        <f aca="false">IFERROR(Y16/Y$20,0)</f>
        <v>0.0143031738671171</v>
      </c>
      <c r="AB16" s="24" t="n">
        <f aca="false">SUM(C16,E16,G16,I16,K16,M16,O16,Q16,S16,U16,W16,Y16)</f>
        <v>5007.70594344064</v>
      </c>
      <c r="AC16" s="34" t="n">
        <f aca="false">IFERROR(AB16/AB$20,0)</f>
        <v>0.0143031738671171</v>
      </c>
    </row>
    <row r="17" customFormat="false" ht="15" hidden="false" customHeight="true" outlineLevel="0" collapsed="false">
      <c r="A17" s="5" t="s">
        <v>184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327</v>
      </c>
      <c r="C18" s="24" t="n">
        <f aca="false">C9*'Vessel Assumptions'!$C$6*'Vessel Assumptions'!$C$9+SUM(C12:C16)*'Vessel Assumptions'!$C$32</f>
        <v>8620.17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2652.36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8620.17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2652.36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6630.9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5835.192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5835.192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5835.192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5835.192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5835.192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5835.192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5835.192</v>
      </c>
      <c r="Z18" s="34" t="n">
        <f aca="false">IFERROR(Y18/Y$20,0)</f>
        <v>0.2</v>
      </c>
      <c r="AB18" s="24" t="n">
        <f aca="false">SUM(C18,E18,G18,I18,K18,M18,O18,Q18,S18,U18,W18,Y18)</f>
        <v>70022.304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43100.85</v>
      </c>
      <c r="D20" s="35" t="n">
        <f aca="false">IFERROR(C20/C$20,0)</f>
        <v>1</v>
      </c>
      <c r="E20" s="27" t="n">
        <f aca="false">SUM(E12:E19)</f>
        <v>13261.8</v>
      </c>
      <c r="F20" s="35" t="n">
        <f aca="false">IFERROR(E20/E$20,0)</f>
        <v>1</v>
      </c>
      <c r="G20" s="27" t="n">
        <f aca="false">SUM(G12:G19)</f>
        <v>43100.85</v>
      </c>
      <c r="H20" s="35" t="n">
        <f aca="false">IFERROR(G20/G$20,0)</f>
        <v>1</v>
      </c>
      <c r="I20" s="27" t="n">
        <f aca="false">SUM(I12:I19)</f>
        <v>13261.8</v>
      </c>
      <c r="J20" s="35" t="n">
        <f aca="false">IFERROR(I20/I$20,0)</f>
        <v>1</v>
      </c>
      <c r="K20" s="27" t="n">
        <f aca="false">SUM(K12:K19)</f>
        <v>33154.5</v>
      </c>
      <c r="L20" s="35" t="n">
        <f aca="false">IFERROR(K20/K$20,0)</f>
        <v>1</v>
      </c>
      <c r="M20" s="27" t="n">
        <f aca="false">SUM(M12:M19)</f>
        <v>29175.96</v>
      </c>
      <c r="N20" s="35" t="n">
        <f aca="false">IFERROR(M20/M$20,0)</f>
        <v>1</v>
      </c>
      <c r="O20" s="27" t="n">
        <f aca="false">SUM(O12:O19)</f>
        <v>29175.96</v>
      </c>
      <c r="P20" s="35" t="n">
        <f aca="false">IFERROR(O20/O$20,0)</f>
        <v>1</v>
      </c>
      <c r="Q20" s="27" t="n">
        <f aca="false">SUM(Q12:Q19)</f>
        <v>29175.96</v>
      </c>
      <c r="R20" s="35" t="n">
        <f aca="false">IFERROR(Q20/Q$20,0)</f>
        <v>1</v>
      </c>
      <c r="S20" s="27" t="n">
        <f aca="false">SUM(S12:S19)</f>
        <v>29175.96</v>
      </c>
      <c r="T20" s="35" t="n">
        <f aca="false">IFERROR(S20/S$20,0)</f>
        <v>1</v>
      </c>
      <c r="U20" s="27" t="n">
        <f aca="false">SUM(U12:U19)</f>
        <v>29175.96</v>
      </c>
      <c r="V20" s="35" t="n">
        <f aca="false">IFERROR(U20/U$20,0)</f>
        <v>1</v>
      </c>
      <c r="W20" s="27" t="n">
        <f aca="false">SUM(W12:W19)</f>
        <v>29175.96</v>
      </c>
      <c r="X20" s="35" t="n">
        <f aca="false">IFERROR(W20/W$20,0)</f>
        <v>1</v>
      </c>
      <c r="Y20" s="27" t="n">
        <f aca="false">SUM(Y12:Y19)</f>
        <v>29175.96</v>
      </c>
      <c r="Z20" s="35" t="n">
        <f aca="false">IFERROR(Y20/Y$20,0)</f>
        <v>1</v>
      </c>
      <c r="AB20" s="27" t="n">
        <f aca="false">SUM(AB12:AB19)</f>
        <v>350111.52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C12*'Vessel Assumptions'!$C$12</f>
        <v>14830.4</v>
      </c>
      <c r="D23" s="34" t="n">
        <f aca="false">IFERROR(C23/C$12,0)</f>
        <v>0.555555555555556</v>
      </c>
      <c r="E23" s="24" t="n">
        <f aca="false">E12*'Vessel Assumptions'!$C$12</f>
        <v>4563.2</v>
      </c>
      <c r="F23" s="34" t="n">
        <f aca="false">IFERROR(E23/E$12,0)</f>
        <v>0.555555555555556</v>
      </c>
      <c r="G23" s="24" t="n">
        <f aca="false">G12*'Vessel Assumptions'!$C$12</f>
        <v>14830.4</v>
      </c>
      <c r="H23" s="34" t="n">
        <f aca="false">IFERROR(G23/G$12,0)</f>
        <v>0.555555555555556</v>
      </c>
      <c r="I23" s="24" t="n">
        <f aca="false">I12*'Vessel Assumptions'!$C$12</f>
        <v>4563.2</v>
      </c>
      <c r="J23" s="34" t="n">
        <f aca="false">IFERROR(I23/I$12,0)</f>
        <v>0.555555555555556</v>
      </c>
      <c r="K23" s="24" t="n">
        <f aca="false">K12*'Vessel Assumptions'!$C$12</f>
        <v>11408</v>
      </c>
      <c r="L23" s="34" t="n">
        <f aca="false">IFERROR(K23/K$12,0)</f>
        <v>0.555555555555556</v>
      </c>
      <c r="M23" s="24" t="n">
        <f aca="false">M12*'Vessel Assumptions'!$C$12</f>
        <v>10039.04</v>
      </c>
      <c r="N23" s="34" t="n">
        <f aca="false">IFERROR(M23/M$12,0)</f>
        <v>0.555555555555556</v>
      </c>
      <c r="O23" s="24" t="n">
        <f aca="false">O12*'Vessel Assumptions'!$C$12</f>
        <v>10039.04</v>
      </c>
      <c r="P23" s="34" t="n">
        <f aca="false">IFERROR(O23/O$12,0)</f>
        <v>0.555555555555556</v>
      </c>
      <c r="Q23" s="24" t="n">
        <f aca="false">Q12*'Vessel Assumptions'!$C$12</f>
        <v>10039.04</v>
      </c>
      <c r="R23" s="34" t="n">
        <f aca="false">IFERROR(Q23/Q$12,0)</f>
        <v>0.555555555555556</v>
      </c>
      <c r="S23" s="24" t="n">
        <f aca="false">S12*'Vessel Assumptions'!$C$12</f>
        <v>10039.04</v>
      </c>
      <c r="T23" s="34" t="n">
        <f aca="false">IFERROR(S23/S$12,0)</f>
        <v>0.555555555555556</v>
      </c>
      <c r="U23" s="24" t="n">
        <f aca="false">U12*'Vessel Assumptions'!$C$12</f>
        <v>10039.04</v>
      </c>
      <c r="V23" s="34" t="n">
        <f aca="false">IFERROR(U23/U$12,0)</f>
        <v>0.555555555555556</v>
      </c>
      <c r="W23" s="24" t="n">
        <f aca="false">W12*'Vessel Assumptions'!$C$12</f>
        <v>10039.04</v>
      </c>
      <c r="X23" s="34" t="n">
        <f aca="false">IFERROR(W23/W$12,0)</f>
        <v>0.555555555555556</v>
      </c>
      <c r="Y23" s="24" t="n">
        <f aca="false">Y12*'Vessel Assumptions'!$C$12</f>
        <v>10039.04</v>
      </c>
      <c r="Z23" s="34" t="n">
        <f aca="false">IFERROR(Y23/Y$12,0)</f>
        <v>0.555555555555556</v>
      </c>
      <c r="AB23" s="24" t="n">
        <f aca="false">SUM(C23,E23,G23,I23,K23,M23,O23,Q23,S23,U23,W23,Y23)</f>
        <v>120468.48</v>
      </c>
      <c r="AC23" s="34" t="n">
        <f aca="false">IFERROR(AB23/AB$12,0)</f>
        <v>0.555555555555556</v>
      </c>
    </row>
    <row r="24" customFormat="false" ht="15" hidden="false" customHeight="true" outlineLevel="0" collapsed="false">
      <c r="A24" s="5" t="s">
        <v>189</v>
      </c>
      <c r="C24" s="24" t="n">
        <f aca="false">C13*'Vessel Assumptions'!$C$13</f>
        <v>653.223352283014</v>
      </c>
      <c r="D24" s="34" t="n">
        <f aca="false">IFERROR(C24/C$13,0)</f>
        <v>0.25</v>
      </c>
      <c r="E24" s="24" t="n">
        <f aca="false">E13*'Vessel Assumptions'!$C$13</f>
        <v>200.991800702466</v>
      </c>
      <c r="F24" s="34" t="n">
        <f aca="false">IFERROR(E24/E$13,0)</f>
        <v>0.25</v>
      </c>
      <c r="G24" s="24" t="n">
        <f aca="false">G13*'Vessel Assumptions'!$C$13</f>
        <v>653.223352283014</v>
      </c>
      <c r="H24" s="34" t="n">
        <f aca="false">IFERROR(G24/G$13,0)</f>
        <v>0.25</v>
      </c>
      <c r="I24" s="24" t="n">
        <f aca="false">I13*'Vessel Assumptions'!$C$13</f>
        <v>200.991800702466</v>
      </c>
      <c r="J24" s="34" t="n">
        <f aca="false">IFERROR(I24/I$13,0)</f>
        <v>0.25</v>
      </c>
      <c r="K24" s="24" t="n">
        <f aca="false">K13*'Vessel Assumptions'!$C$13</f>
        <v>502.479501756165</v>
      </c>
      <c r="L24" s="34" t="n">
        <f aca="false">IFERROR(K24/K$13,0)</f>
        <v>0.25</v>
      </c>
      <c r="M24" s="24" t="n">
        <f aca="false">M13*'Vessel Assumptions'!$C$13</f>
        <v>442.181961545425</v>
      </c>
      <c r="N24" s="34" t="n">
        <f aca="false">IFERROR(M24/M$13,0)</f>
        <v>0.25</v>
      </c>
      <c r="O24" s="24" t="n">
        <f aca="false">O13*'Vessel Assumptions'!$C$13</f>
        <v>442.181961545425</v>
      </c>
      <c r="P24" s="34" t="n">
        <f aca="false">IFERROR(O24/O$13,0)</f>
        <v>0.25</v>
      </c>
      <c r="Q24" s="24" t="n">
        <f aca="false">Q13*'Vessel Assumptions'!$C$13</f>
        <v>442.181961545425</v>
      </c>
      <c r="R24" s="34" t="n">
        <f aca="false">IFERROR(Q24/Q$13,0)</f>
        <v>0.25</v>
      </c>
      <c r="S24" s="24" t="n">
        <f aca="false">S13*'Vessel Assumptions'!$C$13</f>
        <v>442.181961545425</v>
      </c>
      <c r="T24" s="34" t="n">
        <f aca="false">IFERROR(S24/S$13,0)</f>
        <v>0.25</v>
      </c>
      <c r="U24" s="24" t="n">
        <f aca="false">U13*'Vessel Assumptions'!$C$13</f>
        <v>442.181961545425</v>
      </c>
      <c r="V24" s="34" t="n">
        <f aca="false">IFERROR(U24/U$13,0)</f>
        <v>0.25</v>
      </c>
      <c r="W24" s="24" t="n">
        <f aca="false">W13*'Vessel Assumptions'!$C$13</f>
        <v>442.181961545425</v>
      </c>
      <c r="X24" s="34" t="n">
        <f aca="false">IFERROR(W24/W$13,0)</f>
        <v>0.25</v>
      </c>
      <c r="Y24" s="24" t="n">
        <f aca="false">Y13*'Vessel Assumptions'!$C$13</f>
        <v>442.181961545425</v>
      </c>
      <c r="Z24" s="34" t="n">
        <f aca="false">IFERROR(Y24/Y$13,0)</f>
        <v>0.25</v>
      </c>
      <c r="AB24" s="24" t="n">
        <f aca="false">SUM(C24,E24,G24,I24,K24,M24,O24,Q24,S24,U24,W24,Y24)</f>
        <v>5306.1835385451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190</v>
      </c>
      <c r="C25" s="24" t="n">
        <f aca="false">C14*'Vessel Assumptions'!$C$13</f>
        <v>1098.64349096571</v>
      </c>
      <c r="D25" s="34" t="n">
        <f aca="false">IFERROR(C25/C$14,0)</f>
        <v>0.25</v>
      </c>
      <c r="E25" s="24" t="n">
        <f aca="false">E14*'Vessel Assumptions'!$C$13</f>
        <v>338.044151066372</v>
      </c>
      <c r="F25" s="34" t="n">
        <f aca="false">IFERROR(E25/E$14,0)</f>
        <v>0.25</v>
      </c>
      <c r="G25" s="24" t="n">
        <f aca="false">G14*'Vessel Assumptions'!$C$13</f>
        <v>1098.64349096571</v>
      </c>
      <c r="H25" s="34" t="n">
        <f aca="false">IFERROR(G25/G$14,0)</f>
        <v>0.25</v>
      </c>
      <c r="I25" s="24" t="n">
        <f aca="false">I14*'Vessel Assumptions'!$C$13</f>
        <v>338.044151066372</v>
      </c>
      <c r="J25" s="34" t="n">
        <f aca="false">IFERROR(I25/I$14,0)</f>
        <v>0.25</v>
      </c>
      <c r="K25" s="24" t="n">
        <f aca="false">K14*'Vessel Assumptions'!$C$13</f>
        <v>845.11037766593</v>
      </c>
      <c r="L25" s="34" t="n">
        <f aca="false">IFERROR(K25/K$14,0)</f>
        <v>0.25</v>
      </c>
      <c r="M25" s="24" t="n">
        <f aca="false">M14*'Vessel Assumptions'!$C$13</f>
        <v>743.697132346019</v>
      </c>
      <c r="N25" s="34" t="n">
        <f aca="false">IFERROR(M25/M$14,0)</f>
        <v>0.25</v>
      </c>
      <c r="O25" s="24" t="n">
        <f aca="false">O14*'Vessel Assumptions'!$C$13</f>
        <v>743.697132346019</v>
      </c>
      <c r="P25" s="34" t="n">
        <f aca="false">IFERROR(O25/O$14,0)</f>
        <v>0.25</v>
      </c>
      <c r="Q25" s="24" t="n">
        <f aca="false">Q14*'Vessel Assumptions'!$C$13</f>
        <v>743.697132346019</v>
      </c>
      <c r="R25" s="34" t="n">
        <f aca="false">IFERROR(Q25/Q$14,0)</f>
        <v>0.25</v>
      </c>
      <c r="S25" s="24" t="n">
        <f aca="false">S14*'Vessel Assumptions'!$C$13</f>
        <v>743.697132346019</v>
      </c>
      <c r="T25" s="34" t="n">
        <f aca="false">IFERROR(S25/S$14,0)</f>
        <v>0.25</v>
      </c>
      <c r="U25" s="24" t="n">
        <f aca="false">U14*'Vessel Assumptions'!$C$13</f>
        <v>743.697132346019</v>
      </c>
      <c r="V25" s="34" t="n">
        <f aca="false">IFERROR(U25/U$14,0)</f>
        <v>0.25</v>
      </c>
      <c r="W25" s="24" t="n">
        <f aca="false">W14*'Vessel Assumptions'!$C$13</f>
        <v>743.697132346019</v>
      </c>
      <c r="X25" s="34" t="n">
        <f aca="false">IFERROR(W25/W$14,0)</f>
        <v>0.25</v>
      </c>
      <c r="Y25" s="24" t="n">
        <f aca="false">Y14*'Vessel Assumptions'!$C$13</f>
        <v>743.697132346019</v>
      </c>
      <c r="Z25" s="34" t="n">
        <f aca="false">IFERROR(Y25/Y$14,0)</f>
        <v>0.25</v>
      </c>
      <c r="AB25" s="24" t="n">
        <f aca="false">SUM(C25,E25,G25,I25,K25,M25,O25,Q25,S25,U25,W25,Y25)</f>
        <v>8924.36558815223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191</v>
      </c>
      <c r="C26" s="24" t="n">
        <f aca="false">C15*'Vessel Assumptions'!$C$13</f>
        <v>40.5034189086432</v>
      </c>
      <c r="D26" s="34" t="n">
        <f aca="false">IFERROR(C26/C$15,0)</f>
        <v>0.25</v>
      </c>
      <c r="E26" s="24" t="n">
        <f aca="false">E15*'Vessel Assumptions'!$C$13</f>
        <v>12.4625904334287</v>
      </c>
      <c r="F26" s="34" t="n">
        <f aca="false">IFERROR(E26/E$15,0)</f>
        <v>0.25</v>
      </c>
      <c r="G26" s="24" t="n">
        <f aca="false">G15*'Vessel Assumptions'!$C$13</f>
        <v>40.5034189086432</v>
      </c>
      <c r="H26" s="34" t="n">
        <f aca="false">IFERROR(G26/G$15,0)</f>
        <v>0.25</v>
      </c>
      <c r="I26" s="24" t="n">
        <f aca="false">I15*'Vessel Assumptions'!$C$13</f>
        <v>12.4625904334287</v>
      </c>
      <c r="J26" s="34" t="n">
        <f aca="false">IFERROR(I26/I$15,0)</f>
        <v>0.25</v>
      </c>
      <c r="K26" s="24" t="n">
        <f aca="false">K15*'Vessel Assumptions'!$C$13</f>
        <v>31.1564760835717</v>
      </c>
      <c r="L26" s="34" t="n">
        <f aca="false">IFERROR(K26/K$15,0)</f>
        <v>0.25</v>
      </c>
      <c r="M26" s="24" t="n">
        <f aca="false">M15*'Vessel Assumptions'!$C$13</f>
        <v>27.4176989535431</v>
      </c>
      <c r="N26" s="34" t="n">
        <f aca="false">IFERROR(M26/M$15,0)</f>
        <v>0.25</v>
      </c>
      <c r="O26" s="24" t="n">
        <f aca="false">O15*'Vessel Assumptions'!$C$13</f>
        <v>27.4176989535431</v>
      </c>
      <c r="P26" s="34" t="n">
        <f aca="false">IFERROR(O26/O$15,0)</f>
        <v>0.25</v>
      </c>
      <c r="Q26" s="24" t="n">
        <f aca="false">Q15*'Vessel Assumptions'!$C$13</f>
        <v>27.4176989535431</v>
      </c>
      <c r="R26" s="34" t="n">
        <f aca="false">IFERROR(Q26/Q$15,0)</f>
        <v>0.25</v>
      </c>
      <c r="S26" s="24" t="n">
        <f aca="false">S15*'Vessel Assumptions'!$C$13</f>
        <v>27.4176989535431</v>
      </c>
      <c r="T26" s="34" t="n">
        <f aca="false">IFERROR(S26/S$15,0)</f>
        <v>0.25</v>
      </c>
      <c r="U26" s="24" t="n">
        <f aca="false">U15*'Vessel Assumptions'!$C$13</f>
        <v>27.4176989535431</v>
      </c>
      <c r="V26" s="34" t="n">
        <f aca="false">IFERROR(U26/U$15,0)</f>
        <v>0.25</v>
      </c>
      <c r="W26" s="24" t="n">
        <f aca="false">W15*'Vessel Assumptions'!$C$13</f>
        <v>27.4176989535431</v>
      </c>
      <c r="X26" s="34" t="n">
        <f aca="false">IFERROR(W26/W$15,0)</f>
        <v>0.25</v>
      </c>
      <c r="Y26" s="24" t="n">
        <f aca="false">Y15*'Vessel Assumptions'!$C$13</f>
        <v>27.4176989535431</v>
      </c>
      <c r="Z26" s="34" t="n">
        <f aca="false">IFERROR(Y26/Y$15,0)</f>
        <v>0.25</v>
      </c>
      <c r="AB26" s="24" t="n">
        <f aca="false">SUM(C26,E26,G26,I26,K26,M26,O26,Q26,S26,U26,W26,Y26)</f>
        <v>329.012387442517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192</v>
      </c>
      <c r="C27" s="24" t="n">
        <f aca="false">C16*'Vessel Assumptions'!$C$13</f>
        <v>154.119737842633</v>
      </c>
      <c r="D27" s="34" t="n">
        <f aca="false">IFERROR(C27/C$16,0)</f>
        <v>0.25</v>
      </c>
      <c r="E27" s="24" t="n">
        <f aca="false">E16*'Vessel Assumptions'!$C$13</f>
        <v>47.4214577977333</v>
      </c>
      <c r="F27" s="34" t="n">
        <f aca="false">IFERROR(E27/E$16,0)</f>
        <v>0.25</v>
      </c>
      <c r="G27" s="24" t="n">
        <f aca="false">G16*'Vessel Assumptions'!$C$13</f>
        <v>154.119737842633</v>
      </c>
      <c r="H27" s="34" t="n">
        <f aca="false">IFERROR(G27/G$16,0)</f>
        <v>0.25</v>
      </c>
      <c r="I27" s="24" t="n">
        <f aca="false">I16*'Vessel Assumptions'!$C$13</f>
        <v>47.4214577977333</v>
      </c>
      <c r="J27" s="34" t="n">
        <f aca="false">IFERROR(I27/I$16,0)</f>
        <v>0.25</v>
      </c>
      <c r="K27" s="24" t="n">
        <f aca="false">K16*'Vessel Assumptions'!$C$13</f>
        <v>118.553644494333</v>
      </c>
      <c r="L27" s="34" t="n">
        <f aca="false">IFERROR(K27/K$16,0)</f>
        <v>0.25</v>
      </c>
      <c r="M27" s="24" t="n">
        <f aca="false">M16*'Vessel Assumptions'!$C$13</f>
        <v>104.327207155013</v>
      </c>
      <c r="N27" s="34" t="n">
        <f aca="false">IFERROR(M27/M$16,0)</f>
        <v>0.25</v>
      </c>
      <c r="O27" s="24" t="n">
        <f aca="false">O16*'Vessel Assumptions'!$C$13</f>
        <v>104.327207155013</v>
      </c>
      <c r="P27" s="34" t="n">
        <f aca="false">IFERROR(O27/O$16,0)</f>
        <v>0.25</v>
      </c>
      <c r="Q27" s="24" t="n">
        <f aca="false">Q16*'Vessel Assumptions'!$C$13</f>
        <v>104.327207155013</v>
      </c>
      <c r="R27" s="34" t="n">
        <f aca="false">IFERROR(Q27/Q$16,0)</f>
        <v>0.25</v>
      </c>
      <c r="S27" s="24" t="n">
        <f aca="false">S16*'Vessel Assumptions'!$C$13</f>
        <v>104.327207155013</v>
      </c>
      <c r="T27" s="34" t="n">
        <f aca="false">IFERROR(S27/S$16,0)</f>
        <v>0.25</v>
      </c>
      <c r="U27" s="24" t="n">
        <f aca="false">U16*'Vessel Assumptions'!$C$13</f>
        <v>104.327207155013</v>
      </c>
      <c r="V27" s="34" t="n">
        <f aca="false">IFERROR(U27/U$16,0)</f>
        <v>0.25</v>
      </c>
      <c r="W27" s="24" t="n">
        <f aca="false">W16*'Vessel Assumptions'!$C$13</f>
        <v>104.327207155013</v>
      </c>
      <c r="X27" s="34" t="n">
        <f aca="false">IFERROR(W27/W$16,0)</f>
        <v>0.25</v>
      </c>
      <c r="Y27" s="24" t="n">
        <f aca="false">Y16*'Vessel Assumptions'!$C$13</f>
        <v>104.327207155013</v>
      </c>
      <c r="Z27" s="34" t="n">
        <f aca="false">IFERROR(Y27/Y$16,0)</f>
        <v>0.25</v>
      </c>
      <c r="AB27" s="24" t="n">
        <f aca="false">SUM(C27,E27,G27,I27,K27,M27,O27,Q27,S27,U27,W27,Y27)</f>
        <v>1251.92648586016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16776.89</v>
      </c>
      <c r="D29" s="35" t="n">
        <f aca="false">IFERROR(C29/C$20,0)</f>
        <v>0.389247311827957</v>
      </c>
      <c r="E29" s="27" t="n">
        <f aca="false">SUM(E23:E28)</f>
        <v>5162.12</v>
      </c>
      <c r="F29" s="35" t="n">
        <f aca="false">IFERROR(E29/E$20,0)</f>
        <v>0.389247311827957</v>
      </c>
      <c r="G29" s="27" t="n">
        <f aca="false">SUM(G23:G28)</f>
        <v>16776.89</v>
      </c>
      <c r="H29" s="35" t="n">
        <f aca="false">IFERROR(G29/G$20,0)</f>
        <v>0.389247311827957</v>
      </c>
      <c r="I29" s="27" t="n">
        <f aca="false">SUM(I23:I28)</f>
        <v>5162.12</v>
      </c>
      <c r="J29" s="35" t="n">
        <f aca="false">IFERROR(I29/I$20,0)</f>
        <v>0.389247311827957</v>
      </c>
      <c r="K29" s="27" t="n">
        <f aca="false">SUM(K23:K28)</f>
        <v>12905.3</v>
      </c>
      <c r="L29" s="35" t="n">
        <f aca="false">IFERROR(K29/K$20,0)</f>
        <v>0.389247311827957</v>
      </c>
      <c r="M29" s="27" t="n">
        <f aca="false">SUM(M23:M28)</f>
        <v>11356.664</v>
      </c>
      <c r="N29" s="35" t="n">
        <f aca="false">IFERROR(M29/M$20,0)</f>
        <v>0.389247311827957</v>
      </c>
      <c r="O29" s="27" t="n">
        <f aca="false">SUM(O23:O28)</f>
        <v>11356.664</v>
      </c>
      <c r="P29" s="35" t="n">
        <f aca="false">IFERROR(O29/O$20,0)</f>
        <v>0.389247311827957</v>
      </c>
      <c r="Q29" s="27" t="n">
        <f aca="false">SUM(Q23:Q28)</f>
        <v>11356.664</v>
      </c>
      <c r="R29" s="35" t="n">
        <f aca="false">IFERROR(Q29/Q$20,0)</f>
        <v>0.389247311827957</v>
      </c>
      <c r="S29" s="27" t="n">
        <f aca="false">SUM(S23:S28)</f>
        <v>11356.664</v>
      </c>
      <c r="T29" s="35" t="n">
        <f aca="false">IFERROR(S29/S$20,0)</f>
        <v>0.389247311827957</v>
      </c>
      <c r="U29" s="27" t="n">
        <f aca="false">SUM(U23:U28)</f>
        <v>11356.664</v>
      </c>
      <c r="V29" s="35" t="n">
        <f aca="false">IFERROR(U29/U$20,0)</f>
        <v>0.389247311827957</v>
      </c>
      <c r="W29" s="27" t="n">
        <f aca="false">SUM(W23:W28)</f>
        <v>11356.664</v>
      </c>
      <c r="X29" s="35" t="n">
        <f aca="false">IFERROR(W29/W$20,0)</f>
        <v>0.389247311827957</v>
      </c>
      <c r="Y29" s="27" t="n">
        <f aca="false">SUM(Y23:Y28)</f>
        <v>11356.664</v>
      </c>
      <c r="Z29" s="35" t="n">
        <f aca="false">IFERROR(Y29/Y$20,0)</f>
        <v>0.389247311827957</v>
      </c>
      <c r="AB29" s="27" t="n">
        <f aca="false">SUM(AB23:AB28)</f>
        <v>136279.968</v>
      </c>
      <c r="AC29" s="35" t="n">
        <f aca="false">IFERROR(AB29/AB$20,0)</f>
        <v>0.389247311827957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26323.96</v>
      </c>
      <c r="D30" s="8" t="n">
        <f aca="false">IFERROR(C30/C$20,0)</f>
        <v>0.610752688172043</v>
      </c>
      <c r="E30" s="7" t="n">
        <f aca="false">E20-E29</f>
        <v>8099.68</v>
      </c>
      <c r="F30" s="8" t="n">
        <f aca="false">IFERROR(E30/E$20,0)</f>
        <v>0.610752688172043</v>
      </c>
      <c r="G30" s="7" t="n">
        <f aca="false">G20-G29</f>
        <v>26323.96</v>
      </c>
      <c r="H30" s="8" t="n">
        <f aca="false">IFERROR(G30/G$20,0)</f>
        <v>0.610752688172043</v>
      </c>
      <c r="I30" s="7" t="n">
        <f aca="false">I20-I29</f>
        <v>8099.68</v>
      </c>
      <c r="J30" s="8" t="n">
        <f aca="false">IFERROR(I30/I$20,0)</f>
        <v>0.610752688172043</v>
      </c>
      <c r="K30" s="7" t="n">
        <f aca="false">K20-K29</f>
        <v>20249.2</v>
      </c>
      <c r="L30" s="8" t="n">
        <f aca="false">IFERROR(K30/K$20,0)</f>
        <v>0.610752688172043</v>
      </c>
      <c r="M30" s="7" t="n">
        <f aca="false">M20-M29</f>
        <v>17819.296</v>
      </c>
      <c r="N30" s="8" t="n">
        <f aca="false">IFERROR(M30/M$20,0)</f>
        <v>0.610752688172043</v>
      </c>
      <c r="O30" s="7" t="n">
        <f aca="false">O20-O29</f>
        <v>17819.296</v>
      </c>
      <c r="P30" s="8" t="n">
        <f aca="false">IFERROR(O30/O$20,0)</f>
        <v>0.610752688172043</v>
      </c>
      <c r="Q30" s="7" t="n">
        <f aca="false">Q20-Q29</f>
        <v>17819.296</v>
      </c>
      <c r="R30" s="8" t="n">
        <f aca="false">IFERROR(Q30/Q$20,0)</f>
        <v>0.610752688172043</v>
      </c>
      <c r="S30" s="7" t="n">
        <f aca="false">S20-S29</f>
        <v>17819.296</v>
      </c>
      <c r="T30" s="8" t="n">
        <f aca="false">IFERROR(S30/S$20,0)</f>
        <v>0.610752688172043</v>
      </c>
      <c r="U30" s="7" t="n">
        <f aca="false">U20-U29</f>
        <v>17819.296</v>
      </c>
      <c r="V30" s="8" t="n">
        <f aca="false">IFERROR(U30/U$20,0)</f>
        <v>0.610752688172043</v>
      </c>
      <c r="W30" s="7" t="n">
        <f aca="false">W20-W29</f>
        <v>17819.296</v>
      </c>
      <c r="X30" s="8" t="n">
        <f aca="false">IFERROR(W30/W$20,0)</f>
        <v>0.610752688172043</v>
      </c>
      <c r="Y30" s="7" t="n">
        <f aca="false">Y20-Y29</f>
        <v>17819.296</v>
      </c>
      <c r="Z30" s="8" t="n">
        <f aca="false">IFERROR(Y30/Y$20,0)</f>
        <v>0.610752688172043</v>
      </c>
      <c r="AB30" s="7" t="n">
        <f aca="false">AB20-AB29</f>
        <v>213831.552</v>
      </c>
      <c r="AC30" s="8" t="n">
        <f aca="false">IFERROR(AB30/AB$20,0)</f>
        <v>0.610752688172043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328</v>
      </c>
      <c r="C33" s="24" t="n">
        <f aca="false">C9*'Vessel Assumptions'!$C$36</f>
        <v>509.795</v>
      </c>
      <c r="D33" s="34" t="n">
        <f aca="false">IFERROR(C33/C$20,0)</f>
        <v>0.0118279569892473</v>
      </c>
      <c r="E33" s="24" t="n">
        <f aca="false">E9*'Vessel Assumptions'!$C$36</f>
        <v>156.86</v>
      </c>
      <c r="F33" s="34" t="n">
        <f aca="false">IFERROR(E33/E$20,0)</f>
        <v>0.0118279569892473</v>
      </c>
      <c r="G33" s="24" t="n">
        <f aca="false">G9*'Vessel Assumptions'!$C$36</f>
        <v>509.795</v>
      </c>
      <c r="H33" s="34" t="n">
        <f aca="false">IFERROR(G33/G$20,0)</f>
        <v>0.0118279569892473</v>
      </c>
      <c r="I33" s="24" t="n">
        <f aca="false">I9*'Vessel Assumptions'!$C$36</f>
        <v>156.86</v>
      </c>
      <c r="J33" s="34" t="n">
        <f aca="false">IFERROR(I33/I$20,0)</f>
        <v>0.0118279569892473</v>
      </c>
      <c r="K33" s="24" t="n">
        <f aca="false">K9*'Vessel Assumptions'!$C$36</f>
        <v>392.15</v>
      </c>
      <c r="L33" s="34" t="n">
        <f aca="false">IFERROR(K33/K$20,0)</f>
        <v>0.0118279569892473</v>
      </c>
      <c r="M33" s="24" t="n">
        <f aca="false">M9*'Vessel Assumptions'!$C$36</f>
        <v>345.092</v>
      </c>
      <c r="N33" s="34" t="n">
        <f aca="false">IFERROR(M33/M$20,0)</f>
        <v>0.0118279569892473</v>
      </c>
      <c r="O33" s="24" t="n">
        <f aca="false">O9*'Vessel Assumptions'!$C$36</f>
        <v>345.092</v>
      </c>
      <c r="P33" s="34" t="n">
        <f aca="false">IFERROR(O33/O$20,0)</f>
        <v>0.0118279569892473</v>
      </c>
      <c r="Q33" s="24" t="n">
        <f aca="false">Q9*'Vessel Assumptions'!$C$36</f>
        <v>345.092</v>
      </c>
      <c r="R33" s="34" t="n">
        <f aca="false">IFERROR(Q33/Q$20,0)</f>
        <v>0.0118279569892473</v>
      </c>
      <c r="S33" s="24" t="n">
        <f aca="false">S9*'Vessel Assumptions'!$C$36</f>
        <v>345.092</v>
      </c>
      <c r="T33" s="34" t="n">
        <f aca="false">IFERROR(S33/S$20,0)</f>
        <v>0.0118279569892473</v>
      </c>
      <c r="U33" s="24" t="n">
        <f aca="false">U9*'Vessel Assumptions'!$C$36</f>
        <v>345.092</v>
      </c>
      <c r="V33" s="34" t="n">
        <f aca="false">IFERROR(U33/U$20,0)</f>
        <v>0.0118279569892473</v>
      </c>
      <c r="W33" s="24" t="n">
        <f aca="false">W9*'Vessel Assumptions'!$C$36</f>
        <v>345.092</v>
      </c>
      <c r="X33" s="34" t="n">
        <f aca="false">IFERROR(W33/W$20,0)</f>
        <v>0.0118279569892473</v>
      </c>
      <c r="Y33" s="24" t="n">
        <f aca="false">Y9*'Vessel Assumptions'!$C$36</f>
        <v>345.092</v>
      </c>
      <c r="Z33" s="34" t="n">
        <f aca="false">IFERROR(Y33/Y$20,0)</f>
        <v>0.0118279569892473</v>
      </c>
      <c r="AB33" s="24" t="n">
        <f aca="false">SUM(C33,E33,G33,I33,K33,M33,O33,Q33,S33,U33,W33,Y33)</f>
        <v>4141.104</v>
      </c>
      <c r="AC33" s="34" t="n">
        <f aca="false">IFERROR(AB33/AB$20,0)</f>
        <v>0.0118279569892473</v>
      </c>
    </row>
    <row r="34" customFormat="false" ht="15" hidden="false" customHeight="true" outlineLevel="0" collapsed="false">
      <c r="A34" s="5" t="s">
        <v>196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197</v>
      </c>
      <c r="C35" s="24" t="n">
        <f aca="false">C9*'Vessel Assumptions'!$C$20</f>
        <v>4866.225</v>
      </c>
      <c r="D35" s="34" t="n">
        <f aca="false">IFERROR(C35/C$20,0)</f>
        <v>0.112903225806452</v>
      </c>
      <c r="E35" s="24" t="n">
        <f aca="false">E9*'Vessel Assumptions'!$C$20</f>
        <v>1497.3</v>
      </c>
      <c r="F35" s="34" t="n">
        <f aca="false">IFERROR(E35/E$20,0)</f>
        <v>0.112903225806452</v>
      </c>
      <c r="G35" s="24" t="n">
        <f aca="false">G9*'Vessel Assumptions'!$C$20</f>
        <v>4866.225</v>
      </c>
      <c r="H35" s="34" t="n">
        <f aca="false">IFERROR(G35/G$20,0)</f>
        <v>0.112903225806452</v>
      </c>
      <c r="I35" s="24" t="n">
        <f aca="false">I9*'Vessel Assumptions'!$C$20</f>
        <v>1497.3</v>
      </c>
      <c r="J35" s="34" t="n">
        <f aca="false">IFERROR(I35/I$20,0)</f>
        <v>0.112903225806452</v>
      </c>
      <c r="K35" s="24" t="n">
        <f aca="false">K9*'Vessel Assumptions'!$C$20</f>
        <v>3743.25</v>
      </c>
      <c r="L35" s="34" t="n">
        <f aca="false">IFERROR(K35/K$20,0)</f>
        <v>0.112903225806452</v>
      </c>
      <c r="M35" s="24" t="n">
        <f aca="false">M9*'Vessel Assumptions'!$C$20</f>
        <v>3294.06</v>
      </c>
      <c r="N35" s="34" t="n">
        <f aca="false">IFERROR(M35/M$20,0)</f>
        <v>0.112903225806452</v>
      </c>
      <c r="O35" s="24" t="n">
        <f aca="false">O9*'Vessel Assumptions'!$C$20</f>
        <v>3294.06</v>
      </c>
      <c r="P35" s="34" t="n">
        <f aca="false">IFERROR(O35/O$20,0)</f>
        <v>0.112903225806452</v>
      </c>
      <c r="Q35" s="24" t="n">
        <f aca="false">Q9*'Vessel Assumptions'!$C$20</f>
        <v>3294.06</v>
      </c>
      <c r="R35" s="34" t="n">
        <f aca="false">IFERROR(Q35/Q$20,0)</f>
        <v>0.112903225806452</v>
      </c>
      <c r="S35" s="24" t="n">
        <f aca="false">S9*'Vessel Assumptions'!$C$20</f>
        <v>3294.06</v>
      </c>
      <c r="T35" s="34" t="n">
        <f aca="false">IFERROR(S35/S$20,0)</f>
        <v>0.112903225806452</v>
      </c>
      <c r="U35" s="24" t="n">
        <f aca="false">U9*'Vessel Assumptions'!$C$20</f>
        <v>3294.06</v>
      </c>
      <c r="V35" s="34" t="n">
        <f aca="false">IFERROR(U35/U$20,0)</f>
        <v>0.112903225806452</v>
      </c>
      <c r="W35" s="24" t="n">
        <f aca="false">W9*'Vessel Assumptions'!$C$20</f>
        <v>3294.06</v>
      </c>
      <c r="X35" s="34" t="n">
        <f aca="false">IFERROR(W35/W$20,0)</f>
        <v>0.112903225806452</v>
      </c>
      <c r="Y35" s="24" t="n">
        <f aca="false">Y9*'Vessel Assumptions'!$C$20</f>
        <v>3294.06</v>
      </c>
      <c r="Z35" s="34" t="n">
        <f aca="false">IFERROR(Y35/Y$20,0)</f>
        <v>0.112903225806452</v>
      </c>
      <c r="AB35" s="24" t="n">
        <f aca="false">SUM(C35,E35,G35,I35,K35,M35,O35,Q35,S35,U35,W35,Y35)</f>
        <v>39528.72</v>
      </c>
      <c r="AC35" s="34" t="n">
        <f aca="false">IFERROR(AB35/AB$20,0)</f>
        <v>0.112903225806452</v>
      </c>
    </row>
    <row r="36" customFormat="false" ht="15" hidden="false" customHeight="true" outlineLevel="0" collapsed="false">
      <c r="A36" s="5" t="s">
        <v>198</v>
      </c>
      <c r="C36" s="24" t="n">
        <f aca="false">(C33+C35+C37)*'Vessel Assumptions'!$C$22</f>
        <v>1056.666</v>
      </c>
      <c r="D36" s="34" t="n">
        <f aca="false">IFERROR(C36/C$20,0)</f>
        <v>0.0245161290322581</v>
      </c>
      <c r="E36" s="24" t="n">
        <f aca="false">(E33+E35+E37)*'Vessel Assumptions'!$C$22</f>
        <v>325.128</v>
      </c>
      <c r="F36" s="34" t="n">
        <f aca="false">IFERROR(E36/E$20,0)</f>
        <v>0.0245161290322581</v>
      </c>
      <c r="G36" s="24" t="n">
        <f aca="false">(G33+G35+G37)*'Vessel Assumptions'!$C$22</f>
        <v>1056.666</v>
      </c>
      <c r="H36" s="34" t="n">
        <f aca="false">IFERROR(G36/G$20,0)</f>
        <v>0.0245161290322581</v>
      </c>
      <c r="I36" s="24" t="n">
        <f aca="false">(I33+I35+I37)*'Vessel Assumptions'!$C$22</f>
        <v>325.128</v>
      </c>
      <c r="J36" s="34" t="n">
        <f aca="false">IFERROR(I36/I$20,0)</f>
        <v>0.0245161290322581</v>
      </c>
      <c r="K36" s="24" t="n">
        <f aca="false">(K33+K35+K37)*'Vessel Assumptions'!$C$22</f>
        <v>812.82</v>
      </c>
      <c r="L36" s="34" t="n">
        <f aca="false">IFERROR(K36/K$20,0)</f>
        <v>0.0245161290322581</v>
      </c>
      <c r="M36" s="24" t="n">
        <f aca="false">(M33+M35+M37)*'Vessel Assumptions'!$C$22</f>
        <v>715.2816</v>
      </c>
      <c r="N36" s="34" t="n">
        <f aca="false">IFERROR(M36/M$20,0)</f>
        <v>0.0245161290322581</v>
      </c>
      <c r="O36" s="24" t="n">
        <f aca="false">(O33+O35+O37)*'Vessel Assumptions'!$C$22</f>
        <v>715.2816</v>
      </c>
      <c r="P36" s="34" t="n">
        <f aca="false">IFERROR(O36/O$20,0)</f>
        <v>0.0245161290322581</v>
      </c>
      <c r="Q36" s="24" t="n">
        <f aca="false">(Q33+Q35+Q37)*'Vessel Assumptions'!$C$22</f>
        <v>715.2816</v>
      </c>
      <c r="R36" s="34" t="n">
        <f aca="false">IFERROR(Q36/Q$20,0)</f>
        <v>0.0245161290322581</v>
      </c>
      <c r="S36" s="24" t="n">
        <f aca="false">(S33+S35+S37)*'Vessel Assumptions'!$C$22</f>
        <v>715.2816</v>
      </c>
      <c r="T36" s="34" t="n">
        <f aca="false">IFERROR(S36/S$20,0)</f>
        <v>0.0245161290322581</v>
      </c>
      <c r="U36" s="24" t="n">
        <f aca="false">(U33+U35+U37)*'Vessel Assumptions'!$C$22</f>
        <v>715.2816</v>
      </c>
      <c r="V36" s="34" t="n">
        <f aca="false">IFERROR(U36/U$20,0)</f>
        <v>0.0245161290322581</v>
      </c>
      <c r="W36" s="24" t="n">
        <f aca="false">(W33+W35+W37)*'Vessel Assumptions'!$C$22</f>
        <v>715.2816</v>
      </c>
      <c r="X36" s="34" t="n">
        <f aca="false">IFERROR(W36/W$20,0)</f>
        <v>0.0245161290322581</v>
      </c>
      <c r="Y36" s="24" t="n">
        <f aca="false">(Y33+Y35+Y37)*'Vessel Assumptions'!$C$22</f>
        <v>715.2816</v>
      </c>
      <c r="Z36" s="34" t="n">
        <f aca="false">IFERROR(Y36/Y$20,0)</f>
        <v>0.0245161290322581</v>
      </c>
      <c r="AB36" s="24" t="n">
        <f aca="false">SUM(C36,E36,G36,I36,K36,M36,O36,Q36,S36,U36,W36,Y36)</f>
        <v>8583.3792</v>
      </c>
      <c r="AC36" s="34" t="n">
        <f aca="false">IFERROR(AB36/AB$20,0)</f>
        <v>0.0245161290322581</v>
      </c>
    </row>
    <row r="37" customFormat="false" ht="15" hidden="false" customHeight="true" outlineLevel="0" collapsed="false">
      <c r="A37" s="5" t="s">
        <v>329</v>
      </c>
      <c r="C37" s="24" t="n">
        <f aca="false">C9*'Vessel Assumptions'!$C$37</f>
        <v>1038.128</v>
      </c>
      <c r="D37" s="34" t="n">
        <f aca="false">IFERROR(C37/C$20,0)</f>
        <v>0.0240860215053763</v>
      </c>
      <c r="E37" s="24" t="n">
        <f aca="false">E9*'Vessel Assumptions'!$C$37</f>
        <v>319.424</v>
      </c>
      <c r="F37" s="34" t="n">
        <f aca="false">IFERROR(E37/E$20,0)</f>
        <v>0.0240860215053763</v>
      </c>
      <c r="G37" s="24" t="n">
        <f aca="false">G9*'Vessel Assumptions'!$C$37</f>
        <v>1038.128</v>
      </c>
      <c r="H37" s="34" t="n">
        <f aca="false">IFERROR(G37/G$20,0)</f>
        <v>0.0240860215053763</v>
      </c>
      <c r="I37" s="24" t="n">
        <f aca="false">I9*'Vessel Assumptions'!$C$37</f>
        <v>319.424</v>
      </c>
      <c r="J37" s="34" t="n">
        <f aca="false">IFERROR(I37/I$20,0)</f>
        <v>0.0240860215053763</v>
      </c>
      <c r="K37" s="24" t="n">
        <f aca="false">K9*'Vessel Assumptions'!$C$37</f>
        <v>798.56</v>
      </c>
      <c r="L37" s="34" t="n">
        <f aca="false">IFERROR(K37/K$20,0)</f>
        <v>0.0240860215053763</v>
      </c>
      <c r="M37" s="24" t="n">
        <f aca="false">M9*'Vessel Assumptions'!$C$37</f>
        <v>702.7328</v>
      </c>
      <c r="N37" s="34" t="n">
        <f aca="false">IFERROR(M37/M$20,0)</f>
        <v>0.0240860215053763</v>
      </c>
      <c r="O37" s="24" t="n">
        <f aca="false">O9*'Vessel Assumptions'!$C$37</f>
        <v>702.7328</v>
      </c>
      <c r="P37" s="34" t="n">
        <f aca="false">IFERROR(O37/O$20,0)</f>
        <v>0.0240860215053763</v>
      </c>
      <c r="Q37" s="24" t="n">
        <f aca="false">Q9*'Vessel Assumptions'!$C$37</f>
        <v>702.7328</v>
      </c>
      <c r="R37" s="34" t="n">
        <f aca="false">IFERROR(Q37/Q$20,0)</f>
        <v>0.0240860215053763</v>
      </c>
      <c r="S37" s="24" t="n">
        <f aca="false">S9*'Vessel Assumptions'!$C$37</f>
        <v>702.7328</v>
      </c>
      <c r="T37" s="34" t="n">
        <f aca="false">IFERROR(S37/S$20,0)</f>
        <v>0.0240860215053763</v>
      </c>
      <c r="U37" s="24" t="n">
        <f aca="false">U9*'Vessel Assumptions'!$C$37</f>
        <v>702.7328</v>
      </c>
      <c r="V37" s="34" t="n">
        <f aca="false">IFERROR(U37/U$20,0)</f>
        <v>0.0240860215053763</v>
      </c>
      <c r="W37" s="24" t="n">
        <f aca="false">W9*'Vessel Assumptions'!$C$37</f>
        <v>702.7328</v>
      </c>
      <c r="X37" s="34" t="n">
        <f aca="false">IFERROR(W37/W$20,0)</f>
        <v>0.0240860215053763</v>
      </c>
      <c r="Y37" s="24" t="n">
        <f aca="false">Y9*'Vessel Assumptions'!$C$37</f>
        <v>702.7328</v>
      </c>
      <c r="Z37" s="34" t="n">
        <f aca="false">IFERROR(Y37/Y$20,0)</f>
        <v>0.0240860215053763</v>
      </c>
      <c r="AB37" s="24" t="n">
        <f aca="false">SUM(C37,E37,G37,I37,K37,M37,O37,Q37,S37,U37,W37,Y37)</f>
        <v>8432.7936</v>
      </c>
      <c r="AC37" s="34" t="n">
        <f aca="false">IFERROR(AB37/AB$20,0)</f>
        <v>0.0240860215053763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7470.814</v>
      </c>
      <c r="D38" s="35" t="n">
        <f aca="false">IFERROR(C38/C$20,0)</f>
        <v>0.173333333333333</v>
      </c>
      <c r="E38" s="27" t="n">
        <f aca="false">SUM(E33:E37)</f>
        <v>2298.712</v>
      </c>
      <c r="F38" s="35" t="n">
        <f aca="false">IFERROR(E38/E$20,0)</f>
        <v>0.173333333333333</v>
      </c>
      <c r="G38" s="27" t="n">
        <f aca="false">SUM(G33:G37)</f>
        <v>7470.814</v>
      </c>
      <c r="H38" s="35" t="n">
        <f aca="false">IFERROR(G38/G$20,0)</f>
        <v>0.173333333333333</v>
      </c>
      <c r="I38" s="27" t="n">
        <f aca="false">SUM(I33:I37)</f>
        <v>2298.712</v>
      </c>
      <c r="J38" s="35" t="n">
        <f aca="false">IFERROR(I38/I$20,0)</f>
        <v>0.173333333333333</v>
      </c>
      <c r="K38" s="27" t="n">
        <f aca="false">SUM(K33:K37)</f>
        <v>5746.78</v>
      </c>
      <c r="L38" s="35" t="n">
        <f aca="false">IFERROR(K38/K$20,0)</f>
        <v>0.173333333333333</v>
      </c>
      <c r="M38" s="27" t="n">
        <f aca="false">SUM(M33:M37)</f>
        <v>5057.1664</v>
      </c>
      <c r="N38" s="35" t="n">
        <f aca="false">IFERROR(M38/M$20,0)</f>
        <v>0.173333333333333</v>
      </c>
      <c r="O38" s="27" t="n">
        <f aca="false">SUM(O33:O37)</f>
        <v>5057.1664</v>
      </c>
      <c r="P38" s="35" t="n">
        <f aca="false">IFERROR(O38/O$20,0)</f>
        <v>0.173333333333333</v>
      </c>
      <c r="Q38" s="27" t="n">
        <f aca="false">SUM(Q33:Q37)</f>
        <v>5057.1664</v>
      </c>
      <c r="R38" s="35" t="n">
        <f aca="false">IFERROR(Q38/Q$20,0)</f>
        <v>0.173333333333333</v>
      </c>
      <c r="S38" s="27" t="n">
        <f aca="false">SUM(S33:S37)</f>
        <v>5057.1664</v>
      </c>
      <c r="T38" s="35" t="n">
        <f aca="false">IFERROR(S38/S$20,0)</f>
        <v>0.173333333333333</v>
      </c>
      <c r="U38" s="27" t="n">
        <f aca="false">SUM(U33:U37)</f>
        <v>5057.1664</v>
      </c>
      <c r="V38" s="35" t="n">
        <f aca="false">IFERROR(U38/U$20,0)</f>
        <v>0.173333333333333</v>
      </c>
      <c r="W38" s="27" t="n">
        <f aca="false">SUM(W33:W37)</f>
        <v>5057.1664</v>
      </c>
      <c r="X38" s="35" t="n">
        <f aca="false">IFERROR(W38/W$20,0)</f>
        <v>0.173333333333333</v>
      </c>
      <c r="Y38" s="27" t="n">
        <f aca="false">SUM(Y33:Y37)</f>
        <v>5057.1664</v>
      </c>
      <c r="Z38" s="35" t="n">
        <f aca="false">IFERROR(Y38/Y$20,0)</f>
        <v>0.173333333333333</v>
      </c>
      <c r="AB38" s="27" t="n">
        <f aca="false">SUM(AB33:AB37)</f>
        <v>60685.9968</v>
      </c>
      <c r="AC38" s="35" t="n">
        <f aca="false">IFERROR(AB38/AB$20,0)</f>
        <v>0.173333333333333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24247.704</v>
      </c>
      <c r="D40" s="8" t="n">
        <f aca="false">IFERROR(C40/C$20,0)</f>
        <v>0.562580645161291</v>
      </c>
      <c r="E40" s="7" t="n">
        <f aca="false">E29+E38</f>
        <v>7460.832</v>
      </c>
      <c r="F40" s="8" t="n">
        <f aca="false">IFERROR(E40/E$20,0)</f>
        <v>0.56258064516129</v>
      </c>
      <c r="G40" s="7" t="n">
        <f aca="false">G29+G38</f>
        <v>24247.704</v>
      </c>
      <c r="H40" s="8" t="n">
        <f aca="false">IFERROR(G40/G$20,0)</f>
        <v>0.562580645161291</v>
      </c>
      <c r="I40" s="7" t="n">
        <f aca="false">I29+I38</f>
        <v>7460.832</v>
      </c>
      <c r="J40" s="8" t="n">
        <f aca="false">IFERROR(I40/I$20,0)</f>
        <v>0.56258064516129</v>
      </c>
      <c r="K40" s="7" t="n">
        <f aca="false">K29+K38</f>
        <v>18652.08</v>
      </c>
      <c r="L40" s="8" t="n">
        <f aca="false">IFERROR(K40/K$20,0)</f>
        <v>0.56258064516129</v>
      </c>
      <c r="M40" s="7" t="n">
        <f aca="false">M29+M38</f>
        <v>16413.8304</v>
      </c>
      <c r="N40" s="8" t="n">
        <f aca="false">IFERROR(M40/M$20,0)</f>
        <v>0.56258064516129</v>
      </c>
      <c r="O40" s="7" t="n">
        <f aca="false">O29+O38</f>
        <v>16413.8304</v>
      </c>
      <c r="P40" s="8" t="n">
        <f aca="false">IFERROR(O40/O$20,0)</f>
        <v>0.56258064516129</v>
      </c>
      <c r="Q40" s="7" t="n">
        <f aca="false">Q29+Q38</f>
        <v>16413.8304</v>
      </c>
      <c r="R40" s="8" t="n">
        <f aca="false">IFERROR(Q40/Q$20,0)</f>
        <v>0.56258064516129</v>
      </c>
      <c r="S40" s="7" t="n">
        <f aca="false">S29+S38</f>
        <v>16413.8304</v>
      </c>
      <c r="T40" s="8" t="n">
        <f aca="false">IFERROR(S40/S$20,0)</f>
        <v>0.56258064516129</v>
      </c>
      <c r="U40" s="7" t="n">
        <f aca="false">U29+U38</f>
        <v>16413.8304</v>
      </c>
      <c r="V40" s="8" t="n">
        <f aca="false">IFERROR(U40/U$20,0)</f>
        <v>0.56258064516129</v>
      </c>
      <c r="W40" s="7" t="n">
        <f aca="false">W29+W38</f>
        <v>16413.8304</v>
      </c>
      <c r="X40" s="8" t="n">
        <f aca="false">IFERROR(W40/W$20,0)</f>
        <v>0.56258064516129</v>
      </c>
      <c r="Y40" s="7" t="n">
        <f aca="false">Y29+Y38</f>
        <v>16413.8304</v>
      </c>
      <c r="Z40" s="8" t="n">
        <f aca="false">IFERROR(Y40/Y$20,0)</f>
        <v>0.56258064516129</v>
      </c>
      <c r="AB40" s="7" t="n">
        <f aca="false">AB29+AB38</f>
        <v>196965.9648</v>
      </c>
      <c r="AC40" s="8" t="n">
        <f aca="false">IFERROR(AB40/AB$20,0)</f>
        <v>0.56258064516129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18853.146</v>
      </c>
      <c r="D41" s="8" t="n">
        <f aca="false">IFERROR(C41/C$20,0)</f>
        <v>0.43741935483871</v>
      </c>
      <c r="E41" s="7" t="n">
        <f aca="false">E30-E38</f>
        <v>5800.968</v>
      </c>
      <c r="F41" s="8" t="n">
        <f aca="false">IFERROR(E41/E$20,0)</f>
        <v>0.43741935483871</v>
      </c>
      <c r="G41" s="7" t="n">
        <f aca="false">G30-G38</f>
        <v>18853.146</v>
      </c>
      <c r="H41" s="8" t="n">
        <f aca="false">IFERROR(G41/G$20,0)</f>
        <v>0.43741935483871</v>
      </c>
      <c r="I41" s="7" t="n">
        <f aca="false">I30-I38</f>
        <v>5800.968</v>
      </c>
      <c r="J41" s="8" t="n">
        <f aca="false">IFERROR(I41/I$20,0)</f>
        <v>0.43741935483871</v>
      </c>
      <c r="K41" s="7" t="n">
        <f aca="false">K30-K38</f>
        <v>14502.42</v>
      </c>
      <c r="L41" s="8" t="n">
        <f aca="false">IFERROR(K41/K$20,0)</f>
        <v>0.43741935483871</v>
      </c>
      <c r="M41" s="7" t="n">
        <f aca="false">M30-M38</f>
        <v>12762.1296</v>
      </c>
      <c r="N41" s="8" t="n">
        <f aca="false">IFERROR(M41/M$20,0)</f>
        <v>0.43741935483871</v>
      </c>
      <c r="O41" s="7" t="n">
        <f aca="false">O30-O38</f>
        <v>12762.1296</v>
      </c>
      <c r="P41" s="8" t="n">
        <f aca="false">IFERROR(O41/O$20,0)</f>
        <v>0.43741935483871</v>
      </c>
      <c r="Q41" s="7" t="n">
        <f aca="false">Q30-Q38</f>
        <v>12762.1296</v>
      </c>
      <c r="R41" s="8" t="n">
        <f aca="false">IFERROR(Q41/Q$20,0)</f>
        <v>0.43741935483871</v>
      </c>
      <c r="S41" s="7" t="n">
        <f aca="false">S30-S38</f>
        <v>12762.1296</v>
      </c>
      <c r="T41" s="8" t="n">
        <f aca="false">IFERROR(S41/S$20,0)</f>
        <v>0.43741935483871</v>
      </c>
      <c r="U41" s="7" t="n">
        <f aca="false">U30-U38</f>
        <v>12762.1296</v>
      </c>
      <c r="V41" s="8" t="n">
        <f aca="false">IFERROR(U41/U$20,0)</f>
        <v>0.43741935483871</v>
      </c>
      <c r="W41" s="7" t="n">
        <f aca="false">W30-W38</f>
        <v>12762.1296</v>
      </c>
      <c r="X41" s="8" t="n">
        <f aca="false">IFERROR(W41/W$20,0)</f>
        <v>0.43741935483871</v>
      </c>
      <c r="Y41" s="7" t="n">
        <f aca="false">Y30-Y38</f>
        <v>12762.1296</v>
      </c>
      <c r="Z41" s="8" t="n">
        <f aca="false">IFERROR(Y41/Y$20,0)</f>
        <v>0.43741935483871</v>
      </c>
      <c r="AB41" s="7" t="n">
        <f aca="false">AB30-AB38</f>
        <v>153145.5552</v>
      </c>
      <c r="AC41" s="8" t="n">
        <f aca="false">IFERROR(AB41/AB$20,0)</f>
        <v>0.43741935483871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330</v>
      </c>
      <c r="C44" s="24" t="n">
        <f aca="false">C20*'Vessel Assumptions'!$C$38</f>
        <v>5329.675</v>
      </c>
      <c r="D44" s="34" t="n">
        <f aca="false">IFERROR(C44/C$20,0)</f>
        <v>0.123655913978495</v>
      </c>
      <c r="E44" s="24" t="n">
        <f aca="false">E20*'Vessel Assumptions'!$C$38</f>
        <v>1639.9</v>
      </c>
      <c r="F44" s="34" t="n">
        <f aca="false">IFERROR(E44/E$20,0)</f>
        <v>0.123655913978495</v>
      </c>
      <c r="G44" s="24" t="n">
        <f aca="false">G20*'Vessel Assumptions'!$C$38</f>
        <v>5329.675</v>
      </c>
      <c r="H44" s="34" t="n">
        <f aca="false">IFERROR(G44/G$20,0)</f>
        <v>0.123655913978495</v>
      </c>
      <c r="I44" s="24" t="n">
        <f aca="false">I20*'Vessel Assumptions'!$C$38</f>
        <v>1639.9</v>
      </c>
      <c r="J44" s="34" t="n">
        <f aca="false">IFERROR(I44/I$20,0)</f>
        <v>0.123655913978495</v>
      </c>
      <c r="K44" s="24" t="n">
        <f aca="false">K20*'Vessel Assumptions'!$C$38</f>
        <v>4099.75</v>
      </c>
      <c r="L44" s="34" t="n">
        <f aca="false">IFERROR(K44/K$20,0)</f>
        <v>0.123655913978495</v>
      </c>
      <c r="M44" s="24" t="n">
        <f aca="false">M20*'Vessel Assumptions'!$C$38</f>
        <v>3607.78</v>
      </c>
      <c r="N44" s="34" t="n">
        <f aca="false">IFERROR(M44/M$20,0)</f>
        <v>0.123655913978495</v>
      </c>
      <c r="O44" s="24" t="n">
        <f aca="false">O20*'Vessel Assumptions'!$C$38</f>
        <v>3607.78</v>
      </c>
      <c r="P44" s="34" t="n">
        <f aca="false">IFERROR(O44/O$20,0)</f>
        <v>0.123655913978495</v>
      </c>
      <c r="Q44" s="24" t="n">
        <f aca="false">Q20*'Vessel Assumptions'!$C$38</f>
        <v>3607.78</v>
      </c>
      <c r="R44" s="34" t="n">
        <f aca="false">IFERROR(Q44/Q$20,0)</f>
        <v>0.123655913978495</v>
      </c>
      <c r="S44" s="24" t="n">
        <f aca="false">S20*'Vessel Assumptions'!$C$38</f>
        <v>3607.78</v>
      </c>
      <c r="T44" s="34" t="n">
        <f aca="false">IFERROR(S44/S$20,0)</f>
        <v>0.123655913978495</v>
      </c>
      <c r="U44" s="24" t="n">
        <f aca="false">U20*'Vessel Assumptions'!$C$38</f>
        <v>3607.78</v>
      </c>
      <c r="V44" s="34" t="n">
        <f aca="false">IFERROR(U44/U$20,0)</f>
        <v>0.123655913978495</v>
      </c>
      <c r="W44" s="24" t="n">
        <f aca="false">W20*'Vessel Assumptions'!$C$38</f>
        <v>3607.78</v>
      </c>
      <c r="X44" s="34" t="n">
        <f aca="false">IFERROR(W44/W$20,0)</f>
        <v>0.123655913978495</v>
      </c>
      <c r="Y44" s="24" t="n">
        <f aca="false">Y20*'Vessel Assumptions'!$C$38</f>
        <v>3607.78</v>
      </c>
      <c r="Z44" s="34" t="n">
        <f aca="false">IFERROR(Y44/Y$20,0)</f>
        <v>0.123655913978495</v>
      </c>
      <c r="AB44" s="24" t="n">
        <f aca="false">SUM(C44,E44,G44,I44,K44,M44,O44,Q44,S44,U44,W44,Y44)</f>
        <v>43293.36</v>
      </c>
      <c r="AC44" s="34" t="n">
        <f aca="false">IFERROR(AB44/AB$20,0)</f>
        <v>0.123655913978495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E45" s="24" t="n">
        <v>0</v>
      </c>
      <c r="F45" s="34" t="n">
        <f aca="false">IFERROR(E45/E$20,0)</f>
        <v>0</v>
      </c>
      <c r="G45" s="24" t="n">
        <v>0</v>
      </c>
      <c r="H45" s="34" t="n">
        <f aca="false">IFERROR(G45/G$20,0)</f>
        <v>0</v>
      </c>
      <c r="I45" s="24" t="n">
        <v>0</v>
      </c>
      <c r="J45" s="34" t="n">
        <f aca="false">IFERROR(I45/I$20,0)</f>
        <v>0</v>
      </c>
      <c r="K45" s="24" t="n">
        <v>0</v>
      </c>
      <c r="L45" s="34" t="n">
        <f aca="false">IFERROR(K45/K$20,0)</f>
        <v>0</v>
      </c>
      <c r="M45" s="24" t="n">
        <v>0</v>
      </c>
      <c r="N45" s="34" t="n">
        <f aca="false">IFERROR(M45/M$20,0)</f>
        <v>0</v>
      </c>
      <c r="O45" s="24" t="n">
        <v>0</v>
      </c>
      <c r="P45" s="34" t="n">
        <f aca="false">IFERROR(O45/O$20,0)</f>
        <v>0</v>
      </c>
      <c r="Q45" s="24" t="n">
        <v>0</v>
      </c>
      <c r="R45" s="34" t="n">
        <f aca="false">IFERROR(Q45/Q$20,0)</f>
        <v>0</v>
      </c>
      <c r="S45" s="24" t="n">
        <v>0</v>
      </c>
      <c r="T45" s="34" t="n">
        <f aca="false">IFERROR(S45/S$20,0)</f>
        <v>0</v>
      </c>
      <c r="U45" s="24" t="n">
        <v>0</v>
      </c>
      <c r="V45" s="34" t="n">
        <f aca="false">IFERROR(U45/U$20,0)</f>
        <v>0</v>
      </c>
      <c r="W45" s="24" t="n">
        <v>0</v>
      </c>
      <c r="X45" s="34" t="n">
        <f aca="false">IFERROR(W45/W$20,0)</f>
        <v>0</v>
      </c>
      <c r="Y45" s="24" t="n"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E46" s="24" t="n">
        <v>0</v>
      </c>
      <c r="F46" s="34" t="n">
        <f aca="false">IFERROR(E46/E$20,0)</f>
        <v>0</v>
      </c>
      <c r="G46" s="24" t="n">
        <v>0</v>
      </c>
      <c r="H46" s="34" t="n">
        <f aca="false">IFERROR(G46/G$20,0)</f>
        <v>0</v>
      </c>
      <c r="I46" s="24" t="n">
        <v>0</v>
      </c>
      <c r="J46" s="34" t="n">
        <f aca="false">IFERROR(I46/I$20,0)</f>
        <v>0</v>
      </c>
      <c r="K46" s="24" t="n">
        <v>0</v>
      </c>
      <c r="L46" s="34" t="n">
        <f aca="false">IFERROR(K46/K$20,0)</f>
        <v>0</v>
      </c>
      <c r="M46" s="24" t="n">
        <v>0</v>
      </c>
      <c r="N46" s="34" t="n">
        <f aca="false">IFERROR(M46/M$20,0)</f>
        <v>0</v>
      </c>
      <c r="O46" s="24" t="n">
        <v>0</v>
      </c>
      <c r="P46" s="34" t="n">
        <f aca="false">IFERROR(O46/O$20,0)</f>
        <v>0</v>
      </c>
      <c r="Q46" s="24" t="n">
        <v>0</v>
      </c>
      <c r="R46" s="34" t="n">
        <f aca="false">IFERROR(Q46/Q$20,0)</f>
        <v>0</v>
      </c>
      <c r="S46" s="24" t="n">
        <v>0</v>
      </c>
      <c r="T46" s="34" t="n">
        <f aca="false">IFERROR(S46/S$20,0)</f>
        <v>0</v>
      </c>
      <c r="U46" s="24" t="n">
        <v>0</v>
      </c>
      <c r="V46" s="34" t="n">
        <f aca="false">IFERROR(U46/U$20,0)</f>
        <v>0</v>
      </c>
      <c r="W46" s="24" t="n">
        <v>0</v>
      </c>
      <c r="X46" s="34" t="n">
        <f aca="false">IFERROR(W46/W$20,0)</f>
        <v>0</v>
      </c>
      <c r="Y46" s="24" t="n">
        <v>0</v>
      </c>
      <c r="Z46" s="34" t="n">
        <f aca="false">IFERROR(Y46/Y$20,0)</f>
        <v>0</v>
      </c>
      <c r="AB46" s="24" t="n">
        <f aca="false">SUM(C46,E46,G46,I46,K46,M46,O46,Q46,S46,U46,W46,Y46)</f>
        <v>0</v>
      </c>
      <c r="AC46" s="34" t="n">
        <f aca="false">IFERROR(AB46/AB$20,0)</f>
        <v>0</v>
      </c>
    </row>
    <row r="47" customFormat="false" ht="15" hidden="false" customHeight="true" outlineLevel="0" collapsed="false">
      <c r="A47" s="5" t="s">
        <v>331</v>
      </c>
      <c r="C47" s="24" t="n">
        <v>0</v>
      </c>
      <c r="D47" s="34" t="n">
        <f aca="false">IFERROR(C47/C$20,0)</f>
        <v>0</v>
      </c>
      <c r="E47" s="24" t="n">
        <v>0</v>
      </c>
      <c r="F47" s="34" t="n">
        <f aca="false">IFERROR(E47/E$20,0)</f>
        <v>0</v>
      </c>
      <c r="G47" s="24" t="n">
        <v>0</v>
      </c>
      <c r="H47" s="34" t="n">
        <f aca="false">IFERROR(G47/G$20,0)</f>
        <v>0</v>
      </c>
      <c r="I47" s="24" t="n">
        <v>0</v>
      </c>
      <c r="J47" s="34" t="n">
        <f aca="false">IFERROR(I47/I$20,0)</f>
        <v>0</v>
      </c>
      <c r="K47" s="24" t="n">
        <v>0</v>
      </c>
      <c r="L47" s="34" t="n">
        <f aca="false">IFERROR(K47/K$20,0)</f>
        <v>0</v>
      </c>
      <c r="M47" s="24" t="n">
        <v>0</v>
      </c>
      <c r="N47" s="34" t="n">
        <f aca="false">IFERROR(M47/M$20,0)</f>
        <v>0</v>
      </c>
      <c r="O47" s="24" t="n">
        <v>0</v>
      </c>
      <c r="P47" s="34" t="n">
        <f aca="false">IFERROR(O47/O$20,0)</f>
        <v>0</v>
      </c>
      <c r="Q47" s="24" t="n">
        <v>0</v>
      </c>
      <c r="R47" s="34" t="n">
        <f aca="false">IFERROR(Q47/Q$20,0)</f>
        <v>0</v>
      </c>
      <c r="S47" s="24" t="n">
        <v>0</v>
      </c>
      <c r="T47" s="34" t="n">
        <f aca="false">IFERROR(S47/S$20,0)</f>
        <v>0</v>
      </c>
      <c r="U47" s="24" t="n">
        <v>0</v>
      </c>
      <c r="V47" s="34" t="n">
        <f aca="false">IFERROR(U47/U$20,0)</f>
        <v>0</v>
      </c>
      <c r="W47" s="24" t="n">
        <v>0</v>
      </c>
      <c r="X47" s="34" t="n">
        <f aca="false">IFERROR(W47/W$20,0)</f>
        <v>0</v>
      </c>
      <c r="Y47" s="24" t="n">
        <v>0</v>
      </c>
      <c r="Z47" s="34" t="n">
        <f aca="false">IFERROR(Y47/Y$20,0)</f>
        <v>0</v>
      </c>
      <c r="AB47" s="24" t="n">
        <f aca="false">SUM(C47,E47,G47,I47,K47,M47,O47,Q47,S47,U47,W47,Y47)</f>
        <v>0</v>
      </c>
      <c r="AC47" s="34" t="n">
        <f aca="false">IFERROR(AB47/AB$20,0)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E48" s="24" t="n">
        <v>0</v>
      </c>
      <c r="F48" s="34" t="n">
        <f aca="false">IFERROR(E48/E$20,0)</f>
        <v>0</v>
      </c>
      <c r="G48" s="24" t="n">
        <v>0</v>
      </c>
      <c r="H48" s="34" t="n">
        <f aca="false">IFERROR(G48/G$20,0)</f>
        <v>0</v>
      </c>
      <c r="I48" s="24" t="n">
        <v>0</v>
      </c>
      <c r="J48" s="34" t="n">
        <f aca="false">IFERROR(I48/I$20,0)</f>
        <v>0</v>
      </c>
      <c r="K48" s="24" t="n">
        <v>0</v>
      </c>
      <c r="L48" s="34" t="n">
        <f aca="false">IFERROR(K48/K$20,0)</f>
        <v>0</v>
      </c>
      <c r="M48" s="24" t="n">
        <v>0</v>
      </c>
      <c r="N48" s="34" t="n">
        <f aca="false">IFERROR(M48/M$20,0)</f>
        <v>0</v>
      </c>
      <c r="O48" s="24" t="n">
        <v>0</v>
      </c>
      <c r="P48" s="34" t="n">
        <f aca="false">IFERROR(O48/O$20,0)</f>
        <v>0</v>
      </c>
      <c r="Q48" s="24" t="n">
        <v>0</v>
      </c>
      <c r="R48" s="34" t="n">
        <f aca="false">IFERROR(Q48/Q$20,0)</f>
        <v>0</v>
      </c>
      <c r="S48" s="24" t="n">
        <v>0</v>
      </c>
      <c r="T48" s="34" t="n">
        <f aca="false">IFERROR(S48/S$20,0)</f>
        <v>0</v>
      </c>
      <c r="U48" s="24" t="n">
        <v>0</v>
      </c>
      <c r="V48" s="34" t="n">
        <f aca="false">IFERROR(U48/U$20,0)</f>
        <v>0</v>
      </c>
      <c r="W48" s="24" t="n">
        <v>0</v>
      </c>
      <c r="X48" s="34" t="n">
        <f aca="false">IFERROR(W48/W$20,0)</f>
        <v>0</v>
      </c>
      <c r="Y48" s="24" t="n">
        <v>0</v>
      </c>
      <c r="Z48" s="34" t="n">
        <f aca="false">IFERROR(Y48/Y$20,0)</f>
        <v>0</v>
      </c>
      <c r="AB48" s="24" t="n">
        <f aca="false">SUM(C48,E48,G48,I48,K48,M48,O48,Q48,S48,U48,W48,Y48)</f>
        <v>0</v>
      </c>
      <c r="AC48" s="34" t="n">
        <f aca="false">IFERROR(AB48/AB$20,0)</f>
        <v>0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5329.675</v>
      </c>
      <c r="D50" s="35" t="n">
        <f aca="false">IFERROR(C50/C$20,0)</f>
        <v>0.123655913978495</v>
      </c>
      <c r="E50" s="27" t="n">
        <f aca="false">SUM(E44:E49)</f>
        <v>1639.9</v>
      </c>
      <c r="F50" s="35" t="n">
        <f aca="false">IFERROR(E50/E$20,0)</f>
        <v>0.123655913978495</v>
      </c>
      <c r="G50" s="27" t="n">
        <f aca="false">SUM(G44:G49)</f>
        <v>5329.675</v>
      </c>
      <c r="H50" s="35" t="n">
        <f aca="false">IFERROR(G50/G$20,0)</f>
        <v>0.123655913978495</v>
      </c>
      <c r="I50" s="27" t="n">
        <f aca="false">SUM(I44:I49)</f>
        <v>1639.9</v>
      </c>
      <c r="J50" s="35" t="n">
        <f aca="false">IFERROR(I50/I$20,0)</f>
        <v>0.123655913978495</v>
      </c>
      <c r="K50" s="27" t="n">
        <f aca="false">SUM(K44:K49)</f>
        <v>4099.75</v>
      </c>
      <c r="L50" s="35" t="n">
        <f aca="false">IFERROR(K50/K$20,0)</f>
        <v>0.123655913978495</v>
      </c>
      <c r="M50" s="27" t="n">
        <f aca="false">SUM(M44:M49)</f>
        <v>3607.78</v>
      </c>
      <c r="N50" s="35" t="n">
        <f aca="false">IFERROR(M50/M$20,0)</f>
        <v>0.123655913978495</v>
      </c>
      <c r="O50" s="27" t="n">
        <f aca="false">SUM(O44:O49)</f>
        <v>3607.78</v>
      </c>
      <c r="P50" s="35" t="n">
        <f aca="false">IFERROR(O50/O$20,0)</f>
        <v>0.123655913978495</v>
      </c>
      <c r="Q50" s="27" t="n">
        <f aca="false">SUM(Q44:Q49)</f>
        <v>3607.78</v>
      </c>
      <c r="R50" s="35" t="n">
        <f aca="false">IFERROR(Q50/Q$20,0)</f>
        <v>0.123655913978495</v>
      </c>
      <c r="S50" s="27" t="n">
        <f aca="false">SUM(S44:S49)</f>
        <v>3607.78</v>
      </c>
      <c r="T50" s="35" t="n">
        <f aca="false">IFERROR(S50/S$20,0)</f>
        <v>0.123655913978495</v>
      </c>
      <c r="U50" s="27" t="n">
        <f aca="false">SUM(U44:U49)</f>
        <v>3607.78</v>
      </c>
      <c r="V50" s="35" t="n">
        <f aca="false">IFERROR(U50/U$20,0)</f>
        <v>0.123655913978495</v>
      </c>
      <c r="W50" s="27" t="n">
        <f aca="false">SUM(W44:W49)</f>
        <v>3607.78</v>
      </c>
      <c r="X50" s="35" t="n">
        <f aca="false">IFERROR(W50/W$20,0)</f>
        <v>0.123655913978495</v>
      </c>
      <c r="Y50" s="27" t="n">
        <f aca="false">SUM(Y44:Y49)</f>
        <v>3607.78</v>
      </c>
      <c r="Z50" s="35" t="n">
        <f aca="false">IFERROR(Y50/Y$20,0)</f>
        <v>0.123655913978495</v>
      </c>
      <c r="AB50" s="27" t="n">
        <f aca="false">SUM(AB44:AB49)</f>
        <v>43293.36</v>
      </c>
      <c r="AC50" s="35" t="n">
        <f aca="false">IFERROR(AB50/AB$20,0)</f>
        <v>0.123655913978495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E53" s="24" t="n">
        <v>0</v>
      </c>
      <c r="F53" s="34" t="n">
        <f aca="false">IFERROR(E53/E$20,0)</f>
        <v>0</v>
      </c>
      <c r="G53" s="24" t="n">
        <v>0</v>
      </c>
      <c r="H53" s="34" t="n">
        <f aca="false">IFERROR(G53/G$20,0)</f>
        <v>0</v>
      </c>
      <c r="I53" s="24" t="n">
        <v>0</v>
      </c>
      <c r="J53" s="34" t="n">
        <f aca="false">IFERROR(I53/I$20,0)</f>
        <v>0</v>
      </c>
      <c r="K53" s="24" t="n">
        <v>0</v>
      </c>
      <c r="L53" s="34" t="n">
        <f aca="false">IFERROR(K53/K$20,0)</f>
        <v>0</v>
      </c>
      <c r="M53" s="24" t="n">
        <v>0</v>
      </c>
      <c r="N53" s="34" t="n">
        <f aca="false">IFERROR(M53/M$20,0)</f>
        <v>0</v>
      </c>
      <c r="O53" s="24" t="n">
        <v>0</v>
      </c>
      <c r="P53" s="34" t="n">
        <f aca="false">IFERROR(O53/O$20,0)</f>
        <v>0</v>
      </c>
      <c r="Q53" s="24" t="n">
        <v>0</v>
      </c>
      <c r="R53" s="34" t="n">
        <f aca="false">IFERROR(Q53/Q$20,0)</f>
        <v>0</v>
      </c>
      <c r="S53" s="24" t="n">
        <v>0</v>
      </c>
      <c r="T53" s="34" t="n">
        <f aca="false">IFERROR(S53/S$20,0)</f>
        <v>0</v>
      </c>
      <c r="U53" s="24" t="n">
        <v>0</v>
      </c>
      <c r="V53" s="34" t="n">
        <f aca="false">IFERROR(U53/U$20,0)</f>
        <v>0</v>
      </c>
      <c r="W53" s="24" t="n">
        <v>0</v>
      </c>
      <c r="X53" s="34" t="n">
        <f aca="false">IFERROR(W53/W$20,0)</f>
        <v>0</v>
      </c>
      <c r="Y53" s="24" t="n">
        <v>0</v>
      </c>
      <c r="Z53" s="34" t="n">
        <f aca="false">IFERROR(Y53/Y$20,0)</f>
        <v>0</v>
      </c>
      <c r="AB53" s="24" t="n">
        <f aca="false">SUM(C53,E53,G53,I53,K53,M53,O53,Q53,S53,U53,W53,Y53)</f>
        <v>0</v>
      </c>
      <c r="AC53" s="34" t="n">
        <f aca="false">IFERROR(AB53/AB$20,0)</f>
        <v>0</v>
      </c>
    </row>
    <row r="54" customFormat="false" ht="15" hidden="false" customHeight="true" outlineLevel="0" collapsed="false">
      <c r="A54" s="5" t="s">
        <v>212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332</v>
      </c>
      <c r="C55" s="24" t="n">
        <f aca="false">C20*'Vessel Assumptions'!$C$39</f>
        <v>1075.204</v>
      </c>
      <c r="D55" s="34" t="n">
        <f aca="false">IFERROR(C55/C$20,0)</f>
        <v>0.0249462365591398</v>
      </c>
      <c r="E55" s="24" t="n">
        <f aca="false">E20*'Vessel Assumptions'!$C$39</f>
        <v>330.832</v>
      </c>
      <c r="F55" s="34" t="n">
        <f aca="false">IFERROR(E55/E$20,0)</f>
        <v>0.0249462365591398</v>
      </c>
      <c r="G55" s="24" t="n">
        <f aca="false">G20*'Vessel Assumptions'!$C$39</f>
        <v>1075.204</v>
      </c>
      <c r="H55" s="34" t="n">
        <f aca="false">IFERROR(G55/G$20,0)</f>
        <v>0.0249462365591398</v>
      </c>
      <c r="I55" s="24" t="n">
        <f aca="false">I20*'Vessel Assumptions'!$C$39</f>
        <v>330.832</v>
      </c>
      <c r="J55" s="34" t="n">
        <f aca="false">IFERROR(I55/I$20,0)</f>
        <v>0.0249462365591398</v>
      </c>
      <c r="K55" s="24" t="n">
        <f aca="false">K20*'Vessel Assumptions'!$C$39</f>
        <v>827.08</v>
      </c>
      <c r="L55" s="34" t="n">
        <f aca="false">IFERROR(K55/K$20,0)</f>
        <v>0.0249462365591398</v>
      </c>
      <c r="M55" s="24" t="n">
        <f aca="false">M20*'Vessel Assumptions'!$C$39</f>
        <v>727.8304</v>
      </c>
      <c r="N55" s="34" t="n">
        <f aca="false">IFERROR(M55/M$20,0)</f>
        <v>0.0249462365591398</v>
      </c>
      <c r="O55" s="24" t="n">
        <f aca="false">O20*'Vessel Assumptions'!$C$39</f>
        <v>727.8304</v>
      </c>
      <c r="P55" s="34" t="n">
        <f aca="false">IFERROR(O55/O$20,0)</f>
        <v>0.0249462365591398</v>
      </c>
      <c r="Q55" s="24" t="n">
        <f aca="false">Q20*'Vessel Assumptions'!$C$39</f>
        <v>727.8304</v>
      </c>
      <c r="R55" s="34" t="n">
        <f aca="false">IFERROR(Q55/Q$20,0)</f>
        <v>0.0249462365591398</v>
      </c>
      <c r="S55" s="24" t="n">
        <f aca="false">S20*'Vessel Assumptions'!$C$39</f>
        <v>727.8304</v>
      </c>
      <c r="T55" s="34" t="n">
        <f aca="false">IFERROR(S55/S$20,0)</f>
        <v>0.0249462365591398</v>
      </c>
      <c r="U55" s="24" t="n">
        <f aca="false">U20*'Vessel Assumptions'!$C$39</f>
        <v>727.8304</v>
      </c>
      <c r="V55" s="34" t="n">
        <f aca="false">IFERROR(U55/U$20,0)</f>
        <v>0.0249462365591398</v>
      </c>
      <c r="W55" s="24" t="n">
        <f aca="false">W20*'Vessel Assumptions'!$C$39</f>
        <v>727.8304</v>
      </c>
      <c r="X55" s="34" t="n">
        <f aca="false">IFERROR(W55/W$20,0)</f>
        <v>0.0249462365591398</v>
      </c>
      <c r="Y55" s="24" t="n">
        <f aca="false">Y20*'Vessel Assumptions'!$C$39</f>
        <v>727.8304</v>
      </c>
      <c r="Z55" s="34" t="n">
        <f aca="false">IFERROR(Y55/Y$20,0)</f>
        <v>0.0249462365591398</v>
      </c>
      <c r="AB55" s="24" t="n">
        <f aca="false">SUM(C55,E55,G55,I55,K55,M55,O55,Q55,S55,U55,W55,Y55)</f>
        <v>8733.9648</v>
      </c>
      <c r="AC55" s="34" t="n">
        <f aca="false">IFERROR(AB55/AB$20,0)</f>
        <v>0.0249462365591398</v>
      </c>
    </row>
    <row r="56" customFormat="false" ht="15" hidden="false" customHeight="true" outlineLevel="0" collapsed="false">
      <c r="A56" s="5" t="s">
        <v>143</v>
      </c>
      <c r="C56" s="24" t="n">
        <f aca="false">C20*'Vessel Assumptions'!$C$30</f>
        <v>1724.034</v>
      </c>
      <c r="D56" s="34" t="n">
        <f aca="false">IFERROR(C56/C$20,0)</f>
        <v>0.04</v>
      </c>
      <c r="E56" s="24" t="n">
        <f aca="false">E20*'Vessel Assumptions'!$C$30</f>
        <v>530.472</v>
      </c>
      <c r="F56" s="34" t="n">
        <f aca="false">IFERROR(E56/E$20,0)</f>
        <v>0.04</v>
      </c>
      <c r="G56" s="24" t="n">
        <f aca="false">G20*'Vessel Assumptions'!$C$30</f>
        <v>1724.034</v>
      </c>
      <c r="H56" s="34" t="n">
        <f aca="false">IFERROR(G56/G$20,0)</f>
        <v>0.04</v>
      </c>
      <c r="I56" s="24" t="n">
        <f aca="false">I20*'Vessel Assumptions'!$C$30</f>
        <v>530.472</v>
      </c>
      <c r="J56" s="34" t="n">
        <f aca="false">IFERROR(I56/I$20,0)</f>
        <v>0.04</v>
      </c>
      <c r="K56" s="24" t="n">
        <f aca="false">K20*'Vessel Assumptions'!$C$30</f>
        <v>1326.18</v>
      </c>
      <c r="L56" s="34" t="n">
        <f aca="false">IFERROR(K56/K$20,0)</f>
        <v>0.04</v>
      </c>
      <c r="M56" s="24" t="n">
        <f aca="false">M20*'Vessel Assumptions'!$C$30</f>
        <v>1167.0384</v>
      </c>
      <c r="N56" s="34" t="n">
        <f aca="false">IFERROR(M56/M$20,0)</f>
        <v>0.04</v>
      </c>
      <c r="O56" s="24" t="n">
        <f aca="false">O20*'Vessel Assumptions'!$C$30</f>
        <v>1167.0384</v>
      </c>
      <c r="P56" s="34" t="n">
        <f aca="false">IFERROR(O56/O$20,0)</f>
        <v>0.04</v>
      </c>
      <c r="Q56" s="24" t="n">
        <f aca="false">Q20*'Vessel Assumptions'!$C$30</f>
        <v>1167.0384</v>
      </c>
      <c r="R56" s="34" t="n">
        <f aca="false">IFERROR(Q56/Q$20,0)</f>
        <v>0.04</v>
      </c>
      <c r="S56" s="24" t="n">
        <f aca="false">S20*'Vessel Assumptions'!$C$30</f>
        <v>1167.0384</v>
      </c>
      <c r="T56" s="34" t="n">
        <f aca="false">IFERROR(S56/S$20,0)</f>
        <v>0.04</v>
      </c>
      <c r="U56" s="24" t="n">
        <f aca="false">U20*'Vessel Assumptions'!$C$30</f>
        <v>1167.0384</v>
      </c>
      <c r="V56" s="34" t="n">
        <f aca="false">IFERROR(U56/U$20,0)</f>
        <v>0.04</v>
      </c>
      <c r="W56" s="24" t="n">
        <f aca="false">W20*'Vessel Assumptions'!$C$30</f>
        <v>1167.0384</v>
      </c>
      <c r="X56" s="34" t="n">
        <f aca="false">IFERROR(W56/W$20,0)</f>
        <v>0.04</v>
      </c>
      <c r="Y56" s="24" t="n">
        <f aca="false">Y20*'Vessel Assumptions'!$C$30</f>
        <v>1167.0384</v>
      </c>
      <c r="Z56" s="34" t="n">
        <f aca="false">IFERROR(Y56/Y$20,0)</f>
        <v>0.04</v>
      </c>
      <c r="AB56" s="24" t="n">
        <f aca="false">SUM(C56,E56,G56,I56,K56,M56,O56,Q56,S56,U56,W56,Y56)</f>
        <v>14004.4608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2799.238</v>
      </c>
      <c r="D60" s="35" t="n">
        <f aca="false">IFERROR(C60/C$20,0)</f>
        <v>0.0649462365591398</v>
      </c>
      <c r="E60" s="27" t="n">
        <f aca="false">SUM(E53:E59)</f>
        <v>861.304</v>
      </c>
      <c r="F60" s="35" t="n">
        <f aca="false">IFERROR(E60/E$20,0)</f>
        <v>0.0649462365591398</v>
      </c>
      <c r="G60" s="27" t="n">
        <f aca="false">SUM(G53:G59)</f>
        <v>2799.238</v>
      </c>
      <c r="H60" s="35" t="n">
        <f aca="false">IFERROR(G60/G$20,0)</f>
        <v>0.0649462365591398</v>
      </c>
      <c r="I60" s="27" t="n">
        <f aca="false">SUM(I53:I59)</f>
        <v>861.304</v>
      </c>
      <c r="J60" s="35" t="n">
        <f aca="false">IFERROR(I60/I$20,0)</f>
        <v>0.0649462365591398</v>
      </c>
      <c r="K60" s="27" t="n">
        <f aca="false">SUM(K53:K59)</f>
        <v>2153.26</v>
      </c>
      <c r="L60" s="35" t="n">
        <f aca="false">IFERROR(K60/K$20,0)</f>
        <v>0.0649462365591398</v>
      </c>
      <c r="M60" s="27" t="n">
        <f aca="false">SUM(M53:M59)</f>
        <v>1894.8688</v>
      </c>
      <c r="N60" s="35" t="n">
        <f aca="false">IFERROR(M60/M$20,0)</f>
        <v>0.0649462365591398</v>
      </c>
      <c r="O60" s="27" t="n">
        <f aca="false">SUM(O53:O59)</f>
        <v>1894.8688</v>
      </c>
      <c r="P60" s="35" t="n">
        <f aca="false">IFERROR(O60/O$20,0)</f>
        <v>0.0649462365591398</v>
      </c>
      <c r="Q60" s="27" t="n">
        <f aca="false">SUM(Q53:Q59)</f>
        <v>1894.8688</v>
      </c>
      <c r="R60" s="35" t="n">
        <f aca="false">IFERROR(Q60/Q$20,0)</f>
        <v>0.0649462365591398</v>
      </c>
      <c r="S60" s="27" t="n">
        <f aca="false">SUM(S53:S59)</f>
        <v>1894.8688</v>
      </c>
      <c r="T60" s="35" t="n">
        <f aca="false">IFERROR(S60/S$20,0)</f>
        <v>0.0649462365591398</v>
      </c>
      <c r="U60" s="27" t="n">
        <f aca="false">SUM(U53:U59)</f>
        <v>1894.8688</v>
      </c>
      <c r="V60" s="35" t="n">
        <f aca="false">IFERROR(U60/U$20,0)</f>
        <v>0.0649462365591398</v>
      </c>
      <c r="W60" s="27" t="n">
        <f aca="false">SUM(W53:W59)</f>
        <v>1894.8688</v>
      </c>
      <c r="X60" s="35" t="n">
        <f aca="false">IFERROR(W60/W$20,0)</f>
        <v>0.0649462365591398</v>
      </c>
      <c r="Y60" s="27" t="n">
        <f aca="false">SUM(Y53:Y59)</f>
        <v>1894.8688</v>
      </c>
      <c r="Z60" s="35" t="n">
        <f aca="false">IFERROR(Y60/Y$20,0)</f>
        <v>0.0649462365591398</v>
      </c>
      <c r="AB60" s="27" t="n">
        <f aca="false">SUM(AB53:AB59)</f>
        <v>22738.4256</v>
      </c>
      <c r="AC60" s="35" t="n">
        <f aca="false">IFERROR(AB60/AB$20,0)</f>
        <v>0.0649462365591398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10724.233</v>
      </c>
      <c r="D62" s="35" t="n">
        <f aca="false">IFERROR(C62/C$20,0)</f>
        <v>0.248817204301075</v>
      </c>
      <c r="E62" s="27" t="n">
        <f aca="false">E41-E50-E60</f>
        <v>3299.764</v>
      </c>
      <c r="F62" s="35" t="n">
        <f aca="false">IFERROR(E62/E$20,0)</f>
        <v>0.248817204301075</v>
      </c>
      <c r="G62" s="27" t="n">
        <f aca="false">G41-G50-G60</f>
        <v>10724.233</v>
      </c>
      <c r="H62" s="35" t="n">
        <f aca="false">IFERROR(G62/G$20,0)</f>
        <v>0.248817204301075</v>
      </c>
      <c r="I62" s="27" t="n">
        <f aca="false">I41-I50-I60</f>
        <v>3299.764</v>
      </c>
      <c r="J62" s="35" t="n">
        <f aca="false">IFERROR(I62/I$20,0)</f>
        <v>0.248817204301075</v>
      </c>
      <c r="K62" s="27" t="n">
        <f aca="false">K41-K50-K60</f>
        <v>8249.41</v>
      </c>
      <c r="L62" s="35" t="n">
        <f aca="false">IFERROR(K62/K$20,0)</f>
        <v>0.248817204301075</v>
      </c>
      <c r="M62" s="27" t="n">
        <f aca="false">M41-M50-M60</f>
        <v>7259.4808</v>
      </c>
      <c r="N62" s="35" t="n">
        <f aca="false">IFERROR(M62/M$20,0)</f>
        <v>0.248817204301075</v>
      </c>
      <c r="O62" s="27" t="n">
        <f aca="false">O41-O50-O60</f>
        <v>7259.4808</v>
      </c>
      <c r="P62" s="35" t="n">
        <f aca="false">IFERROR(O62/O$20,0)</f>
        <v>0.248817204301075</v>
      </c>
      <c r="Q62" s="27" t="n">
        <f aca="false">Q41-Q50-Q60</f>
        <v>7259.4808</v>
      </c>
      <c r="R62" s="35" t="n">
        <f aca="false">IFERROR(Q62/Q$20,0)</f>
        <v>0.248817204301075</v>
      </c>
      <c r="S62" s="27" t="n">
        <f aca="false">S41-S50-S60</f>
        <v>7259.4808</v>
      </c>
      <c r="T62" s="35" t="n">
        <f aca="false">IFERROR(S62/S$20,0)</f>
        <v>0.248817204301075</v>
      </c>
      <c r="U62" s="27" t="n">
        <f aca="false">U41-U50-U60</f>
        <v>7259.4808</v>
      </c>
      <c r="V62" s="35" t="n">
        <f aca="false">IFERROR(U62/U$20,0)</f>
        <v>0.248817204301075</v>
      </c>
      <c r="W62" s="27" t="n">
        <f aca="false">W41-W50-W60</f>
        <v>7259.4808</v>
      </c>
      <c r="X62" s="35" t="n">
        <f aca="false">IFERROR(W62/W$20,0)</f>
        <v>0.248817204301075</v>
      </c>
      <c r="Y62" s="27" t="n">
        <f aca="false">Y41-Y50-Y60</f>
        <v>7259.4808</v>
      </c>
      <c r="Z62" s="35" t="n">
        <f aca="false">IFERROR(Y62/Y$20,0)</f>
        <v>0.248817204301075</v>
      </c>
      <c r="AB62" s="27" t="n">
        <f aca="false">AB41-AB50-AB60</f>
        <v>87113.7696</v>
      </c>
      <c r="AC62" s="35" t="n">
        <f aca="false">IFERROR(AB62/AB$20,0)</f>
        <v>0.248817204301075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10724.233</v>
      </c>
      <c r="D66" s="8" t="n">
        <f aca="false">IFERROR(C66/C$20,0)</f>
        <v>0.248817204301075</v>
      </c>
      <c r="E66" s="7" t="n">
        <f aca="false">E62-E64</f>
        <v>3299.764</v>
      </c>
      <c r="F66" s="8" t="n">
        <f aca="false">IFERROR(E66/E$20,0)</f>
        <v>0.248817204301075</v>
      </c>
      <c r="G66" s="7" t="n">
        <f aca="false">G62-G64</f>
        <v>10724.233</v>
      </c>
      <c r="H66" s="8" t="n">
        <f aca="false">IFERROR(G66/G$20,0)</f>
        <v>0.248817204301075</v>
      </c>
      <c r="I66" s="7" t="n">
        <f aca="false">I62-I64</f>
        <v>3299.764</v>
      </c>
      <c r="J66" s="8" t="n">
        <f aca="false">IFERROR(I66/I$20,0)</f>
        <v>0.248817204301075</v>
      </c>
      <c r="K66" s="7" t="n">
        <f aca="false">K62-K64</f>
        <v>8249.41</v>
      </c>
      <c r="L66" s="8" t="n">
        <f aca="false">IFERROR(K66/K$20,0)</f>
        <v>0.248817204301075</v>
      </c>
      <c r="M66" s="7" t="n">
        <f aca="false">M62-M64</f>
        <v>7259.4808</v>
      </c>
      <c r="N66" s="8" t="n">
        <f aca="false">IFERROR(M66/M$20,0)</f>
        <v>0.248817204301075</v>
      </c>
      <c r="O66" s="7" t="n">
        <f aca="false">O62-O64</f>
        <v>7259.4808</v>
      </c>
      <c r="P66" s="8" t="n">
        <f aca="false">IFERROR(O66/O$20,0)</f>
        <v>0.248817204301075</v>
      </c>
      <c r="Q66" s="7" t="n">
        <f aca="false">Q62-Q64</f>
        <v>7259.4808</v>
      </c>
      <c r="R66" s="8" t="n">
        <f aca="false">IFERROR(Q66/Q$20,0)</f>
        <v>0.248817204301075</v>
      </c>
      <c r="S66" s="7" t="n">
        <f aca="false">S62-S64</f>
        <v>7259.4808</v>
      </c>
      <c r="T66" s="8" t="n">
        <f aca="false">IFERROR(S66/S$20,0)</f>
        <v>0.248817204301075</v>
      </c>
      <c r="U66" s="7" t="n">
        <f aca="false">U62-U64</f>
        <v>7259.4808</v>
      </c>
      <c r="V66" s="8" t="n">
        <f aca="false">IFERROR(U66/U$20,0)</f>
        <v>0.248817204301075</v>
      </c>
      <c r="W66" s="7" t="n">
        <f aca="false">W62-W64</f>
        <v>7259.4808</v>
      </c>
      <c r="X66" s="8" t="n">
        <f aca="false">IFERROR(W66/W$20,0)</f>
        <v>0.248817204301075</v>
      </c>
      <c r="Y66" s="7" t="n">
        <f aca="false">Y62-Y64</f>
        <v>7259.4808</v>
      </c>
      <c r="Z66" s="8" t="n">
        <f aca="false">IFERROR(Y66/Y$20,0)</f>
        <v>0.248817204301075</v>
      </c>
      <c r="AB66" s="7" t="n">
        <f aca="false">AB62-AB64</f>
        <v>87113.7696</v>
      </c>
      <c r="AC66" s="8" t="n">
        <f aca="false">IFERROR(AB66/AB$20,0)</f>
        <v>0.248817204301075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10724.233</v>
      </c>
      <c r="D70" s="37" t="n">
        <f aca="false">IFERROR(C70/C$20,0)</f>
        <v>0.248817204301075</v>
      </c>
      <c r="E70" s="36" t="n">
        <f aca="false">E66-E68-E69</f>
        <v>3299.764</v>
      </c>
      <c r="F70" s="37" t="n">
        <f aca="false">IFERROR(E70/E$20,0)</f>
        <v>0.248817204301075</v>
      </c>
      <c r="G70" s="36" t="n">
        <f aca="false">G66-G68-G69</f>
        <v>10724.233</v>
      </c>
      <c r="H70" s="37" t="n">
        <f aca="false">IFERROR(G70/G$20,0)</f>
        <v>0.248817204301075</v>
      </c>
      <c r="I70" s="36" t="n">
        <f aca="false">I66-I68-I69</f>
        <v>3299.764</v>
      </c>
      <c r="J70" s="37" t="n">
        <f aca="false">IFERROR(I70/I$20,0)</f>
        <v>0.248817204301075</v>
      </c>
      <c r="K70" s="36" t="n">
        <f aca="false">K66-K68-K69</f>
        <v>8249.41</v>
      </c>
      <c r="L70" s="37" t="n">
        <f aca="false">IFERROR(K70/K$20,0)</f>
        <v>0.248817204301075</v>
      </c>
      <c r="M70" s="36" t="n">
        <f aca="false">M66-M68-M69</f>
        <v>7259.4808</v>
      </c>
      <c r="N70" s="37" t="n">
        <f aca="false">IFERROR(M70/M$20,0)</f>
        <v>0.248817204301075</v>
      </c>
      <c r="O70" s="36" t="n">
        <f aca="false">O66-O68-O69</f>
        <v>7259.4808</v>
      </c>
      <c r="P70" s="37" t="n">
        <f aca="false">IFERROR(O70/O$20,0)</f>
        <v>0.248817204301075</v>
      </c>
      <c r="Q70" s="36" t="n">
        <f aca="false">Q66-Q68-Q69</f>
        <v>7259.4808</v>
      </c>
      <c r="R70" s="37" t="n">
        <f aca="false">IFERROR(Q70/Q$20,0)</f>
        <v>0.248817204301075</v>
      </c>
      <c r="S70" s="36" t="n">
        <f aca="false">S66-S68-S69</f>
        <v>7259.4808</v>
      </c>
      <c r="T70" s="37" t="n">
        <f aca="false">IFERROR(S70/S$20,0)</f>
        <v>0.248817204301075</v>
      </c>
      <c r="U70" s="36" t="n">
        <f aca="false">U66-U68-U69</f>
        <v>7259.4808</v>
      </c>
      <c r="V70" s="37" t="n">
        <f aca="false">IFERROR(U70/U$20,0)</f>
        <v>0.248817204301075</v>
      </c>
      <c r="W70" s="36" t="n">
        <f aca="false">W66-W68-W69</f>
        <v>7259.4808</v>
      </c>
      <c r="X70" s="37" t="n">
        <f aca="false">IFERROR(W70/W$20,0)</f>
        <v>0.248817204301075</v>
      </c>
      <c r="Y70" s="36" t="n">
        <f aca="false">Y66-Y68-Y69</f>
        <v>7259.4808</v>
      </c>
      <c r="Z70" s="37" t="n">
        <f aca="false">IFERROR(Y70/Y$20,0)</f>
        <v>0.248817204301075</v>
      </c>
      <c r="AB70" s="36" t="n">
        <f aca="false">AB66-AB68-AB69</f>
        <v>87113.7696</v>
      </c>
      <c r="AC70" s="37" t="n">
        <f aca="false">IFERROR(AB70/AB$20,0)</f>
        <v>0.248817204301075</v>
      </c>
    </row>
    <row r="72" customFormat="false" ht="15" hidden="false" customHeight="true" outlineLevel="0" collapsed="false">
      <c r="A72" s="3" t="s">
        <v>334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335</v>
      </c>
    </row>
    <row r="4" customFormat="false" ht="15" hidden="false" customHeight="true" outlineLevel="0" collapsed="false">
      <c r="A4" s="6" t="s">
        <v>336</v>
      </c>
    </row>
    <row r="5" customFormat="false" ht="15" hidden="false" customHeight="true" outlineLevel="0" collapsed="false">
      <c r="A5" s="5" t="s">
        <v>337</v>
      </c>
      <c r="B5" s="75" t="n">
        <v>10</v>
      </c>
      <c r="C5" s="3" t="s">
        <v>338</v>
      </c>
    </row>
    <row r="6" customFormat="false" ht="15" hidden="false" customHeight="true" outlineLevel="0" collapsed="false">
      <c r="A6" s="5" t="s">
        <v>339</v>
      </c>
      <c r="B6" s="76" t="n">
        <v>0.06</v>
      </c>
      <c r="C6" s="3" t="s">
        <v>340</v>
      </c>
    </row>
    <row r="8" customFormat="false" ht="15" hidden="false" customHeight="true" outlineLevel="0" collapsed="false">
      <c r="A8" s="38"/>
      <c r="B8" s="31" t="s">
        <v>341</v>
      </c>
      <c r="C8" s="31" t="s">
        <v>342</v>
      </c>
      <c r="D8" s="31" t="s">
        <v>343</v>
      </c>
      <c r="E8" s="77"/>
      <c r="F8" s="77"/>
      <c r="G8" s="77"/>
    </row>
    <row r="9" customFormat="false" ht="15" hidden="false" customHeight="true" outlineLevel="0" collapsed="false">
      <c r="A9" s="5" t="s">
        <v>344</v>
      </c>
      <c r="B9" s="78" t="n">
        <f aca="false">'Vessel Budget'!$AB$9</f>
        <v>75.2928</v>
      </c>
      <c r="C9" s="78" t="n">
        <f aca="false">B9+$B$5</f>
        <v>85.2928</v>
      </c>
      <c r="D9" s="78" t="n">
        <f aca="false">C9+$B$5</f>
        <v>95.2928</v>
      </c>
      <c r="E9" s="77"/>
      <c r="F9" s="77"/>
      <c r="G9" s="77"/>
    </row>
    <row r="10" customFormat="false" ht="15" hidden="false" customHeight="true" outlineLevel="0" collapsed="false">
      <c r="A10" s="5" t="s">
        <v>345</v>
      </c>
      <c r="B10" s="79" t="n">
        <f aca="false">'Vessel Budget'!$AB$20/'Vessel Budget'!$AB$9</f>
        <v>4650</v>
      </c>
      <c r="C10" s="79" t="n">
        <f aca="false">B10*(1+$B$6)</f>
        <v>4929</v>
      </c>
      <c r="D10" s="79" t="n">
        <f aca="false">C10*(1+$B$6)</f>
        <v>5224.74</v>
      </c>
      <c r="E10" s="77"/>
      <c r="F10" s="77"/>
      <c r="G10" s="77"/>
    </row>
    <row r="11" customFormat="false" ht="15" hidden="false" customHeight="true" outlineLevel="0" collapsed="false">
      <c r="A11" s="6" t="s">
        <v>346</v>
      </c>
      <c r="B11" s="80" t="n">
        <f aca="false">B9*B10</f>
        <v>350111.52</v>
      </c>
      <c r="C11" s="80" t="n">
        <f aca="false">C9*C10</f>
        <v>420408.2112</v>
      </c>
      <c r="D11" s="80" t="n">
        <f aca="false">D9*D10</f>
        <v>497880.103872</v>
      </c>
      <c r="E11" s="77"/>
      <c r="F11" s="77"/>
      <c r="G11" s="77"/>
    </row>
    <row r="12" customFormat="false" ht="15" hidden="false" customHeight="true" outlineLevel="0" collapsed="false">
      <c r="A12" s="5" t="s">
        <v>347</v>
      </c>
      <c r="B12" s="81" t="n">
        <f aca="false">'Vessel Budget'!$AB$62/'Vessel Budget'!$AB$20</f>
        <v>0.248817204301075</v>
      </c>
      <c r="C12" s="81" t="n">
        <f aca="false">$B$12</f>
        <v>0.248817204301075</v>
      </c>
      <c r="D12" s="81" t="n">
        <f aca="false">$B$12</f>
        <v>0.248817204301075</v>
      </c>
      <c r="E12" s="77"/>
      <c r="F12" s="77"/>
      <c r="G12" s="77"/>
    </row>
    <row r="13" customFormat="false" ht="15" hidden="false" customHeight="true" outlineLevel="0" collapsed="false">
      <c r="A13" s="6" t="s">
        <v>348</v>
      </c>
      <c r="B13" s="82" t="n">
        <f aca="false">B11*B12</f>
        <v>87113.7696</v>
      </c>
      <c r="C13" s="82" t="n">
        <f aca="false">C11*C12</f>
        <v>104604.795776</v>
      </c>
      <c r="D13" s="82" t="n">
        <f aca="false">D11*D12</f>
        <v>123881.13552256</v>
      </c>
      <c r="E13" s="77"/>
      <c r="F13" s="77"/>
      <c r="G13" s="77"/>
    </row>
    <row r="15" customFormat="false" ht="15" hidden="false" customHeight="true" outlineLevel="0" collapsed="false">
      <c r="A15" s="3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350</v>
      </c>
      <c r="B1" s="40"/>
      <c r="C1" s="40"/>
      <c r="D1" s="40"/>
    </row>
    <row r="2" customFormat="false" ht="15" hidden="false" customHeight="true" outlineLevel="0" collapsed="false">
      <c r="A2" s="41" t="s">
        <v>351</v>
      </c>
      <c r="B2" s="41"/>
      <c r="C2" s="41"/>
      <c r="D2" s="41"/>
    </row>
    <row r="4" customFormat="false" ht="15" hidden="false" customHeight="true" outlineLevel="0" collapsed="false">
      <c r="B4" s="83" t="s">
        <v>352</v>
      </c>
      <c r="C4" s="43" t="s">
        <v>353</v>
      </c>
      <c r="D4" s="43" t="s">
        <v>354</v>
      </c>
    </row>
    <row r="6" customFormat="false" ht="15" hidden="false" customHeight="true" outlineLevel="0" collapsed="false">
      <c r="B6" s="42" t="s">
        <v>355</v>
      </c>
    </row>
    <row r="8" customFormat="false" ht="15" hidden="false" customHeight="true" outlineLevel="0" collapsed="false">
      <c r="B8" s="49" t="s">
        <v>356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357</v>
      </c>
    </row>
    <row r="11" customFormat="false" ht="15" hidden="false" customHeight="true" outlineLevel="0" collapsed="false">
      <c r="B11" s="49" t="s">
        <v>358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359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360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361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362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211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363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3" t="s">
        <v>364</v>
      </c>
      <c r="C18" s="84" t="n">
        <f aca="false">'Vessel 2026 P&amp;L'!$AB$44</f>
        <v>80624</v>
      </c>
      <c r="D18" s="85" t="n">
        <f aca="false">C18/12</f>
        <v>6718.66666666667</v>
      </c>
    </row>
    <row r="20" customFormat="false" ht="15" hidden="false" customHeight="true" outlineLevel="0" collapsed="false">
      <c r="B20" s="42" t="s">
        <v>365</v>
      </c>
    </row>
    <row r="21" customFormat="false" ht="15" hidden="false" customHeight="true" outlineLevel="0" collapsed="false">
      <c r="B21" s="49" t="s">
        <v>366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367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368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369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370</v>
      </c>
    </row>
    <row r="27" customFormat="false" ht="15" hidden="false" customHeight="true" outlineLevel="0" collapsed="false">
      <c r="B27" s="49" t="s">
        <v>371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372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373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180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181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182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183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185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186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189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190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191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192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196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197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198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199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201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204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205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206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212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213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180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181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182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183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185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186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189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190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191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192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196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197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198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199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201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204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205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206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212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213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86" t="s">
        <v>157</v>
      </c>
    </row>
    <row r="2" customFormat="false" ht="15" hidden="false" customHeight="true" outlineLevel="0" collapsed="false">
      <c r="A2" s="87" t="s">
        <v>380</v>
      </c>
    </row>
    <row r="4" customFormat="false" ht="15" hidden="false" customHeight="true" outlineLevel="0" collapsed="false">
      <c r="B4" s="88" t="s">
        <v>381</v>
      </c>
      <c r="C4" s="88" t="s">
        <v>382</v>
      </c>
      <c r="D4" s="88" t="s">
        <v>383</v>
      </c>
      <c r="E4" s="88" t="s">
        <v>384</v>
      </c>
      <c r="F4" s="88" t="s">
        <v>385</v>
      </c>
      <c r="G4" s="88" t="s">
        <v>386</v>
      </c>
      <c r="H4" s="88" t="s">
        <v>387</v>
      </c>
    </row>
    <row r="5" customFormat="false" ht="15" hidden="false" customHeight="true" outlineLevel="0" collapsed="false">
      <c r="A5" s="89" t="s">
        <v>388</v>
      </c>
      <c r="B5" s="89"/>
      <c r="C5" s="89"/>
      <c r="D5" s="89"/>
      <c r="E5" s="89"/>
      <c r="F5" s="89"/>
      <c r="G5" s="89"/>
      <c r="H5" s="89"/>
    </row>
    <row r="6" customFormat="false" ht="15" hidden="false" customHeight="true" outlineLevel="0" collapsed="false">
      <c r="A6" s="90" t="s">
        <v>389</v>
      </c>
      <c r="B6" s="91" t="n">
        <v>15610</v>
      </c>
      <c r="C6" s="91" t="n">
        <v>17968</v>
      </c>
      <c r="D6" s="91" t="n">
        <v>26748</v>
      </c>
      <c r="E6" s="91" t="n">
        <v>20641</v>
      </c>
      <c r="F6" s="91" t="n">
        <v>24911</v>
      </c>
      <c r="G6" s="91" t="n">
        <v>27214</v>
      </c>
      <c r="H6" s="91" t="n">
        <f aca="false">SUM(B6:G6)</f>
        <v>133092</v>
      </c>
    </row>
    <row r="7" customFormat="false" ht="15" hidden="false" customHeight="true" outlineLevel="0" collapsed="false">
      <c r="A7" s="90" t="s">
        <v>390</v>
      </c>
      <c r="B7" s="91" t="n">
        <f aca="false">B8-B6</f>
        <v>2993</v>
      </c>
      <c r="C7" s="91" t="n">
        <f aca="false">C8-C6</f>
        <v>893</v>
      </c>
      <c r="D7" s="91" t="n">
        <f aca="false">D8-D6</f>
        <v>2201</v>
      </c>
      <c r="E7" s="91" t="n">
        <f aca="false">E8-E6</f>
        <v>2628</v>
      </c>
      <c r="F7" s="91" t="n">
        <f aca="false">F8-F6</f>
        <v>1487</v>
      </c>
      <c r="G7" s="91" t="n">
        <f aca="false">G8-G6</f>
        <v>832</v>
      </c>
      <c r="H7" s="91" t="n">
        <f aca="false">SUM(B7:G7)</f>
        <v>11034</v>
      </c>
    </row>
    <row r="8" customFormat="false" ht="15" hidden="false" customHeight="true" outlineLevel="0" collapsed="false">
      <c r="A8" s="90" t="s">
        <v>391</v>
      </c>
      <c r="B8" s="91" t="n">
        <f aca="false">SUM('LW 2026 P&amp;L'!C9:C14)</f>
        <v>18603</v>
      </c>
      <c r="C8" s="91" t="n">
        <f aca="false">SUM('LW 2026 P&amp;L'!E9:E14)</f>
        <v>18861</v>
      </c>
      <c r="D8" s="91" t="n">
        <f aca="false">SUM('LW 2026 P&amp;L'!G9:G14)</f>
        <v>28949</v>
      </c>
      <c r="E8" s="91" t="n">
        <f aca="false">SUM('LW 2026 P&amp;L'!I9:I14)</f>
        <v>23269</v>
      </c>
      <c r="F8" s="91" t="n">
        <f aca="false">SUM('LW 2026 P&amp;L'!K9:K14)</f>
        <v>26398</v>
      </c>
      <c r="G8" s="91" t="n">
        <f aca="false">SUM('LW 2026 P&amp;L'!M9:M14)</f>
        <v>28046</v>
      </c>
      <c r="H8" s="91" t="n">
        <f aca="false">SUM(B8:G8)</f>
        <v>144126</v>
      </c>
    </row>
    <row r="9" customFormat="false" ht="15" hidden="false" customHeight="true" outlineLevel="0" collapsed="false">
      <c r="A9" s="90" t="s">
        <v>392</v>
      </c>
      <c r="B9" s="91" t="n">
        <f aca="false">'LW 2026 P&amp;L'!C15</f>
        <v>-731</v>
      </c>
      <c r="C9" s="91" t="n">
        <f aca="false">'LW 2026 P&amp;L'!E15</f>
        <v>-1024</v>
      </c>
      <c r="D9" s="91" t="n">
        <f aca="false">'LW 2026 P&amp;L'!G15</f>
        <v>-2497</v>
      </c>
      <c r="E9" s="91" t="n">
        <f aca="false">'LW 2026 P&amp;L'!I15</f>
        <v>-2688</v>
      </c>
      <c r="F9" s="91" t="n">
        <f aca="false">'LW 2026 P&amp;L'!K15</f>
        <v>-1521</v>
      </c>
      <c r="G9" s="91" t="n">
        <f aca="false">'LW 2026 P&amp;L'!M15</f>
        <v>-987</v>
      </c>
      <c r="H9" s="91" t="n">
        <f aca="false">SUM(B9:G9)</f>
        <v>-9448</v>
      </c>
    </row>
    <row r="10" customFormat="false" ht="15" hidden="false" customHeight="true" outlineLevel="0" collapsed="false">
      <c r="A10" s="92" t="s">
        <v>393</v>
      </c>
      <c r="B10" s="93" t="n">
        <f aca="false">'LW 2026 P&amp;L'!C16</f>
        <v>17872</v>
      </c>
      <c r="C10" s="93" t="n">
        <f aca="false">'LW 2026 P&amp;L'!E16</f>
        <v>17837</v>
      </c>
      <c r="D10" s="93" t="n">
        <f aca="false">'LW 2026 P&amp;L'!G16</f>
        <v>26452</v>
      </c>
      <c r="E10" s="93" t="n">
        <f aca="false">'LW 2026 P&amp;L'!I16</f>
        <v>20581</v>
      </c>
      <c r="F10" s="93" t="n">
        <f aca="false">'LW 2026 P&amp;L'!K16</f>
        <v>24877</v>
      </c>
      <c r="G10" s="93" t="n">
        <f aca="false">'LW 2026 P&amp;L'!M16</f>
        <v>27059</v>
      </c>
      <c r="H10" s="93" t="n">
        <f aca="false">SUM(B10:G10)</f>
        <v>134678</v>
      </c>
    </row>
    <row r="11" customFormat="false" ht="15" hidden="false" customHeight="true" outlineLevel="0" collapsed="false">
      <c r="A11" s="92" t="s">
        <v>394</v>
      </c>
      <c r="B11" s="93" t="n">
        <f aca="false">B10-B6</f>
        <v>2262</v>
      </c>
      <c r="C11" s="93" t="n">
        <f aca="false">C10-C6</f>
        <v>-131</v>
      </c>
      <c r="D11" s="93" t="n">
        <f aca="false">D10-D6</f>
        <v>-296</v>
      </c>
      <c r="E11" s="93" t="n">
        <f aca="false">E10-E6</f>
        <v>-60</v>
      </c>
      <c r="F11" s="93" t="n">
        <f aca="false">F10-F6</f>
        <v>-34</v>
      </c>
      <c r="G11" s="93" t="n">
        <f aca="false">G10-G6</f>
        <v>-155</v>
      </c>
      <c r="H11" s="93" t="n">
        <f aca="false">SUM(B11:G11)</f>
        <v>1586</v>
      </c>
    </row>
    <row r="12" customFormat="false" ht="15" hidden="false" customHeight="true" outlineLevel="0" collapsed="false">
      <c r="A12" s="90" t="s">
        <v>395</v>
      </c>
      <c r="B12" s="94" t="n">
        <f aca="false">B11/B6</f>
        <v>0.144907110826393</v>
      </c>
      <c r="C12" s="94" t="n">
        <f aca="false">C11/C6</f>
        <v>-0.00729073909171861</v>
      </c>
      <c r="D12" s="94" t="n">
        <f aca="false">D11/D6</f>
        <v>-0.0110662479437715</v>
      </c>
      <c r="E12" s="94" t="n">
        <f aca="false">E11/E6</f>
        <v>-0.00290683590911293</v>
      </c>
      <c r="F12" s="94" t="n">
        <f aca="false">F11/F6</f>
        <v>-0.00136485889767573</v>
      </c>
      <c r="G12" s="94" t="n">
        <f aca="false">G11/G6</f>
        <v>-0.00569559785404571</v>
      </c>
      <c r="H12" s="94" t="n">
        <f aca="false">H11/H6</f>
        <v>0.0119165689898717</v>
      </c>
    </row>
    <row r="14" customFormat="false" ht="15" hidden="false" customHeight="true" outlineLevel="0" collapsed="false">
      <c r="A14" s="89" t="s">
        <v>396</v>
      </c>
      <c r="B14" s="89"/>
      <c r="C14" s="89"/>
      <c r="D14" s="89"/>
      <c r="E14" s="89"/>
      <c r="F14" s="89"/>
      <c r="G14" s="89"/>
      <c r="H14" s="89"/>
    </row>
    <row r="15" customFormat="false" ht="15" hidden="false" customHeight="true" outlineLevel="0" collapsed="false">
      <c r="A15" s="90" t="s">
        <v>397</v>
      </c>
      <c r="B15" s="91" t="n">
        <v>6385</v>
      </c>
      <c r="C15" s="91" t="n">
        <v>7122</v>
      </c>
      <c r="D15" s="91" t="n">
        <v>10864</v>
      </c>
      <c r="E15" s="91" t="n">
        <v>8859</v>
      </c>
      <c r="F15" s="91" t="n">
        <v>9977</v>
      </c>
      <c r="G15" s="91" t="n">
        <v>10206</v>
      </c>
      <c r="H15" s="91" t="n">
        <f aca="false">SUM(B15:G15)</f>
        <v>53413</v>
      </c>
    </row>
    <row r="16" customFormat="false" ht="15" hidden="false" customHeight="true" outlineLevel="0" collapsed="false">
      <c r="A16" s="90" t="s">
        <v>398</v>
      </c>
      <c r="B16" s="91" t="n">
        <v>7915</v>
      </c>
      <c r="C16" s="91" t="n">
        <v>8613</v>
      </c>
      <c r="D16" s="91" t="n">
        <v>12973</v>
      </c>
      <c r="E16" s="91" t="n">
        <v>9848</v>
      </c>
      <c r="F16" s="91" t="n">
        <v>12515</v>
      </c>
      <c r="G16" s="91" t="n">
        <v>13997</v>
      </c>
      <c r="H16" s="91" t="n">
        <f aca="false">SUM(B16:G16)</f>
        <v>65861</v>
      </c>
    </row>
    <row r="17" customFormat="false" ht="15" hidden="false" customHeight="true" outlineLevel="0" collapsed="false">
      <c r="A17" s="90" t="s">
        <v>399</v>
      </c>
      <c r="B17" s="91" t="n">
        <v>100</v>
      </c>
      <c r="C17" s="91" t="n">
        <v>286</v>
      </c>
      <c r="D17" s="91" t="n">
        <v>163</v>
      </c>
      <c r="E17" s="91" t="n">
        <v>468</v>
      </c>
      <c r="F17" s="91" t="n">
        <v>588</v>
      </c>
      <c r="G17" s="91" t="n">
        <v>972</v>
      </c>
      <c r="H17" s="91" t="n">
        <f aca="false">SUM(B17:G17)</f>
        <v>2577</v>
      </c>
    </row>
    <row r="18" customFormat="false" ht="15" hidden="false" customHeight="true" outlineLevel="0" collapsed="false">
      <c r="A18" s="90" t="s">
        <v>400</v>
      </c>
      <c r="B18" s="91" t="n">
        <v>52</v>
      </c>
      <c r="C18" s="91" t="n">
        <v>197</v>
      </c>
      <c r="D18" s="91" t="n">
        <v>161</v>
      </c>
      <c r="E18" s="91" t="n">
        <v>333</v>
      </c>
      <c r="F18" s="91" t="n">
        <v>594</v>
      </c>
      <c r="G18" s="91" t="n">
        <v>739</v>
      </c>
      <c r="H18" s="91" t="n">
        <f aca="false">SUM(B18:G18)</f>
        <v>2076</v>
      </c>
    </row>
    <row r="19" customFormat="false" ht="15" hidden="false" customHeight="true" outlineLevel="0" collapsed="false">
      <c r="A19" s="90" t="s">
        <v>401</v>
      </c>
      <c r="B19" s="91" t="n">
        <v>0</v>
      </c>
      <c r="C19" s="91" t="n">
        <v>12</v>
      </c>
      <c r="D19" s="91" t="n">
        <v>0</v>
      </c>
      <c r="E19" s="91" t="n">
        <v>464</v>
      </c>
      <c r="F19" s="91" t="n">
        <v>894</v>
      </c>
      <c r="G19" s="91" t="n">
        <v>978</v>
      </c>
      <c r="H19" s="91" t="n">
        <f aca="false">SUM(B19:G19)</f>
        <v>2348</v>
      </c>
    </row>
    <row r="20" customFormat="false" ht="15" hidden="false" customHeight="true" outlineLevel="0" collapsed="false">
      <c r="A20" s="90" t="s">
        <v>402</v>
      </c>
      <c r="B20" s="91" t="n">
        <v>131</v>
      </c>
      <c r="C20" s="91" t="n">
        <v>143</v>
      </c>
      <c r="D20" s="91" t="n">
        <v>1513</v>
      </c>
      <c r="E20" s="91" t="n">
        <v>614</v>
      </c>
      <c r="F20" s="91" t="n">
        <v>235</v>
      </c>
      <c r="G20" s="91" t="n">
        <v>287</v>
      </c>
      <c r="H20" s="91" t="n">
        <f aca="false">SUM(B20:G20)</f>
        <v>2923</v>
      </c>
    </row>
    <row r="21" customFormat="false" ht="15" hidden="false" customHeight="true" outlineLevel="0" collapsed="false">
      <c r="A21" s="90" t="s">
        <v>403</v>
      </c>
      <c r="B21" s="91" t="n">
        <v>1028</v>
      </c>
      <c r="C21" s="91" t="n">
        <v>1595</v>
      </c>
      <c r="D21" s="91" t="n">
        <v>1075</v>
      </c>
      <c r="E21" s="91" t="n">
        <v>55</v>
      </c>
      <c r="F21" s="91" t="n">
        <v>103</v>
      </c>
      <c r="G21" s="91" t="n">
        <v>35</v>
      </c>
      <c r="H21" s="91" t="n">
        <f aca="false">SUM(B21:G21)</f>
        <v>3891</v>
      </c>
    </row>
    <row r="22" customFormat="false" ht="15" hidden="false" customHeight="true" outlineLevel="0" collapsed="false">
      <c r="A22" s="92" t="s">
        <v>404</v>
      </c>
      <c r="B22" s="93" t="n">
        <f aca="false">B10-SUM(B15:B21)</f>
        <v>2261</v>
      </c>
      <c r="C22" s="93" t="n">
        <f aca="false">C10-SUM(C15:C21)</f>
        <v>-131</v>
      </c>
      <c r="D22" s="93" t="n">
        <f aca="false">D10-SUM(D15:D21)</f>
        <v>-297</v>
      </c>
      <c r="E22" s="93" t="n">
        <f aca="false">E10-SUM(E15:E21)</f>
        <v>-60</v>
      </c>
      <c r="F22" s="93" t="n">
        <f aca="false">F10-SUM(F15:F21)</f>
        <v>-29</v>
      </c>
      <c r="G22" s="93" t="n">
        <f aca="false">G10-SUM(G15:G21)</f>
        <v>-155</v>
      </c>
      <c r="H22" s="93" t="n">
        <f aca="false">SUM(B22:G22)</f>
        <v>1589</v>
      </c>
    </row>
    <row r="23" customFormat="false" ht="15" hidden="false" customHeight="true" outlineLevel="0" collapsed="false">
      <c r="A23" s="95" t="s">
        <v>405</v>
      </c>
      <c r="B23" s="96" t="n">
        <f aca="false">SUM(B15:B22)</f>
        <v>17872</v>
      </c>
      <c r="C23" s="96" t="n">
        <f aca="false">SUM(C15:C22)</f>
        <v>17837</v>
      </c>
      <c r="D23" s="96" t="n">
        <f aca="false">SUM(D15:D22)</f>
        <v>26452</v>
      </c>
      <c r="E23" s="96" t="n">
        <f aca="false">SUM(E15:E22)</f>
        <v>20581</v>
      </c>
      <c r="F23" s="96" t="n">
        <f aca="false">SUM(F15:F22)</f>
        <v>24877</v>
      </c>
      <c r="G23" s="96" t="n">
        <f aca="false">SUM(G15:G22)</f>
        <v>27059</v>
      </c>
      <c r="H23" s="96" t="n">
        <f aca="false">SUM(B23:G23)</f>
        <v>134678</v>
      </c>
    </row>
    <row r="24" customFormat="false" ht="15" hidden="false" customHeight="true" outlineLevel="0" collapsed="false">
      <c r="A24" s="90" t="s">
        <v>406</v>
      </c>
      <c r="B24" s="91" t="n">
        <f aca="false">B23-B10</f>
        <v>0</v>
      </c>
      <c r="C24" s="91" t="n">
        <f aca="false">C23-C10</f>
        <v>0</v>
      </c>
      <c r="D24" s="91" t="n">
        <f aca="false">D23-D10</f>
        <v>0</v>
      </c>
      <c r="E24" s="91" t="n">
        <f aca="false">E23-E10</f>
        <v>0</v>
      </c>
      <c r="F24" s="91" t="n">
        <f aca="false">F23-F10</f>
        <v>0</v>
      </c>
      <c r="G24" s="91" t="n">
        <f aca="false">G23-G10</f>
        <v>0</v>
      </c>
      <c r="H24" s="91" t="n">
        <f aca="false">SUM(B24:G24)</f>
        <v>0</v>
      </c>
    </row>
    <row r="25" customFormat="false" ht="15" hidden="false" customHeight="true" outlineLevel="0" collapsed="false">
      <c r="A25" s="97" t="s">
        <v>407</v>
      </c>
    </row>
    <row r="27" customFormat="false" ht="15" hidden="false" customHeight="true" outlineLevel="0" collapsed="false">
      <c r="A27" s="89" t="s">
        <v>408</v>
      </c>
      <c r="B27" s="89"/>
      <c r="C27" s="89"/>
      <c r="D27" s="89"/>
      <c r="E27" s="89"/>
      <c r="F27" s="89"/>
      <c r="G27" s="89"/>
      <c r="H27" s="89"/>
    </row>
    <row r="28" customFormat="false" ht="15" hidden="false" customHeight="true" outlineLevel="0" collapsed="false">
      <c r="A28" s="90" t="s">
        <v>409</v>
      </c>
      <c r="B28" s="91" t="n">
        <v>6385</v>
      </c>
      <c r="C28" s="91" t="n">
        <v>7122</v>
      </c>
      <c r="D28" s="91" t="n">
        <v>10864</v>
      </c>
      <c r="E28" s="91" t="n">
        <v>8859</v>
      </c>
      <c r="F28" s="91" t="n">
        <v>9977</v>
      </c>
      <c r="G28" s="91" t="n">
        <v>10206</v>
      </c>
      <c r="H28" s="91" t="n">
        <f aca="false">SUM(B28:G28)</f>
        <v>53413</v>
      </c>
    </row>
    <row r="29" customFormat="false" ht="15" hidden="false" customHeight="true" outlineLevel="0" collapsed="false">
      <c r="A29" s="90" t="s">
        <v>410</v>
      </c>
      <c r="B29" s="91" t="n">
        <f aca="false">'LW 2026 P&amp;L'!C9</f>
        <v>7659</v>
      </c>
      <c r="C29" s="91" t="n">
        <f aca="false">'LW 2026 P&amp;L'!E9</f>
        <v>9205</v>
      </c>
      <c r="D29" s="91" t="n">
        <f aca="false">'LW 2026 P&amp;L'!G9</f>
        <v>12511</v>
      </c>
      <c r="E29" s="91" t="n">
        <f aca="false">'LW 2026 P&amp;L'!I9</f>
        <v>9497</v>
      </c>
      <c r="F29" s="91" t="n">
        <f aca="false">'LW 2026 P&amp;L'!K9</f>
        <v>10762</v>
      </c>
      <c r="G29" s="91" t="n">
        <f aca="false">'LW 2026 P&amp;L'!M9</f>
        <v>10511</v>
      </c>
      <c r="H29" s="91" t="n">
        <f aca="false">SUM(B29:G29)</f>
        <v>60145</v>
      </c>
    </row>
    <row r="30" customFormat="false" ht="15" hidden="false" customHeight="true" outlineLevel="0" collapsed="false">
      <c r="A30" s="92" t="s">
        <v>411</v>
      </c>
      <c r="B30" s="93" t="n">
        <f aca="false">B29-B28</f>
        <v>1274</v>
      </c>
      <c r="C30" s="93" t="n">
        <f aca="false">C29-C28</f>
        <v>2083</v>
      </c>
      <c r="D30" s="93" t="n">
        <f aca="false">D29-D28</f>
        <v>1647</v>
      </c>
      <c r="E30" s="93" t="n">
        <f aca="false">E29-E28</f>
        <v>638</v>
      </c>
      <c r="F30" s="93" t="n">
        <f aca="false">F29-F28</f>
        <v>785</v>
      </c>
      <c r="G30" s="93" t="n">
        <f aca="false">G29-G28</f>
        <v>305</v>
      </c>
      <c r="H30" s="93" t="n">
        <f aca="false">SUM(B30:G30)</f>
        <v>6732</v>
      </c>
    </row>
    <row r="31" customFormat="false" ht="15" hidden="false" customHeight="true" outlineLevel="0" collapsed="false">
      <c r="A31" s="90" t="s">
        <v>412</v>
      </c>
      <c r="B31" s="91" t="n">
        <v>7915</v>
      </c>
      <c r="C31" s="91" t="n">
        <v>8613</v>
      </c>
      <c r="D31" s="91" t="n">
        <v>12973</v>
      </c>
      <c r="E31" s="91" t="n">
        <v>9848</v>
      </c>
      <c r="F31" s="91" t="n">
        <v>12515</v>
      </c>
      <c r="G31" s="91" t="n">
        <v>13997</v>
      </c>
      <c r="H31" s="91" t="n">
        <f aca="false">SUM(B31:G31)</f>
        <v>65861</v>
      </c>
    </row>
    <row r="32" customFormat="false" ht="15" hidden="false" customHeight="true" outlineLevel="0" collapsed="false">
      <c r="A32" s="90" t="s">
        <v>413</v>
      </c>
      <c r="B32" s="91" t="n">
        <f aca="false">'LW 2026 P&amp;L'!C10</f>
        <v>9236</v>
      </c>
      <c r="C32" s="91" t="n">
        <f aca="false">'LW 2026 P&amp;L'!E10</f>
        <v>9081</v>
      </c>
      <c r="D32" s="91" t="n">
        <f aca="false">'LW 2026 P&amp;L'!G10</f>
        <v>13436</v>
      </c>
      <c r="E32" s="91" t="n">
        <f aca="false">'LW 2026 P&amp;L'!I10</f>
        <v>10789</v>
      </c>
      <c r="F32" s="91" t="n">
        <f aca="false">'LW 2026 P&amp;L'!K10</f>
        <v>13103</v>
      </c>
      <c r="G32" s="91" t="n">
        <f aca="false">'LW 2026 P&amp;L'!M10</f>
        <v>14448</v>
      </c>
      <c r="H32" s="91" t="n">
        <f aca="false">SUM(B32:G32)</f>
        <v>70093</v>
      </c>
    </row>
    <row r="33" customFormat="false" ht="15" hidden="false" customHeight="true" outlineLevel="0" collapsed="false">
      <c r="A33" s="92" t="s">
        <v>414</v>
      </c>
      <c r="B33" s="93" t="n">
        <f aca="false">B32-B31</f>
        <v>1321</v>
      </c>
      <c r="C33" s="93" t="n">
        <f aca="false">C32-C31</f>
        <v>468</v>
      </c>
      <c r="D33" s="93" t="n">
        <f aca="false">D32-D31</f>
        <v>463</v>
      </c>
      <c r="E33" s="93" t="n">
        <f aca="false">E32-E31</f>
        <v>941</v>
      </c>
      <c r="F33" s="93" t="n">
        <f aca="false">F32-F31</f>
        <v>588</v>
      </c>
      <c r="G33" s="93" t="n">
        <f aca="false">G32-G31</f>
        <v>451</v>
      </c>
      <c r="H33" s="93" t="n">
        <f aca="false">SUM(B33:G33)</f>
        <v>4232</v>
      </c>
    </row>
    <row r="34" customFormat="false" ht="15" hidden="false" customHeight="true" outlineLevel="0" collapsed="false">
      <c r="A34" s="90" t="s">
        <v>415</v>
      </c>
      <c r="B34" s="91" t="n">
        <v>100</v>
      </c>
      <c r="C34" s="91" t="n">
        <v>286</v>
      </c>
      <c r="D34" s="91" t="n">
        <v>163</v>
      </c>
      <c r="E34" s="91" t="n">
        <v>468</v>
      </c>
      <c r="F34" s="91" t="n">
        <v>588</v>
      </c>
      <c r="G34" s="91" t="n">
        <v>972</v>
      </c>
      <c r="H34" s="91" t="n">
        <f aca="false">SUM(B34:G34)</f>
        <v>2577</v>
      </c>
    </row>
    <row r="35" customFormat="false" ht="15" hidden="false" customHeight="true" outlineLevel="0" collapsed="false">
      <c r="A35" s="90" t="s">
        <v>416</v>
      </c>
      <c r="B35" s="91" t="n">
        <f aca="false">'LW 2026 P&amp;L'!C11</f>
        <v>800</v>
      </c>
      <c r="C35" s="91" t="n">
        <f aca="false">'LW 2026 P&amp;L'!E11</f>
        <v>295</v>
      </c>
      <c r="D35" s="91" t="n">
        <f aca="false">'LW 2026 P&amp;L'!G11</f>
        <v>1354</v>
      </c>
      <c r="E35" s="91" t="n">
        <f aca="false">'LW 2026 P&amp;L'!I11</f>
        <v>1490</v>
      </c>
      <c r="F35" s="91" t="n">
        <f aca="false">'LW 2026 P&amp;L'!K11</f>
        <v>591</v>
      </c>
      <c r="G35" s="91" t="n">
        <f aca="false">'LW 2026 P&amp;L'!M11</f>
        <v>984</v>
      </c>
      <c r="H35" s="91" t="n">
        <f aca="false">SUM(B35:G35)</f>
        <v>5514</v>
      </c>
    </row>
    <row r="36" customFormat="false" ht="15" hidden="false" customHeight="true" outlineLevel="0" collapsed="false">
      <c r="A36" s="92" t="s">
        <v>417</v>
      </c>
      <c r="B36" s="93" t="n">
        <f aca="false">B35-B34</f>
        <v>700</v>
      </c>
      <c r="C36" s="93" t="n">
        <f aca="false">C35-C34</f>
        <v>9</v>
      </c>
      <c r="D36" s="93" t="n">
        <f aca="false">D35-D34</f>
        <v>1191</v>
      </c>
      <c r="E36" s="93" t="n">
        <f aca="false">E35-E34</f>
        <v>1022</v>
      </c>
      <c r="F36" s="93" t="n">
        <f aca="false">F35-F34</f>
        <v>3</v>
      </c>
      <c r="G36" s="93" t="n">
        <f aca="false">G35-G34</f>
        <v>12</v>
      </c>
      <c r="H36" s="93" t="n">
        <f aca="false">SUM(B36:G36)</f>
        <v>2937</v>
      </c>
    </row>
    <row r="37" customFormat="false" ht="15" hidden="false" customHeight="true" outlineLevel="0" collapsed="false">
      <c r="A37" s="90" t="s">
        <v>418</v>
      </c>
      <c r="B37" s="91" t="n">
        <v>52</v>
      </c>
      <c r="C37" s="91" t="n">
        <v>197</v>
      </c>
      <c r="D37" s="91" t="n">
        <v>161</v>
      </c>
      <c r="E37" s="91" t="n">
        <v>333</v>
      </c>
      <c r="F37" s="91" t="n">
        <v>594</v>
      </c>
      <c r="G37" s="91" t="n">
        <v>739</v>
      </c>
      <c r="H37" s="91" t="n">
        <f aca="false">SUM(B37:G37)</f>
        <v>2076</v>
      </c>
    </row>
    <row r="38" customFormat="false" ht="15" hidden="false" customHeight="true" outlineLevel="0" collapsed="false">
      <c r="A38" s="90" t="s">
        <v>419</v>
      </c>
      <c r="B38" s="91" t="n">
        <f aca="false">'LW 2026 P&amp;L'!C12</f>
        <v>54</v>
      </c>
      <c r="C38" s="91" t="n">
        <f aca="false">'LW 2026 P&amp;L'!E12</f>
        <v>240</v>
      </c>
      <c r="D38" s="91" t="n">
        <f aca="false">'LW 2026 P&amp;L'!G12</f>
        <v>174</v>
      </c>
      <c r="E38" s="91" t="n">
        <f aca="false">'LW 2026 P&amp;L'!I12</f>
        <v>333</v>
      </c>
      <c r="F38" s="91" t="n">
        <f aca="false">'LW 2026 P&amp;L'!K12</f>
        <v>597</v>
      </c>
      <c r="G38" s="91" t="n">
        <f aca="false">'LW 2026 P&amp;L'!M12</f>
        <v>743</v>
      </c>
      <c r="H38" s="91" t="n">
        <f aca="false">SUM(B38:G38)</f>
        <v>2141</v>
      </c>
    </row>
    <row r="39" customFormat="false" ht="15" hidden="false" customHeight="true" outlineLevel="0" collapsed="false">
      <c r="A39" s="92" t="s">
        <v>420</v>
      </c>
      <c r="B39" s="93" t="n">
        <f aca="false">B38-B37</f>
        <v>2</v>
      </c>
      <c r="C39" s="93" t="n">
        <f aca="false">C38-C37</f>
        <v>43</v>
      </c>
      <c r="D39" s="93" t="n">
        <f aca="false">D38-D37</f>
        <v>13</v>
      </c>
      <c r="E39" s="93" t="n">
        <f aca="false">E38-E37</f>
        <v>0</v>
      </c>
      <c r="F39" s="93" t="n">
        <f aca="false">F38-F37</f>
        <v>3</v>
      </c>
      <c r="G39" s="93" t="n">
        <f aca="false">G38-G37</f>
        <v>4</v>
      </c>
      <c r="H39" s="93" t="n">
        <f aca="false">SUM(B39:G39)</f>
        <v>65</v>
      </c>
    </row>
    <row r="40" customFormat="false" ht="15" hidden="false" customHeight="true" outlineLevel="0" collapsed="false">
      <c r="A40" s="90" t="s">
        <v>421</v>
      </c>
      <c r="B40" s="91" t="n">
        <v>0</v>
      </c>
      <c r="C40" s="91" t="n">
        <v>12</v>
      </c>
      <c r="D40" s="91" t="n">
        <v>0</v>
      </c>
      <c r="E40" s="91" t="n">
        <v>464</v>
      </c>
      <c r="F40" s="91" t="n">
        <v>894</v>
      </c>
      <c r="G40" s="91" t="n">
        <v>978</v>
      </c>
      <c r="H40" s="91" t="n">
        <f aca="false">SUM(B40:G40)</f>
        <v>2348</v>
      </c>
    </row>
    <row r="41" customFormat="false" ht="15" hidden="false" customHeight="true" outlineLevel="0" collapsed="false">
      <c r="A41" s="90" t="s">
        <v>422</v>
      </c>
      <c r="B41" s="91" t="n">
        <f aca="false">'LW 2026 P&amp;L'!C13</f>
        <v>0</v>
      </c>
      <c r="C41" s="91" t="n">
        <f aca="false">'LW 2026 P&amp;L'!E13</f>
        <v>12</v>
      </c>
      <c r="D41" s="91" t="n">
        <f aca="false">'LW 2026 P&amp;L'!G13</f>
        <v>1</v>
      </c>
      <c r="E41" s="91" t="n">
        <f aca="false">'LW 2026 P&amp;L'!I13</f>
        <v>496</v>
      </c>
      <c r="F41" s="91" t="n">
        <f aca="false">'LW 2026 P&amp;L'!K13</f>
        <v>1015</v>
      </c>
      <c r="G41" s="91" t="n">
        <f aca="false">'LW 2026 P&amp;L'!M13</f>
        <v>1101</v>
      </c>
      <c r="H41" s="91" t="n">
        <f aca="false">SUM(B41:G41)</f>
        <v>2625</v>
      </c>
    </row>
    <row r="42" customFormat="false" ht="15" hidden="false" customHeight="true" outlineLevel="0" collapsed="false">
      <c r="A42" s="92" t="s">
        <v>423</v>
      </c>
      <c r="B42" s="93" t="n">
        <f aca="false">B41-B40</f>
        <v>0</v>
      </c>
      <c r="C42" s="93" t="n">
        <f aca="false">C41-C40</f>
        <v>0</v>
      </c>
      <c r="D42" s="93" t="n">
        <f aca="false">D41-D40</f>
        <v>1</v>
      </c>
      <c r="E42" s="93" t="n">
        <f aca="false">E41-E40</f>
        <v>32</v>
      </c>
      <c r="F42" s="93" t="n">
        <f aca="false">F41-F40</f>
        <v>121</v>
      </c>
      <c r="G42" s="93" t="n">
        <f aca="false">G41-G40</f>
        <v>123</v>
      </c>
      <c r="H42" s="93" t="n">
        <f aca="false">SUM(B42:G42)</f>
        <v>277</v>
      </c>
    </row>
    <row r="43" customFormat="false" ht="15" hidden="false" customHeight="true" outlineLevel="0" collapsed="false">
      <c r="A43" s="90" t="s">
        <v>424</v>
      </c>
      <c r="B43" s="91" t="n">
        <v>131</v>
      </c>
      <c r="C43" s="91" t="n">
        <v>143</v>
      </c>
      <c r="D43" s="91" t="n">
        <v>1513</v>
      </c>
      <c r="E43" s="91" t="n">
        <v>614</v>
      </c>
      <c r="F43" s="91" t="n">
        <v>235</v>
      </c>
      <c r="G43" s="91" t="n">
        <v>287</v>
      </c>
      <c r="H43" s="91" t="n">
        <f aca="false">SUM(B43:G43)</f>
        <v>2923</v>
      </c>
    </row>
    <row r="44" customFormat="false" ht="15" hidden="false" customHeight="true" outlineLevel="0" collapsed="false">
      <c r="A44" s="90" t="s">
        <v>425</v>
      </c>
      <c r="B44" s="91" t="n">
        <v>1028</v>
      </c>
      <c r="C44" s="91" t="n">
        <v>1595</v>
      </c>
      <c r="D44" s="91" t="n">
        <v>1075</v>
      </c>
      <c r="E44" s="91" t="n">
        <v>55</v>
      </c>
      <c r="F44" s="91" t="n">
        <v>103</v>
      </c>
      <c r="G44" s="91" t="n">
        <v>35</v>
      </c>
      <c r="H44" s="91" t="n">
        <f aca="false">SUM(B44:G44)</f>
        <v>3891</v>
      </c>
    </row>
    <row r="45" customFormat="false" ht="15" hidden="false" customHeight="true" outlineLevel="0" collapsed="false">
      <c r="A45" s="90" t="s">
        <v>426</v>
      </c>
      <c r="B45" s="91" t="n">
        <f aca="false">'LW 2026 P&amp;L'!C14</f>
        <v>854</v>
      </c>
      <c r="C45" s="91" t="n">
        <f aca="false">'LW 2026 P&amp;L'!E14</f>
        <v>28</v>
      </c>
      <c r="D45" s="91" t="n">
        <f aca="false">'LW 2026 P&amp;L'!G14</f>
        <v>1473</v>
      </c>
      <c r="E45" s="91" t="n">
        <f aca="false">'LW 2026 P&amp;L'!I14</f>
        <v>664</v>
      </c>
      <c r="F45" s="91" t="n">
        <f aca="false">'LW 2026 P&amp;L'!K14</f>
        <v>330</v>
      </c>
      <c r="G45" s="91" t="n">
        <f aca="false">'LW 2026 P&amp;L'!M14</f>
        <v>259</v>
      </c>
      <c r="H45" s="91" t="n">
        <f aca="false">SUM(B45:G45)</f>
        <v>3608</v>
      </c>
    </row>
    <row r="47" customFormat="false" ht="15" hidden="false" customHeight="true" outlineLevel="0" collapsed="false">
      <c r="A47" s="89" t="s">
        <v>427</v>
      </c>
      <c r="B47" s="89"/>
      <c r="C47" s="89"/>
      <c r="D47" s="89"/>
      <c r="E47" s="89"/>
      <c r="F47" s="89"/>
      <c r="G47" s="89"/>
      <c r="H47" s="89"/>
    </row>
    <row r="48" customFormat="false" ht="15" hidden="false" customHeight="true" outlineLevel="0" collapsed="false">
      <c r="A48" s="90" t="s">
        <v>428</v>
      </c>
      <c r="H48" s="91" t="n">
        <v>139215</v>
      </c>
    </row>
    <row r="49" customFormat="false" ht="15" hidden="false" customHeight="true" outlineLevel="0" collapsed="false">
      <c r="A49" s="90" t="s">
        <v>429</v>
      </c>
      <c r="H49" s="91" t="n">
        <v>-6718</v>
      </c>
    </row>
    <row r="50" customFormat="false" ht="15" hidden="false" customHeight="true" outlineLevel="0" collapsed="false">
      <c r="A50" s="90" t="s">
        <v>430</v>
      </c>
      <c r="H50" s="91" t="n">
        <v>132497</v>
      </c>
    </row>
    <row r="51" customFormat="false" ht="15" hidden="false" customHeight="true" outlineLevel="0" collapsed="false">
      <c r="A51" s="90" t="s">
        <v>431</v>
      </c>
      <c r="H51" s="91" t="n">
        <v>595</v>
      </c>
    </row>
    <row r="52" customFormat="false" ht="15" hidden="false" customHeight="true" outlineLevel="0" collapsed="false">
      <c r="A52" s="90" t="s">
        <v>432</v>
      </c>
      <c r="H52" s="91" t="n">
        <v>133092</v>
      </c>
    </row>
    <row r="54" customFormat="false" ht="15" hidden="false" customHeight="true" outlineLevel="0" collapsed="false">
      <c r="A54" s="97" t="s">
        <v>433</v>
      </c>
    </row>
    <row r="56" customFormat="false" ht="15" hidden="false" customHeight="true" outlineLevel="0" collapsed="false">
      <c r="A56" s="89" t="s">
        <v>434</v>
      </c>
      <c r="B56" s="89"/>
      <c r="C56" s="89"/>
      <c r="D56" s="89"/>
      <c r="E56" s="89"/>
      <c r="F56" s="89"/>
      <c r="G56" s="89"/>
      <c r="H56" s="89"/>
    </row>
    <row r="57" customFormat="false" ht="15" hidden="false" customHeight="true" outlineLevel="0" collapsed="false">
      <c r="A57" s="90" t="s">
        <v>435</v>
      </c>
    </row>
    <row r="58" customFormat="false" ht="15" hidden="false" customHeight="true" outlineLevel="0" collapsed="false">
      <c r="A58" s="90" t="s">
        <v>436</v>
      </c>
    </row>
    <row r="59" customFormat="false" ht="15" hidden="false" customHeight="true" outlineLevel="0" collapsed="false">
      <c r="A59" s="90" t="s">
        <v>437</v>
      </c>
    </row>
    <row r="60" customFormat="false" ht="15" hidden="false" customHeight="true" outlineLevel="0" collapsed="false">
      <c r="A60" s="90" t="s">
        <v>438</v>
      </c>
    </row>
    <row r="61" customFormat="false" ht="15" hidden="false" customHeight="true" outlineLevel="0" collapsed="false">
      <c r="A61" s="90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AE5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1" min="2" style="0" width="9.5"/>
  </cols>
  <sheetData>
    <row r="1" customFormat="false" ht="17.35" hidden="false" customHeight="false" outlineLevel="0" collapsed="false">
      <c r="A1" s="98" t="s">
        <v>157</v>
      </c>
    </row>
    <row r="2" customFormat="false" ht="15" hidden="false" customHeight="false" outlineLevel="0" collapsed="false">
      <c r="A2" s="99" t="s">
        <v>440</v>
      </c>
    </row>
    <row r="4" customFormat="false" ht="15" hidden="false" customHeight="false" outlineLevel="0" collapsed="false">
      <c r="B4" s="100" t="s">
        <v>441</v>
      </c>
      <c r="E4" s="100" t="s">
        <v>442</v>
      </c>
      <c r="L4" s="100" t="s">
        <v>443</v>
      </c>
      <c r="S4" s="100" t="s">
        <v>444</v>
      </c>
      <c r="Y4" s="100" t="s">
        <v>445</v>
      </c>
    </row>
    <row r="5" customFormat="false" ht="15" hidden="false" customHeight="false" outlineLevel="0" collapsed="false">
      <c r="A5" s="101" t="s">
        <v>446</v>
      </c>
      <c r="B5" s="88" t="s">
        <v>447</v>
      </c>
      <c r="C5" s="88" t="s">
        <v>448</v>
      </c>
      <c r="D5" s="88" t="s">
        <v>449</v>
      </c>
      <c r="E5" s="88" t="s">
        <v>227</v>
      </c>
      <c r="F5" s="88" t="s">
        <v>228</v>
      </c>
      <c r="G5" s="88" t="s">
        <v>229</v>
      </c>
      <c r="H5" s="88" t="s">
        <v>230</v>
      </c>
      <c r="I5" s="88" t="s">
        <v>231</v>
      </c>
      <c r="J5" s="88" t="s">
        <v>232</v>
      </c>
      <c r="K5" s="88" t="s">
        <v>450</v>
      </c>
      <c r="L5" s="88" t="s">
        <v>227</v>
      </c>
      <c r="M5" s="88" t="s">
        <v>228</v>
      </c>
      <c r="N5" s="88" t="s">
        <v>229</v>
      </c>
      <c r="O5" s="88" t="s">
        <v>230</v>
      </c>
      <c r="P5" s="88" t="s">
        <v>231</v>
      </c>
      <c r="Q5" s="88" t="s">
        <v>232</v>
      </c>
      <c r="R5" s="88" t="s">
        <v>451</v>
      </c>
      <c r="S5" s="88" t="s">
        <v>233</v>
      </c>
      <c r="T5" s="88" t="s">
        <v>234</v>
      </c>
      <c r="U5" s="88" t="s">
        <v>235</v>
      </c>
      <c r="V5" s="88" t="s">
        <v>236</v>
      </c>
      <c r="W5" s="88" t="s">
        <v>237</v>
      </c>
      <c r="X5" s="88" t="s">
        <v>238</v>
      </c>
      <c r="Y5" s="88" t="s">
        <v>233</v>
      </c>
      <c r="Z5" s="88" t="s">
        <v>234</v>
      </c>
      <c r="AA5" s="88" t="s">
        <v>235</v>
      </c>
      <c r="AB5" s="88" t="s">
        <v>236</v>
      </c>
      <c r="AC5" s="88" t="s">
        <v>237</v>
      </c>
      <c r="AD5" s="88" t="s">
        <v>238</v>
      </c>
      <c r="AE5" s="88" t="s">
        <v>452</v>
      </c>
    </row>
    <row r="6" customFormat="false" ht="15" hidden="false" customHeight="false" outlineLevel="0" collapsed="false">
      <c r="A6" s="102" t="s">
        <v>453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customFormat="false" ht="15" hidden="false" customHeight="false" outlineLevel="0" collapsed="false">
      <c r="A7" s="103" t="s">
        <v>454</v>
      </c>
      <c r="B7" s="104" t="n">
        <v>0.5</v>
      </c>
      <c r="C7" s="105" t="n">
        <f aca="false">IF(K7=0,0,R7/K7)</f>
        <v>5.53445328031809</v>
      </c>
      <c r="D7" s="105" t="n">
        <f aca="false">C7+B7</f>
        <v>6.03445328031809</v>
      </c>
      <c r="E7" s="106" t="n">
        <v>480</v>
      </c>
      <c r="F7" s="106" t="n">
        <v>387</v>
      </c>
      <c r="G7" s="106" t="n">
        <v>528</v>
      </c>
      <c r="H7" s="106" t="n">
        <v>436</v>
      </c>
      <c r="I7" s="106" t="n">
        <v>610</v>
      </c>
      <c r="J7" s="106" t="n">
        <v>577</v>
      </c>
      <c r="K7" s="106" t="n">
        <f aca="false">SUM(E7:J7)</f>
        <v>3018</v>
      </c>
      <c r="L7" s="107" t="n">
        <v>2674.77</v>
      </c>
      <c r="M7" s="107" t="n">
        <v>2165.51</v>
      </c>
      <c r="N7" s="107" t="n">
        <v>2928.12</v>
      </c>
      <c r="O7" s="107" t="n">
        <v>2377.97</v>
      </c>
      <c r="P7" s="107" t="n">
        <v>3352.23</v>
      </c>
      <c r="Q7" s="107" t="n">
        <v>3204.38</v>
      </c>
      <c r="R7" s="107" t="n">
        <f aca="false">SUM(L7:Q7)</f>
        <v>16702.98</v>
      </c>
      <c r="S7" s="108" t="n">
        <v>541</v>
      </c>
      <c r="T7" s="108" t="n">
        <v>541</v>
      </c>
      <c r="U7" s="108" t="n">
        <v>541</v>
      </c>
      <c r="V7" s="108" t="n">
        <v>541</v>
      </c>
      <c r="W7" s="108" t="n">
        <v>541</v>
      </c>
      <c r="X7" s="108" t="n">
        <v>541</v>
      </c>
      <c r="Y7" s="107" t="n">
        <f aca="false">S7*$D7</f>
        <v>3264.63922465209</v>
      </c>
      <c r="Z7" s="107" t="n">
        <f aca="false">T7*$D7</f>
        <v>3264.63922465209</v>
      </c>
      <c r="AA7" s="107" t="n">
        <f aca="false">U7*$D7</f>
        <v>3264.63922465209</v>
      </c>
      <c r="AB7" s="107" t="n">
        <f aca="false">V7*$D7</f>
        <v>3264.63922465209</v>
      </c>
      <c r="AC7" s="107" t="n">
        <f aca="false">W7*$D7</f>
        <v>3264.63922465209</v>
      </c>
      <c r="AD7" s="107" t="n">
        <f aca="false">X7*$D7</f>
        <v>3264.63922465209</v>
      </c>
      <c r="AE7" s="107" t="n">
        <f aca="false">SUM(Y7:AD7)</f>
        <v>19587.8353479125</v>
      </c>
    </row>
    <row r="8" customFormat="false" ht="15" hidden="false" customHeight="false" outlineLevel="0" collapsed="false">
      <c r="A8" s="103" t="s">
        <v>455</v>
      </c>
      <c r="B8" s="104" t="n">
        <v>0.5</v>
      </c>
      <c r="C8" s="105" t="n">
        <f aca="false">IF(K8=0,0,R8/K8)</f>
        <v>3.46080472706809</v>
      </c>
      <c r="D8" s="105" t="n">
        <f aca="false">C8+B8</f>
        <v>3.96080472706809</v>
      </c>
      <c r="E8" s="106" t="n">
        <v>277</v>
      </c>
      <c r="F8" s="106" t="n">
        <v>269</v>
      </c>
      <c r="G8" s="106" t="n">
        <v>401</v>
      </c>
      <c r="H8" s="106" t="n">
        <v>251</v>
      </c>
      <c r="I8" s="106" t="n">
        <v>256</v>
      </c>
      <c r="J8" s="106" t="n">
        <v>323</v>
      </c>
      <c r="K8" s="106" t="n">
        <f aca="false">SUM(E8:J8)</f>
        <v>1777</v>
      </c>
      <c r="L8" s="107" t="n">
        <v>963.4</v>
      </c>
      <c r="M8" s="107" t="n">
        <v>940.15</v>
      </c>
      <c r="N8" s="107" t="n">
        <v>1409.3</v>
      </c>
      <c r="O8" s="107" t="n">
        <v>849.35</v>
      </c>
      <c r="P8" s="107" t="n">
        <v>867.95</v>
      </c>
      <c r="Q8" s="107" t="n">
        <v>1119.7</v>
      </c>
      <c r="R8" s="107" t="n">
        <f aca="false">SUM(L8:Q8)</f>
        <v>6149.85</v>
      </c>
      <c r="S8" s="108" t="n">
        <v>277</v>
      </c>
      <c r="T8" s="108" t="n">
        <v>277</v>
      </c>
      <c r="U8" s="108" t="n">
        <v>277</v>
      </c>
      <c r="V8" s="108" t="n">
        <v>277</v>
      </c>
      <c r="W8" s="108" t="n">
        <v>277</v>
      </c>
      <c r="X8" s="108" t="n">
        <v>277</v>
      </c>
      <c r="Y8" s="107" t="n">
        <f aca="false">S8*$D8</f>
        <v>1097.14290939786</v>
      </c>
      <c r="Z8" s="107" t="n">
        <f aca="false">T8*$D8</f>
        <v>1097.14290939786</v>
      </c>
      <c r="AA8" s="107" t="n">
        <f aca="false">U8*$D8</f>
        <v>1097.14290939786</v>
      </c>
      <c r="AB8" s="107" t="n">
        <f aca="false">V8*$D8</f>
        <v>1097.14290939786</v>
      </c>
      <c r="AC8" s="107" t="n">
        <f aca="false">W8*$D8</f>
        <v>1097.14290939786</v>
      </c>
      <c r="AD8" s="107" t="n">
        <f aca="false">X8*$D8</f>
        <v>1097.14290939786</v>
      </c>
      <c r="AE8" s="107" t="n">
        <f aca="false">SUM(Y8:AD8)</f>
        <v>6582.85745638717</v>
      </c>
    </row>
    <row r="9" customFormat="false" ht="15" hidden="false" customHeight="false" outlineLevel="0" collapsed="false">
      <c r="A9" s="103" t="s">
        <v>456</v>
      </c>
      <c r="B9" s="104" t="n">
        <v>0.45</v>
      </c>
      <c r="C9" s="105" t="n">
        <f aca="false">IF(K9=0,0,R9/K9)</f>
        <v>5.25702677746999</v>
      </c>
      <c r="D9" s="105" t="n">
        <f aca="false">C9+B9</f>
        <v>5.70702677746999</v>
      </c>
      <c r="E9" s="106" t="n">
        <v>83</v>
      </c>
      <c r="F9" s="106" t="n">
        <v>103</v>
      </c>
      <c r="G9" s="106" t="n">
        <v>199</v>
      </c>
      <c r="H9" s="106" t="n">
        <v>191</v>
      </c>
      <c r="I9" s="106" t="n">
        <v>247</v>
      </c>
      <c r="J9" s="106" t="n">
        <v>260</v>
      </c>
      <c r="K9" s="106" t="n">
        <f aca="false">SUM(E9:J9)</f>
        <v>1083</v>
      </c>
      <c r="L9" s="107" t="n">
        <v>427.2</v>
      </c>
      <c r="M9" s="107" t="n">
        <v>519.9</v>
      </c>
      <c r="N9" s="107" t="n">
        <v>1032.4</v>
      </c>
      <c r="O9" s="107" t="n">
        <v>997.24</v>
      </c>
      <c r="P9" s="107" t="n">
        <v>1321.81</v>
      </c>
      <c r="Q9" s="107" t="n">
        <v>1394.81</v>
      </c>
      <c r="R9" s="107" t="n">
        <f aca="false">SUM(L9:Q9)</f>
        <v>5693.36</v>
      </c>
      <c r="S9" s="108" t="n">
        <v>233</v>
      </c>
      <c r="T9" s="108" t="n">
        <v>233</v>
      </c>
      <c r="U9" s="108" t="n">
        <v>233</v>
      </c>
      <c r="V9" s="108" t="n">
        <v>233</v>
      </c>
      <c r="W9" s="108" t="n">
        <v>233</v>
      </c>
      <c r="X9" s="108" t="n">
        <v>233</v>
      </c>
      <c r="Y9" s="107" t="n">
        <f aca="false">S9*$D9</f>
        <v>1329.73723915051</v>
      </c>
      <c r="Z9" s="107" t="n">
        <f aca="false">T9*$D9</f>
        <v>1329.73723915051</v>
      </c>
      <c r="AA9" s="107" t="n">
        <f aca="false">U9*$D9</f>
        <v>1329.73723915051</v>
      </c>
      <c r="AB9" s="107" t="n">
        <f aca="false">V9*$D9</f>
        <v>1329.73723915051</v>
      </c>
      <c r="AC9" s="107" t="n">
        <f aca="false">W9*$D9</f>
        <v>1329.73723915051</v>
      </c>
      <c r="AD9" s="107" t="n">
        <f aca="false">X9*$D9</f>
        <v>1329.73723915051</v>
      </c>
      <c r="AE9" s="107" t="n">
        <f aca="false">SUM(Y9:AD9)</f>
        <v>7978.42343490305</v>
      </c>
    </row>
    <row r="10" customFormat="false" ht="15" hidden="false" customHeight="false" outlineLevel="0" collapsed="false">
      <c r="A10" s="103" t="s">
        <v>457</v>
      </c>
      <c r="B10" s="104" t="n">
        <v>0.5</v>
      </c>
      <c r="C10" s="105" t="n">
        <f aca="false">IF(K10=0,0,R10/K10)</f>
        <v>6.74567010309278</v>
      </c>
      <c r="D10" s="105" t="n">
        <f aca="false">C10+B10</f>
        <v>7.24567010309278</v>
      </c>
      <c r="E10" s="106" t="n">
        <v>38</v>
      </c>
      <c r="F10" s="106" t="n">
        <v>60</v>
      </c>
      <c r="G10" s="106" t="n">
        <v>68</v>
      </c>
      <c r="H10" s="106" t="n">
        <v>94</v>
      </c>
      <c r="I10" s="106" t="n">
        <v>88</v>
      </c>
      <c r="J10" s="106" t="n">
        <v>137</v>
      </c>
      <c r="K10" s="106" t="n">
        <f aca="false">SUM(E10:J10)</f>
        <v>485</v>
      </c>
      <c r="L10" s="107" t="n">
        <v>245.05</v>
      </c>
      <c r="M10" s="107" t="n">
        <v>396.15</v>
      </c>
      <c r="N10" s="107" t="n">
        <v>442.95</v>
      </c>
      <c r="O10" s="107" t="n">
        <v>641.3</v>
      </c>
      <c r="P10" s="107" t="n">
        <v>584.6</v>
      </c>
      <c r="Q10" s="107" t="n">
        <v>961.6</v>
      </c>
      <c r="R10" s="107" t="n">
        <f aca="false">SUM(L10:Q10)</f>
        <v>3271.65</v>
      </c>
      <c r="S10" s="108" t="n">
        <v>106</v>
      </c>
      <c r="T10" s="108" t="n">
        <v>106</v>
      </c>
      <c r="U10" s="108" t="n">
        <v>106</v>
      </c>
      <c r="V10" s="108" t="n">
        <v>106</v>
      </c>
      <c r="W10" s="108" t="n">
        <v>106</v>
      </c>
      <c r="X10" s="108" t="n">
        <v>106</v>
      </c>
      <c r="Y10" s="107" t="n">
        <f aca="false">S10*$D10</f>
        <v>768.041030927835</v>
      </c>
      <c r="Z10" s="107" t="n">
        <f aca="false">T10*$D10</f>
        <v>768.041030927835</v>
      </c>
      <c r="AA10" s="107" t="n">
        <f aca="false">U10*$D10</f>
        <v>768.041030927835</v>
      </c>
      <c r="AB10" s="107" t="n">
        <f aca="false">V10*$D10</f>
        <v>768.041030927835</v>
      </c>
      <c r="AC10" s="107" t="n">
        <f aca="false">W10*$D10</f>
        <v>768.041030927835</v>
      </c>
      <c r="AD10" s="107" t="n">
        <f aca="false">X10*$D10</f>
        <v>768.041030927835</v>
      </c>
      <c r="AE10" s="107" t="n">
        <f aca="false">SUM(Y10:AD10)</f>
        <v>4608.24618556701</v>
      </c>
    </row>
    <row r="11" customFormat="false" ht="15" hidden="false" customHeight="false" outlineLevel="0" collapsed="false">
      <c r="A11" s="103" t="s">
        <v>458</v>
      </c>
      <c r="B11" s="104" t="n">
        <v>0</v>
      </c>
      <c r="C11" s="105" t="n">
        <f aca="false">IF(K11=0,0,R11/K11)</f>
        <v>2.84104508196721</v>
      </c>
      <c r="D11" s="105" t="n">
        <f aca="false">C11+B11</f>
        <v>2.84104508196721</v>
      </c>
      <c r="E11" s="106" t="n">
        <v>33</v>
      </c>
      <c r="F11" s="106" t="n">
        <v>22</v>
      </c>
      <c r="G11" s="106" t="n">
        <v>441</v>
      </c>
      <c r="H11" s="106" t="n">
        <v>148</v>
      </c>
      <c r="I11" s="106" t="n">
        <v>93</v>
      </c>
      <c r="J11" s="106" t="n">
        <v>239</v>
      </c>
      <c r="K11" s="106" t="n">
        <f aca="false">SUM(E11:J11)</f>
        <v>976</v>
      </c>
      <c r="L11" s="107" t="n">
        <v>109.27</v>
      </c>
      <c r="M11" s="107" t="n">
        <v>73.52</v>
      </c>
      <c r="N11" s="107" t="n">
        <v>1435.76</v>
      </c>
      <c r="O11" s="107" t="n">
        <v>66</v>
      </c>
      <c r="P11" s="107" t="n">
        <v>299.71</v>
      </c>
      <c r="Q11" s="107" t="n">
        <v>788.6</v>
      </c>
      <c r="R11" s="107" t="n">
        <f aca="false">SUM(L11:Q11)</f>
        <v>2772.86</v>
      </c>
      <c r="S11" s="108" t="n">
        <v>160</v>
      </c>
      <c r="T11" s="108" t="n">
        <v>160</v>
      </c>
      <c r="U11" s="108" t="n">
        <v>160</v>
      </c>
      <c r="V11" s="108" t="n">
        <v>160</v>
      </c>
      <c r="W11" s="108" t="n">
        <v>160</v>
      </c>
      <c r="X11" s="108" t="n">
        <v>160</v>
      </c>
      <c r="Y11" s="107" t="n">
        <f aca="false">S11*$D11</f>
        <v>454.567213114754</v>
      </c>
      <c r="Z11" s="107" t="n">
        <f aca="false">T11*$D11</f>
        <v>454.567213114754</v>
      </c>
      <c r="AA11" s="107" t="n">
        <f aca="false">U11*$D11</f>
        <v>454.567213114754</v>
      </c>
      <c r="AB11" s="107" t="n">
        <f aca="false">V11*$D11</f>
        <v>454.567213114754</v>
      </c>
      <c r="AC11" s="107" t="n">
        <f aca="false">W11*$D11</f>
        <v>454.567213114754</v>
      </c>
      <c r="AD11" s="107" t="n">
        <f aca="false">X11*$D11</f>
        <v>454.567213114754</v>
      </c>
      <c r="AE11" s="107" t="n">
        <f aca="false">SUM(Y11:AD11)</f>
        <v>2727.40327868852</v>
      </c>
    </row>
    <row r="12" customFormat="false" ht="15" hidden="false" customHeight="false" outlineLevel="0" collapsed="false">
      <c r="A12" s="103" t="s">
        <v>459</v>
      </c>
      <c r="B12" s="104" t="n">
        <v>0</v>
      </c>
      <c r="C12" s="105" t="n">
        <f aca="false">IF(K12=0,0,R12/K12)</f>
        <v>5.7134328358209</v>
      </c>
      <c r="D12" s="105" t="n">
        <f aca="false">C12+B12</f>
        <v>5.7134328358209</v>
      </c>
      <c r="E12" s="106" t="n">
        <v>58</v>
      </c>
      <c r="F12" s="106" t="n">
        <v>89</v>
      </c>
      <c r="G12" s="106" t="n">
        <v>82</v>
      </c>
      <c r="H12" s="106" t="n">
        <v>51</v>
      </c>
      <c r="I12" s="106" t="n">
        <v>105</v>
      </c>
      <c r="J12" s="106" t="n">
        <v>84</v>
      </c>
      <c r="K12" s="106" t="n">
        <f aca="false">SUM(E12:J12)</f>
        <v>469</v>
      </c>
      <c r="L12" s="107" t="n">
        <v>340.2</v>
      </c>
      <c r="M12" s="107" t="n">
        <v>527.7</v>
      </c>
      <c r="N12" s="107" t="n">
        <v>462.9</v>
      </c>
      <c r="O12" s="107" t="n">
        <v>288</v>
      </c>
      <c r="P12" s="107" t="n">
        <v>580.8</v>
      </c>
      <c r="Q12" s="107" t="n">
        <v>480</v>
      </c>
      <c r="R12" s="107" t="n">
        <f aca="false">SUM(L12:Q12)</f>
        <v>2679.6</v>
      </c>
      <c r="S12" s="108" t="n">
        <v>80</v>
      </c>
      <c r="T12" s="108" t="n">
        <v>80</v>
      </c>
      <c r="U12" s="108" t="n">
        <v>80</v>
      </c>
      <c r="V12" s="108" t="n">
        <v>80</v>
      </c>
      <c r="W12" s="108" t="n">
        <v>80</v>
      </c>
      <c r="X12" s="108" t="n">
        <v>80</v>
      </c>
      <c r="Y12" s="107" t="n">
        <f aca="false">S12*$D12</f>
        <v>457.074626865672</v>
      </c>
      <c r="Z12" s="107" t="n">
        <f aca="false">T12*$D12</f>
        <v>457.074626865672</v>
      </c>
      <c r="AA12" s="107" t="n">
        <f aca="false">U12*$D12</f>
        <v>457.074626865672</v>
      </c>
      <c r="AB12" s="107" t="n">
        <f aca="false">V12*$D12</f>
        <v>457.074626865672</v>
      </c>
      <c r="AC12" s="107" t="n">
        <f aca="false">W12*$D12</f>
        <v>457.074626865672</v>
      </c>
      <c r="AD12" s="107" t="n">
        <f aca="false">X12*$D12</f>
        <v>457.074626865672</v>
      </c>
      <c r="AE12" s="107" t="n">
        <f aca="false">SUM(Y12:AD12)</f>
        <v>2742.44776119403</v>
      </c>
    </row>
    <row r="13" customFormat="false" ht="15" hidden="false" customHeight="false" outlineLevel="0" collapsed="false">
      <c r="A13" s="103" t="s">
        <v>460</v>
      </c>
      <c r="B13" s="104" t="n">
        <v>0.25</v>
      </c>
      <c r="C13" s="105" t="n">
        <f aca="false">IF(K13=0,0,R13/K13)</f>
        <v>4.02821482602118</v>
      </c>
      <c r="D13" s="105" t="n">
        <f aca="false">C13+B13</f>
        <v>4.27821482602118</v>
      </c>
      <c r="E13" s="106" t="n">
        <v>92</v>
      </c>
      <c r="F13" s="106" t="n">
        <v>77</v>
      </c>
      <c r="G13" s="106" t="n">
        <v>123</v>
      </c>
      <c r="H13" s="106" t="n">
        <v>110</v>
      </c>
      <c r="I13" s="106" t="n">
        <v>126</v>
      </c>
      <c r="J13" s="106" t="n">
        <v>133</v>
      </c>
      <c r="K13" s="106" t="n">
        <f aca="false">SUM(E13:J13)</f>
        <v>661</v>
      </c>
      <c r="L13" s="107" t="n">
        <v>359.55</v>
      </c>
      <c r="M13" s="107" t="n">
        <v>315.25</v>
      </c>
      <c r="N13" s="107" t="n">
        <v>498.4</v>
      </c>
      <c r="O13" s="107" t="n">
        <v>439.5</v>
      </c>
      <c r="P13" s="107" t="n">
        <v>505.15</v>
      </c>
      <c r="Q13" s="107" t="n">
        <v>544.8</v>
      </c>
      <c r="R13" s="107" t="n">
        <f aca="false">SUM(L13:Q13)</f>
        <v>2662.65</v>
      </c>
      <c r="S13" s="108" t="n">
        <v>123</v>
      </c>
      <c r="T13" s="108" t="n">
        <v>123</v>
      </c>
      <c r="U13" s="108" t="n">
        <v>123</v>
      </c>
      <c r="V13" s="108" t="n">
        <v>123</v>
      </c>
      <c r="W13" s="108" t="n">
        <v>123</v>
      </c>
      <c r="X13" s="108" t="n">
        <v>123</v>
      </c>
      <c r="Y13" s="107" t="n">
        <f aca="false">S13*$D13</f>
        <v>526.220423600605</v>
      </c>
      <c r="Z13" s="107" t="n">
        <f aca="false">T13*$D13</f>
        <v>526.220423600605</v>
      </c>
      <c r="AA13" s="107" t="n">
        <f aca="false">U13*$D13</f>
        <v>526.220423600605</v>
      </c>
      <c r="AB13" s="107" t="n">
        <f aca="false">V13*$D13</f>
        <v>526.220423600605</v>
      </c>
      <c r="AC13" s="107" t="n">
        <f aca="false">W13*$D13</f>
        <v>526.220423600605</v>
      </c>
      <c r="AD13" s="107" t="n">
        <f aca="false">X13*$D13</f>
        <v>526.220423600605</v>
      </c>
      <c r="AE13" s="107" t="n">
        <f aca="false">SUM(Y13:AD13)</f>
        <v>3157.32254160363</v>
      </c>
    </row>
    <row r="14" customFormat="false" ht="15" hidden="false" customHeight="false" outlineLevel="0" collapsed="false">
      <c r="A14" s="103" t="s">
        <v>461</v>
      </c>
      <c r="B14" s="104" t="n">
        <v>0.5</v>
      </c>
      <c r="C14" s="105" t="n">
        <f aca="false">IF(K14=0,0,R14/K14)</f>
        <v>4.36993344425957</v>
      </c>
      <c r="D14" s="105" t="n">
        <f aca="false">C14+B14</f>
        <v>4.86993344425957</v>
      </c>
      <c r="E14" s="106" t="n">
        <v>60</v>
      </c>
      <c r="F14" s="106" t="n">
        <v>110</v>
      </c>
      <c r="G14" s="106" t="n">
        <v>128</v>
      </c>
      <c r="H14" s="106" t="n">
        <v>87</v>
      </c>
      <c r="I14" s="106" t="n">
        <v>127</v>
      </c>
      <c r="J14" s="106" t="n">
        <v>89</v>
      </c>
      <c r="K14" s="106" t="n">
        <f aca="false">SUM(E14:J14)</f>
        <v>601</v>
      </c>
      <c r="L14" s="107" t="n">
        <v>262.51</v>
      </c>
      <c r="M14" s="107" t="n">
        <v>474.18</v>
      </c>
      <c r="N14" s="107" t="n">
        <v>566.27</v>
      </c>
      <c r="O14" s="107" t="n">
        <v>375.06</v>
      </c>
      <c r="P14" s="107" t="n">
        <v>561.94</v>
      </c>
      <c r="Q14" s="107" t="n">
        <v>386.37</v>
      </c>
      <c r="R14" s="107" t="n">
        <f aca="false">SUM(L14:Q14)</f>
        <v>2626.33</v>
      </c>
      <c r="S14" s="108" t="n">
        <v>101</v>
      </c>
      <c r="T14" s="108" t="n">
        <v>101</v>
      </c>
      <c r="U14" s="108" t="n">
        <v>101</v>
      </c>
      <c r="V14" s="108" t="n">
        <v>101</v>
      </c>
      <c r="W14" s="108" t="n">
        <v>101</v>
      </c>
      <c r="X14" s="108" t="n">
        <v>101</v>
      </c>
      <c r="Y14" s="107" t="n">
        <f aca="false">S14*$D14</f>
        <v>491.863277870216</v>
      </c>
      <c r="Z14" s="107" t="n">
        <f aca="false">T14*$D14</f>
        <v>491.863277870216</v>
      </c>
      <c r="AA14" s="107" t="n">
        <f aca="false">U14*$D14</f>
        <v>491.863277870216</v>
      </c>
      <c r="AB14" s="107" t="n">
        <f aca="false">V14*$D14</f>
        <v>491.863277870216</v>
      </c>
      <c r="AC14" s="107" t="n">
        <f aca="false">W14*$D14</f>
        <v>491.863277870216</v>
      </c>
      <c r="AD14" s="107" t="n">
        <f aca="false">X14*$D14</f>
        <v>491.863277870216</v>
      </c>
      <c r="AE14" s="107" t="n">
        <f aca="false">SUM(Y14:AD14)</f>
        <v>2951.1796672213</v>
      </c>
    </row>
    <row r="15" customFormat="false" ht="15" hidden="false" customHeight="false" outlineLevel="0" collapsed="false">
      <c r="A15" s="103" t="s">
        <v>462</v>
      </c>
      <c r="B15" s="104" t="n">
        <v>0</v>
      </c>
      <c r="C15" s="105" t="n">
        <f aca="false">IF(K15=0,0,R15/K15)</f>
        <v>6.11072386058981</v>
      </c>
      <c r="D15" s="105" t="n">
        <f aca="false">C15+B15</f>
        <v>6.11072386058981</v>
      </c>
      <c r="E15" s="106" t="n">
        <v>55</v>
      </c>
      <c r="F15" s="106" t="n">
        <v>53</v>
      </c>
      <c r="G15" s="106" t="n">
        <v>61</v>
      </c>
      <c r="H15" s="106" t="n">
        <v>53</v>
      </c>
      <c r="I15" s="106" t="n">
        <v>78</v>
      </c>
      <c r="J15" s="106" t="n">
        <v>73</v>
      </c>
      <c r="K15" s="106" t="n">
        <f aca="false">SUM(E15:J15)</f>
        <v>373</v>
      </c>
      <c r="L15" s="107" t="n">
        <v>347.6</v>
      </c>
      <c r="M15" s="107" t="n">
        <v>322.45</v>
      </c>
      <c r="N15" s="107" t="n">
        <v>355.9</v>
      </c>
      <c r="O15" s="107" t="n">
        <v>331.45</v>
      </c>
      <c r="P15" s="107" t="n">
        <v>460.35</v>
      </c>
      <c r="Q15" s="107" t="n">
        <v>461.55</v>
      </c>
      <c r="R15" s="107" t="n">
        <f aca="false">SUM(L15:Q15)</f>
        <v>2279.3</v>
      </c>
      <c r="S15" s="108" t="n">
        <v>68</v>
      </c>
      <c r="T15" s="108" t="n">
        <v>68</v>
      </c>
      <c r="U15" s="108" t="n">
        <v>68</v>
      </c>
      <c r="V15" s="108" t="n">
        <v>68</v>
      </c>
      <c r="W15" s="108" t="n">
        <v>68</v>
      </c>
      <c r="X15" s="108" t="n">
        <v>68</v>
      </c>
      <c r="Y15" s="107" t="n">
        <f aca="false">S15*$D15</f>
        <v>415.529222520107</v>
      </c>
      <c r="Z15" s="107" t="n">
        <f aca="false">T15*$D15</f>
        <v>415.529222520107</v>
      </c>
      <c r="AA15" s="107" t="n">
        <f aca="false">U15*$D15</f>
        <v>415.529222520107</v>
      </c>
      <c r="AB15" s="107" t="n">
        <f aca="false">V15*$D15</f>
        <v>415.529222520107</v>
      </c>
      <c r="AC15" s="107" t="n">
        <f aca="false">W15*$D15</f>
        <v>415.529222520107</v>
      </c>
      <c r="AD15" s="107" t="n">
        <f aca="false">X15*$D15</f>
        <v>415.529222520107</v>
      </c>
      <c r="AE15" s="107" t="n">
        <f aca="false">SUM(Y15:AD15)</f>
        <v>2493.17533512064</v>
      </c>
    </row>
    <row r="16" customFormat="false" ht="15" hidden="false" customHeight="false" outlineLevel="0" collapsed="false">
      <c r="A16" s="103" t="s">
        <v>463</v>
      </c>
      <c r="B16" s="104" t="n">
        <v>0</v>
      </c>
      <c r="C16" s="105" t="n">
        <f aca="false">IF(K16=0,0,R16/K16)</f>
        <v>3.98229376257545</v>
      </c>
      <c r="D16" s="105" t="n">
        <f aca="false">C16+B16</f>
        <v>3.98229376257545</v>
      </c>
      <c r="E16" s="106" t="n">
        <v>56</v>
      </c>
      <c r="F16" s="106" t="n">
        <v>137</v>
      </c>
      <c r="G16" s="106" t="n">
        <v>172</v>
      </c>
      <c r="H16" s="106" t="n">
        <v>132</v>
      </c>
      <c r="I16" s="106" t="n">
        <v>0</v>
      </c>
      <c r="J16" s="106" t="n">
        <v>0</v>
      </c>
      <c r="K16" s="106" t="n">
        <f aca="false">SUM(E16:J16)</f>
        <v>497</v>
      </c>
      <c r="L16" s="107" t="n">
        <v>222</v>
      </c>
      <c r="M16" s="107" t="n">
        <v>546.2</v>
      </c>
      <c r="N16" s="107" t="n">
        <v>685.6</v>
      </c>
      <c r="O16" s="107" t="n">
        <v>525.4</v>
      </c>
      <c r="P16" s="107" t="n">
        <v>0</v>
      </c>
      <c r="Q16" s="107" t="n">
        <v>0</v>
      </c>
      <c r="R16" s="107" t="n">
        <f aca="false">SUM(L16:Q16)</f>
        <v>1979.2</v>
      </c>
      <c r="S16" s="108" t="n">
        <v>44</v>
      </c>
      <c r="T16" s="108" t="n">
        <v>44</v>
      </c>
      <c r="U16" s="108" t="n">
        <v>44</v>
      </c>
      <c r="V16" s="108" t="n">
        <v>44</v>
      </c>
      <c r="W16" s="108" t="n">
        <v>44</v>
      </c>
      <c r="X16" s="108" t="n">
        <v>44</v>
      </c>
      <c r="Y16" s="107" t="n">
        <f aca="false">S16*$D16</f>
        <v>175.22092555332</v>
      </c>
      <c r="Z16" s="107" t="n">
        <f aca="false">T16*$D16</f>
        <v>175.22092555332</v>
      </c>
      <c r="AA16" s="107" t="n">
        <f aca="false">U16*$D16</f>
        <v>175.22092555332</v>
      </c>
      <c r="AB16" s="107" t="n">
        <f aca="false">V16*$D16</f>
        <v>175.22092555332</v>
      </c>
      <c r="AC16" s="107" t="n">
        <f aca="false">W16*$D16</f>
        <v>175.22092555332</v>
      </c>
      <c r="AD16" s="107" t="n">
        <f aca="false">X16*$D16</f>
        <v>175.22092555332</v>
      </c>
      <c r="AE16" s="107" t="n">
        <f aca="false">SUM(Y16:AD16)</f>
        <v>1051.32555331992</v>
      </c>
    </row>
    <row r="17" customFormat="false" ht="15" hidden="false" customHeight="false" outlineLevel="0" collapsed="false">
      <c r="A17" s="103" t="s">
        <v>464</v>
      </c>
      <c r="B17" s="104" t="n">
        <v>0</v>
      </c>
      <c r="C17" s="105" t="n">
        <f aca="false">IF(K17=0,0,R17/K17)</f>
        <v>5.8035625</v>
      </c>
      <c r="D17" s="105" t="n">
        <f aca="false">C17+B17</f>
        <v>5.8035625</v>
      </c>
      <c r="E17" s="106" t="n">
        <v>34</v>
      </c>
      <c r="F17" s="106" t="n">
        <v>43</v>
      </c>
      <c r="G17" s="106" t="n">
        <v>61</v>
      </c>
      <c r="H17" s="106" t="n">
        <v>54</v>
      </c>
      <c r="I17" s="106" t="n">
        <v>41</v>
      </c>
      <c r="J17" s="106" t="n">
        <v>87</v>
      </c>
      <c r="K17" s="106" t="n">
        <f aca="false">SUM(E17:J17)</f>
        <v>320</v>
      </c>
      <c r="L17" s="107" t="n">
        <v>184.59</v>
      </c>
      <c r="M17" s="107" t="n">
        <v>258.31</v>
      </c>
      <c r="N17" s="107" t="n">
        <v>358.69</v>
      </c>
      <c r="O17" s="107" t="n">
        <v>303.94</v>
      </c>
      <c r="P17" s="107" t="n">
        <v>235.29</v>
      </c>
      <c r="Q17" s="107" t="n">
        <v>516.32</v>
      </c>
      <c r="R17" s="107" t="n">
        <f aca="false">SUM(L17:Q17)</f>
        <v>1857.14</v>
      </c>
      <c r="S17" s="108" t="n">
        <v>61</v>
      </c>
      <c r="T17" s="108" t="n">
        <v>61</v>
      </c>
      <c r="U17" s="108" t="n">
        <v>61</v>
      </c>
      <c r="V17" s="108" t="n">
        <v>61</v>
      </c>
      <c r="W17" s="108" t="n">
        <v>61</v>
      </c>
      <c r="X17" s="108" t="n">
        <v>61</v>
      </c>
      <c r="Y17" s="107" t="n">
        <f aca="false">S17*$D17</f>
        <v>354.0173125</v>
      </c>
      <c r="Z17" s="107" t="n">
        <f aca="false">T17*$D17</f>
        <v>354.0173125</v>
      </c>
      <c r="AA17" s="107" t="n">
        <f aca="false">U17*$D17</f>
        <v>354.0173125</v>
      </c>
      <c r="AB17" s="107" t="n">
        <f aca="false">V17*$D17</f>
        <v>354.0173125</v>
      </c>
      <c r="AC17" s="107" t="n">
        <f aca="false">W17*$D17</f>
        <v>354.0173125</v>
      </c>
      <c r="AD17" s="107" t="n">
        <f aca="false">X17*$D17</f>
        <v>354.0173125</v>
      </c>
      <c r="AE17" s="107" t="n">
        <f aca="false">SUM(Y17:AD17)</f>
        <v>2124.103875</v>
      </c>
    </row>
    <row r="18" customFormat="false" ht="15" hidden="false" customHeight="false" outlineLevel="0" collapsed="false">
      <c r="A18" s="103" t="s">
        <v>465</v>
      </c>
      <c r="B18" s="104" t="n">
        <v>0</v>
      </c>
      <c r="C18" s="105" t="n">
        <f aca="false">IF(K18=0,0,R18/K18)</f>
        <v>3.97906336088154</v>
      </c>
      <c r="D18" s="105" t="n">
        <f aca="false">C18+B18</f>
        <v>3.97906336088154</v>
      </c>
      <c r="E18" s="106" t="n">
        <v>0</v>
      </c>
      <c r="F18" s="106" t="n">
        <v>0</v>
      </c>
      <c r="G18" s="106" t="n">
        <v>0</v>
      </c>
      <c r="H18" s="106" t="n">
        <v>3</v>
      </c>
      <c r="I18" s="106" t="n">
        <v>167</v>
      </c>
      <c r="J18" s="106" t="n">
        <v>193</v>
      </c>
      <c r="K18" s="106" t="n">
        <f aca="false">SUM(E18:J18)</f>
        <v>363</v>
      </c>
      <c r="L18" s="107" t="n">
        <v>0</v>
      </c>
      <c r="M18" s="107" t="n">
        <v>0</v>
      </c>
      <c r="N18" s="107" t="n">
        <v>0</v>
      </c>
      <c r="O18" s="107" t="n">
        <v>12</v>
      </c>
      <c r="P18" s="107" t="n">
        <v>666.2</v>
      </c>
      <c r="Q18" s="107" t="n">
        <v>766.2</v>
      </c>
      <c r="R18" s="107" t="n">
        <f aca="false">SUM(L18:Q18)</f>
        <v>1444.4</v>
      </c>
      <c r="S18" s="108" t="n">
        <v>121</v>
      </c>
      <c r="T18" s="108" t="n">
        <v>121</v>
      </c>
      <c r="U18" s="108" t="n">
        <v>121</v>
      </c>
      <c r="V18" s="108" t="n">
        <v>121</v>
      </c>
      <c r="W18" s="108" t="n">
        <v>121</v>
      </c>
      <c r="X18" s="108" t="n">
        <v>121</v>
      </c>
      <c r="Y18" s="107" t="n">
        <f aca="false">S18*$D18</f>
        <v>481.466666666667</v>
      </c>
      <c r="Z18" s="107" t="n">
        <f aca="false">T18*$D18</f>
        <v>481.466666666667</v>
      </c>
      <c r="AA18" s="107" t="n">
        <f aca="false">U18*$D18</f>
        <v>481.466666666667</v>
      </c>
      <c r="AB18" s="107" t="n">
        <f aca="false">V18*$D18</f>
        <v>481.466666666667</v>
      </c>
      <c r="AC18" s="107" t="n">
        <f aca="false">W18*$D18</f>
        <v>481.466666666667</v>
      </c>
      <c r="AD18" s="107" t="n">
        <f aca="false">X18*$D18</f>
        <v>481.466666666667</v>
      </c>
      <c r="AE18" s="107" t="n">
        <f aca="false">SUM(Y18:AD18)</f>
        <v>2888.8</v>
      </c>
    </row>
    <row r="19" customFormat="false" ht="15" hidden="false" customHeight="false" outlineLevel="0" collapsed="false">
      <c r="A19" s="103" t="s">
        <v>466</v>
      </c>
      <c r="B19" s="104" t="n">
        <v>0</v>
      </c>
      <c r="C19" s="105" t="n">
        <f aca="false">IF(K19=0,0,R19/K19)</f>
        <v>3.47616621983914</v>
      </c>
      <c r="D19" s="105" t="n">
        <f aca="false">C19+B19</f>
        <v>3.47616621983914</v>
      </c>
      <c r="E19" s="106" t="n">
        <v>67</v>
      </c>
      <c r="F19" s="106" t="n">
        <v>54</v>
      </c>
      <c r="G19" s="106" t="n">
        <v>73</v>
      </c>
      <c r="H19" s="106" t="n">
        <v>48</v>
      </c>
      <c r="I19" s="106" t="n">
        <v>72</v>
      </c>
      <c r="J19" s="106" t="n">
        <v>59</v>
      </c>
      <c r="K19" s="106" t="n">
        <f aca="false">SUM(E19:J19)</f>
        <v>373</v>
      </c>
      <c r="L19" s="107" t="n">
        <v>224.56</v>
      </c>
      <c r="M19" s="107" t="n">
        <v>181.66</v>
      </c>
      <c r="N19" s="107" t="n">
        <v>258.78</v>
      </c>
      <c r="O19" s="107" t="n">
        <v>164.01</v>
      </c>
      <c r="P19" s="107" t="n">
        <v>252.11</v>
      </c>
      <c r="Q19" s="107" t="n">
        <v>215.49</v>
      </c>
      <c r="R19" s="107" t="n">
        <f aca="false">SUM(L19:Q19)</f>
        <v>1296.61</v>
      </c>
      <c r="S19" s="108" t="n">
        <v>60</v>
      </c>
      <c r="T19" s="108" t="n">
        <v>60</v>
      </c>
      <c r="U19" s="108" t="n">
        <v>60</v>
      </c>
      <c r="V19" s="108" t="n">
        <v>60</v>
      </c>
      <c r="W19" s="108" t="n">
        <v>60</v>
      </c>
      <c r="X19" s="108" t="n">
        <v>60</v>
      </c>
      <c r="Y19" s="107" t="n">
        <f aca="false">S19*$D19</f>
        <v>208.569973190349</v>
      </c>
      <c r="Z19" s="107" t="n">
        <f aca="false">T19*$D19</f>
        <v>208.569973190349</v>
      </c>
      <c r="AA19" s="107" t="n">
        <f aca="false">U19*$D19</f>
        <v>208.569973190349</v>
      </c>
      <c r="AB19" s="107" t="n">
        <f aca="false">V19*$D19</f>
        <v>208.569973190349</v>
      </c>
      <c r="AC19" s="107" t="n">
        <f aca="false">W19*$D19</f>
        <v>208.569973190349</v>
      </c>
      <c r="AD19" s="107" t="n">
        <f aca="false">X19*$D19</f>
        <v>208.569973190349</v>
      </c>
      <c r="AE19" s="107" t="n">
        <f aca="false">SUM(Y19:AD19)</f>
        <v>1251.41983914209</v>
      </c>
    </row>
    <row r="20" customFormat="false" ht="15" hidden="false" customHeight="false" outlineLevel="0" collapsed="false">
      <c r="A20" s="103" t="s">
        <v>467</v>
      </c>
      <c r="B20" s="104" t="n">
        <v>0</v>
      </c>
      <c r="C20" s="105" t="n">
        <f aca="false">IF(K20=0,0,R20/K20)</f>
        <v>3.56912912912913</v>
      </c>
      <c r="D20" s="105" t="n">
        <f aca="false">C20+B20</f>
        <v>3.56912912912913</v>
      </c>
      <c r="E20" s="106" t="n">
        <v>40</v>
      </c>
      <c r="F20" s="106" t="n">
        <v>44</v>
      </c>
      <c r="G20" s="106" t="n">
        <v>49</v>
      </c>
      <c r="H20" s="106" t="n">
        <v>65</v>
      </c>
      <c r="I20" s="106" t="n">
        <v>74</v>
      </c>
      <c r="J20" s="106" t="n">
        <v>61</v>
      </c>
      <c r="K20" s="106" t="n">
        <f aca="false">SUM(E20:J20)</f>
        <v>333</v>
      </c>
      <c r="L20" s="107" t="n">
        <v>142.07</v>
      </c>
      <c r="M20" s="107" t="n">
        <v>154.72</v>
      </c>
      <c r="N20" s="107" t="n">
        <v>173.11</v>
      </c>
      <c r="O20" s="107" t="n">
        <v>230.49</v>
      </c>
      <c r="P20" s="107" t="n">
        <v>271.62</v>
      </c>
      <c r="Q20" s="107" t="n">
        <v>216.51</v>
      </c>
      <c r="R20" s="107" t="n">
        <f aca="false">SUM(L20:Q20)</f>
        <v>1188.52</v>
      </c>
      <c r="S20" s="108" t="n">
        <v>67</v>
      </c>
      <c r="T20" s="108" t="n">
        <v>67</v>
      </c>
      <c r="U20" s="108" t="n">
        <v>67</v>
      </c>
      <c r="V20" s="108" t="n">
        <v>67</v>
      </c>
      <c r="W20" s="108" t="n">
        <v>67</v>
      </c>
      <c r="X20" s="108" t="n">
        <v>67</v>
      </c>
      <c r="Y20" s="107" t="n">
        <f aca="false">S20*$D20</f>
        <v>239.131651651652</v>
      </c>
      <c r="Z20" s="107" t="n">
        <f aca="false">T20*$D20</f>
        <v>239.131651651652</v>
      </c>
      <c r="AA20" s="107" t="n">
        <f aca="false">U20*$D20</f>
        <v>239.131651651652</v>
      </c>
      <c r="AB20" s="107" t="n">
        <f aca="false">V20*$D20</f>
        <v>239.131651651652</v>
      </c>
      <c r="AC20" s="107" t="n">
        <f aca="false">W20*$D20</f>
        <v>239.131651651652</v>
      </c>
      <c r="AD20" s="107" t="n">
        <f aca="false">X20*$D20</f>
        <v>239.131651651652</v>
      </c>
      <c r="AE20" s="107" t="n">
        <f aca="false">SUM(Y20:AD20)</f>
        <v>1434.78990990991</v>
      </c>
    </row>
    <row r="21" customFormat="false" ht="15" hidden="false" customHeight="false" outlineLevel="0" collapsed="false">
      <c r="A21" s="103" t="s">
        <v>468</v>
      </c>
      <c r="B21" s="104" t="n">
        <v>0</v>
      </c>
      <c r="C21" s="105" t="n">
        <f aca="false">IF(K21=0,0,R21/K21)</f>
        <v>4.27042471042471</v>
      </c>
      <c r="D21" s="105" t="n">
        <f aca="false">C21+B21</f>
        <v>4.27042471042471</v>
      </c>
      <c r="E21" s="106" t="n">
        <v>36</v>
      </c>
      <c r="F21" s="106" t="n">
        <v>37</v>
      </c>
      <c r="G21" s="106" t="n">
        <v>52</v>
      </c>
      <c r="H21" s="106" t="n">
        <v>49</v>
      </c>
      <c r="I21" s="106" t="n">
        <v>56</v>
      </c>
      <c r="J21" s="106" t="n">
        <v>29</v>
      </c>
      <c r="K21" s="106" t="n">
        <f aca="false">SUM(E21:J21)</f>
        <v>259</v>
      </c>
      <c r="L21" s="107" t="n">
        <v>149.24</v>
      </c>
      <c r="M21" s="107" t="n">
        <v>159.77</v>
      </c>
      <c r="N21" s="107" t="n">
        <v>226.09</v>
      </c>
      <c r="O21" s="107" t="n">
        <v>210.21</v>
      </c>
      <c r="P21" s="107" t="n">
        <v>234.32</v>
      </c>
      <c r="Q21" s="107" t="n">
        <v>126.41</v>
      </c>
      <c r="R21" s="107" t="n">
        <f aca="false">SUM(L21:Q21)</f>
        <v>1106.04</v>
      </c>
      <c r="S21" s="108" t="n">
        <v>45</v>
      </c>
      <c r="T21" s="108" t="n">
        <v>45</v>
      </c>
      <c r="U21" s="108" t="n">
        <v>45</v>
      </c>
      <c r="V21" s="108" t="n">
        <v>45</v>
      </c>
      <c r="W21" s="108" t="n">
        <v>45</v>
      </c>
      <c r="X21" s="108" t="n">
        <v>45</v>
      </c>
      <c r="Y21" s="107" t="n">
        <f aca="false">S21*$D21</f>
        <v>192.169111969112</v>
      </c>
      <c r="Z21" s="107" t="n">
        <f aca="false">T21*$D21</f>
        <v>192.169111969112</v>
      </c>
      <c r="AA21" s="107" t="n">
        <f aca="false">U21*$D21</f>
        <v>192.169111969112</v>
      </c>
      <c r="AB21" s="107" t="n">
        <f aca="false">V21*$D21</f>
        <v>192.169111969112</v>
      </c>
      <c r="AC21" s="107" t="n">
        <f aca="false">W21*$D21</f>
        <v>192.169111969112</v>
      </c>
      <c r="AD21" s="107" t="n">
        <f aca="false">X21*$D21</f>
        <v>192.169111969112</v>
      </c>
      <c r="AE21" s="107" t="n">
        <f aca="false">SUM(Y21:AD21)</f>
        <v>1153.01467181467</v>
      </c>
    </row>
    <row r="22" customFormat="false" ht="15" hidden="false" customHeight="false" outlineLevel="0" collapsed="false">
      <c r="A22" s="103" t="s">
        <v>469</v>
      </c>
      <c r="B22" s="104" t="n">
        <v>0</v>
      </c>
      <c r="C22" s="105" t="n">
        <f aca="false">IF(K22=0,0,R22/K22)</f>
        <v>9.58260869565218</v>
      </c>
      <c r="D22" s="105" t="n">
        <f aca="false">C22+B22</f>
        <v>9.58260869565218</v>
      </c>
      <c r="E22" s="106" t="n">
        <v>0</v>
      </c>
      <c r="F22" s="106" t="n">
        <v>0</v>
      </c>
      <c r="G22" s="106" t="n">
        <v>17</v>
      </c>
      <c r="H22" s="106" t="n">
        <v>25</v>
      </c>
      <c r="I22" s="106" t="n">
        <v>27</v>
      </c>
      <c r="J22" s="106" t="n">
        <v>46</v>
      </c>
      <c r="K22" s="106" t="n">
        <f aca="false">SUM(E22:J22)</f>
        <v>115</v>
      </c>
      <c r="L22" s="107" t="n">
        <v>0</v>
      </c>
      <c r="M22" s="107" t="n">
        <v>0</v>
      </c>
      <c r="N22" s="107" t="n">
        <v>170</v>
      </c>
      <c r="O22" s="107" t="n">
        <v>222.5</v>
      </c>
      <c r="P22" s="107" t="n">
        <v>264</v>
      </c>
      <c r="Q22" s="107" t="n">
        <v>445.5</v>
      </c>
      <c r="R22" s="107" t="n">
        <f aca="false">SUM(L22:Q22)</f>
        <v>1102</v>
      </c>
      <c r="S22" s="108" t="n">
        <v>33</v>
      </c>
      <c r="T22" s="108" t="n">
        <v>33</v>
      </c>
      <c r="U22" s="108" t="n">
        <v>33</v>
      </c>
      <c r="V22" s="108" t="n">
        <v>33</v>
      </c>
      <c r="W22" s="108" t="n">
        <v>33</v>
      </c>
      <c r="X22" s="108" t="n">
        <v>33</v>
      </c>
      <c r="Y22" s="107" t="n">
        <f aca="false">S22*$D22</f>
        <v>316.226086956522</v>
      </c>
      <c r="Z22" s="107" t="n">
        <f aca="false">T22*$D22</f>
        <v>316.226086956522</v>
      </c>
      <c r="AA22" s="107" t="n">
        <f aca="false">U22*$D22</f>
        <v>316.226086956522</v>
      </c>
      <c r="AB22" s="107" t="n">
        <f aca="false">V22*$D22</f>
        <v>316.226086956522</v>
      </c>
      <c r="AC22" s="107" t="n">
        <f aca="false">W22*$D22</f>
        <v>316.226086956522</v>
      </c>
      <c r="AD22" s="107" t="n">
        <f aca="false">X22*$D22</f>
        <v>316.226086956522</v>
      </c>
      <c r="AE22" s="107" t="n">
        <f aca="false">SUM(Y22:AD22)</f>
        <v>1897.35652173913</v>
      </c>
    </row>
    <row r="23" customFormat="false" ht="15" hidden="false" customHeight="false" outlineLevel="0" collapsed="false">
      <c r="A23" s="103" t="s">
        <v>470</v>
      </c>
      <c r="B23" s="104" t="n">
        <v>0.25</v>
      </c>
      <c r="C23" s="105" t="n">
        <f aca="false">IF(K23=0,0,R23/K23)</f>
        <v>6.4496875</v>
      </c>
      <c r="D23" s="105" t="n">
        <f aca="false">C23+B23</f>
        <v>6.6996875</v>
      </c>
      <c r="E23" s="106" t="n">
        <v>16</v>
      </c>
      <c r="F23" s="106" t="n">
        <v>26</v>
      </c>
      <c r="G23" s="106" t="n">
        <v>28</v>
      </c>
      <c r="H23" s="106" t="n">
        <v>31</v>
      </c>
      <c r="I23" s="106" t="n">
        <v>31</v>
      </c>
      <c r="J23" s="106" t="n">
        <v>28</v>
      </c>
      <c r="K23" s="106" t="n">
        <f aca="false">SUM(E23:J23)</f>
        <v>160</v>
      </c>
      <c r="L23" s="107" t="n">
        <v>102</v>
      </c>
      <c r="M23" s="107" t="n">
        <v>173.47</v>
      </c>
      <c r="N23" s="107" t="n">
        <v>176.73</v>
      </c>
      <c r="O23" s="107" t="n">
        <v>198.39</v>
      </c>
      <c r="P23" s="107" t="n">
        <v>204.38</v>
      </c>
      <c r="Q23" s="107" t="n">
        <v>176.98</v>
      </c>
      <c r="R23" s="107" t="n">
        <f aca="false">SUM(L23:Q23)</f>
        <v>1031.95</v>
      </c>
      <c r="S23" s="108" t="n">
        <v>30</v>
      </c>
      <c r="T23" s="108" t="n">
        <v>30</v>
      </c>
      <c r="U23" s="108" t="n">
        <v>30</v>
      </c>
      <c r="V23" s="108" t="n">
        <v>30</v>
      </c>
      <c r="W23" s="108" t="n">
        <v>30</v>
      </c>
      <c r="X23" s="108" t="n">
        <v>30</v>
      </c>
      <c r="Y23" s="107" t="n">
        <f aca="false">S23*$D23</f>
        <v>200.990625</v>
      </c>
      <c r="Z23" s="107" t="n">
        <f aca="false">T23*$D23</f>
        <v>200.990625</v>
      </c>
      <c r="AA23" s="107" t="n">
        <f aca="false">U23*$D23</f>
        <v>200.990625</v>
      </c>
      <c r="AB23" s="107" t="n">
        <f aca="false">V23*$D23</f>
        <v>200.990625</v>
      </c>
      <c r="AC23" s="107" t="n">
        <f aca="false">W23*$D23</f>
        <v>200.990625</v>
      </c>
      <c r="AD23" s="107" t="n">
        <f aca="false">X23*$D23</f>
        <v>200.990625</v>
      </c>
      <c r="AE23" s="107" t="n">
        <f aca="false">SUM(Y23:AD23)</f>
        <v>1205.94375</v>
      </c>
    </row>
    <row r="24" customFormat="false" ht="15" hidden="false" customHeight="false" outlineLevel="0" collapsed="false">
      <c r="A24" s="103" t="s">
        <v>471</v>
      </c>
      <c r="B24" s="104" t="n">
        <v>0</v>
      </c>
      <c r="C24" s="105" t="n">
        <f aca="false">IF(K24=0,0,R24/K24)</f>
        <v>7.83716814159292</v>
      </c>
      <c r="D24" s="105" t="n">
        <f aca="false">C24+B24</f>
        <v>7.83716814159292</v>
      </c>
      <c r="E24" s="106" t="n">
        <v>13</v>
      </c>
      <c r="F24" s="106" t="n">
        <v>28</v>
      </c>
      <c r="G24" s="106" t="n">
        <v>53</v>
      </c>
      <c r="H24" s="106" t="n">
        <v>19</v>
      </c>
      <c r="I24" s="106" t="n">
        <v>0</v>
      </c>
      <c r="J24" s="106" t="n">
        <v>0</v>
      </c>
      <c r="K24" s="106" t="n">
        <f aca="false">SUM(E24:J24)</f>
        <v>113</v>
      </c>
      <c r="L24" s="107" t="n">
        <v>98.8</v>
      </c>
      <c r="M24" s="107" t="n">
        <v>220</v>
      </c>
      <c r="N24" s="107" t="n">
        <v>420</v>
      </c>
      <c r="O24" s="107" t="n">
        <v>146.8</v>
      </c>
      <c r="P24" s="107" t="n">
        <v>0</v>
      </c>
      <c r="Q24" s="107" t="n">
        <v>0</v>
      </c>
      <c r="R24" s="107" t="n">
        <f aca="false">SUM(L24:Q24)</f>
        <v>885.6</v>
      </c>
      <c r="S24" s="108" t="n">
        <v>6</v>
      </c>
      <c r="T24" s="108" t="n">
        <v>6</v>
      </c>
      <c r="U24" s="108" t="n">
        <v>6</v>
      </c>
      <c r="V24" s="108" t="n">
        <v>6</v>
      </c>
      <c r="W24" s="108" t="n">
        <v>6</v>
      </c>
      <c r="X24" s="108" t="n">
        <v>6</v>
      </c>
      <c r="Y24" s="107" t="n">
        <f aca="false">S24*$D24</f>
        <v>47.0230088495575</v>
      </c>
      <c r="Z24" s="107" t="n">
        <f aca="false">T24*$D24</f>
        <v>47.0230088495575</v>
      </c>
      <c r="AA24" s="107" t="n">
        <f aca="false">U24*$D24</f>
        <v>47.0230088495575</v>
      </c>
      <c r="AB24" s="107" t="n">
        <f aca="false">V24*$D24</f>
        <v>47.0230088495575</v>
      </c>
      <c r="AC24" s="107" t="n">
        <f aca="false">W24*$D24</f>
        <v>47.0230088495575</v>
      </c>
      <c r="AD24" s="107" t="n">
        <f aca="false">X24*$D24</f>
        <v>47.0230088495575</v>
      </c>
      <c r="AE24" s="107" t="n">
        <f aca="false">SUM(Y24:AD24)</f>
        <v>282.138053097345</v>
      </c>
    </row>
    <row r="25" customFormat="false" ht="15" hidden="false" customHeight="false" outlineLevel="0" collapsed="false">
      <c r="A25" s="103" t="s">
        <v>472</v>
      </c>
      <c r="B25" s="104" t="n">
        <v>0</v>
      </c>
      <c r="C25" s="105" t="n">
        <f aca="false">IF(K25=0,0,R25/K25)</f>
        <v>4.93361581920904</v>
      </c>
      <c r="D25" s="105" t="n">
        <f aca="false">C25+B25</f>
        <v>4.93361581920904</v>
      </c>
      <c r="E25" s="106" t="n">
        <v>0</v>
      </c>
      <c r="F25" s="106" t="n">
        <v>0</v>
      </c>
      <c r="G25" s="106" t="n">
        <v>17</v>
      </c>
      <c r="H25" s="106" t="n">
        <v>52</v>
      </c>
      <c r="I25" s="106" t="n">
        <v>42</v>
      </c>
      <c r="J25" s="106" t="n">
        <v>66</v>
      </c>
      <c r="K25" s="106" t="n">
        <f aca="false">SUM(E25:J25)</f>
        <v>177</v>
      </c>
      <c r="L25" s="107" t="n">
        <v>0</v>
      </c>
      <c r="M25" s="107" t="n">
        <v>0</v>
      </c>
      <c r="N25" s="107" t="n">
        <v>84.25</v>
      </c>
      <c r="O25" s="107" t="n">
        <v>260</v>
      </c>
      <c r="P25" s="107" t="n">
        <v>206</v>
      </c>
      <c r="Q25" s="107" t="n">
        <v>323</v>
      </c>
      <c r="R25" s="107" t="n">
        <f aca="false">SUM(L25:Q25)</f>
        <v>873.25</v>
      </c>
      <c r="S25" s="108" t="n">
        <v>53</v>
      </c>
      <c r="T25" s="108" t="n">
        <v>53</v>
      </c>
      <c r="U25" s="108" t="n">
        <v>53</v>
      </c>
      <c r="V25" s="108" t="n">
        <v>53</v>
      </c>
      <c r="W25" s="108" t="n">
        <v>53</v>
      </c>
      <c r="X25" s="108" t="n">
        <v>53</v>
      </c>
      <c r="Y25" s="107" t="n">
        <f aca="false">S25*$D25</f>
        <v>261.481638418079</v>
      </c>
      <c r="Z25" s="107" t="n">
        <f aca="false">T25*$D25</f>
        <v>261.481638418079</v>
      </c>
      <c r="AA25" s="107" t="n">
        <f aca="false">U25*$D25</f>
        <v>261.481638418079</v>
      </c>
      <c r="AB25" s="107" t="n">
        <f aca="false">V25*$D25</f>
        <v>261.481638418079</v>
      </c>
      <c r="AC25" s="107" t="n">
        <f aca="false">W25*$D25</f>
        <v>261.481638418079</v>
      </c>
      <c r="AD25" s="107" t="n">
        <f aca="false">X25*$D25</f>
        <v>261.481638418079</v>
      </c>
      <c r="AE25" s="107" t="n">
        <f aca="false">SUM(Y25:AD25)</f>
        <v>1568.88983050847</v>
      </c>
    </row>
    <row r="26" customFormat="false" ht="15" hidden="false" customHeight="false" outlineLevel="0" collapsed="false">
      <c r="A26" s="103" t="s">
        <v>473</v>
      </c>
      <c r="B26" s="104" t="n">
        <v>0</v>
      </c>
      <c r="C26" s="105" t="n">
        <f aca="false">IF(K26=0,0,R26/K26)</f>
        <v>2.82339055793991</v>
      </c>
      <c r="D26" s="105" t="n">
        <f aca="false">C26+B26</f>
        <v>2.82339055793991</v>
      </c>
      <c r="E26" s="106" t="n">
        <v>23</v>
      </c>
      <c r="F26" s="106" t="n">
        <v>23</v>
      </c>
      <c r="G26" s="106" t="n">
        <v>47</v>
      </c>
      <c r="H26" s="106" t="n">
        <v>55</v>
      </c>
      <c r="I26" s="106" t="n">
        <v>36</v>
      </c>
      <c r="J26" s="106" t="n">
        <v>49</v>
      </c>
      <c r="K26" s="106" t="n">
        <f aca="false">SUM(E26:J26)</f>
        <v>233</v>
      </c>
      <c r="L26" s="107" t="n">
        <v>51</v>
      </c>
      <c r="M26" s="107" t="n">
        <v>65.05</v>
      </c>
      <c r="N26" s="107" t="n">
        <v>138.3</v>
      </c>
      <c r="O26" s="107" t="n">
        <v>157.95</v>
      </c>
      <c r="P26" s="107" t="n">
        <v>101.85</v>
      </c>
      <c r="Q26" s="107" t="n">
        <v>143.7</v>
      </c>
      <c r="R26" s="107" t="n">
        <f aca="false">SUM(L26:Q26)</f>
        <v>657.85</v>
      </c>
      <c r="S26" s="108" t="n">
        <v>47</v>
      </c>
      <c r="T26" s="108" t="n">
        <v>47</v>
      </c>
      <c r="U26" s="108" t="n">
        <v>47</v>
      </c>
      <c r="V26" s="108" t="n">
        <v>47</v>
      </c>
      <c r="W26" s="108" t="n">
        <v>47</v>
      </c>
      <c r="X26" s="108" t="n">
        <v>47</v>
      </c>
      <c r="Y26" s="107" t="n">
        <f aca="false">S26*$D26</f>
        <v>132.699356223176</v>
      </c>
      <c r="Z26" s="107" t="n">
        <f aca="false">T26*$D26</f>
        <v>132.699356223176</v>
      </c>
      <c r="AA26" s="107" t="n">
        <f aca="false">U26*$D26</f>
        <v>132.699356223176</v>
      </c>
      <c r="AB26" s="107" t="n">
        <f aca="false">V26*$D26</f>
        <v>132.699356223176</v>
      </c>
      <c r="AC26" s="107" t="n">
        <f aca="false">W26*$D26</f>
        <v>132.699356223176</v>
      </c>
      <c r="AD26" s="107" t="n">
        <f aca="false">X26*$D26</f>
        <v>132.699356223176</v>
      </c>
      <c r="AE26" s="107" t="n">
        <f aca="false">SUM(Y26:AD26)</f>
        <v>796.196137339056</v>
      </c>
    </row>
    <row r="27" customFormat="false" ht="15" hidden="false" customHeight="false" outlineLevel="0" collapsed="false">
      <c r="A27" s="103" t="s">
        <v>474</v>
      </c>
      <c r="B27" s="104" t="n">
        <v>0</v>
      </c>
      <c r="C27" s="105" t="n">
        <f aca="false">IF(K27=0,0,R27/K27)</f>
        <v>5.87567307692308</v>
      </c>
      <c r="D27" s="105" t="n">
        <f aca="false">C27+B27</f>
        <v>5.87567307692308</v>
      </c>
      <c r="E27" s="106" t="n">
        <v>5</v>
      </c>
      <c r="F27" s="106" t="n">
        <v>12</v>
      </c>
      <c r="G27" s="106" t="n">
        <v>12</v>
      </c>
      <c r="H27" s="106" t="n">
        <v>26</v>
      </c>
      <c r="I27" s="106" t="n">
        <v>23</v>
      </c>
      <c r="J27" s="106" t="n">
        <v>26</v>
      </c>
      <c r="K27" s="106" t="n">
        <f aca="false">SUM(E27:J27)</f>
        <v>104</v>
      </c>
      <c r="L27" s="107" t="n">
        <v>29.31</v>
      </c>
      <c r="M27" s="107" t="n">
        <v>74</v>
      </c>
      <c r="N27" s="107" t="n">
        <v>70</v>
      </c>
      <c r="O27" s="107" t="n">
        <v>144.45</v>
      </c>
      <c r="P27" s="107" t="n">
        <v>140.75</v>
      </c>
      <c r="Q27" s="107" t="n">
        <v>152.56</v>
      </c>
      <c r="R27" s="107" t="n">
        <f aca="false">SUM(L27:Q27)</f>
        <v>611.07</v>
      </c>
      <c r="S27" s="108" t="n">
        <v>25</v>
      </c>
      <c r="T27" s="108" t="n">
        <v>25</v>
      </c>
      <c r="U27" s="108" t="n">
        <v>25</v>
      </c>
      <c r="V27" s="108" t="n">
        <v>25</v>
      </c>
      <c r="W27" s="108" t="n">
        <v>25</v>
      </c>
      <c r="X27" s="108" t="n">
        <v>25</v>
      </c>
      <c r="Y27" s="107" t="n">
        <f aca="false">S27*$D27</f>
        <v>146.891826923077</v>
      </c>
      <c r="Z27" s="107" t="n">
        <f aca="false">T27*$D27</f>
        <v>146.891826923077</v>
      </c>
      <c r="AA27" s="107" t="n">
        <f aca="false">U27*$D27</f>
        <v>146.891826923077</v>
      </c>
      <c r="AB27" s="107" t="n">
        <f aca="false">V27*$D27</f>
        <v>146.891826923077</v>
      </c>
      <c r="AC27" s="107" t="n">
        <f aca="false">W27*$D27</f>
        <v>146.891826923077</v>
      </c>
      <c r="AD27" s="107" t="n">
        <f aca="false">X27*$D27</f>
        <v>146.891826923077</v>
      </c>
      <c r="AE27" s="107" t="n">
        <f aca="false">SUM(Y27:AD27)</f>
        <v>881.350961538461</v>
      </c>
    </row>
    <row r="28" customFormat="false" ht="15" hidden="false" customHeight="false" outlineLevel="0" collapsed="false">
      <c r="A28" s="103" t="s">
        <v>475</v>
      </c>
      <c r="B28" s="104" t="n">
        <v>0</v>
      </c>
      <c r="C28" s="105" t="n">
        <f aca="false">IF(K28=0,0,R28/K28)</f>
        <v>9.72950819672131</v>
      </c>
      <c r="D28" s="105" t="n">
        <f aca="false">C28+B28</f>
        <v>9.72950819672131</v>
      </c>
      <c r="E28" s="106" t="n">
        <v>36</v>
      </c>
      <c r="F28" s="106" t="n">
        <v>25</v>
      </c>
      <c r="G28" s="106" t="n">
        <v>0</v>
      </c>
      <c r="H28" s="106" t="n">
        <v>0</v>
      </c>
      <c r="I28" s="106" t="n">
        <v>0</v>
      </c>
      <c r="J28" s="106" t="n">
        <v>0</v>
      </c>
      <c r="K28" s="106" t="n">
        <f aca="false">SUM(E28:J28)</f>
        <v>61</v>
      </c>
      <c r="L28" s="107" t="n">
        <v>350</v>
      </c>
      <c r="M28" s="107" t="n">
        <v>243.5</v>
      </c>
      <c r="N28" s="107" t="n">
        <v>0</v>
      </c>
      <c r="O28" s="107" t="n">
        <v>0</v>
      </c>
      <c r="P28" s="107" t="n">
        <v>0</v>
      </c>
      <c r="Q28" s="107" t="n">
        <v>0</v>
      </c>
      <c r="R28" s="107" t="n">
        <f aca="false">SUM(L28:Q28)</f>
        <v>593.5</v>
      </c>
      <c r="S28" s="108" t="n">
        <v>0</v>
      </c>
      <c r="T28" s="108" t="n">
        <v>0</v>
      </c>
      <c r="U28" s="108" t="n">
        <v>0</v>
      </c>
      <c r="V28" s="108" t="n">
        <v>0</v>
      </c>
      <c r="W28" s="108" t="n">
        <v>0</v>
      </c>
      <c r="X28" s="108" t="n">
        <v>0</v>
      </c>
      <c r="Y28" s="107" t="n">
        <f aca="false">S28*$D28</f>
        <v>0</v>
      </c>
      <c r="Z28" s="107" t="n">
        <f aca="false">T28*$D28</f>
        <v>0</v>
      </c>
      <c r="AA28" s="107" t="n">
        <f aca="false">U28*$D28</f>
        <v>0</v>
      </c>
      <c r="AB28" s="107" t="n">
        <f aca="false">V28*$D28</f>
        <v>0</v>
      </c>
      <c r="AC28" s="107" t="n">
        <f aca="false">W28*$D28</f>
        <v>0</v>
      </c>
      <c r="AD28" s="107" t="n">
        <f aca="false">X28*$D28</f>
        <v>0</v>
      </c>
      <c r="AE28" s="107" t="n">
        <f aca="false">SUM(Y28:AD28)</f>
        <v>0</v>
      </c>
    </row>
    <row r="29" customFormat="false" ht="15" hidden="false" customHeight="false" outlineLevel="0" collapsed="false">
      <c r="A29" s="103" t="s">
        <v>476</v>
      </c>
      <c r="B29" s="104" t="n">
        <v>0</v>
      </c>
      <c r="C29" s="105" t="n">
        <f aca="false">IF(K29=0,0,R29/K29)</f>
        <v>6.47784090909091</v>
      </c>
      <c r="D29" s="105" t="n">
        <f aca="false">C29+B29</f>
        <v>6.47784090909091</v>
      </c>
      <c r="E29" s="106" t="n">
        <v>0</v>
      </c>
      <c r="F29" s="106" t="n">
        <v>0</v>
      </c>
      <c r="G29" s="106" t="n">
        <v>0</v>
      </c>
      <c r="H29" s="106" t="n">
        <v>7</v>
      </c>
      <c r="I29" s="106" t="n">
        <v>56</v>
      </c>
      <c r="J29" s="106" t="n">
        <v>25</v>
      </c>
      <c r="K29" s="106" t="n">
        <f aca="false">SUM(E29:J29)</f>
        <v>88</v>
      </c>
      <c r="L29" s="107" t="n">
        <v>0</v>
      </c>
      <c r="M29" s="107" t="n">
        <v>0</v>
      </c>
      <c r="N29" s="107" t="n">
        <v>0</v>
      </c>
      <c r="O29" s="107" t="n">
        <v>45.5</v>
      </c>
      <c r="P29" s="107" t="n">
        <v>363.02</v>
      </c>
      <c r="Q29" s="107" t="n">
        <v>161.53</v>
      </c>
      <c r="R29" s="107" t="n">
        <f aca="false">SUM(L29:Q29)</f>
        <v>570.05</v>
      </c>
      <c r="S29" s="108" t="n">
        <v>29</v>
      </c>
      <c r="T29" s="108" t="n">
        <v>29</v>
      </c>
      <c r="U29" s="108" t="n">
        <v>29</v>
      </c>
      <c r="V29" s="108" t="n">
        <v>29</v>
      </c>
      <c r="W29" s="108" t="n">
        <v>29</v>
      </c>
      <c r="X29" s="108" t="n">
        <v>29</v>
      </c>
      <c r="Y29" s="107" t="n">
        <f aca="false">S29*$D29</f>
        <v>187.857386363636</v>
      </c>
      <c r="Z29" s="107" t="n">
        <f aca="false">T29*$D29</f>
        <v>187.857386363636</v>
      </c>
      <c r="AA29" s="107" t="n">
        <f aca="false">U29*$D29</f>
        <v>187.857386363636</v>
      </c>
      <c r="AB29" s="107" t="n">
        <f aca="false">V29*$D29</f>
        <v>187.857386363636</v>
      </c>
      <c r="AC29" s="107" t="n">
        <f aca="false">W29*$D29</f>
        <v>187.857386363636</v>
      </c>
      <c r="AD29" s="107" t="n">
        <f aca="false">X29*$D29</f>
        <v>187.857386363636</v>
      </c>
      <c r="AE29" s="107" t="n">
        <f aca="false">SUM(Y29:AD29)</f>
        <v>1127.14431818182</v>
      </c>
    </row>
    <row r="30" customFormat="false" ht="15" hidden="false" customHeight="false" outlineLevel="0" collapsed="false">
      <c r="A30" s="103" t="s">
        <v>477</v>
      </c>
      <c r="B30" s="104" t="n">
        <v>0</v>
      </c>
      <c r="C30" s="105" t="n">
        <f aca="false">IF(K30=0,0,R30/K30)</f>
        <v>3.96643356643357</v>
      </c>
      <c r="D30" s="105" t="n">
        <f aca="false">C30+B30</f>
        <v>3.96643356643357</v>
      </c>
      <c r="E30" s="106" t="n">
        <v>22</v>
      </c>
      <c r="F30" s="106" t="n">
        <v>27</v>
      </c>
      <c r="G30" s="106" t="n">
        <v>70</v>
      </c>
      <c r="H30" s="106" t="n">
        <v>24</v>
      </c>
      <c r="I30" s="106" t="n">
        <v>0</v>
      </c>
      <c r="J30" s="106" t="n">
        <v>0</v>
      </c>
      <c r="K30" s="106" t="n">
        <f aca="false">SUM(E30:J30)</f>
        <v>143</v>
      </c>
      <c r="L30" s="107" t="n">
        <v>86.8</v>
      </c>
      <c r="M30" s="107" t="n">
        <v>106.8</v>
      </c>
      <c r="N30" s="107" t="n">
        <v>278.8</v>
      </c>
      <c r="O30" s="107" t="n">
        <v>94.8</v>
      </c>
      <c r="P30" s="107" t="n">
        <v>0</v>
      </c>
      <c r="Q30" s="107" t="n">
        <v>0</v>
      </c>
      <c r="R30" s="107" t="n">
        <f aca="false">SUM(L30:Q30)</f>
        <v>567.2</v>
      </c>
      <c r="S30" s="108" t="n">
        <v>8</v>
      </c>
      <c r="T30" s="108" t="n">
        <v>8</v>
      </c>
      <c r="U30" s="108" t="n">
        <v>8</v>
      </c>
      <c r="V30" s="108" t="n">
        <v>8</v>
      </c>
      <c r="W30" s="108" t="n">
        <v>8</v>
      </c>
      <c r="X30" s="108" t="n">
        <v>8</v>
      </c>
      <c r="Y30" s="107" t="n">
        <f aca="false">S30*$D30</f>
        <v>31.7314685314685</v>
      </c>
      <c r="Z30" s="107" t="n">
        <f aca="false">T30*$D30</f>
        <v>31.7314685314685</v>
      </c>
      <c r="AA30" s="107" t="n">
        <f aca="false">U30*$D30</f>
        <v>31.7314685314685</v>
      </c>
      <c r="AB30" s="107" t="n">
        <f aca="false">V30*$D30</f>
        <v>31.7314685314685</v>
      </c>
      <c r="AC30" s="107" t="n">
        <f aca="false">W30*$D30</f>
        <v>31.7314685314685</v>
      </c>
      <c r="AD30" s="107" t="n">
        <f aca="false">X30*$D30</f>
        <v>31.7314685314685</v>
      </c>
      <c r="AE30" s="107" t="n">
        <f aca="false">SUM(Y30:AD30)</f>
        <v>190.388811188811</v>
      </c>
    </row>
    <row r="31" customFormat="false" ht="15" hidden="false" customHeight="false" outlineLevel="0" collapsed="false">
      <c r="A31" s="103" t="s">
        <v>478</v>
      </c>
      <c r="B31" s="104" t="n">
        <v>0</v>
      </c>
      <c r="C31" s="105" t="n">
        <f aca="false">IF(K31=0,0,R31/K31)</f>
        <v>2.89528795811518</v>
      </c>
      <c r="D31" s="105" t="n">
        <f aca="false">C31+B31</f>
        <v>2.89528795811518</v>
      </c>
      <c r="E31" s="106" t="n">
        <v>16</v>
      </c>
      <c r="F31" s="106" t="n">
        <v>24</v>
      </c>
      <c r="G31" s="106" t="n">
        <v>29</v>
      </c>
      <c r="H31" s="106" t="n">
        <v>37</v>
      </c>
      <c r="I31" s="106" t="n">
        <v>42</v>
      </c>
      <c r="J31" s="106" t="n">
        <v>43</v>
      </c>
      <c r="K31" s="106" t="n">
        <f aca="false">SUM(E31:J31)</f>
        <v>191</v>
      </c>
      <c r="L31" s="107" t="n">
        <v>46.5</v>
      </c>
      <c r="M31" s="107" t="n">
        <v>69.7</v>
      </c>
      <c r="N31" s="107" t="n">
        <v>81.45</v>
      </c>
      <c r="O31" s="107" t="n">
        <v>108.15</v>
      </c>
      <c r="P31" s="107" t="n">
        <v>121.2</v>
      </c>
      <c r="Q31" s="107" t="n">
        <v>126</v>
      </c>
      <c r="R31" s="107" t="n">
        <f aca="false">SUM(L31:Q31)</f>
        <v>553</v>
      </c>
      <c r="S31" s="108" t="n">
        <v>41</v>
      </c>
      <c r="T31" s="108" t="n">
        <v>41</v>
      </c>
      <c r="U31" s="108" t="n">
        <v>41</v>
      </c>
      <c r="V31" s="108" t="n">
        <v>41</v>
      </c>
      <c r="W31" s="108" t="n">
        <v>41</v>
      </c>
      <c r="X31" s="108" t="n">
        <v>41</v>
      </c>
      <c r="Y31" s="107" t="n">
        <f aca="false">S31*$D31</f>
        <v>118.706806282723</v>
      </c>
      <c r="Z31" s="107" t="n">
        <f aca="false">T31*$D31</f>
        <v>118.706806282723</v>
      </c>
      <c r="AA31" s="107" t="n">
        <f aca="false">U31*$D31</f>
        <v>118.706806282723</v>
      </c>
      <c r="AB31" s="107" t="n">
        <f aca="false">V31*$D31</f>
        <v>118.706806282723</v>
      </c>
      <c r="AC31" s="107" t="n">
        <f aca="false">W31*$D31</f>
        <v>118.706806282723</v>
      </c>
      <c r="AD31" s="107" t="n">
        <f aca="false">X31*$D31</f>
        <v>118.706806282723</v>
      </c>
      <c r="AE31" s="107" t="n">
        <f aca="false">SUM(Y31:AD31)</f>
        <v>712.240837696335</v>
      </c>
    </row>
    <row r="32" customFormat="false" ht="15" hidden="false" customHeight="false" outlineLevel="0" collapsed="false">
      <c r="A32" s="103" t="s">
        <v>479</v>
      </c>
      <c r="B32" s="104" t="n">
        <v>0</v>
      </c>
      <c r="C32" s="105" t="n">
        <f aca="false">IF(K32=0,0,R32/K32)</f>
        <v>3.93623188405797</v>
      </c>
      <c r="D32" s="105" t="n">
        <f aca="false">C32+B32</f>
        <v>3.93623188405797</v>
      </c>
      <c r="E32" s="106" t="n">
        <v>0</v>
      </c>
      <c r="F32" s="106" t="n">
        <v>0</v>
      </c>
      <c r="G32" s="106" t="n">
        <v>0</v>
      </c>
      <c r="H32" s="106" t="n">
        <v>0</v>
      </c>
      <c r="I32" s="106" t="n">
        <v>72</v>
      </c>
      <c r="J32" s="106" t="n">
        <v>66</v>
      </c>
      <c r="K32" s="106" t="n">
        <f aca="false">SUM(E32:J32)</f>
        <v>138</v>
      </c>
      <c r="L32" s="107" t="n">
        <v>0</v>
      </c>
      <c r="M32" s="107" t="n">
        <v>0</v>
      </c>
      <c r="N32" s="107" t="n">
        <v>0</v>
      </c>
      <c r="O32" s="107" t="n">
        <v>0</v>
      </c>
      <c r="P32" s="107" t="n">
        <v>281.6</v>
      </c>
      <c r="Q32" s="107" t="n">
        <v>261.6</v>
      </c>
      <c r="R32" s="107" t="n">
        <f aca="false">SUM(L32:Q32)</f>
        <v>543.2</v>
      </c>
      <c r="S32" s="108" t="n">
        <v>46</v>
      </c>
      <c r="T32" s="108" t="n">
        <v>46</v>
      </c>
      <c r="U32" s="108" t="n">
        <v>46</v>
      </c>
      <c r="V32" s="108" t="n">
        <v>46</v>
      </c>
      <c r="W32" s="108" t="n">
        <v>46</v>
      </c>
      <c r="X32" s="108" t="n">
        <v>46</v>
      </c>
      <c r="Y32" s="107" t="n">
        <f aca="false">S32*$D32</f>
        <v>181.066666666667</v>
      </c>
      <c r="Z32" s="107" t="n">
        <f aca="false">T32*$D32</f>
        <v>181.066666666667</v>
      </c>
      <c r="AA32" s="107" t="n">
        <f aca="false">U32*$D32</f>
        <v>181.066666666667</v>
      </c>
      <c r="AB32" s="107" t="n">
        <f aca="false">V32*$D32</f>
        <v>181.066666666667</v>
      </c>
      <c r="AC32" s="107" t="n">
        <f aca="false">W32*$D32</f>
        <v>181.066666666667</v>
      </c>
      <c r="AD32" s="107" t="n">
        <f aca="false">X32*$D32</f>
        <v>181.066666666667</v>
      </c>
      <c r="AE32" s="107" t="n">
        <f aca="false">SUM(Y32:AD32)</f>
        <v>1086.4</v>
      </c>
    </row>
    <row r="33" customFormat="false" ht="15" hidden="false" customHeight="false" outlineLevel="0" collapsed="false">
      <c r="A33" s="103" t="s">
        <v>480</v>
      </c>
      <c r="B33" s="104" t="n">
        <v>0</v>
      </c>
      <c r="C33" s="105" t="n">
        <f aca="false">IF(K33=0,0,R33/K33)</f>
        <v>2.87828571428571</v>
      </c>
      <c r="D33" s="105" t="n">
        <f aca="false">C33+B33</f>
        <v>2.87828571428571</v>
      </c>
      <c r="E33" s="106" t="n">
        <v>17</v>
      </c>
      <c r="F33" s="106" t="n">
        <v>36</v>
      </c>
      <c r="G33" s="106" t="n">
        <v>31</v>
      </c>
      <c r="H33" s="106" t="n">
        <v>27</v>
      </c>
      <c r="I33" s="106" t="n">
        <v>25</v>
      </c>
      <c r="J33" s="106" t="n">
        <v>39</v>
      </c>
      <c r="K33" s="106" t="n">
        <f aca="false">SUM(E33:J33)</f>
        <v>175</v>
      </c>
      <c r="L33" s="107" t="n">
        <v>41.4</v>
      </c>
      <c r="M33" s="107" t="n">
        <v>106.6</v>
      </c>
      <c r="N33" s="107" t="n">
        <v>95</v>
      </c>
      <c r="O33" s="107" t="n">
        <v>76.2</v>
      </c>
      <c r="P33" s="107" t="n">
        <v>69.75</v>
      </c>
      <c r="Q33" s="107" t="n">
        <v>114.75</v>
      </c>
      <c r="R33" s="107" t="n">
        <f aca="false">SUM(L33:Q33)</f>
        <v>503.7</v>
      </c>
      <c r="S33" s="108" t="n">
        <v>30</v>
      </c>
      <c r="T33" s="108" t="n">
        <v>30</v>
      </c>
      <c r="U33" s="108" t="n">
        <v>30</v>
      </c>
      <c r="V33" s="108" t="n">
        <v>30</v>
      </c>
      <c r="W33" s="108" t="n">
        <v>30</v>
      </c>
      <c r="X33" s="108" t="n">
        <v>30</v>
      </c>
      <c r="Y33" s="107" t="n">
        <f aca="false">S33*$D33</f>
        <v>86.3485714285714</v>
      </c>
      <c r="Z33" s="107" t="n">
        <f aca="false">T33*$D33</f>
        <v>86.3485714285714</v>
      </c>
      <c r="AA33" s="107" t="n">
        <f aca="false">U33*$D33</f>
        <v>86.3485714285714</v>
      </c>
      <c r="AB33" s="107" t="n">
        <f aca="false">V33*$D33</f>
        <v>86.3485714285714</v>
      </c>
      <c r="AC33" s="107" t="n">
        <f aca="false">W33*$D33</f>
        <v>86.3485714285714</v>
      </c>
      <c r="AD33" s="107" t="n">
        <f aca="false">X33*$D33</f>
        <v>86.3485714285714</v>
      </c>
      <c r="AE33" s="107" t="n">
        <f aca="false">SUM(Y33:AD33)</f>
        <v>518.091428571429</v>
      </c>
    </row>
    <row r="34" customFormat="false" ht="15" hidden="false" customHeight="false" outlineLevel="0" collapsed="false">
      <c r="A34" s="103" t="s">
        <v>481</v>
      </c>
      <c r="B34" s="104" t="n">
        <v>0</v>
      </c>
      <c r="C34" s="105" t="n">
        <f aca="false">IF(K34=0,0,R34/K34)</f>
        <v>2.79277456647399</v>
      </c>
      <c r="D34" s="105" t="n">
        <f aca="false">C34+B34</f>
        <v>2.79277456647399</v>
      </c>
      <c r="E34" s="106" t="n">
        <v>18</v>
      </c>
      <c r="F34" s="106" t="n">
        <v>32</v>
      </c>
      <c r="G34" s="106" t="n">
        <v>31</v>
      </c>
      <c r="H34" s="106" t="n">
        <v>41</v>
      </c>
      <c r="I34" s="106" t="n">
        <v>22</v>
      </c>
      <c r="J34" s="106" t="n">
        <v>29</v>
      </c>
      <c r="K34" s="106" t="n">
        <f aca="false">SUM(E34:J34)</f>
        <v>173</v>
      </c>
      <c r="L34" s="107" t="n">
        <v>45.9</v>
      </c>
      <c r="M34" s="107" t="n">
        <v>94.05</v>
      </c>
      <c r="N34" s="107" t="n">
        <v>92.85</v>
      </c>
      <c r="O34" s="107" t="n">
        <v>106.2</v>
      </c>
      <c r="P34" s="107" t="n">
        <v>59.7</v>
      </c>
      <c r="Q34" s="107" t="n">
        <v>84.45</v>
      </c>
      <c r="R34" s="107" t="n">
        <f aca="false">SUM(L34:Q34)</f>
        <v>483.15</v>
      </c>
      <c r="S34" s="108" t="n">
        <v>31</v>
      </c>
      <c r="T34" s="108" t="n">
        <v>31</v>
      </c>
      <c r="U34" s="108" t="n">
        <v>31</v>
      </c>
      <c r="V34" s="108" t="n">
        <v>31</v>
      </c>
      <c r="W34" s="108" t="n">
        <v>31</v>
      </c>
      <c r="X34" s="108" t="n">
        <v>31</v>
      </c>
      <c r="Y34" s="107" t="n">
        <f aca="false">S34*$D34</f>
        <v>86.5760115606936</v>
      </c>
      <c r="Z34" s="107" t="n">
        <f aca="false">T34*$D34</f>
        <v>86.5760115606936</v>
      </c>
      <c r="AA34" s="107" t="n">
        <f aca="false">U34*$D34</f>
        <v>86.5760115606936</v>
      </c>
      <c r="AB34" s="107" t="n">
        <f aca="false">V34*$D34</f>
        <v>86.5760115606936</v>
      </c>
      <c r="AC34" s="107" t="n">
        <f aca="false">W34*$D34</f>
        <v>86.5760115606936</v>
      </c>
      <c r="AD34" s="107" t="n">
        <f aca="false">X34*$D34</f>
        <v>86.5760115606936</v>
      </c>
      <c r="AE34" s="107" t="n">
        <f aca="false">SUM(Y34:AD34)</f>
        <v>519.456069364162</v>
      </c>
    </row>
    <row r="35" customFormat="false" ht="15" hidden="false" customHeight="false" outlineLevel="0" collapsed="false">
      <c r="A35" s="103" t="s">
        <v>482</v>
      </c>
      <c r="B35" s="104" t="n">
        <v>0</v>
      </c>
      <c r="C35" s="105" t="n">
        <f aca="false">IF(K35=0,0,R35/K35)</f>
        <v>4.87447916666667</v>
      </c>
      <c r="D35" s="105" t="n">
        <f aca="false">C35+B35</f>
        <v>4.87447916666667</v>
      </c>
      <c r="E35" s="106" t="n">
        <v>14</v>
      </c>
      <c r="F35" s="106" t="n">
        <v>9</v>
      </c>
      <c r="G35" s="106" t="n">
        <v>24</v>
      </c>
      <c r="H35" s="106" t="n">
        <v>15</v>
      </c>
      <c r="I35" s="106" t="n">
        <v>18</v>
      </c>
      <c r="J35" s="106" t="n">
        <v>16</v>
      </c>
      <c r="K35" s="106" t="n">
        <f aca="false">SUM(E35:J35)</f>
        <v>96</v>
      </c>
      <c r="L35" s="107" t="n">
        <v>65.5</v>
      </c>
      <c r="M35" s="107" t="n">
        <v>48.5</v>
      </c>
      <c r="N35" s="107" t="n">
        <v>111.25</v>
      </c>
      <c r="O35" s="107" t="n">
        <v>64.6</v>
      </c>
      <c r="P35" s="107" t="n">
        <v>93.1</v>
      </c>
      <c r="Q35" s="107" t="n">
        <v>85</v>
      </c>
      <c r="R35" s="107" t="n">
        <f aca="false">SUM(L35:Q35)</f>
        <v>467.95</v>
      </c>
      <c r="S35" s="108" t="n">
        <v>16</v>
      </c>
      <c r="T35" s="108" t="n">
        <v>16</v>
      </c>
      <c r="U35" s="108" t="n">
        <v>16</v>
      </c>
      <c r="V35" s="108" t="n">
        <v>16</v>
      </c>
      <c r="W35" s="108" t="n">
        <v>16</v>
      </c>
      <c r="X35" s="108" t="n">
        <v>16</v>
      </c>
      <c r="Y35" s="107" t="n">
        <f aca="false">S35*$D35</f>
        <v>77.9916666666667</v>
      </c>
      <c r="Z35" s="107" t="n">
        <f aca="false">T35*$D35</f>
        <v>77.9916666666667</v>
      </c>
      <c r="AA35" s="107" t="n">
        <f aca="false">U35*$D35</f>
        <v>77.9916666666667</v>
      </c>
      <c r="AB35" s="107" t="n">
        <f aca="false">V35*$D35</f>
        <v>77.9916666666667</v>
      </c>
      <c r="AC35" s="107" t="n">
        <f aca="false">W35*$D35</f>
        <v>77.9916666666667</v>
      </c>
      <c r="AD35" s="107" t="n">
        <f aca="false">X35*$D35</f>
        <v>77.9916666666667</v>
      </c>
      <c r="AE35" s="107" t="n">
        <f aca="false">SUM(Y35:AD35)</f>
        <v>467.95</v>
      </c>
    </row>
    <row r="36" customFormat="false" ht="15" hidden="false" customHeight="false" outlineLevel="0" collapsed="false">
      <c r="A36" s="103" t="s">
        <v>483</v>
      </c>
      <c r="B36" s="104" t="n">
        <v>0</v>
      </c>
      <c r="C36" s="105" t="n">
        <f aca="false">IF(K36=0,0,R36/K36)</f>
        <v>5.17118644067797</v>
      </c>
      <c r="D36" s="105" t="n">
        <f aca="false">C36+B36</f>
        <v>5.17118644067797</v>
      </c>
      <c r="E36" s="106" t="n">
        <v>10</v>
      </c>
      <c r="F36" s="106" t="n">
        <v>8</v>
      </c>
      <c r="G36" s="106" t="n">
        <v>6</v>
      </c>
      <c r="H36" s="106" t="n">
        <v>5</v>
      </c>
      <c r="I36" s="106" t="n">
        <v>8</v>
      </c>
      <c r="J36" s="106" t="n">
        <v>22</v>
      </c>
      <c r="K36" s="106" t="n">
        <f aca="false">SUM(E36:J36)</f>
        <v>59</v>
      </c>
      <c r="L36" s="107" t="n">
        <v>49</v>
      </c>
      <c r="M36" s="107" t="n">
        <v>37</v>
      </c>
      <c r="N36" s="107" t="n">
        <v>27.5</v>
      </c>
      <c r="O36" s="107" t="n">
        <v>24</v>
      </c>
      <c r="P36" s="107" t="n">
        <v>47.1</v>
      </c>
      <c r="Q36" s="107" t="n">
        <v>120.5</v>
      </c>
      <c r="R36" s="107" t="n">
        <f aca="false">SUM(L36:Q36)</f>
        <v>305.1</v>
      </c>
      <c r="S36" s="108" t="n">
        <v>12</v>
      </c>
      <c r="T36" s="108" t="n">
        <v>12</v>
      </c>
      <c r="U36" s="108" t="n">
        <v>12</v>
      </c>
      <c r="V36" s="108" t="n">
        <v>12</v>
      </c>
      <c r="W36" s="108" t="n">
        <v>12</v>
      </c>
      <c r="X36" s="108" t="n">
        <v>12</v>
      </c>
      <c r="Y36" s="107" t="n">
        <f aca="false">S36*$D36</f>
        <v>62.0542372881356</v>
      </c>
      <c r="Z36" s="107" t="n">
        <f aca="false">T36*$D36</f>
        <v>62.0542372881356</v>
      </c>
      <c r="AA36" s="107" t="n">
        <f aca="false">U36*$D36</f>
        <v>62.0542372881356</v>
      </c>
      <c r="AB36" s="107" t="n">
        <f aca="false">V36*$D36</f>
        <v>62.0542372881356</v>
      </c>
      <c r="AC36" s="107" t="n">
        <f aca="false">W36*$D36</f>
        <v>62.0542372881356</v>
      </c>
      <c r="AD36" s="107" t="n">
        <f aca="false">X36*$D36</f>
        <v>62.0542372881356</v>
      </c>
      <c r="AE36" s="107" t="n">
        <f aca="false">SUM(Y36:AD36)</f>
        <v>372.325423728814</v>
      </c>
    </row>
    <row r="37" customFormat="false" ht="15" hidden="false" customHeight="false" outlineLevel="0" collapsed="false">
      <c r="A37" s="103" t="s">
        <v>484</v>
      </c>
      <c r="B37" s="104" t="n">
        <v>0</v>
      </c>
      <c r="C37" s="105" t="n">
        <f aca="false">IF(K37=0,0,R37/K37)</f>
        <v>4.18125</v>
      </c>
      <c r="D37" s="105" t="n">
        <f aca="false">C37+B37</f>
        <v>4.18125</v>
      </c>
      <c r="E37" s="106" t="n">
        <v>12</v>
      </c>
      <c r="F37" s="106" t="n">
        <v>18</v>
      </c>
      <c r="G37" s="106" t="n">
        <v>15</v>
      </c>
      <c r="H37" s="106" t="n">
        <v>8</v>
      </c>
      <c r="I37" s="106" t="n">
        <v>6</v>
      </c>
      <c r="J37" s="106" t="n">
        <v>13</v>
      </c>
      <c r="K37" s="106" t="n">
        <f aca="false">SUM(E37:J37)</f>
        <v>72</v>
      </c>
      <c r="L37" s="107" t="n">
        <v>53.25</v>
      </c>
      <c r="M37" s="107" t="n">
        <v>75.25</v>
      </c>
      <c r="N37" s="107" t="n">
        <v>64</v>
      </c>
      <c r="O37" s="107" t="n">
        <v>33.65</v>
      </c>
      <c r="P37" s="107" t="n">
        <v>22.2</v>
      </c>
      <c r="Q37" s="107" t="n">
        <v>52.7</v>
      </c>
      <c r="R37" s="107" t="n">
        <f aca="false">SUM(L37:Q37)</f>
        <v>301.05</v>
      </c>
      <c r="S37" s="108" t="n">
        <v>9</v>
      </c>
      <c r="T37" s="108" t="n">
        <v>9</v>
      </c>
      <c r="U37" s="108" t="n">
        <v>9</v>
      </c>
      <c r="V37" s="108" t="n">
        <v>9</v>
      </c>
      <c r="W37" s="108" t="n">
        <v>9</v>
      </c>
      <c r="X37" s="108" t="n">
        <v>9</v>
      </c>
      <c r="Y37" s="107" t="n">
        <f aca="false">S37*$D37</f>
        <v>37.63125</v>
      </c>
      <c r="Z37" s="107" t="n">
        <f aca="false">T37*$D37</f>
        <v>37.63125</v>
      </c>
      <c r="AA37" s="107" t="n">
        <f aca="false">U37*$D37</f>
        <v>37.63125</v>
      </c>
      <c r="AB37" s="107" t="n">
        <f aca="false">V37*$D37</f>
        <v>37.63125</v>
      </c>
      <c r="AC37" s="107" t="n">
        <f aca="false">W37*$D37</f>
        <v>37.63125</v>
      </c>
      <c r="AD37" s="107" t="n">
        <f aca="false">X37*$D37</f>
        <v>37.63125</v>
      </c>
      <c r="AE37" s="107" t="n">
        <f aca="false">SUM(Y37:AD37)</f>
        <v>225.7875</v>
      </c>
    </row>
    <row r="38" customFormat="false" ht="15" hidden="false" customHeight="false" outlineLevel="0" collapsed="false">
      <c r="A38" s="103" t="s">
        <v>485</v>
      </c>
      <c r="B38" s="104" t="n">
        <v>0</v>
      </c>
      <c r="C38" s="105" t="n">
        <f aca="false">IF(K38=0,0,R38/K38)</f>
        <v>4.71296296296296</v>
      </c>
      <c r="D38" s="105" t="n">
        <f aca="false">C38+B38</f>
        <v>4.71296296296296</v>
      </c>
      <c r="E38" s="106" t="n">
        <v>10</v>
      </c>
      <c r="F38" s="106" t="n">
        <v>29</v>
      </c>
      <c r="G38" s="106" t="n">
        <v>15</v>
      </c>
      <c r="H38" s="106" t="n">
        <v>0</v>
      </c>
      <c r="I38" s="106" t="n">
        <v>0</v>
      </c>
      <c r="J38" s="106" t="n">
        <v>0</v>
      </c>
      <c r="K38" s="106" t="n">
        <f aca="false">SUM(E38:J38)</f>
        <v>54</v>
      </c>
      <c r="L38" s="107" t="n">
        <v>48.25</v>
      </c>
      <c r="M38" s="107" t="n">
        <v>135</v>
      </c>
      <c r="N38" s="107" t="n">
        <v>71.25</v>
      </c>
      <c r="O38" s="107" t="n">
        <v>0</v>
      </c>
      <c r="P38" s="107" t="n">
        <v>0</v>
      </c>
      <c r="Q38" s="107" t="n">
        <v>0</v>
      </c>
      <c r="R38" s="107" t="n">
        <f aca="false">SUM(L38:Q38)</f>
        <v>254.5</v>
      </c>
      <c r="S38" s="108" t="n">
        <v>0</v>
      </c>
      <c r="T38" s="108" t="n">
        <v>0</v>
      </c>
      <c r="U38" s="108" t="n">
        <v>0</v>
      </c>
      <c r="V38" s="108" t="n">
        <v>0</v>
      </c>
      <c r="W38" s="108" t="n">
        <v>0</v>
      </c>
      <c r="X38" s="108" t="n">
        <v>0</v>
      </c>
      <c r="Y38" s="107" t="n">
        <f aca="false">S38*$D38</f>
        <v>0</v>
      </c>
      <c r="Z38" s="107" t="n">
        <f aca="false">T38*$D38</f>
        <v>0</v>
      </c>
      <c r="AA38" s="107" t="n">
        <f aca="false">U38*$D38</f>
        <v>0</v>
      </c>
      <c r="AB38" s="107" t="n">
        <f aca="false">V38*$D38</f>
        <v>0</v>
      </c>
      <c r="AC38" s="107" t="n">
        <f aca="false">W38*$D38</f>
        <v>0</v>
      </c>
      <c r="AD38" s="107" t="n">
        <f aca="false">X38*$D38</f>
        <v>0</v>
      </c>
      <c r="AE38" s="107" t="n">
        <f aca="false">SUM(Y38:AD38)</f>
        <v>0</v>
      </c>
    </row>
    <row r="39" customFormat="false" ht="15" hidden="false" customHeight="false" outlineLevel="0" collapsed="false">
      <c r="A39" s="103" t="s">
        <v>486</v>
      </c>
      <c r="B39" s="104" t="n">
        <v>0</v>
      </c>
      <c r="C39" s="105" t="n">
        <f aca="false">IF(K39=0,0,R39/K39)</f>
        <v>4.64903846153846</v>
      </c>
      <c r="D39" s="105" t="n">
        <f aca="false">C39+B39</f>
        <v>4.64903846153846</v>
      </c>
      <c r="E39" s="106" t="n">
        <v>0</v>
      </c>
      <c r="F39" s="106" t="n">
        <v>4</v>
      </c>
      <c r="G39" s="106" t="n">
        <v>10</v>
      </c>
      <c r="H39" s="106" t="n">
        <v>10</v>
      </c>
      <c r="I39" s="106" t="n">
        <v>10</v>
      </c>
      <c r="J39" s="106" t="n">
        <v>18</v>
      </c>
      <c r="K39" s="106" t="n">
        <f aca="false">SUM(E39:J39)</f>
        <v>52</v>
      </c>
      <c r="L39" s="107" t="n">
        <v>0</v>
      </c>
      <c r="M39" s="107" t="n">
        <v>18.25</v>
      </c>
      <c r="N39" s="107" t="n">
        <v>47</v>
      </c>
      <c r="O39" s="107" t="n">
        <v>49.25</v>
      </c>
      <c r="P39" s="107" t="n">
        <v>43.5</v>
      </c>
      <c r="Q39" s="107" t="n">
        <v>83.75</v>
      </c>
      <c r="R39" s="107" t="n">
        <f aca="false">SUM(L39:Q39)</f>
        <v>241.75</v>
      </c>
      <c r="S39" s="108" t="n">
        <v>13</v>
      </c>
      <c r="T39" s="108" t="n">
        <v>13</v>
      </c>
      <c r="U39" s="108" t="n">
        <v>13</v>
      </c>
      <c r="V39" s="108" t="n">
        <v>13</v>
      </c>
      <c r="W39" s="108" t="n">
        <v>13</v>
      </c>
      <c r="X39" s="108" t="n">
        <v>13</v>
      </c>
      <c r="Y39" s="107" t="n">
        <f aca="false">S39*$D39</f>
        <v>60.4375</v>
      </c>
      <c r="Z39" s="107" t="n">
        <f aca="false">T39*$D39</f>
        <v>60.4375</v>
      </c>
      <c r="AA39" s="107" t="n">
        <f aca="false">U39*$D39</f>
        <v>60.4375</v>
      </c>
      <c r="AB39" s="107" t="n">
        <f aca="false">V39*$D39</f>
        <v>60.4375</v>
      </c>
      <c r="AC39" s="107" t="n">
        <f aca="false">W39*$D39</f>
        <v>60.4375</v>
      </c>
      <c r="AD39" s="107" t="n">
        <f aca="false">X39*$D39</f>
        <v>60.4375</v>
      </c>
      <c r="AE39" s="107" t="n">
        <f aca="false">SUM(Y39:AD39)</f>
        <v>362.625</v>
      </c>
    </row>
    <row r="40" customFormat="false" ht="15" hidden="false" customHeight="false" outlineLevel="0" collapsed="false">
      <c r="A40" s="103" t="s">
        <v>487</v>
      </c>
      <c r="B40" s="104" t="n">
        <v>0</v>
      </c>
      <c r="C40" s="105" t="n">
        <f aca="false">IF(K40=0,0,R40/K40)</f>
        <v>3.8577358490566</v>
      </c>
      <c r="D40" s="105" t="n">
        <f aca="false">C40+B40</f>
        <v>3.8577358490566</v>
      </c>
      <c r="E40" s="106" t="n">
        <v>7</v>
      </c>
      <c r="F40" s="106" t="n">
        <v>2</v>
      </c>
      <c r="G40" s="106" t="n">
        <v>4</v>
      </c>
      <c r="H40" s="106" t="n">
        <v>17</v>
      </c>
      <c r="I40" s="106" t="n">
        <v>13</v>
      </c>
      <c r="J40" s="106" t="n">
        <v>10</v>
      </c>
      <c r="K40" s="106" t="n">
        <f aca="false">SUM(E40:J40)</f>
        <v>53</v>
      </c>
      <c r="L40" s="107" t="n">
        <v>25.98</v>
      </c>
      <c r="M40" s="107" t="n">
        <v>7</v>
      </c>
      <c r="N40" s="107" t="n">
        <v>15</v>
      </c>
      <c r="O40" s="107" t="n">
        <v>63.98</v>
      </c>
      <c r="P40" s="107" t="n">
        <v>48.5</v>
      </c>
      <c r="Q40" s="107" t="n">
        <v>44</v>
      </c>
      <c r="R40" s="107" t="n">
        <f aca="false">SUM(L40:Q40)</f>
        <v>204.46</v>
      </c>
      <c r="S40" s="108" t="n">
        <v>13</v>
      </c>
      <c r="T40" s="108" t="n">
        <v>13</v>
      </c>
      <c r="U40" s="108" t="n">
        <v>13</v>
      </c>
      <c r="V40" s="108" t="n">
        <v>13</v>
      </c>
      <c r="W40" s="108" t="n">
        <v>13</v>
      </c>
      <c r="X40" s="108" t="n">
        <v>13</v>
      </c>
      <c r="Y40" s="107" t="n">
        <f aca="false">S40*$D40</f>
        <v>50.1505660377359</v>
      </c>
      <c r="Z40" s="107" t="n">
        <f aca="false">T40*$D40</f>
        <v>50.1505660377359</v>
      </c>
      <c r="AA40" s="107" t="n">
        <f aca="false">U40*$D40</f>
        <v>50.1505660377359</v>
      </c>
      <c r="AB40" s="107" t="n">
        <f aca="false">V40*$D40</f>
        <v>50.1505660377359</v>
      </c>
      <c r="AC40" s="107" t="n">
        <f aca="false">W40*$D40</f>
        <v>50.1505660377359</v>
      </c>
      <c r="AD40" s="107" t="n">
        <f aca="false">X40*$D40</f>
        <v>50.1505660377359</v>
      </c>
      <c r="AE40" s="107" t="n">
        <f aca="false">SUM(Y40:AD40)</f>
        <v>300.903396226415</v>
      </c>
    </row>
    <row r="41" customFormat="false" ht="15" hidden="false" customHeight="false" outlineLevel="0" collapsed="false">
      <c r="A41" s="103" t="s">
        <v>488</v>
      </c>
      <c r="B41" s="104" t="n">
        <v>0</v>
      </c>
      <c r="C41" s="105" t="n">
        <f aca="false">IF(K41=0,0,R41/K41)</f>
        <v>3.91836734693878</v>
      </c>
      <c r="D41" s="105" t="n">
        <f aca="false">C41+B41</f>
        <v>3.91836734693878</v>
      </c>
      <c r="E41" s="106" t="n">
        <v>8</v>
      </c>
      <c r="F41" s="106" t="n">
        <v>6</v>
      </c>
      <c r="G41" s="106" t="n">
        <v>4</v>
      </c>
      <c r="H41" s="106" t="n">
        <v>7</v>
      </c>
      <c r="I41" s="106" t="n">
        <v>10</v>
      </c>
      <c r="J41" s="106" t="n">
        <v>14</v>
      </c>
      <c r="K41" s="106" t="n">
        <f aca="false">SUM(E41:J41)</f>
        <v>49</v>
      </c>
      <c r="L41" s="107" t="n">
        <v>31.4</v>
      </c>
      <c r="M41" s="107" t="n">
        <v>24</v>
      </c>
      <c r="N41" s="107" t="n">
        <v>15.4</v>
      </c>
      <c r="O41" s="107" t="n">
        <v>26</v>
      </c>
      <c r="P41" s="107" t="n">
        <v>40</v>
      </c>
      <c r="Q41" s="107" t="n">
        <v>55.2</v>
      </c>
      <c r="R41" s="107" t="n">
        <f aca="false">SUM(L41:Q41)</f>
        <v>192</v>
      </c>
      <c r="S41" s="108" t="n">
        <v>10</v>
      </c>
      <c r="T41" s="108" t="n">
        <v>10</v>
      </c>
      <c r="U41" s="108" t="n">
        <v>10</v>
      </c>
      <c r="V41" s="108" t="n">
        <v>10</v>
      </c>
      <c r="W41" s="108" t="n">
        <v>10</v>
      </c>
      <c r="X41" s="108" t="n">
        <v>10</v>
      </c>
      <c r="Y41" s="107" t="n">
        <f aca="false">S41*$D41</f>
        <v>39.1836734693878</v>
      </c>
      <c r="Z41" s="107" t="n">
        <f aca="false">T41*$D41</f>
        <v>39.1836734693878</v>
      </c>
      <c r="AA41" s="107" t="n">
        <f aca="false">U41*$D41</f>
        <v>39.1836734693878</v>
      </c>
      <c r="AB41" s="107" t="n">
        <f aca="false">V41*$D41</f>
        <v>39.1836734693878</v>
      </c>
      <c r="AC41" s="107" t="n">
        <f aca="false">W41*$D41</f>
        <v>39.1836734693878</v>
      </c>
      <c r="AD41" s="107" t="n">
        <f aca="false">X41*$D41</f>
        <v>39.1836734693878</v>
      </c>
      <c r="AE41" s="107" t="n">
        <f aca="false">SUM(Y41:AD41)</f>
        <v>235.102040816327</v>
      </c>
    </row>
    <row r="42" customFormat="false" ht="15" hidden="false" customHeight="false" outlineLevel="0" collapsed="false">
      <c r="A42" s="103" t="s">
        <v>489</v>
      </c>
      <c r="B42" s="104" t="n">
        <v>0</v>
      </c>
      <c r="C42" s="105" t="n">
        <f aca="false">IF(K42=0,0,R42/K42)</f>
        <v>3.98461538461538</v>
      </c>
      <c r="D42" s="105" t="n">
        <f aca="false">C42+B42</f>
        <v>3.98461538461538</v>
      </c>
      <c r="E42" s="106" t="n">
        <v>0</v>
      </c>
      <c r="F42" s="106" t="n">
        <v>0</v>
      </c>
      <c r="G42" s="106" t="n">
        <v>6</v>
      </c>
      <c r="H42" s="106" t="n">
        <v>4</v>
      </c>
      <c r="I42" s="106" t="n">
        <v>0</v>
      </c>
      <c r="J42" s="106" t="n">
        <v>29</v>
      </c>
      <c r="K42" s="106" t="n">
        <f aca="false">SUM(E42:J42)</f>
        <v>39</v>
      </c>
      <c r="L42" s="107" t="n">
        <v>0</v>
      </c>
      <c r="M42" s="107" t="n">
        <v>0</v>
      </c>
      <c r="N42" s="107" t="n">
        <v>24</v>
      </c>
      <c r="O42" s="107" t="n">
        <v>16</v>
      </c>
      <c r="P42" s="107" t="n">
        <v>0</v>
      </c>
      <c r="Q42" s="107" t="n">
        <v>115.4</v>
      </c>
      <c r="R42" s="107" t="n">
        <f aca="false">SUM(L42:Q42)</f>
        <v>155.4</v>
      </c>
      <c r="S42" s="108" t="n">
        <v>11</v>
      </c>
      <c r="T42" s="108" t="n">
        <v>11</v>
      </c>
      <c r="U42" s="108" t="n">
        <v>11</v>
      </c>
      <c r="V42" s="108" t="n">
        <v>11</v>
      </c>
      <c r="W42" s="108" t="n">
        <v>11</v>
      </c>
      <c r="X42" s="108" t="n">
        <v>11</v>
      </c>
      <c r="Y42" s="107" t="n">
        <f aca="false">S42*$D42</f>
        <v>43.8307692307692</v>
      </c>
      <c r="Z42" s="107" t="n">
        <f aca="false">T42*$D42</f>
        <v>43.8307692307692</v>
      </c>
      <c r="AA42" s="107" t="n">
        <f aca="false">U42*$D42</f>
        <v>43.8307692307692</v>
      </c>
      <c r="AB42" s="107" t="n">
        <f aca="false">V42*$D42</f>
        <v>43.8307692307692</v>
      </c>
      <c r="AC42" s="107" t="n">
        <f aca="false">W42*$D42</f>
        <v>43.8307692307692</v>
      </c>
      <c r="AD42" s="107" t="n">
        <f aca="false">X42*$D42</f>
        <v>43.8307692307692</v>
      </c>
      <c r="AE42" s="107" t="n">
        <f aca="false">SUM(Y42:AD42)</f>
        <v>262.984615384615</v>
      </c>
    </row>
    <row r="43" customFormat="false" ht="15" hidden="false" customHeight="false" outlineLevel="0" collapsed="false">
      <c r="A43" s="103" t="s">
        <v>490</v>
      </c>
      <c r="B43" s="104" t="n">
        <v>0</v>
      </c>
      <c r="C43" s="105" t="n">
        <f aca="false">IF(K43=0,0,R43/K43)</f>
        <v>5.47826086956522</v>
      </c>
      <c r="D43" s="105" t="n">
        <f aca="false">C43+B43</f>
        <v>5.47826086956522</v>
      </c>
      <c r="E43" s="106" t="n">
        <v>0</v>
      </c>
      <c r="F43" s="106" t="n">
        <v>3</v>
      </c>
      <c r="G43" s="106" t="n">
        <v>14</v>
      </c>
      <c r="H43" s="106" t="n">
        <v>4</v>
      </c>
      <c r="I43" s="106" t="n">
        <v>1</v>
      </c>
      <c r="J43" s="106" t="n">
        <v>1</v>
      </c>
      <c r="K43" s="106" t="n">
        <f aca="false">SUM(E43:J43)</f>
        <v>23</v>
      </c>
      <c r="L43" s="107" t="n">
        <v>0</v>
      </c>
      <c r="M43" s="107" t="n">
        <v>18</v>
      </c>
      <c r="N43" s="107" t="n">
        <v>72</v>
      </c>
      <c r="O43" s="107" t="n">
        <v>24</v>
      </c>
      <c r="P43" s="107" t="n">
        <v>6</v>
      </c>
      <c r="Q43" s="107" t="n">
        <v>6</v>
      </c>
      <c r="R43" s="107" t="n">
        <f aca="false">SUM(L43:Q43)</f>
        <v>126</v>
      </c>
      <c r="S43" s="108" t="n">
        <v>2</v>
      </c>
      <c r="T43" s="108" t="n">
        <v>2</v>
      </c>
      <c r="U43" s="108" t="n">
        <v>2</v>
      </c>
      <c r="V43" s="108" t="n">
        <v>2</v>
      </c>
      <c r="W43" s="108" t="n">
        <v>2</v>
      </c>
      <c r="X43" s="108" t="n">
        <v>2</v>
      </c>
      <c r="Y43" s="107" t="n">
        <f aca="false">S43*$D43</f>
        <v>10.9565217391304</v>
      </c>
      <c r="Z43" s="107" t="n">
        <f aca="false">T43*$D43</f>
        <v>10.9565217391304</v>
      </c>
      <c r="AA43" s="107" t="n">
        <f aca="false">U43*$D43</f>
        <v>10.9565217391304</v>
      </c>
      <c r="AB43" s="107" t="n">
        <f aca="false">V43*$D43</f>
        <v>10.9565217391304</v>
      </c>
      <c r="AC43" s="107" t="n">
        <f aca="false">W43*$D43</f>
        <v>10.9565217391304</v>
      </c>
      <c r="AD43" s="107" t="n">
        <f aca="false">X43*$D43</f>
        <v>10.9565217391304</v>
      </c>
      <c r="AE43" s="107" t="n">
        <f aca="false">SUM(Y43:AD43)</f>
        <v>65.7391304347826</v>
      </c>
    </row>
    <row r="44" customFormat="false" ht="15" hidden="false" customHeight="false" outlineLevel="0" collapsed="false">
      <c r="A44" s="103" t="s">
        <v>491</v>
      </c>
      <c r="B44" s="104" t="n">
        <v>0</v>
      </c>
      <c r="C44" s="105" t="n">
        <f aca="false">IF(K44=0,0,R44/K44)</f>
        <v>3.93684210526316</v>
      </c>
      <c r="D44" s="105" t="n">
        <f aca="false">C44+B44</f>
        <v>3.93684210526316</v>
      </c>
      <c r="E44" s="106" t="n">
        <v>0</v>
      </c>
      <c r="F44" s="106" t="n">
        <v>0</v>
      </c>
      <c r="G44" s="106" t="n">
        <v>5</v>
      </c>
      <c r="H44" s="106" t="n">
        <v>11</v>
      </c>
      <c r="I44" s="106" t="n">
        <v>0</v>
      </c>
      <c r="J44" s="106" t="n">
        <v>3</v>
      </c>
      <c r="K44" s="106" t="n">
        <f aca="false">SUM(E44:J44)</f>
        <v>19</v>
      </c>
      <c r="L44" s="107" t="n">
        <v>0</v>
      </c>
      <c r="M44" s="107" t="n">
        <v>0</v>
      </c>
      <c r="N44" s="107" t="n">
        <v>20</v>
      </c>
      <c r="O44" s="107" t="n">
        <v>43.4</v>
      </c>
      <c r="P44" s="107" t="n">
        <v>0</v>
      </c>
      <c r="Q44" s="107" t="n">
        <v>11.4</v>
      </c>
      <c r="R44" s="107" t="n">
        <f aca="false">SUM(L44:Q44)</f>
        <v>74.8</v>
      </c>
      <c r="S44" s="108" t="n">
        <v>5</v>
      </c>
      <c r="T44" s="108" t="n">
        <v>5</v>
      </c>
      <c r="U44" s="108" t="n">
        <v>5</v>
      </c>
      <c r="V44" s="108" t="n">
        <v>5</v>
      </c>
      <c r="W44" s="108" t="n">
        <v>5</v>
      </c>
      <c r="X44" s="108" t="n">
        <v>5</v>
      </c>
      <c r="Y44" s="107" t="n">
        <f aca="false">S44*$D44</f>
        <v>19.6842105263158</v>
      </c>
      <c r="Z44" s="107" t="n">
        <f aca="false">T44*$D44</f>
        <v>19.6842105263158</v>
      </c>
      <c r="AA44" s="107" t="n">
        <f aca="false">U44*$D44</f>
        <v>19.6842105263158</v>
      </c>
      <c r="AB44" s="107" t="n">
        <f aca="false">V44*$D44</f>
        <v>19.6842105263158</v>
      </c>
      <c r="AC44" s="107" t="n">
        <f aca="false">W44*$D44</f>
        <v>19.6842105263158</v>
      </c>
      <c r="AD44" s="107" t="n">
        <f aca="false">X44*$D44</f>
        <v>19.6842105263158</v>
      </c>
      <c r="AE44" s="107" t="n">
        <f aca="false">SUM(Y44:AD44)</f>
        <v>118.105263157895</v>
      </c>
    </row>
    <row r="45" customFormat="false" ht="15" hidden="false" customHeight="false" outlineLevel="0" collapsed="false">
      <c r="A45" s="103" t="s">
        <v>492</v>
      </c>
      <c r="B45" s="104" t="n">
        <v>0</v>
      </c>
      <c r="C45" s="105" t="n">
        <f aca="false">IF(K45=0,0,R45/K45)</f>
        <v>5.925</v>
      </c>
      <c r="D45" s="105" t="n">
        <f aca="false">C45+B45</f>
        <v>5.925</v>
      </c>
      <c r="E45" s="106" t="n">
        <v>0</v>
      </c>
      <c r="F45" s="106" t="n">
        <v>0</v>
      </c>
      <c r="G45" s="106" t="n">
        <v>0</v>
      </c>
      <c r="H45" s="106" t="n">
        <v>2</v>
      </c>
      <c r="I45" s="106" t="n">
        <v>2</v>
      </c>
      <c r="J45" s="106" t="n">
        <v>8</v>
      </c>
      <c r="K45" s="106" t="n">
        <f aca="false">SUM(E45:J45)</f>
        <v>12</v>
      </c>
      <c r="L45" s="107" t="n">
        <v>0</v>
      </c>
      <c r="M45" s="107" t="n">
        <v>0</v>
      </c>
      <c r="N45" s="107" t="n">
        <v>0</v>
      </c>
      <c r="O45" s="107" t="n">
        <v>12</v>
      </c>
      <c r="P45" s="107" t="n">
        <v>11.1</v>
      </c>
      <c r="Q45" s="107" t="n">
        <v>48</v>
      </c>
      <c r="R45" s="107" t="n">
        <f aca="false">SUM(L45:Q45)</f>
        <v>71.1</v>
      </c>
      <c r="S45" s="108" t="n">
        <v>4</v>
      </c>
      <c r="T45" s="108" t="n">
        <v>4</v>
      </c>
      <c r="U45" s="108" t="n">
        <v>4</v>
      </c>
      <c r="V45" s="108" t="n">
        <v>4</v>
      </c>
      <c r="W45" s="108" t="n">
        <v>4</v>
      </c>
      <c r="X45" s="108" t="n">
        <v>4</v>
      </c>
      <c r="Y45" s="107" t="n">
        <f aca="false">S45*$D45</f>
        <v>23.7</v>
      </c>
      <c r="Z45" s="107" t="n">
        <f aca="false">T45*$D45</f>
        <v>23.7</v>
      </c>
      <c r="AA45" s="107" t="n">
        <f aca="false">U45*$D45</f>
        <v>23.7</v>
      </c>
      <c r="AB45" s="107" t="n">
        <f aca="false">V45*$D45</f>
        <v>23.7</v>
      </c>
      <c r="AC45" s="107" t="n">
        <f aca="false">W45*$D45</f>
        <v>23.7</v>
      </c>
      <c r="AD45" s="107" t="n">
        <f aca="false">X45*$D45</f>
        <v>23.7</v>
      </c>
      <c r="AE45" s="107" t="n">
        <f aca="false">SUM(Y45:AD45)</f>
        <v>142.2</v>
      </c>
    </row>
    <row r="46" customFormat="false" ht="15" hidden="false" customHeight="false" outlineLevel="0" collapsed="false">
      <c r="A46" s="103" t="s">
        <v>493</v>
      </c>
      <c r="B46" s="104" t="n">
        <v>0</v>
      </c>
      <c r="C46" s="105" t="n">
        <f aca="false">IF(K46=0,0,R46/K46)</f>
        <v>3.35294117647059</v>
      </c>
      <c r="D46" s="105" t="n">
        <f aca="false">C46+B46</f>
        <v>3.35294117647059</v>
      </c>
      <c r="E46" s="106" t="n">
        <v>0</v>
      </c>
      <c r="F46" s="106" t="n">
        <v>0</v>
      </c>
      <c r="G46" s="106" t="n">
        <v>4</v>
      </c>
      <c r="H46" s="106" t="n">
        <v>6</v>
      </c>
      <c r="I46" s="106" t="n">
        <v>4</v>
      </c>
      <c r="J46" s="106" t="n">
        <v>3</v>
      </c>
      <c r="K46" s="106" t="n">
        <f aca="false">SUM(E46:J46)</f>
        <v>17</v>
      </c>
      <c r="L46" s="107" t="n">
        <v>0</v>
      </c>
      <c r="M46" s="107" t="n">
        <v>0</v>
      </c>
      <c r="N46" s="107" t="n">
        <v>11.4</v>
      </c>
      <c r="O46" s="107" t="n">
        <v>18.4</v>
      </c>
      <c r="P46" s="107" t="n">
        <v>16</v>
      </c>
      <c r="Q46" s="107" t="n">
        <v>11.2</v>
      </c>
      <c r="R46" s="107" t="n">
        <f aca="false">SUM(L46:Q46)</f>
        <v>57</v>
      </c>
      <c r="S46" s="108" t="n">
        <v>4</v>
      </c>
      <c r="T46" s="108" t="n">
        <v>4</v>
      </c>
      <c r="U46" s="108" t="n">
        <v>4</v>
      </c>
      <c r="V46" s="108" t="n">
        <v>4</v>
      </c>
      <c r="W46" s="108" t="n">
        <v>4</v>
      </c>
      <c r="X46" s="108" t="n">
        <v>4</v>
      </c>
      <c r="Y46" s="107" t="n">
        <f aca="false">S46*$D46</f>
        <v>13.4117647058824</v>
      </c>
      <c r="Z46" s="107" t="n">
        <f aca="false">T46*$D46</f>
        <v>13.4117647058824</v>
      </c>
      <c r="AA46" s="107" t="n">
        <f aca="false">U46*$D46</f>
        <v>13.4117647058824</v>
      </c>
      <c r="AB46" s="107" t="n">
        <f aca="false">V46*$D46</f>
        <v>13.4117647058824</v>
      </c>
      <c r="AC46" s="107" t="n">
        <f aca="false">W46*$D46</f>
        <v>13.4117647058824</v>
      </c>
      <c r="AD46" s="107" t="n">
        <f aca="false">X46*$D46</f>
        <v>13.4117647058824</v>
      </c>
      <c r="AE46" s="107" t="n">
        <f aca="false">SUM(Y46:AD46)</f>
        <v>80.4705882352941</v>
      </c>
    </row>
    <row r="47" customFormat="false" ht="15" hidden="false" customHeight="false" outlineLevel="0" collapsed="false">
      <c r="A47" s="103" t="s">
        <v>494</v>
      </c>
      <c r="B47" s="104" t="n">
        <v>0</v>
      </c>
      <c r="C47" s="105" t="n">
        <f aca="false">IF(K47=0,0,R47/K47)</f>
        <v>4.675</v>
      </c>
      <c r="D47" s="105" t="n">
        <f aca="false">C47+B47</f>
        <v>4.675</v>
      </c>
      <c r="E47" s="106" t="n">
        <v>9</v>
      </c>
      <c r="F47" s="106" t="n">
        <v>1</v>
      </c>
      <c r="G47" s="106" t="n">
        <v>0</v>
      </c>
      <c r="H47" s="106" t="n">
        <v>0</v>
      </c>
      <c r="I47" s="106" t="n">
        <v>0</v>
      </c>
      <c r="J47" s="106" t="n">
        <v>0</v>
      </c>
      <c r="K47" s="106" t="n">
        <f aca="false">SUM(E47:J47)</f>
        <v>10</v>
      </c>
      <c r="L47" s="107" t="n">
        <v>41.75</v>
      </c>
      <c r="M47" s="107" t="n">
        <v>5</v>
      </c>
      <c r="N47" s="107" t="n">
        <v>0</v>
      </c>
      <c r="O47" s="107" t="n">
        <v>0</v>
      </c>
      <c r="P47" s="107" t="n">
        <v>0</v>
      </c>
      <c r="Q47" s="107" t="n">
        <v>0</v>
      </c>
      <c r="R47" s="107" t="n">
        <f aca="false">SUM(L47:Q47)</f>
        <v>46.75</v>
      </c>
      <c r="S47" s="108" t="n">
        <v>0</v>
      </c>
      <c r="T47" s="108" t="n">
        <v>0</v>
      </c>
      <c r="U47" s="108" t="n">
        <v>0</v>
      </c>
      <c r="V47" s="108" t="n">
        <v>0</v>
      </c>
      <c r="W47" s="108" t="n">
        <v>0</v>
      </c>
      <c r="X47" s="108" t="n">
        <v>0</v>
      </c>
      <c r="Y47" s="107" t="n">
        <f aca="false">S47*$D47</f>
        <v>0</v>
      </c>
      <c r="Z47" s="107" t="n">
        <f aca="false">T47*$D47</f>
        <v>0</v>
      </c>
      <c r="AA47" s="107" t="n">
        <f aca="false">U47*$D47</f>
        <v>0</v>
      </c>
      <c r="AB47" s="107" t="n">
        <f aca="false">V47*$D47</f>
        <v>0</v>
      </c>
      <c r="AC47" s="107" t="n">
        <f aca="false">W47*$D47</f>
        <v>0</v>
      </c>
      <c r="AD47" s="107" t="n">
        <f aca="false">X47*$D47</f>
        <v>0</v>
      </c>
      <c r="AE47" s="107" t="n">
        <f aca="false">SUM(Y47:AD47)</f>
        <v>0</v>
      </c>
    </row>
    <row r="48" customFormat="false" ht="15" hidden="false" customHeight="false" outlineLevel="0" collapsed="false">
      <c r="A48" s="103" t="s">
        <v>495</v>
      </c>
      <c r="B48" s="104" t="n">
        <v>0</v>
      </c>
      <c r="C48" s="105" t="n">
        <f aca="false">IF(K48=0,0,R48/K48)</f>
        <v>6</v>
      </c>
      <c r="D48" s="105" t="n">
        <f aca="false">C48+B48</f>
        <v>6</v>
      </c>
      <c r="E48" s="106" t="n">
        <v>0</v>
      </c>
      <c r="F48" s="106" t="n">
        <v>0</v>
      </c>
      <c r="G48" s="106" t="n">
        <v>0</v>
      </c>
      <c r="H48" s="106" t="n">
        <v>0</v>
      </c>
      <c r="I48" s="106" t="n">
        <v>1</v>
      </c>
      <c r="J48" s="106" t="n">
        <v>6</v>
      </c>
      <c r="K48" s="106" t="n">
        <f aca="false">SUM(E48:J48)</f>
        <v>7</v>
      </c>
      <c r="L48" s="107" t="n">
        <v>0</v>
      </c>
      <c r="M48" s="107" t="n">
        <v>0</v>
      </c>
      <c r="N48" s="107" t="n">
        <v>0</v>
      </c>
      <c r="O48" s="107" t="n">
        <v>0</v>
      </c>
      <c r="P48" s="107" t="n">
        <v>6</v>
      </c>
      <c r="Q48" s="107" t="n">
        <v>36</v>
      </c>
      <c r="R48" s="107" t="n">
        <f aca="false">SUM(L48:Q48)</f>
        <v>42</v>
      </c>
      <c r="S48" s="108" t="n">
        <v>2</v>
      </c>
      <c r="T48" s="108" t="n">
        <v>2</v>
      </c>
      <c r="U48" s="108" t="n">
        <v>2</v>
      </c>
      <c r="V48" s="108" t="n">
        <v>2</v>
      </c>
      <c r="W48" s="108" t="n">
        <v>2</v>
      </c>
      <c r="X48" s="108" t="n">
        <v>2</v>
      </c>
      <c r="Y48" s="107" t="n">
        <f aca="false">S48*$D48</f>
        <v>12</v>
      </c>
      <c r="Z48" s="107" t="n">
        <f aca="false">T48*$D48</f>
        <v>12</v>
      </c>
      <c r="AA48" s="107" t="n">
        <f aca="false">U48*$D48</f>
        <v>12</v>
      </c>
      <c r="AB48" s="107" t="n">
        <f aca="false">V48*$D48</f>
        <v>12</v>
      </c>
      <c r="AC48" s="107" t="n">
        <f aca="false">W48*$D48</f>
        <v>12</v>
      </c>
      <c r="AD48" s="107" t="n">
        <f aca="false">X48*$D48</f>
        <v>12</v>
      </c>
      <c r="AE48" s="107" t="n">
        <f aca="false">SUM(Y48:AD48)</f>
        <v>72</v>
      </c>
    </row>
    <row r="49" customFormat="false" ht="15" hidden="false" customHeight="false" outlineLevel="0" collapsed="false">
      <c r="A49" s="103" t="s">
        <v>496</v>
      </c>
      <c r="B49" s="104" t="n">
        <v>0</v>
      </c>
      <c r="C49" s="105" t="n">
        <f aca="false">IF(K49=0,0,R49/K49)</f>
        <v>7.52</v>
      </c>
      <c r="D49" s="105" t="n">
        <f aca="false">C49+B49</f>
        <v>7.52</v>
      </c>
      <c r="E49" s="106" t="n">
        <v>0</v>
      </c>
      <c r="F49" s="106" t="n">
        <v>0</v>
      </c>
      <c r="G49" s="106" t="n">
        <v>0</v>
      </c>
      <c r="H49" s="106" t="n">
        <v>0</v>
      </c>
      <c r="I49" s="106" t="n">
        <v>0</v>
      </c>
      <c r="J49" s="106" t="n">
        <v>5</v>
      </c>
      <c r="K49" s="106" t="n">
        <f aca="false">SUM(E49:J49)</f>
        <v>5</v>
      </c>
      <c r="L49" s="107" t="n">
        <v>0</v>
      </c>
      <c r="M49" s="107" t="n">
        <v>0</v>
      </c>
      <c r="N49" s="107" t="n">
        <v>0</v>
      </c>
      <c r="O49" s="107" t="n">
        <v>0</v>
      </c>
      <c r="P49" s="107" t="n">
        <v>0</v>
      </c>
      <c r="Q49" s="107" t="n">
        <v>37.6</v>
      </c>
      <c r="R49" s="107" t="n">
        <f aca="false">SUM(L49:Q49)</f>
        <v>37.6</v>
      </c>
      <c r="S49" s="108" t="n">
        <v>2</v>
      </c>
      <c r="T49" s="108" t="n">
        <v>2</v>
      </c>
      <c r="U49" s="108" t="n">
        <v>2</v>
      </c>
      <c r="V49" s="108" t="n">
        <v>2</v>
      </c>
      <c r="W49" s="108" t="n">
        <v>2</v>
      </c>
      <c r="X49" s="108" t="n">
        <v>2</v>
      </c>
      <c r="Y49" s="107" t="n">
        <f aca="false">S49*$D49</f>
        <v>15.04</v>
      </c>
      <c r="Z49" s="107" t="n">
        <f aca="false">T49*$D49</f>
        <v>15.04</v>
      </c>
      <c r="AA49" s="107" t="n">
        <f aca="false">U49*$D49</f>
        <v>15.04</v>
      </c>
      <c r="AB49" s="107" t="n">
        <f aca="false">V49*$D49</f>
        <v>15.04</v>
      </c>
      <c r="AC49" s="107" t="n">
        <f aca="false">W49*$D49</f>
        <v>15.04</v>
      </c>
      <c r="AD49" s="107" t="n">
        <f aca="false">X49*$D49</f>
        <v>15.04</v>
      </c>
      <c r="AE49" s="107" t="n">
        <f aca="false">SUM(Y49:AD49)</f>
        <v>90.24</v>
      </c>
    </row>
    <row r="50" customFormat="false" ht="15" hidden="false" customHeight="false" outlineLevel="0" collapsed="false">
      <c r="A50" s="103" t="s">
        <v>497</v>
      </c>
      <c r="B50" s="104" t="n">
        <v>0</v>
      </c>
      <c r="C50" s="105" t="n">
        <f aca="false">IF(K50=0,0,R50/K50)</f>
        <v>6</v>
      </c>
      <c r="D50" s="105" t="n">
        <f aca="false">C50+B50</f>
        <v>6</v>
      </c>
      <c r="E50" s="106" t="n">
        <v>0</v>
      </c>
      <c r="F50" s="106" t="n">
        <v>0</v>
      </c>
      <c r="G50" s="106" t="n">
        <v>0</v>
      </c>
      <c r="H50" s="106" t="n">
        <v>0</v>
      </c>
      <c r="I50" s="106" t="n">
        <v>2</v>
      </c>
      <c r="J50" s="106" t="n">
        <v>4</v>
      </c>
      <c r="K50" s="106" t="n">
        <f aca="false">SUM(E50:J50)</f>
        <v>6</v>
      </c>
      <c r="L50" s="107" t="n">
        <v>0</v>
      </c>
      <c r="M50" s="107" t="n">
        <v>0</v>
      </c>
      <c r="N50" s="107" t="n">
        <v>0</v>
      </c>
      <c r="O50" s="107" t="n">
        <v>0</v>
      </c>
      <c r="P50" s="107" t="n">
        <v>12</v>
      </c>
      <c r="Q50" s="107" t="n">
        <v>24</v>
      </c>
      <c r="R50" s="107" t="n">
        <f aca="false">SUM(L50:Q50)</f>
        <v>36</v>
      </c>
      <c r="S50" s="108" t="n">
        <v>2</v>
      </c>
      <c r="T50" s="108" t="n">
        <v>2</v>
      </c>
      <c r="U50" s="108" t="n">
        <v>2</v>
      </c>
      <c r="V50" s="108" t="n">
        <v>2</v>
      </c>
      <c r="W50" s="108" t="n">
        <v>2</v>
      </c>
      <c r="X50" s="108" t="n">
        <v>2</v>
      </c>
      <c r="Y50" s="107" t="n">
        <f aca="false">S50*$D50</f>
        <v>12</v>
      </c>
      <c r="Z50" s="107" t="n">
        <f aca="false">T50*$D50</f>
        <v>12</v>
      </c>
      <c r="AA50" s="107" t="n">
        <f aca="false">U50*$D50</f>
        <v>12</v>
      </c>
      <c r="AB50" s="107" t="n">
        <f aca="false">V50*$D50</f>
        <v>12</v>
      </c>
      <c r="AC50" s="107" t="n">
        <f aca="false">W50*$D50</f>
        <v>12</v>
      </c>
      <c r="AD50" s="107" t="n">
        <f aca="false">X50*$D50</f>
        <v>12</v>
      </c>
      <c r="AE50" s="107" t="n">
        <f aca="false">SUM(Y50:AD50)</f>
        <v>72</v>
      </c>
    </row>
    <row r="51" customFormat="false" ht="15" hidden="false" customHeight="false" outlineLevel="0" collapsed="false">
      <c r="A51" s="103" t="s">
        <v>498</v>
      </c>
      <c r="B51" s="104" t="n">
        <v>0</v>
      </c>
      <c r="C51" s="105" t="n">
        <f aca="false">IF(K51=0,0,R51/K51)</f>
        <v>7.04</v>
      </c>
      <c r="D51" s="105" t="n">
        <f aca="false">C51+B51</f>
        <v>7.04</v>
      </c>
      <c r="E51" s="106" t="n">
        <v>0</v>
      </c>
      <c r="F51" s="106" t="n">
        <v>0</v>
      </c>
      <c r="G51" s="106" t="n">
        <v>0</v>
      </c>
      <c r="H51" s="106" t="n">
        <v>0</v>
      </c>
      <c r="I51" s="106" t="n">
        <v>5</v>
      </c>
      <c r="J51" s="106" t="n">
        <v>0</v>
      </c>
      <c r="K51" s="106" t="n">
        <f aca="false">SUM(E51:J51)</f>
        <v>5</v>
      </c>
      <c r="L51" s="107" t="n">
        <v>0</v>
      </c>
      <c r="M51" s="107" t="n">
        <v>0</v>
      </c>
      <c r="N51" s="107" t="n">
        <v>0</v>
      </c>
      <c r="O51" s="107" t="n">
        <v>0</v>
      </c>
      <c r="P51" s="107" t="n">
        <v>35.2</v>
      </c>
      <c r="Q51" s="107" t="n">
        <v>0</v>
      </c>
      <c r="R51" s="107" t="n">
        <f aca="false">SUM(L51:Q51)</f>
        <v>35.2</v>
      </c>
      <c r="S51" s="108" t="n">
        <v>2</v>
      </c>
      <c r="T51" s="108" t="n">
        <v>2</v>
      </c>
      <c r="U51" s="108" t="n">
        <v>2</v>
      </c>
      <c r="V51" s="108" t="n">
        <v>2</v>
      </c>
      <c r="W51" s="108" t="n">
        <v>2</v>
      </c>
      <c r="X51" s="108" t="n">
        <v>2</v>
      </c>
      <c r="Y51" s="107" t="n">
        <f aca="false">S51*$D51</f>
        <v>14.08</v>
      </c>
      <c r="Z51" s="107" t="n">
        <f aca="false">T51*$D51</f>
        <v>14.08</v>
      </c>
      <c r="AA51" s="107" t="n">
        <f aca="false">U51*$D51</f>
        <v>14.08</v>
      </c>
      <c r="AB51" s="107" t="n">
        <f aca="false">V51*$D51</f>
        <v>14.08</v>
      </c>
      <c r="AC51" s="107" t="n">
        <f aca="false">W51*$D51</f>
        <v>14.08</v>
      </c>
      <c r="AD51" s="107" t="n">
        <f aca="false">X51*$D51</f>
        <v>14.08</v>
      </c>
      <c r="AE51" s="107" t="n">
        <f aca="false">SUM(Y51:AD51)</f>
        <v>84.48</v>
      </c>
    </row>
    <row r="52" customFormat="false" ht="15" hidden="false" customHeight="false" outlineLevel="0" collapsed="false">
      <c r="A52" s="103" t="s">
        <v>499</v>
      </c>
      <c r="B52" s="104" t="n">
        <v>0</v>
      </c>
      <c r="C52" s="105" t="n">
        <f aca="false">IF(K52=0,0,R52/K52)</f>
        <v>32</v>
      </c>
      <c r="D52" s="105" t="n">
        <f aca="false">C52+B52</f>
        <v>32</v>
      </c>
      <c r="E52" s="106" t="n">
        <v>0</v>
      </c>
      <c r="F52" s="106" t="n">
        <v>0</v>
      </c>
      <c r="G52" s="106" t="n">
        <v>0</v>
      </c>
      <c r="H52" s="106" t="n">
        <v>0</v>
      </c>
      <c r="I52" s="106" t="n">
        <v>1</v>
      </c>
      <c r="J52" s="106" t="n">
        <v>0</v>
      </c>
      <c r="K52" s="106" t="n">
        <f aca="false">SUM(E52:J52)</f>
        <v>1</v>
      </c>
      <c r="L52" s="107" t="n">
        <v>0</v>
      </c>
      <c r="M52" s="107" t="n">
        <v>0</v>
      </c>
      <c r="N52" s="107" t="n">
        <v>0</v>
      </c>
      <c r="O52" s="107" t="n">
        <v>0</v>
      </c>
      <c r="P52" s="107" t="n">
        <v>32</v>
      </c>
      <c r="Q52" s="107" t="n">
        <v>0</v>
      </c>
      <c r="R52" s="107" t="n">
        <f aca="false">SUM(L52:Q52)</f>
        <v>32</v>
      </c>
      <c r="S52" s="108" t="n">
        <v>0</v>
      </c>
      <c r="T52" s="108" t="n">
        <v>0</v>
      </c>
      <c r="U52" s="108" t="n">
        <v>0</v>
      </c>
      <c r="V52" s="108" t="n">
        <v>0</v>
      </c>
      <c r="W52" s="108" t="n">
        <v>0</v>
      </c>
      <c r="X52" s="108" t="n">
        <v>0</v>
      </c>
      <c r="Y52" s="107" t="n">
        <f aca="false">S52*$D52</f>
        <v>0</v>
      </c>
      <c r="Z52" s="107" t="n">
        <f aca="false">T52*$D52</f>
        <v>0</v>
      </c>
      <c r="AA52" s="107" t="n">
        <f aca="false">U52*$D52</f>
        <v>0</v>
      </c>
      <c r="AB52" s="107" t="n">
        <f aca="false">V52*$D52</f>
        <v>0</v>
      </c>
      <c r="AC52" s="107" t="n">
        <f aca="false">W52*$D52</f>
        <v>0</v>
      </c>
      <c r="AD52" s="107" t="n">
        <f aca="false">X52*$D52</f>
        <v>0</v>
      </c>
      <c r="AE52" s="107" t="n">
        <f aca="false">SUM(Y52:AD52)</f>
        <v>0</v>
      </c>
    </row>
    <row r="53" customFormat="false" ht="15" hidden="false" customHeight="false" outlineLevel="0" collapsed="false">
      <c r="A53" s="103" t="s">
        <v>500</v>
      </c>
      <c r="B53" s="104" t="n">
        <v>0</v>
      </c>
      <c r="C53" s="105" t="n">
        <f aca="false">IF(K53=0,0,R53/K53)</f>
        <v>6.25</v>
      </c>
      <c r="D53" s="105" t="n">
        <f aca="false">C53+B53</f>
        <v>6.25</v>
      </c>
      <c r="E53" s="106" t="n">
        <v>3</v>
      </c>
      <c r="F53" s="106" t="n">
        <v>2</v>
      </c>
      <c r="G53" s="106" t="n">
        <v>0</v>
      </c>
      <c r="H53" s="106" t="n">
        <v>0</v>
      </c>
      <c r="I53" s="106" t="n">
        <v>0</v>
      </c>
      <c r="J53" s="106" t="n">
        <v>0</v>
      </c>
      <c r="K53" s="106" t="n">
        <f aca="false">SUM(E53:J53)</f>
        <v>5</v>
      </c>
      <c r="L53" s="107" t="n">
        <v>18.75</v>
      </c>
      <c r="M53" s="107" t="n">
        <v>12.5</v>
      </c>
      <c r="N53" s="107" t="n">
        <v>0</v>
      </c>
      <c r="O53" s="107" t="n">
        <v>0</v>
      </c>
      <c r="P53" s="107" t="n">
        <v>0</v>
      </c>
      <c r="Q53" s="107" t="n">
        <v>0</v>
      </c>
      <c r="R53" s="107" t="n">
        <f aca="false">SUM(L53:Q53)</f>
        <v>31.25</v>
      </c>
      <c r="S53" s="108" t="n">
        <v>0</v>
      </c>
      <c r="T53" s="108" t="n">
        <v>0</v>
      </c>
      <c r="U53" s="108" t="n">
        <v>0</v>
      </c>
      <c r="V53" s="108" t="n">
        <v>0</v>
      </c>
      <c r="W53" s="108" t="n">
        <v>0</v>
      </c>
      <c r="X53" s="108" t="n">
        <v>0</v>
      </c>
      <c r="Y53" s="107" t="n">
        <f aca="false">S53*$D53</f>
        <v>0</v>
      </c>
      <c r="Z53" s="107" t="n">
        <f aca="false">T53*$D53</f>
        <v>0</v>
      </c>
      <c r="AA53" s="107" t="n">
        <f aca="false">U53*$D53</f>
        <v>0</v>
      </c>
      <c r="AB53" s="107" t="n">
        <f aca="false">V53*$D53</f>
        <v>0</v>
      </c>
      <c r="AC53" s="107" t="n">
        <f aca="false">W53*$D53</f>
        <v>0</v>
      </c>
      <c r="AD53" s="107" t="n">
        <f aca="false">X53*$D53</f>
        <v>0</v>
      </c>
      <c r="AE53" s="107" t="n">
        <f aca="false">SUM(Y53:AD53)</f>
        <v>0</v>
      </c>
    </row>
    <row r="54" customFormat="false" ht="15" hidden="false" customHeight="false" outlineLevel="0" collapsed="false">
      <c r="A54" s="103" t="s">
        <v>501</v>
      </c>
      <c r="B54" s="104" t="n">
        <v>0</v>
      </c>
      <c r="C54" s="105" t="n">
        <f aca="false">IF(K54=0,0,R54/K54)</f>
        <v>3.75</v>
      </c>
      <c r="D54" s="105" t="n">
        <f aca="false">C54+B54</f>
        <v>3.75</v>
      </c>
      <c r="E54" s="106" t="n">
        <v>3</v>
      </c>
      <c r="F54" s="106" t="n">
        <v>1</v>
      </c>
      <c r="G54" s="106" t="n">
        <v>2</v>
      </c>
      <c r="H54" s="106" t="n">
        <v>1</v>
      </c>
      <c r="I54" s="106" t="n">
        <v>1</v>
      </c>
      <c r="J54" s="106" t="n">
        <v>0</v>
      </c>
      <c r="K54" s="106" t="n">
        <f aca="false">SUM(E54:J54)</f>
        <v>8</v>
      </c>
      <c r="L54" s="107" t="n">
        <v>12</v>
      </c>
      <c r="M54" s="107" t="n">
        <v>2</v>
      </c>
      <c r="N54" s="107" t="n">
        <v>8</v>
      </c>
      <c r="O54" s="107" t="n">
        <v>4</v>
      </c>
      <c r="P54" s="107" t="n">
        <v>4</v>
      </c>
      <c r="Q54" s="107" t="n">
        <v>0</v>
      </c>
      <c r="R54" s="107" t="n">
        <f aca="false">SUM(L54:Q54)</f>
        <v>30</v>
      </c>
      <c r="S54" s="108" t="n">
        <v>1</v>
      </c>
      <c r="T54" s="108" t="n">
        <v>1</v>
      </c>
      <c r="U54" s="108" t="n">
        <v>1</v>
      </c>
      <c r="V54" s="108" t="n">
        <v>1</v>
      </c>
      <c r="W54" s="108" t="n">
        <v>1</v>
      </c>
      <c r="X54" s="108" t="n">
        <v>1</v>
      </c>
      <c r="Y54" s="107" t="n">
        <f aca="false">S54*$D54</f>
        <v>3.75</v>
      </c>
      <c r="Z54" s="107" t="n">
        <f aca="false">T54*$D54</f>
        <v>3.75</v>
      </c>
      <c r="AA54" s="107" t="n">
        <f aca="false">U54*$D54</f>
        <v>3.75</v>
      </c>
      <c r="AB54" s="107" t="n">
        <f aca="false">V54*$D54</f>
        <v>3.75</v>
      </c>
      <c r="AC54" s="107" t="n">
        <f aca="false">W54*$D54</f>
        <v>3.75</v>
      </c>
      <c r="AD54" s="107" t="n">
        <f aca="false">X54*$D54</f>
        <v>3.75</v>
      </c>
      <c r="AE54" s="107" t="n">
        <f aca="false">SUM(Y54:AD54)</f>
        <v>22.5</v>
      </c>
    </row>
    <row r="55" customFormat="false" ht="15" hidden="false" customHeight="false" outlineLevel="0" collapsed="false">
      <c r="A55" s="103" t="s">
        <v>502</v>
      </c>
      <c r="B55" s="104" t="n">
        <v>0</v>
      </c>
      <c r="C55" s="105" t="n">
        <f aca="false">IF(K55=0,0,R55/K55)</f>
        <v>5</v>
      </c>
      <c r="D55" s="105" t="n">
        <f aca="false">C55+B55</f>
        <v>5</v>
      </c>
      <c r="E55" s="106" t="n">
        <v>0</v>
      </c>
      <c r="F55" s="106" t="n">
        <v>3</v>
      </c>
      <c r="G55" s="106" t="n">
        <v>3</v>
      </c>
      <c r="H55" s="106" t="n">
        <v>0</v>
      </c>
      <c r="I55" s="106" t="n">
        <v>0</v>
      </c>
      <c r="J55" s="106" t="n">
        <v>0</v>
      </c>
      <c r="K55" s="106" t="n">
        <f aca="false">SUM(E55:J55)</f>
        <v>6</v>
      </c>
      <c r="L55" s="107" t="n">
        <v>0</v>
      </c>
      <c r="M55" s="107" t="n">
        <v>15</v>
      </c>
      <c r="N55" s="107" t="n">
        <v>15</v>
      </c>
      <c r="O55" s="107" t="n">
        <v>0</v>
      </c>
      <c r="P55" s="107" t="n">
        <v>0</v>
      </c>
      <c r="Q55" s="107" t="n">
        <v>0</v>
      </c>
      <c r="R55" s="107" t="n">
        <f aca="false">SUM(L55:Q55)</f>
        <v>30</v>
      </c>
      <c r="S55" s="108" t="n">
        <v>0</v>
      </c>
      <c r="T55" s="108" t="n">
        <v>0</v>
      </c>
      <c r="U55" s="108" t="n">
        <v>0</v>
      </c>
      <c r="V55" s="108" t="n">
        <v>0</v>
      </c>
      <c r="W55" s="108" t="n">
        <v>0</v>
      </c>
      <c r="X55" s="108" t="n">
        <v>0</v>
      </c>
      <c r="Y55" s="107" t="n">
        <f aca="false">S55*$D55</f>
        <v>0</v>
      </c>
      <c r="Z55" s="107" t="n">
        <f aca="false">T55*$D55</f>
        <v>0</v>
      </c>
      <c r="AA55" s="107" t="n">
        <f aca="false">U55*$D55</f>
        <v>0</v>
      </c>
      <c r="AB55" s="107" t="n">
        <f aca="false">V55*$D55</f>
        <v>0</v>
      </c>
      <c r="AC55" s="107" t="n">
        <f aca="false">W55*$D55</f>
        <v>0</v>
      </c>
      <c r="AD55" s="107" t="n">
        <f aca="false">X55*$D55</f>
        <v>0</v>
      </c>
      <c r="AE55" s="107" t="n">
        <f aca="false">SUM(Y55:AD55)</f>
        <v>0</v>
      </c>
    </row>
    <row r="56" customFormat="false" ht="15" hidden="false" customHeight="false" outlineLevel="0" collapsed="false">
      <c r="A56" s="103" t="s">
        <v>503</v>
      </c>
      <c r="B56" s="104" t="n">
        <v>0</v>
      </c>
      <c r="C56" s="105" t="n">
        <f aca="false">IF(K56=0,0,R56/K56)</f>
        <v>6</v>
      </c>
      <c r="D56" s="105" t="n">
        <f aca="false">C56+B56</f>
        <v>6</v>
      </c>
      <c r="E56" s="106" t="n">
        <v>0</v>
      </c>
      <c r="F56" s="106" t="n">
        <v>0</v>
      </c>
      <c r="G56" s="106" t="n">
        <v>0</v>
      </c>
      <c r="H56" s="106" t="n">
        <v>0</v>
      </c>
      <c r="I56" s="106" t="n">
        <v>0</v>
      </c>
      <c r="J56" s="106" t="n">
        <v>5</v>
      </c>
      <c r="K56" s="106" t="n">
        <f aca="false">SUM(E56:J56)</f>
        <v>5</v>
      </c>
      <c r="L56" s="107" t="n">
        <v>0</v>
      </c>
      <c r="M56" s="107" t="n">
        <v>0</v>
      </c>
      <c r="N56" s="107" t="n">
        <v>0</v>
      </c>
      <c r="O56" s="107" t="n">
        <v>0</v>
      </c>
      <c r="P56" s="107" t="n">
        <v>0</v>
      </c>
      <c r="Q56" s="107" t="n">
        <v>30</v>
      </c>
      <c r="R56" s="107" t="n">
        <f aca="false">SUM(L56:Q56)</f>
        <v>30</v>
      </c>
      <c r="S56" s="108" t="n">
        <v>2</v>
      </c>
      <c r="T56" s="108" t="n">
        <v>2</v>
      </c>
      <c r="U56" s="108" t="n">
        <v>2</v>
      </c>
      <c r="V56" s="108" t="n">
        <v>2</v>
      </c>
      <c r="W56" s="108" t="n">
        <v>2</v>
      </c>
      <c r="X56" s="108" t="n">
        <v>2</v>
      </c>
      <c r="Y56" s="107" t="n">
        <f aca="false">S56*$D56</f>
        <v>12</v>
      </c>
      <c r="Z56" s="107" t="n">
        <f aca="false">T56*$D56</f>
        <v>12</v>
      </c>
      <c r="AA56" s="107" t="n">
        <f aca="false">U56*$D56</f>
        <v>12</v>
      </c>
      <c r="AB56" s="107" t="n">
        <f aca="false">V56*$D56</f>
        <v>12</v>
      </c>
      <c r="AC56" s="107" t="n">
        <f aca="false">W56*$D56</f>
        <v>12</v>
      </c>
      <c r="AD56" s="107" t="n">
        <f aca="false">X56*$D56</f>
        <v>12</v>
      </c>
      <c r="AE56" s="107" t="n">
        <f aca="false">SUM(Y56:AD56)</f>
        <v>72</v>
      </c>
    </row>
    <row r="57" customFormat="false" ht="15" hidden="false" customHeight="false" outlineLevel="0" collapsed="false">
      <c r="A57" s="103" t="s">
        <v>504</v>
      </c>
      <c r="B57" s="104" t="n">
        <v>0</v>
      </c>
      <c r="C57" s="105" t="n">
        <f aca="false">IF(K57=0,0,R57/K57)</f>
        <v>2.37272727272727</v>
      </c>
      <c r="D57" s="105" t="n">
        <f aca="false">C57+B57</f>
        <v>2.37272727272727</v>
      </c>
      <c r="E57" s="106" t="n">
        <v>2</v>
      </c>
      <c r="F57" s="106" t="n">
        <v>2</v>
      </c>
      <c r="G57" s="106" t="n">
        <v>2</v>
      </c>
      <c r="H57" s="106" t="n">
        <v>3</v>
      </c>
      <c r="I57" s="106" t="n">
        <v>0</v>
      </c>
      <c r="J57" s="106" t="n">
        <v>2</v>
      </c>
      <c r="K57" s="106" t="n">
        <f aca="false">SUM(E57:J57)</f>
        <v>11</v>
      </c>
      <c r="L57" s="107" t="n">
        <v>4.55</v>
      </c>
      <c r="M57" s="107" t="n">
        <v>4</v>
      </c>
      <c r="N57" s="107" t="n">
        <v>5.55</v>
      </c>
      <c r="O57" s="107" t="n">
        <v>8</v>
      </c>
      <c r="P57" s="107" t="n">
        <v>0</v>
      </c>
      <c r="Q57" s="107" t="n">
        <v>4</v>
      </c>
      <c r="R57" s="107" t="n">
        <f aca="false">SUM(L57:Q57)</f>
        <v>26.1</v>
      </c>
      <c r="S57" s="108" t="n">
        <v>2</v>
      </c>
      <c r="T57" s="108" t="n">
        <v>2</v>
      </c>
      <c r="U57" s="108" t="n">
        <v>2</v>
      </c>
      <c r="V57" s="108" t="n">
        <v>2</v>
      </c>
      <c r="W57" s="108" t="n">
        <v>2</v>
      </c>
      <c r="X57" s="108" t="n">
        <v>2</v>
      </c>
      <c r="Y57" s="107" t="n">
        <f aca="false">S57*$D57</f>
        <v>4.74545454545455</v>
      </c>
      <c r="Z57" s="107" t="n">
        <f aca="false">T57*$D57</f>
        <v>4.74545454545455</v>
      </c>
      <c r="AA57" s="107" t="n">
        <f aca="false">U57*$D57</f>
        <v>4.74545454545455</v>
      </c>
      <c r="AB57" s="107" t="n">
        <f aca="false">V57*$D57</f>
        <v>4.74545454545455</v>
      </c>
      <c r="AC57" s="107" t="n">
        <f aca="false">W57*$D57</f>
        <v>4.74545454545455</v>
      </c>
      <c r="AD57" s="107" t="n">
        <f aca="false">X57*$D57</f>
        <v>4.74545454545455</v>
      </c>
      <c r="AE57" s="107" t="n">
        <f aca="false">SUM(Y57:AD57)</f>
        <v>28.4727272727273</v>
      </c>
    </row>
    <row r="58" customFormat="false" ht="15" hidden="false" customHeight="false" outlineLevel="0" collapsed="false">
      <c r="A58" s="103" t="s">
        <v>505</v>
      </c>
      <c r="B58" s="104" t="n">
        <v>0</v>
      </c>
      <c r="C58" s="105" t="n">
        <f aca="false">IF(K58=0,0,R58/K58)</f>
        <v>5.164</v>
      </c>
      <c r="D58" s="105" t="n">
        <f aca="false">C58+B58</f>
        <v>5.164</v>
      </c>
      <c r="E58" s="106" t="n">
        <v>0</v>
      </c>
      <c r="F58" s="106" t="n">
        <v>0</v>
      </c>
      <c r="G58" s="106" t="n">
        <v>0</v>
      </c>
      <c r="H58" s="106" t="n">
        <v>5</v>
      </c>
      <c r="I58" s="106" t="n">
        <v>0</v>
      </c>
      <c r="J58" s="106" t="n">
        <v>0</v>
      </c>
      <c r="K58" s="106" t="n">
        <f aca="false">SUM(E58:J58)</f>
        <v>5</v>
      </c>
      <c r="L58" s="107" t="n">
        <v>0</v>
      </c>
      <c r="M58" s="107" t="n">
        <v>0</v>
      </c>
      <c r="N58" s="107" t="n">
        <v>0</v>
      </c>
      <c r="O58" s="107" t="n">
        <v>25.82</v>
      </c>
      <c r="P58" s="107" t="n">
        <v>0</v>
      </c>
      <c r="Q58" s="107" t="n">
        <v>0</v>
      </c>
      <c r="R58" s="107" t="n">
        <f aca="false">SUM(L58:Q58)</f>
        <v>25.82</v>
      </c>
      <c r="S58" s="108" t="n">
        <v>2</v>
      </c>
      <c r="T58" s="108" t="n">
        <v>2</v>
      </c>
      <c r="U58" s="108" t="n">
        <v>2</v>
      </c>
      <c r="V58" s="108" t="n">
        <v>2</v>
      </c>
      <c r="W58" s="108" t="n">
        <v>2</v>
      </c>
      <c r="X58" s="108" t="n">
        <v>2</v>
      </c>
      <c r="Y58" s="107" t="n">
        <f aca="false">S58*$D58</f>
        <v>10.328</v>
      </c>
      <c r="Z58" s="107" t="n">
        <f aca="false">T58*$D58</f>
        <v>10.328</v>
      </c>
      <c r="AA58" s="107" t="n">
        <f aca="false">U58*$D58</f>
        <v>10.328</v>
      </c>
      <c r="AB58" s="107" t="n">
        <f aca="false">V58*$D58</f>
        <v>10.328</v>
      </c>
      <c r="AC58" s="107" t="n">
        <f aca="false">W58*$D58</f>
        <v>10.328</v>
      </c>
      <c r="AD58" s="107" t="n">
        <f aca="false">X58*$D58</f>
        <v>10.328</v>
      </c>
      <c r="AE58" s="107" t="n">
        <f aca="false">SUM(Y58:AD58)</f>
        <v>61.968</v>
      </c>
    </row>
    <row r="59" customFormat="false" ht="15" hidden="false" customHeight="false" outlineLevel="0" collapsed="false">
      <c r="A59" s="103" t="s">
        <v>506</v>
      </c>
      <c r="B59" s="104" t="n">
        <v>0</v>
      </c>
      <c r="C59" s="105" t="n">
        <f aca="false">IF(K59=0,0,R59/K59)</f>
        <v>4.12666666666667</v>
      </c>
      <c r="D59" s="105" t="n">
        <f aca="false">C59+B59</f>
        <v>4.12666666666667</v>
      </c>
      <c r="E59" s="106" t="n">
        <v>1</v>
      </c>
      <c r="F59" s="106" t="n">
        <v>1</v>
      </c>
      <c r="G59" s="106" t="n">
        <v>0</v>
      </c>
      <c r="H59" s="106" t="n">
        <v>0</v>
      </c>
      <c r="I59" s="106" t="n">
        <v>4</v>
      </c>
      <c r="J59" s="106" t="n">
        <v>0</v>
      </c>
      <c r="K59" s="106" t="n">
        <f aca="false">SUM(E59:J59)</f>
        <v>6</v>
      </c>
      <c r="L59" s="107" t="n">
        <v>4.68</v>
      </c>
      <c r="M59" s="107" t="n">
        <v>4.68</v>
      </c>
      <c r="N59" s="107" t="n">
        <v>0</v>
      </c>
      <c r="O59" s="107" t="n">
        <v>0</v>
      </c>
      <c r="P59" s="107" t="n">
        <v>15.4</v>
      </c>
      <c r="Q59" s="107" t="n">
        <v>0</v>
      </c>
      <c r="R59" s="107" t="n">
        <f aca="false">SUM(L59:Q59)</f>
        <v>24.76</v>
      </c>
      <c r="S59" s="108" t="n">
        <v>1</v>
      </c>
      <c r="T59" s="108" t="n">
        <v>1</v>
      </c>
      <c r="U59" s="108" t="n">
        <v>1</v>
      </c>
      <c r="V59" s="108" t="n">
        <v>1</v>
      </c>
      <c r="W59" s="108" t="n">
        <v>1</v>
      </c>
      <c r="X59" s="108" t="n">
        <v>1</v>
      </c>
      <c r="Y59" s="107" t="n">
        <f aca="false">S59*$D59</f>
        <v>4.12666666666667</v>
      </c>
      <c r="Z59" s="107" t="n">
        <f aca="false">T59*$D59</f>
        <v>4.12666666666667</v>
      </c>
      <c r="AA59" s="107" t="n">
        <f aca="false">U59*$D59</f>
        <v>4.12666666666667</v>
      </c>
      <c r="AB59" s="107" t="n">
        <f aca="false">V59*$D59</f>
        <v>4.12666666666667</v>
      </c>
      <c r="AC59" s="107" t="n">
        <f aca="false">W59*$D59</f>
        <v>4.12666666666667</v>
      </c>
      <c r="AD59" s="107" t="n">
        <f aca="false">X59*$D59</f>
        <v>4.12666666666667</v>
      </c>
      <c r="AE59" s="107" t="n">
        <f aca="false">SUM(Y59:AD59)</f>
        <v>24.76</v>
      </c>
    </row>
    <row r="60" customFormat="false" ht="15" hidden="false" customHeight="false" outlineLevel="0" collapsed="false">
      <c r="A60" s="103" t="s">
        <v>507</v>
      </c>
      <c r="B60" s="104" t="n">
        <v>0</v>
      </c>
      <c r="C60" s="105" t="n">
        <f aca="false">IF(K60=0,0,R60/K60)</f>
        <v>4.7</v>
      </c>
      <c r="D60" s="105" t="n">
        <f aca="false">C60+B60</f>
        <v>4.7</v>
      </c>
      <c r="E60" s="106" t="n">
        <v>3</v>
      </c>
      <c r="F60" s="106" t="n">
        <v>2</v>
      </c>
      <c r="G60" s="106" t="n">
        <v>0</v>
      </c>
      <c r="H60" s="106" t="n">
        <v>0</v>
      </c>
      <c r="I60" s="106" t="n">
        <v>0</v>
      </c>
      <c r="J60" s="106" t="n">
        <v>0</v>
      </c>
      <c r="K60" s="106" t="n">
        <f aca="false">SUM(E60:J60)</f>
        <v>5</v>
      </c>
      <c r="L60" s="107" t="n">
        <v>13.5</v>
      </c>
      <c r="M60" s="107" t="n">
        <v>10</v>
      </c>
      <c r="N60" s="107" t="n">
        <v>0</v>
      </c>
      <c r="O60" s="107" t="n">
        <v>0</v>
      </c>
      <c r="P60" s="107" t="n">
        <v>0</v>
      </c>
      <c r="Q60" s="107" t="n">
        <v>0</v>
      </c>
      <c r="R60" s="107" t="n">
        <f aca="false">SUM(L60:Q60)</f>
        <v>23.5</v>
      </c>
      <c r="S60" s="108" t="n">
        <v>0</v>
      </c>
      <c r="T60" s="108" t="n">
        <v>0</v>
      </c>
      <c r="U60" s="108" t="n">
        <v>0</v>
      </c>
      <c r="V60" s="108" t="n">
        <v>0</v>
      </c>
      <c r="W60" s="108" t="n">
        <v>0</v>
      </c>
      <c r="X60" s="108" t="n">
        <v>0</v>
      </c>
      <c r="Y60" s="107" t="n">
        <f aca="false">S60*$D60</f>
        <v>0</v>
      </c>
      <c r="Z60" s="107" t="n">
        <f aca="false">T60*$D60</f>
        <v>0</v>
      </c>
      <c r="AA60" s="107" t="n">
        <f aca="false">U60*$D60</f>
        <v>0</v>
      </c>
      <c r="AB60" s="107" t="n">
        <f aca="false">V60*$D60</f>
        <v>0</v>
      </c>
      <c r="AC60" s="107" t="n">
        <f aca="false">W60*$D60</f>
        <v>0</v>
      </c>
      <c r="AD60" s="107" t="n">
        <f aca="false">X60*$D60</f>
        <v>0</v>
      </c>
      <c r="AE60" s="107" t="n">
        <f aca="false">SUM(Y60:AD60)</f>
        <v>0</v>
      </c>
    </row>
    <row r="61" customFormat="false" ht="15" hidden="false" customHeight="false" outlineLevel="0" collapsed="false">
      <c r="A61" s="103" t="s">
        <v>508</v>
      </c>
      <c r="B61" s="104" t="n">
        <v>0</v>
      </c>
      <c r="C61" s="105" t="n">
        <f aca="false">IF(K61=0,0,R61/K61)</f>
        <v>5.775</v>
      </c>
      <c r="D61" s="105" t="n">
        <f aca="false">C61+B61</f>
        <v>5.775</v>
      </c>
      <c r="E61" s="106" t="n">
        <v>0</v>
      </c>
      <c r="F61" s="106" t="n">
        <v>0</v>
      </c>
      <c r="G61" s="106" t="n">
        <v>0</v>
      </c>
      <c r="H61" s="106" t="n">
        <v>0</v>
      </c>
      <c r="I61" s="106" t="n">
        <v>0</v>
      </c>
      <c r="J61" s="106" t="n">
        <v>4</v>
      </c>
      <c r="K61" s="106" t="n">
        <f aca="false">SUM(E61:J61)</f>
        <v>4</v>
      </c>
      <c r="L61" s="107" t="n">
        <v>0</v>
      </c>
      <c r="M61" s="107" t="n">
        <v>0</v>
      </c>
      <c r="N61" s="107" t="n">
        <v>0</v>
      </c>
      <c r="O61" s="107" t="n">
        <v>0</v>
      </c>
      <c r="P61" s="107" t="n">
        <v>0</v>
      </c>
      <c r="Q61" s="107" t="n">
        <v>23.1</v>
      </c>
      <c r="R61" s="107" t="n">
        <f aca="false">SUM(L61:Q61)</f>
        <v>23.1</v>
      </c>
      <c r="S61" s="108" t="n">
        <v>1</v>
      </c>
      <c r="T61" s="108" t="n">
        <v>1</v>
      </c>
      <c r="U61" s="108" t="n">
        <v>1</v>
      </c>
      <c r="V61" s="108" t="n">
        <v>1</v>
      </c>
      <c r="W61" s="108" t="n">
        <v>1</v>
      </c>
      <c r="X61" s="108" t="n">
        <v>1</v>
      </c>
      <c r="Y61" s="107" t="n">
        <f aca="false">S61*$D61</f>
        <v>5.775</v>
      </c>
      <c r="Z61" s="107" t="n">
        <f aca="false">T61*$D61</f>
        <v>5.775</v>
      </c>
      <c r="AA61" s="107" t="n">
        <f aca="false">U61*$D61</f>
        <v>5.775</v>
      </c>
      <c r="AB61" s="107" t="n">
        <f aca="false">V61*$D61</f>
        <v>5.775</v>
      </c>
      <c r="AC61" s="107" t="n">
        <f aca="false">W61*$D61</f>
        <v>5.775</v>
      </c>
      <c r="AD61" s="107" t="n">
        <f aca="false">X61*$D61</f>
        <v>5.775</v>
      </c>
      <c r="AE61" s="107" t="n">
        <f aca="false">SUM(Y61:AD61)</f>
        <v>34.65</v>
      </c>
    </row>
    <row r="62" customFormat="false" ht="15" hidden="false" customHeight="false" outlineLevel="0" collapsed="false">
      <c r="A62" s="103" t="s">
        <v>509</v>
      </c>
      <c r="B62" s="104" t="n">
        <v>0</v>
      </c>
      <c r="C62" s="105" t="n">
        <f aca="false">IF(K62=0,0,R62/K62)</f>
        <v>7.2</v>
      </c>
      <c r="D62" s="105" t="n">
        <f aca="false">C62+B62</f>
        <v>7.2</v>
      </c>
      <c r="E62" s="106" t="n">
        <v>0</v>
      </c>
      <c r="F62" s="106" t="n">
        <v>0</v>
      </c>
      <c r="G62" s="106" t="n">
        <v>0</v>
      </c>
      <c r="H62" s="106" t="n">
        <v>0</v>
      </c>
      <c r="I62" s="106" t="n">
        <v>3</v>
      </c>
      <c r="J62" s="106" t="n">
        <v>0</v>
      </c>
      <c r="K62" s="106" t="n">
        <f aca="false">SUM(E62:J62)</f>
        <v>3</v>
      </c>
      <c r="L62" s="107" t="n">
        <v>0</v>
      </c>
      <c r="M62" s="107" t="n">
        <v>0</v>
      </c>
      <c r="N62" s="107" t="n">
        <v>0</v>
      </c>
      <c r="O62" s="107" t="n">
        <v>0</v>
      </c>
      <c r="P62" s="107" t="n">
        <v>21.6</v>
      </c>
      <c r="Q62" s="107" t="n">
        <v>0</v>
      </c>
      <c r="R62" s="107" t="n">
        <f aca="false">SUM(L62:Q62)</f>
        <v>21.6</v>
      </c>
      <c r="S62" s="108" t="n">
        <v>1</v>
      </c>
      <c r="T62" s="108" t="n">
        <v>1</v>
      </c>
      <c r="U62" s="108" t="n">
        <v>1</v>
      </c>
      <c r="V62" s="108" t="n">
        <v>1</v>
      </c>
      <c r="W62" s="108" t="n">
        <v>1</v>
      </c>
      <c r="X62" s="108" t="n">
        <v>1</v>
      </c>
      <c r="Y62" s="107" t="n">
        <f aca="false">S62*$D62</f>
        <v>7.2</v>
      </c>
      <c r="Z62" s="107" t="n">
        <f aca="false">T62*$D62</f>
        <v>7.2</v>
      </c>
      <c r="AA62" s="107" t="n">
        <f aca="false">U62*$D62</f>
        <v>7.2</v>
      </c>
      <c r="AB62" s="107" t="n">
        <f aca="false">V62*$D62</f>
        <v>7.2</v>
      </c>
      <c r="AC62" s="107" t="n">
        <f aca="false">W62*$D62</f>
        <v>7.2</v>
      </c>
      <c r="AD62" s="107" t="n">
        <f aca="false">X62*$D62</f>
        <v>7.2</v>
      </c>
      <c r="AE62" s="107" t="n">
        <f aca="false">SUM(Y62:AD62)</f>
        <v>43.2</v>
      </c>
    </row>
    <row r="63" customFormat="false" ht="15" hidden="false" customHeight="false" outlineLevel="0" collapsed="false">
      <c r="A63" s="103" t="s">
        <v>510</v>
      </c>
      <c r="B63" s="104" t="n">
        <v>0</v>
      </c>
      <c r="C63" s="105" t="n">
        <f aca="false">IF(K63=0,0,R63/K63)</f>
        <v>7</v>
      </c>
      <c r="D63" s="105" t="n">
        <f aca="false">C63+B63</f>
        <v>7</v>
      </c>
      <c r="E63" s="106" t="n">
        <v>0</v>
      </c>
      <c r="F63" s="106" t="n">
        <v>0</v>
      </c>
      <c r="G63" s="106" t="n">
        <v>1</v>
      </c>
      <c r="H63" s="106" t="n">
        <v>2</v>
      </c>
      <c r="I63" s="106" t="n">
        <v>0</v>
      </c>
      <c r="J63" s="106" t="n">
        <v>0</v>
      </c>
      <c r="K63" s="106" t="n">
        <f aca="false">SUM(E63:J63)</f>
        <v>3</v>
      </c>
      <c r="L63" s="107" t="n">
        <v>0</v>
      </c>
      <c r="M63" s="107" t="n">
        <v>0</v>
      </c>
      <c r="N63" s="107" t="n">
        <v>7</v>
      </c>
      <c r="O63" s="107" t="n">
        <v>14</v>
      </c>
      <c r="P63" s="107" t="n">
        <v>0</v>
      </c>
      <c r="Q63" s="107" t="n">
        <v>0</v>
      </c>
      <c r="R63" s="107" t="n">
        <f aca="false">SUM(L63:Q63)</f>
        <v>21</v>
      </c>
      <c r="S63" s="108" t="n">
        <v>1</v>
      </c>
      <c r="T63" s="108" t="n">
        <v>1</v>
      </c>
      <c r="U63" s="108" t="n">
        <v>1</v>
      </c>
      <c r="V63" s="108" t="n">
        <v>1</v>
      </c>
      <c r="W63" s="108" t="n">
        <v>1</v>
      </c>
      <c r="X63" s="108" t="n">
        <v>1</v>
      </c>
      <c r="Y63" s="107" t="n">
        <f aca="false">S63*$D63</f>
        <v>7</v>
      </c>
      <c r="Z63" s="107" t="n">
        <f aca="false">T63*$D63</f>
        <v>7</v>
      </c>
      <c r="AA63" s="107" t="n">
        <f aca="false">U63*$D63</f>
        <v>7</v>
      </c>
      <c r="AB63" s="107" t="n">
        <f aca="false">V63*$D63</f>
        <v>7</v>
      </c>
      <c r="AC63" s="107" t="n">
        <f aca="false">W63*$D63</f>
        <v>7</v>
      </c>
      <c r="AD63" s="107" t="n">
        <f aca="false">X63*$D63</f>
        <v>7</v>
      </c>
      <c r="AE63" s="107" t="n">
        <f aca="false">SUM(Y63:AD63)</f>
        <v>42</v>
      </c>
    </row>
    <row r="64" customFormat="false" ht="15" hidden="false" customHeight="false" outlineLevel="0" collapsed="false">
      <c r="A64" s="103" t="s">
        <v>511</v>
      </c>
      <c r="B64" s="104" t="n">
        <v>0</v>
      </c>
      <c r="C64" s="105" t="n">
        <f aca="false">IF(K64=0,0,R64/K64)</f>
        <v>4</v>
      </c>
      <c r="D64" s="105" t="n">
        <f aca="false">C64+B64</f>
        <v>4</v>
      </c>
      <c r="E64" s="106" t="n">
        <v>3</v>
      </c>
      <c r="F64" s="106" t="n">
        <v>2</v>
      </c>
      <c r="G64" s="106" t="n">
        <v>0</v>
      </c>
      <c r="H64" s="106" t="n">
        <v>0</v>
      </c>
      <c r="I64" s="106" t="n">
        <v>0</v>
      </c>
      <c r="J64" s="106" t="n">
        <v>0</v>
      </c>
      <c r="K64" s="106" t="n">
        <f aca="false">SUM(E64:J64)</f>
        <v>5</v>
      </c>
      <c r="L64" s="107" t="n">
        <v>12</v>
      </c>
      <c r="M64" s="107" t="n">
        <v>8</v>
      </c>
      <c r="N64" s="107" t="n">
        <v>0</v>
      </c>
      <c r="O64" s="107" t="n">
        <v>0</v>
      </c>
      <c r="P64" s="107" t="n">
        <v>0</v>
      </c>
      <c r="Q64" s="107" t="n">
        <v>0</v>
      </c>
      <c r="R64" s="107" t="n">
        <f aca="false">SUM(L64:Q64)</f>
        <v>20</v>
      </c>
      <c r="S64" s="108" t="n">
        <v>0</v>
      </c>
      <c r="T64" s="108" t="n">
        <v>0</v>
      </c>
      <c r="U64" s="108" t="n">
        <v>0</v>
      </c>
      <c r="V64" s="108" t="n">
        <v>0</v>
      </c>
      <c r="W64" s="108" t="n">
        <v>0</v>
      </c>
      <c r="X64" s="108" t="n">
        <v>0</v>
      </c>
      <c r="Y64" s="107" t="n">
        <f aca="false">S64*$D64</f>
        <v>0</v>
      </c>
      <c r="Z64" s="107" t="n">
        <f aca="false">T64*$D64</f>
        <v>0</v>
      </c>
      <c r="AA64" s="107" t="n">
        <f aca="false">U64*$D64</f>
        <v>0</v>
      </c>
      <c r="AB64" s="107" t="n">
        <f aca="false">V64*$D64</f>
        <v>0</v>
      </c>
      <c r="AC64" s="107" t="n">
        <f aca="false">W64*$D64</f>
        <v>0</v>
      </c>
      <c r="AD64" s="107" t="n">
        <f aca="false">X64*$D64</f>
        <v>0</v>
      </c>
      <c r="AE64" s="107" t="n">
        <f aca="false">SUM(Y64:AD64)</f>
        <v>0</v>
      </c>
    </row>
    <row r="65" customFormat="false" ht="15" hidden="false" customHeight="false" outlineLevel="0" collapsed="false">
      <c r="A65" s="103" t="s">
        <v>512</v>
      </c>
      <c r="B65" s="104" t="n">
        <v>0</v>
      </c>
      <c r="C65" s="105" t="n">
        <f aca="false">IF(K65=0,0,R65/K65)</f>
        <v>4.8125</v>
      </c>
      <c r="D65" s="105" t="n">
        <f aca="false">C65+B65</f>
        <v>4.8125</v>
      </c>
      <c r="E65" s="106" t="n">
        <v>4</v>
      </c>
      <c r="F65" s="106" t="n">
        <v>0</v>
      </c>
      <c r="G65" s="106" t="n">
        <v>0</v>
      </c>
      <c r="H65" s="106" t="n">
        <v>0</v>
      </c>
      <c r="I65" s="106" t="n">
        <v>0</v>
      </c>
      <c r="J65" s="106" t="n">
        <v>0</v>
      </c>
      <c r="K65" s="106" t="n">
        <f aca="false">SUM(E65:J65)</f>
        <v>4</v>
      </c>
      <c r="L65" s="107" t="n">
        <v>19.25</v>
      </c>
      <c r="M65" s="107" t="n">
        <v>0</v>
      </c>
      <c r="N65" s="107" t="n">
        <v>0</v>
      </c>
      <c r="O65" s="107" t="n">
        <v>0</v>
      </c>
      <c r="P65" s="107" t="n">
        <v>0</v>
      </c>
      <c r="Q65" s="107" t="n">
        <v>0</v>
      </c>
      <c r="R65" s="107" t="n">
        <f aca="false">SUM(L65:Q65)</f>
        <v>19.25</v>
      </c>
      <c r="S65" s="108" t="n">
        <v>0</v>
      </c>
      <c r="T65" s="108" t="n">
        <v>0</v>
      </c>
      <c r="U65" s="108" t="n">
        <v>0</v>
      </c>
      <c r="V65" s="108" t="n">
        <v>0</v>
      </c>
      <c r="W65" s="108" t="n">
        <v>0</v>
      </c>
      <c r="X65" s="108" t="n">
        <v>0</v>
      </c>
      <c r="Y65" s="107" t="n">
        <f aca="false">S65*$D65</f>
        <v>0</v>
      </c>
      <c r="Z65" s="107" t="n">
        <f aca="false">T65*$D65</f>
        <v>0</v>
      </c>
      <c r="AA65" s="107" t="n">
        <f aca="false">U65*$D65</f>
        <v>0</v>
      </c>
      <c r="AB65" s="107" t="n">
        <f aca="false">V65*$D65</f>
        <v>0</v>
      </c>
      <c r="AC65" s="107" t="n">
        <f aca="false">W65*$D65</f>
        <v>0</v>
      </c>
      <c r="AD65" s="107" t="n">
        <f aca="false">X65*$D65</f>
        <v>0</v>
      </c>
      <c r="AE65" s="107" t="n">
        <f aca="false">SUM(Y65:AD65)</f>
        <v>0</v>
      </c>
    </row>
    <row r="66" customFormat="false" ht="15" hidden="false" customHeight="false" outlineLevel="0" collapsed="false">
      <c r="A66" s="103" t="s">
        <v>513</v>
      </c>
      <c r="B66" s="104" t="n">
        <v>0</v>
      </c>
      <c r="C66" s="105" t="n">
        <f aca="false">IF(K66=0,0,R66/K66)</f>
        <v>6</v>
      </c>
      <c r="D66" s="105" t="n">
        <f aca="false">C66+B66</f>
        <v>6</v>
      </c>
      <c r="E66" s="106" t="n">
        <v>0</v>
      </c>
      <c r="F66" s="106" t="n">
        <v>0</v>
      </c>
      <c r="G66" s="106" t="n">
        <v>0</v>
      </c>
      <c r="H66" s="106" t="n">
        <v>0</v>
      </c>
      <c r="I66" s="106" t="n">
        <v>2</v>
      </c>
      <c r="J66" s="106" t="n">
        <v>1</v>
      </c>
      <c r="K66" s="106" t="n">
        <f aca="false">SUM(E66:J66)</f>
        <v>3</v>
      </c>
      <c r="L66" s="107" t="n">
        <v>0</v>
      </c>
      <c r="M66" s="107" t="n">
        <v>0</v>
      </c>
      <c r="N66" s="107" t="n">
        <v>0</v>
      </c>
      <c r="O66" s="107" t="n">
        <v>0</v>
      </c>
      <c r="P66" s="107" t="n">
        <v>12</v>
      </c>
      <c r="Q66" s="107" t="n">
        <v>6</v>
      </c>
      <c r="R66" s="107" t="n">
        <f aca="false">SUM(L66:Q66)</f>
        <v>18</v>
      </c>
      <c r="S66" s="108" t="n">
        <v>1</v>
      </c>
      <c r="T66" s="108" t="n">
        <v>1</v>
      </c>
      <c r="U66" s="108" t="n">
        <v>1</v>
      </c>
      <c r="V66" s="108" t="n">
        <v>1</v>
      </c>
      <c r="W66" s="108" t="n">
        <v>1</v>
      </c>
      <c r="X66" s="108" t="n">
        <v>1</v>
      </c>
      <c r="Y66" s="107" t="n">
        <f aca="false">S66*$D66</f>
        <v>6</v>
      </c>
      <c r="Z66" s="107" t="n">
        <f aca="false">T66*$D66</f>
        <v>6</v>
      </c>
      <c r="AA66" s="107" t="n">
        <f aca="false">U66*$D66</f>
        <v>6</v>
      </c>
      <c r="AB66" s="107" t="n">
        <f aca="false">V66*$D66</f>
        <v>6</v>
      </c>
      <c r="AC66" s="107" t="n">
        <f aca="false">W66*$D66</f>
        <v>6</v>
      </c>
      <c r="AD66" s="107" t="n">
        <f aca="false">X66*$D66</f>
        <v>6</v>
      </c>
      <c r="AE66" s="107" t="n">
        <f aca="false">SUM(Y66:AD66)</f>
        <v>36</v>
      </c>
    </row>
    <row r="67" customFormat="false" ht="15" hidden="false" customHeight="false" outlineLevel="0" collapsed="false">
      <c r="A67" s="103" t="s">
        <v>514</v>
      </c>
      <c r="B67" s="104" t="n">
        <v>0</v>
      </c>
      <c r="C67" s="105" t="n">
        <f aca="false">IF(K67=0,0,R67/K67)</f>
        <v>8.5</v>
      </c>
      <c r="D67" s="105" t="n">
        <f aca="false">C67+B67</f>
        <v>8.5</v>
      </c>
      <c r="E67" s="106" t="n">
        <v>0</v>
      </c>
      <c r="F67" s="106" t="n">
        <v>0</v>
      </c>
      <c r="G67" s="106" t="n">
        <v>2</v>
      </c>
      <c r="H67" s="106" t="n">
        <v>0</v>
      </c>
      <c r="I67" s="106" t="n">
        <v>0</v>
      </c>
      <c r="J67" s="106" t="n">
        <v>0</v>
      </c>
      <c r="K67" s="106" t="n">
        <f aca="false">SUM(E67:J67)</f>
        <v>2</v>
      </c>
      <c r="L67" s="107" t="n">
        <v>0</v>
      </c>
      <c r="M67" s="107" t="n">
        <v>0</v>
      </c>
      <c r="N67" s="107" t="n">
        <v>17</v>
      </c>
      <c r="O67" s="107" t="n">
        <v>0</v>
      </c>
      <c r="P67" s="107" t="n">
        <v>0</v>
      </c>
      <c r="Q67" s="107" t="n">
        <v>0</v>
      </c>
      <c r="R67" s="107" t="n">
        <f aca="false">SUM(L67:Q67)</f>
        <v>17</v>
      </c>
      <c r="S67" s="108" t="n">
        <v>0</v>
      </c>
      <c r="T67" s="108" t="n">
        <v>0</v>
      </c>
      <c r="U67" s="108" t="n">
        <v>0</v>
      </c>
      <c r="V67" s="108" t="n">
        <v>0</v>
      </c>
      <c r="W67" s="108" t="n">
        <v>0</v>
      </c>
      <c r="X67" s="108" t="n">
        <v>0</v>
      </c>
      <c r="Y67" s="107" t="n">
        <f aca="false">S67*$D67</f>
        <v>0</v>
      </c>
      <c r="Z67" s="107" t="n">
        <f aca="false">T67*$D67</f>
        <v>0</v>
      </c>
      <c r="AA67" s="107" t="n">
        <f aca="false">U67*$D67</f>
        <v>0</v>
      </c>
      <c r="AB67" s="107" t="n">
        <f aca="false">V67*$D67</f>
        <v>0</v>
      </c>
      <c r="AC67" s="107" t="n">
        <f aca="false">W67*$D67</f>
        <v>0</v>
      </c>
      <c r="AD67" s="107" t="n">
        <f aca="false">X67*$D67</f>
        <v>0</v>
      </c>
      <c r="AE67" s="107" t="n">
        <f aca="false">SUM(Y67:AD67)</f>
        <v>0</v>
      </c>
    </row>
    <row r="68" customFormat="false" ht="15" hidden="false" customHeight="false" outlineLevel="0" collapsed="false">
      <c r="A68" s="103" t="s">
        <v>515</v>
      </c>
      <c r="B68" s="104" t="n">
        <v>0</v>
      </c>
      <c r="C68" s="105" t="n">
        <f aca="false">IF(K68=0,0,R68/K68)</f>
        <v>5.33333333333333</v>
      </c>
      <c r="D68" s="105" t="n">
        <f aca="false">C68+B68</f>
        <v>5.33333333333333</v>
      </c>
      <c r="E68" s="106" t="n">
        <v>0</v>
      </c>
      <c r="F68" s="106" t="n">
        <v>0</v>
      </c>
      <c r="G68" s="106" t="n">
        <v>0</v>
      </c>
      <c r="H68" s="106" t="n">
        <v>0</v>
      </c>
      <c r="I68" s="106" t="n">
        <v>3</v>
      </c>
      <c r="J68" s="106" t="n">
        <v>0</v>
      </c>
      <c r="K68" s="106" t="n">
        <f aca="false">SUM(E68:J68)</f>
        <v>3</v>
      </c>
      <c r="L68" s="107" t="n">
        <v>0</v>
      </c>
      <c r="M68" s="107" t="n">
        <v>0</v>
      </c>
      <c r="N68" s="107" t="n">
        <v>0</v>
      </c>
      <c r="O68" s="107" t="n">
        <v>0</v>
      </c>
      <c r="P68" s="107" t="n">
        <v>16</v>
      </c>
      <c r="Q68" s="107" t="n">
        <v>0</v>
      </c>
      <c r="R68" s="107" t="n">
        <f aca="false">SUM(L68:Q68)</f>
        <v>16</v>
      </c>
      <c r="S68" s="108" t="n">
        <v>1</v>
      </c>
      <c r="T68" s="108" t="n">
        <v>1</v>
      </c>
      <c r="U68" s="108" t="n">
        <v>1</v>
      </c>
      <c r="V68" s="108" t="n">
        <v>1</v>
      </c>
      <c r="W68" s="108" t="n">
        <v>1</v>
      </c>
      <c r="X68" s="108" t="n">
        <v>1</v>
      </c>
      <c r="Y68" s="107" t="n">
        <f aca="false">S68*$D68</f>
        <v>5.33333333333333</v>
      </c>
      <c r="Z68" s="107" t="n">
        <f aca="false">T68*$D68</f>
        <v>5.33333333333333</v>
      </c>
      <c r="AA68" s="107" t="n">
        <f aca="false">U68*$D68</f>
        <v>5.33333333333333</v>
      </c>
      <c r="AB68" s="107" t="n">
        <f aca="false">V68*$D68</f>
        <v>5.33333333333333</v>
      </c>
      <c r="AC68" s="107" t="n">
        <f aca="false">W68*$D68</f>
        <v>5.33333333333333</v>
      </c>
      <c r="AD68" s="107" t="n">
        <f aca="false">X68*$D68</f>
        <v>5.33333333333333</v>
      </c>
      <c r="AE68" s="107" t="n">
        <f aca="false">SUM(Y68:AD68)</f>
        <v>32</v>
      </c>
    </row>
    <row r="69" customFormat="false" ht="15" hidden="false" customHeight="false" outlineLevel="0" collapsed="false">
      <c r="A69" s="103" t="s">
        <v>516</v>
      </c>
      <c r="B69" s="104" t="n">
        <v>0</v>
      </c>
      <c r="C69" s="105" t="n">
        <f aca="false">IF(K69=0,0,R69/K69)</f>
        <v>4.87666666666667</v>
      </c>
      <c r="D69" s="105" t="n">
        <f aca="false">C69+B69</f>
        <v>4.87666666666667</v>
      </c>
      <c r="E69" s="106" t="n">
        <v>0</v>
      </c>
      <c r="F69" s="106" t="n">
        <v>0</v>
      </c>
      <c r="G69" s="106" t="n">
        <v>0</v>
      </c>
      <c r="H69" s="106" t="n">
        <v>3</v>
      </c>
      <c r="I69" s="106" t="n">
        <v>0</v>
      </c>
      <c r="J69" s="106" t="n">
        <v>0</v>
      </c>
      <c r="K69" s="106" t="n">
        <f aca="false">SUM(E69:J69)</f>
        <v>3</v>
      </c>
      <c r="L69" s="107" t="n">
        <v>0</v>
      </c>
      <c r="M69" s="107" t="n">
        <v>0</v>
      </c>
      <c r="N69" s="107" t="n">
        <v>0</v>
      </c>
      <c r="O69" s="107" t="n">
        <v>14.63</v>
      </c>
      <c r="P69" s="107" t="n">
        <v>0</v>
      </c>
      <c r="Q69" s="107" t="n">
        <v>0</v>
      </c>
      <c r="R69" s="107" t="n">
        <f aca="false">SUM(L69:Q69)</f>
        <v>14.63</v>
      </c>
      <c r="S69" s="108" t="n">
        <v>1</v>
      </c>
      <c r="T69" s="108" t="n">
        <v>1</v>
      </c>
      <c r="U69" s="108" t="n">
        <v>1</v>
      </c>
      <c r="V69" s="108" t="n">
        <v>1</v>
      </c>
      <c r="W69" s="108" t="n">
        <v>1</v>
      </c>
      <c r="X69" s="108" t="n">
        <v>1</v>
      </c>
      <c r="Y69" s="107" t="n">
        <f aca="false">S69*$D69</f>
        <v>4.87666666666667</v>
      </c>
      <c r="Z69" s="107" t="n">
        <f aca="false">T69*$D69</f>
        <v>4.87666666666667</v>
      </c>
      <c r="AA69" s="107" t="n">
        <f aca="false">U69*$D69</f>
        <v>4.87666666666667</v>
      </c>
      <c r="AB69" s="107" t="n">
        <f aca="false">V69*$D69</f>
        <v>4.87666666666667</v>
      </c>
      <c r="AC69" s="107" t="n">
        <f aca="false">W69*$D69</f>
        <v>4.87666666666667</v>
      </c>
      <c r="AD69" s="107" t="n">
        <f aca="false">X69*$D69</f>
        <v>4.87666666666667</v>
      </c>
      <c r="AE69" s="107" t="n">
        <f aca="false">SUM(Y69:AD69)</f>
        <v>29.26</v>
      </c>
    </row>
    <row r="70" customFormat="false" ht="15" hidden="false" customHeight="false" outlineLevel="0" collapsed="false">
      <c r="A70" s="103" t="s">
        <v>517</v>
      </c>
      <c r="B70" s="104" t="n">
        <v>0</v>
      </c>
      <c r="C70" s="105" t="n">
        <f aca="false">IF(K70=0,0,R70/K70)</f>
        <v>6</v>
      </c>
      <c r="D70" s="105" t="n">
        <f aca="false">C70+B70</f>
        <v>6</v>
      </c>
      <c r="E70" s="106" t="n">
        <v>0</v>
      </c>
      <c r="F70" s="106" t="n">
        <v>0</v>
      </c>
      <c r="G70" s="106" t="n">
        <v>0</v>
      </c>
      <c r="H70" s="106" t="n">
        <v>2</v>
      </c>
      <c r="I70" s="106" t="n">
        <v>0</v>
      </c>
      <c r="J70" s="106" t="n">
        <v>0</v>
      </c>
      <c r="K70" s="106" t="n">
        <f aca="false">SUM(E70:J70)</f>
        <v>2</v>
      </c>
      <c r="L70" s="107" t="n">
        <v>0</v>
      </c>
      <c r="M70" s="107" t="n">
        <v>0</v>
      </c>
      <c r="N70" s="107" t="n">
        <v>0</v>
      </c>
      <c r="O70" s="107" t="n">
        <v>12</v>
      </c>
      <c r="P70" s="107" t="n">
        <v>0</v>
      </c>
      <c r="Q70" s="107" t="n">
        <v>0</v>
      </c>
      <c r="R70" s="107" t="n">
        <f aca="false">SUM(L70:Q70)</f>
        <v>12</v>
      </c>
      <c r="S70" s="108" t="n">
        <v>1</v>
      </c>
      <c r="T70" s="108" t="n">
        <v>1</v>
      </c>
      <c r="U70" s="108" t="n">
        <v>1</v>
      </c>
      <c r="V70" s="108" t="n">
        <v>1</v>
      </c>
      <c r="W70" s="108" t="n">
        <v>1</v>
      </c>
      <c r="X70" s="108" t="n">
        <v>1</v>
      </c>
      <c r="Y70" s="107" t="n">
        <f aca="false">S70*$D70</f>
        <v>6</v>
      </c>
      <c r="Z70" s="107" t="n">
        <f aca="false">T70*$D70</f>
        <v>6</v>
      </c>
      <c r="AA70" s="107" t="n">
        <f aca="false">U70*$D70</f>
        <v>6</v>
      </c>
      <c r="AB70" s="107" t="n">
        <f aca="false">V70*$D70</f>
        <v>6</v>
      </c>
      <c r="AC70" s="107" t="n">
        <f aca="false">W70*$D70</f>
        <v>6</v>
      </c>
      <c r="AD70" s="107" t="n">
        <f aca="false">X70*$D70</f>
        <v>6</v>
      </c>
      <c r="AE70" s="107" t="n">
        <f aca="false">SUM(Y70:AD70)</f>
        <v>36</v>
      </c>
    </row>
    <row r="71" customFormat="false" ht="15" hidden="false" customHeight="false" outlineLevel="0" collapsed="false">
      <c r="A71" s="103" t="s">
        <v>518</v>
      </c>
      <c r="B71" s="104" t="n">
        <v>0</v>
      </c>
      <c r="C71" s="105" t="n">
        <f aca="false">IF(K71=0,0,R71/K71)</f>
        <v>5.5</v>
      </c>
      <c r="D71" s="105" t="n">
        <f aca="false">C71+B71</f>
        <v>5.5</v>
      </c>
      <c r="E71" s="106" t="n">
        <v>2</v>
      </c>
      <c r="F71" s="106" t="n">
        <v>0</v>
      </c>
      <c r="G71" s="106" t="n">
        <v>0</v>
      </c>
      <c r="H71" s="106" t="n">
        <v>0</v>
      </c>
      <c r="I71" s="106" t="n">
        <v>0</v>
      </c>
      <c r="J71" s="106" t="n">
        <v>0</v>
      </c>
      <c r="K71" s="106" t="n">
        <f aca="false">SUM(E71:J71)</f>
        <v>2</v>
      </c>
      <c r="L71" s="107" t="n">
        <v>11</v>
      </c>
      <c r="M71" s="107" t="n">
        <v>0</v>
      </c>
      <c r="N71" s="107" t="n">
        <v>0</v>
      </c>
      <c r="O71" s="107" t="n">
        <v>0</v>
      </c>
      <c r="P71" s="107" t="n">
        <v>0</v>
      </c>
      <c r="Q71" s="107" t="n">
        <v>0</v>
      </c>
      <c r="R71" s="107" t="n">
        <f aca="false">SUM(L71:Q71)</f>
        <v>11</v>
      </c>
      <c r="S71" s="108" t="n">
        <v>0</v>
      </c>
      <c r="T71" s="108" t="n">
        <v>0</v>
      </c>
      <c r="U71" s="108" t="n">
        <v>0</v>
      </c>
      <c r="V71" s="108" t="n">
        <v>0</v>
      </c>
      <c r="W71" s="108" t="n">
        <v>0</v>
      </c>
      <c r="X71" s="108" t="n">
        <v>0</v>
      </c>
      <c r="Y71" s="107" t="n">
        <f aca="false">S71*$D71</f>
        <v>0</v>
      </c>
      <c r="Z71" s="107" t="n">
        <f aca="false">T71*$D71</f>
        <v>0</v>
      </c>
      <c r="AA71" s="107" t="n">
        <f aca="false">U71*$D71</f>
        <v>0</v>
      </c>
      <c r="AB71" s="107" t="n">
        <f aca="false">V71*$D71</f>
        <v>0</v>
      </c>
      <c r="AC71" s="107" t="n">
        <f aca="false">W71*$D71</f>
        <v>0</v>
      </c>
      <c r="AD71" s="107" t="n">
        <f aca="false">X71*$D71</f>
        <v>0</v>
      </c>
      <c r="AE71" s="107" t="n">
        <f aca="false">SUM(Y71:AD71)</f>
        <v>0</v>
      </c>
    </row>
    <row r="72" customFormat="false" ht="15" hidden="false" customHeight="false" outlineLevel="0" collapsed="false">
      <c r="A72" s="103" t="s">
        <v>519</v>
      </c>
      <c r="B72" s="104" t="n">
        <v>0</v>
      </c>
      <c r="C72" s="105" t="n">
        <f aca="false">IF(K72=0,0,R72/K72)</f>
        <v>8</v>
      </c>
      <c r="D72" s="105" t="n">
        <f aca="false">C72+B72</f>
        <v>8</v>
      </c>
      <c r="E72" s="106" t="n">
        <v>0</v>
      </c>
      <c r="F72" s="106" t="n">
        <v>0</v>
      </c>
      <c r="G72" s="106" t="n">
        <v>0</v>
      </c>
      <c r="H72" s="106" t="n">
        <v>1</v>
      </c>
      <c r="I72" s="106" t="n">
        <v>0</v>
      </c>
      <c r="J72" s="106" t="n">
        <v>0</v>
      </c>
      <c r="K72" s="106" t="n">
        <f aca="false">SUM(E72:J72)</f>
        <v>1</v>
      </c>
      <c r="L72" s="107" t="n">
        <v>0</v>
      </c>
      <c r="M72" s="107" t="n">
        <v>0</v>
      </c>
      <c r="N72" s="107" t="n">
        <v>0</v>
      </c>
      <c r="O72" s="107" t="n">
        <v>8</v>
      </c>
      <c r="P72" s="107" t="n">
        <v>0</v>
      </c>
      <c r="Q72" s="107" t="n">
        <v>0</v>
      </c>
      <c r="R72" s="107" t="n">
        <f aca="false">SUM(L72:Q72)</f>
        <v>8</v>
      </c>
      <c r="S72" s="108" t="n">
        <v>0</v>
      </c>
      <c r="T72" s="108" t="n">
        <v>0</v>
      </c>
      <c r="U72" s="108" t="n">
        <v>0</v>
      </c>
      <c r="V72" s="108" t="n">
        <v>0</v>
      </c>
      <c r="W72" s="108" t="n">
        <v>0</v>
      </c>
      <c r="X72" s="108" t="n">
        <v>0</v>
      </c>
      <c r="Y72" s="107" t="n">
        <f aca="false">S72*$D72</f>
        <v>0</v>
      </c>
      <c r="Z72" s="107" t="n">
        <f aca="false">T72*$D72</f>
        <v>0</v>
      </c>
      <c r="AA72" s="107" t="n">
        <f aca="false">U72*$D72</f>
        <v>0</v>
      </c>
      <c r="AB72" s="107" t="n">
        <f aca="false">V72*$D72</f>
        <v>0</v>
      </c>
      <c r="AC72" s="107" t="n">
        <f aca="false">W72*$D72</f>
        <v>0</v>
      </c>
      <c r="AD72" s="107" t="n">
        <f aca="false">X72*$D72</f>
        <v>0</v>
      </c>
      <c r="AE72" s="107" t="n">
        <f aca="false">SUM(Y72:AD72)</f>
        <v>0</v>
      </c>
    </row>
    <row r="73" customFormat="false" ht="15" hidden="false" customHeight="false" outlineLevel="0" collapsed="false">
      <c r="A73" s="103" t="s">
        <v>520</v>
      </c>
      <c r="B73" s="104" t="n">
        <v>0</v>
      </c>
      <c r="C73" s="105" t="n">
        <f aca="false">IF(K73=0,0,R73/K73)</f>
        <v>7</v>
      </c>
      <c r="D73" s="105" t="n">
        <f aca="false">C73+B73</f>
        <v>7</v>
      </c>
      <c r="E73" s="106" t="n">
        <v>0</v>
      </c>
      <c r="F73" s="106" t="n">
        <v>0</v>
      </c>
      <c r="G73" s="106" t="n">
        <v>0</v>
      </c>
      <c r="H73" s="106" t="n">
        <v>1</v>
      </c>
      <c r="I73" s="106" t="n">
        <v>0</v>
      </c>
      <c r="J73" s="106" t="n">
        <v>0</v>
      </c>
      <c r="K73" s="106" t="n">
        <f aca="false">SUM(E73:J73)</f>
        <v>1</v>
      </c>
      <c r="L73" s="107" t="n">
        <v>0</v>
      </c>
      <c r="M73" s="107" t="n">
        <v>0</v>
      </c>
      <c r="N73" s="107" t="n">
        <v>0</v>
      </c>
      <c r="O73" s="107" t="n">
        <v>7</v>
      </c>
      <c r="P73" s="107" t="n">
        <v>0</v>
      </c>
      <c r="Q73" s="107" t="n">
        <v>0</v>
      </c>
      <c r="R73" s="107" t="n">
        <f aca="false">SUM(L73:Q73)</f>
        <v>7</v>
      </c>
      <c r="S73" s="108" t="n">
        <v>0</v>
      </c>
      <c r="T73" s="108" t="n">
        <v>0</v>
      </c>
      <c r="U73" s="108" t="n">
        <v>0</v>
      </c>
      <c r="V73" s="108" t="n">
        <v>0</v>
      </c>
      <c r="W73" s="108" t="n">
        <v>0</v>
      </c>
      <c r="X73" s="108" t="n">
        <v>0</v>
      </c>
      <c r="Y73" s="107" t="n">
        <f aca="false">S73*$D73</f>
        <v>0</v>
      </c>
      <c r="Z73" s="107" t="n">
        <f aca="false">T73*$D73</f>
        <v>0</v>
      </c>
      <c r="AA73" s="107" t="n">
        <f aca="false">U73*$D73</f>
        <v>0</v>
      </c>
      <c r="AB73" s="107" t="n">
        <f aca="false">V73*$D73</f>
        <v>0</v>
      </c>
      <c r="AC73" s="107" t="n">
        <f aca="false">W73*$D73</f>
        <v>0</v>
      </c>
      <c r="AD73" s="107" t="n">
        <f aca="false">X73*$D73</f>
        <v>0</v>
      </c>
      <c r="AE73" s="107" t="n">
        <f aca="false">SUM(Y73:AD73)</f>
        <v>0</v>
      </c>
    </row>
    <row r="74" customFormat="false" ht="15" hidden="false" customHeight="false" outlineLevel="0" collapsed="false">
      <c r="A74" s="103" t="s">
        <v>521</v>
      </c>
      <c r="B74" s="104" t="n">
        <v>0</v>
      </c>
      <c r="C74" s="105" t="n">
        <f aca="false">IF(K74=0,0,R74/K74)</f>
        <v>6.8</v>
      </c>
      <c r="D74" s="105" t="n">
        <f aca="false">C74+B74</f>
        <v>6.8</v>
      </c>
      <c r="E74" s="106" t="n">
        <v>0</v>
      </c>
      <c r="F74" s="106" t="n">
        <v>0</v>
      </c>
      <c r="G74" s="106" t="n">
        <v>0</v>
      </c>
      <c r="H74" s="106" t="n">
        <v>1</v>
      </c>
      <c r="I74" s="106" t="n">
        <v>0</v>
      </c>
      <c r="J74" s="106" t="n">
        <v>0</v>
      </c>
      <c r="K74" s="106" t="n">
        <f aca="false">SUM(E74:J74)</f>
        <v>1</v>
      </c>
      <c r="L74" s="107" t="n">
        <v>0</v>
      </c>
      <c r="M74" s="107" t="n">
        <v>0</v>
      </c>
      <c r="N74" s="107" t="n">
        <v>0</v>
      </c>
      <c r="O74" s="107" t="n">
        <v>6.8</v>
      </c>
      <c r="P74" s="107" t="n">
        <v>0</v>
      </c>
      <c r="Q74" s="107" t="n">
        <v>0</v>
      </c>
      <c r="R74" s="107" t="n">
        <f aca="false">SUM(L74:Q74)</f>
        <v>6.8</v>
      </c>
      <c r="S74" s="108" t="n">
        <v>0</v>
      </c>
      <c r="T74" s="108" t="n">
        <v>0</v>
      </c>
      <c r="U74" s="108" t="n">
        <v>0</v>
      </c>
      <c r="V74" s="108" t="n">
        <v>0</v>
      </c>
      <c r="W74" s="108" t="n">
        <v>0</v>
      </c>
      <c r="X74" s="108" t="n">
        <v>0</v>
      </c>
      <c r="Y74" s="107" t="n">
        <f aca="false">S74*$D74</f>
        <v>0</v>
      </c>
      <c r="Z74" s="107" t="n">
        <f aca="false">T74*$D74</f>
        <v>0</v>
      </c>
      <c r="AA74" s="107" t="n">
        <f aca="false">U74*$D74</f>
        <v>0</v>
      </c>
      <c r="AB74" s="107" t="n">
        <f aca="false">V74*$D74</f>
        <v>0</v>
      </c>
      <c r="AC74" s="107" t="n">
        <f aca="false">W74*$D74</f>
        <v>0</v>
      </c>
      <c r="AD74" s="107" t="n">
        <f aca="false">X74*$D74</f>
        <v>0</v>
      </c>
      <c r="AE74" s="107" t="n">
        <f aca="false">SUM(Y74:AD74)</f>
        <v>0</v>
      </c>
    </row>
    <row r="75" customFormat="false" ht="15" hidden="false" customHeight="false" outlineLevel="0" collapsed="false">
      <c r="A75" s="103" t="s">
        <v>522</v>
      </c>
      <c r="B75" s="104" t="n">
        <v>0</v>
      </c>
      <c r="C75" s="105" t="n">
        <f aca="false">IF(K75=0,0,R75/K75)</f>
        <v>1.625</v>
      </c>
      <c r="D75" s="105" t="n">
        <f aca="false">C75+B75</f>
        <v>1.625</v>
      </c>
      <c r="E75" s="106" t="n">
        <v>0</v>
      </c>
      <c r="F75" s="106" t="n">
        <v>0</v>
      </c>
      <c r="G75" s="106" t="n">
        <v>0</v>
      </c>
      <c r="H75" s="106" t="n">
        <v>0</v>
      </c>
      <c r="I75" s="106" t="n">
        <v>2</v>
      </c>
      <c r="J75" s="106" t="n">
        <v>2</v>
      </c>
      <c r="K75" s="106" t="n">
        <f aca="false">SUM(E75:J75)</f>
        <v>4</v>
      </c>
      <c r="L75" s="107" t="n">
        <v>0</v>
      </c>
      <c r="M75" s="107" t="n">
        <v>0</v>
      </c>
      <c r="N75" s="107" t="n">
        <v>0</v>
      </c>
      <c r="O75" s="107" t="n">
        <v>0</v>
      </c>
      <c r="P75" s="107" t="n">
        <v>3</v>
      </c>
      <c r="Q75" s="107" t="n">
        <v>3.5</v>
      </c>
      <c r="R75" s="107" t="n">
        <f aca="false">SUM(L75:Q75)</f>
        <v>6.5</v>
      </c>
      <c r="S75" s="108" t="n">
        <v>1</v>
      </c>
      <c r="T75" s="108" t="n">
        <v>1</v>
      </c>
      <c r="U75" s="108" t="n">
        <v>1</v>
      </c>
      <c r="V75" s="108" t="n">
        <v>1</v>
      </c>
      <c r="W75" s="108" t="n">
        <v>1</v>
      </c>
      <c r="X75" s="108" t="n">
        <v>1</v>
      </c>
      <c r="Y75" s="107" t="n">
        <f aca="false">S75*$D75</f>
        <v>1.625</v>
      </c>
      <c r="Z75" s="107" t="n">
        <f aca="false">T75*$D75</f>
        <v>1.625</v>
      </c>
      <c r="AA75" s="107" t="n">
        <f aca="false">U75*$D75</f>
        <v>1.625</v>
      </c>
      <c r="AB75" s="107" t="n">
        <f aca="false">V75*$D75</f>
        <v>1.625</v>
      </c>
      <c r="AC75" s="107" t="n">
        <f aca="false">W75*$D75</f>
        <v>1.625</v>
      </c>
      <c r="AD75" s="107" t="n">
        <f aca="false">X75*$D75</f>
        <v>1.625</v>
      </c>
      <c r="AE75" s="107" t="n">
        <f aca="false">SUM(Y75:AD75)</f>
        <v>9.75</v>
      </c>
    </row>
    <row r="76" customFormat="false" ht="15" hidden="false" customHeight="false" outlineLevel="0" collapsed="false">
      <c r="A76" s="103" t="s">
        <v>523</v>
      </c>
      <c r="B76" s="104" t="n">
        <v>0</v>
      </c>
      <c r="C76" s="105" t="n">
        <f aca="false">IF(K76=0,0,R76/K76)</f>
        <v>6</v>
      </c>
      <c r="D76" s="105" t="n">
        <f aca="false">C76+B76</f>
        <v>6</v>
      </c>
      <c r="E76" s="106" t="n">
        <v>0</v>
      </c>
      <c r="F76" s="106" t="n">
        <v>0</v>
      </c>
      <c r="G76" s="106" t="n">
        <v>0</v>
      </c>
      <c r="H76" s="106" t="n">
        <v>0</v>
      </c>
      <c r="I76" s="106" t="n">
        <v>1</v>
      </c>
      <c r="J76" s="106" t="n">
        <v>0</v>
      </c>
      <c r="K76" s="106" t="n">
        <f aca="false">SUM(E76:J76)</f>
        <v>1</v>
      </c>
      <c r="L76" s="107" t="n">
        <v>0</v>
      </c>
      <c r="M76" s="107" t="n">
        <v>0</v>
      </c>
      <c r="N76" s="107" t="n">
        <v>0</v>
      </c>
      <c r="O76" s="107" t="n">
        <v>0</v>
      </c>
      <c r="P76" s="107" t="n">
        <v>6</v>
      </c>
      <c r="Q76" s="107" t="n">
        <v>0</v>
      </c>
      <c r="R76" s="107" t="n">
        <f aca="false">SUM(L76:Q76)</f>
        <v>6</v>
      </c>
      <c r="S76" s="108" t="n">
        <v>0</v>
      </c>
      <c r="T76" s="108" t="n">
        <v>0</v>
      </c>
      <c r="U76" s="108" t="n">
        <v>0</v>
      </c>
      <c r="V76" s="108" t="n">
        <v>0</v>
      </c>
      <c r="W76" s="108" t="n">
        <v>0</v>
      </c>
      <c r="X76" s="108" t="n">
        <v>0</v>
      </c>
      <c r="Y76" s="107" t="n">
        <f aca="false">S76*$D76</f>
        <v>0</v>
      </c>
      <c r="Z76" s="107" t="n">
        <f aca="false">T76*$D76</f>
        <v>0</v>
      </c>
      <c r="AA76" s="107" t="n">
        <f aca="false">U76*$D76</f>
        <v>0</v>
      </c>
      <c r="AB76" s="107" t="n">
        <f aca="false">V76*$D76</f>
        <v>0</v>
      </c>
      <c r="AC76" s="107" t="n">
        <f aca="false">W76*$D76</f>
        <v>0</v>
      </c>
      <c r="AD76" s="107" t="n">
        <f aca="false">X76*$D76</f>
        <v>0</v>
      </c>
      <c r="AE76" s="107" t="n">
        <f aca="false">SUM(Y76:AD76)</f>
        <v>0</v>
      </c>
    </row>
    <row r="77" customFormat="false" ht="15" hidden="false" customHeight="false" outlineLevel="0" collapsed="false">
      <c r="A77" s="103" t="s">
        <v>524</v>
      </c>
      <c r="B77" s="104" t="n">
        <v>0</v>
      </c>
      <c r="C77" s="105" t="n">
        <f aca="false">IF(K77=0,0,R77/K77)</f>
        <v>6</v>
      </c>
      <c r="D77" s="105" t="n">
        <f aca="false">C77+B77</f>
        <v>6</v>
      </c>
      <c r="E77" s="106" t="n">
        <v>0</v>
      </c>
      <c r="F77" s="106" t="n">
        <v>0</v>
      </c>
      <c r="G77" s="106" t="n">
        <v>0</v>
      </c>
      <c r="H77" s="106" t="n">
        <v>0</v>
      </c>
      <c r="I77" s="106" t="n">
        <v>1</v>
      </c>
      <c r="J77" s="106" t="n">
        <v>0</v>
      </c>
      <c r="K77" s="106" t="n">
        <f aca="false">SUM(E77:J77)</f>
        <v>1</v>
      </c>
      <c r="L77" s="107" t="n">
        <v>0</v>
      </c>
      <c r="M77" s="107" t="n">
        <v>0</v>
      </c>
      <c r="N77" s="107" t="n">
        <v>0</v>
      </c>
      <c r="O77" s="107" t="n">
        <v>0</v>
      </c>
      <c r="P77" s="107" t="n">
        <v>6</v>
      </c>
      <c r="Q77" s="107" t="n">
        <v>0</v>
      </c>
      <c r="R77" s="107" t="n">
        <f aca="false">SUM(L77:Q77)</f>
        <v>6</v>
      </c>
      <c r="S77" s="108" t="n">
        <v>0</v>
      </c>
      <c r="T77" s="108" t="n">
        <v>0</v>
      </c>
      <c r="U77" s="108" t="n">
        <v>0</v>
      </c>
      <c r="V77" s="108" t="n">
        <v>0</v>
      </c>
      <c r="W77" s="108" t="n">
        <v>0</v>
      </c>
      <c r="X77" s="108" t="n">
        <v>0</v>
      </c>
      <c r="Y77" s="107" t="n">
        <f aca="false">S77*$D77</f>
        <v>0</v>
      </c>
      <c r="Z77" s="107" t="n">
        <f aca="false">T77*$D77</f>
        <v>0</v>
      </c>
      <c r="AA77" s="107" t="n">
        <f aca="false">U77*$D77</f>
        <v>0</v>
      </c>
      <c r="AB77" s="107" t="n">
        <f aca="false">V77*$D77</f>
        <v>0</v>
      </c>
      <c r="AC77" s="107" t="n">
        <f aca="false">W77*$D77</f>
        <v>0</v>
      </c>
      <c r="AD77" s="107" t="n">
        <f aca="false">X77*$D77</f>
        <v>0</v>
      </c>
      <c r="AE77" s="107" t="n">
        <f aca="false">SUM(Y77:AD77)</f>
        <v>0</v>
      </c>
    </row>
    <row r="78" customFormat="false" ht="15" hidden="false" customHeight="false" outlineLevel="0" collapsed="false">
      <c r="A78" s="103" t="s">
        <v>525</v>
      </c>
      <c r="B78" s="104" t="n">
        <v>0</v>
      </c>
      <c r="C78" s="105" t="n">
        <f aca="false">IF(K78=0,0,R78/K78)</f>
        <v>6</v>
      </c>
      <c r="D78" s="105" t="n">
        <f aca="false">C78+B78</f>
        <v>6</v>
      </c>
      <c r="E78" s="106" t="n">
        <v>0</v>
      </c>
      <c r="F78" s="106" t="n">
        <v>0</v>
      </c>
      <c r="G78" s="106" t="n">
        <v>0</v>
      </c>
      <c r="H78" s="106" t="n">
        <v>0</v>
      </c>
      <c r="I78" s="106" t="n">
        <v>1</v>
      </c>
      <c r="J78" s="106" t="n">
        <v>0</v>
      </c>
      <c r="K78" s="106" t="n">
        <f aca="false">SUM(E78:J78)</f>
        <v>1</v>
      </c>
      <c r="L78" s="107" t="n">
        <v>0</v>
      </c>
      <c r="M78" s="107" t="n">
        <v>0</v>
      </c>
      <c r="N78" s="107" t="n">
        <v>0</v>
      </c>
      <c r="O78" s="107" t="n">
        <v>0</v>
      </c>
      <c r="P78" s="107" t="n">
        <v>6</v>
      </c>
      <c r="Q78" s="107" t="n">
        <v>0</v>
      </c>
      <c r="R78" s="107" t="n">
        <f aca="false">SUM(L78:Q78)</f>
        <v>6</v>
      </c>
      <c r="S78" s="108" t="n">
        <v>0</v>
      </c>
      <c r="T78" s="108" t="n">
        <v>0</v>
      </c>
      <c r="U78" s="108" t="n">
        <v>0</v>
      </c>
      <c r="V78" s="108" t="n">
        <v>0</v>
      </c>
      <c r="W78" s="108" t="n">
        <v>0</v>
      </c>
      <c r="X78" s="108" t="n">
        <v>0</v>
      </c>
      <c r="Y78" s="107" t="n">
        <f aca="false">S78*$D78</f>
        <v>0</v>
      </c>
      <c r="Z78" s="107" t="n">
        <f aca="false">T78*$D78</f>
        <v>0</v>
      </c>
      <c r="AA78" s="107" t="n">
        <f aca="false">U78*$D78</f>
        <v>0</v>
      </c>
      <c r="AB78" s="107" t="n">
        <f aca="false">V78*$D78</f>
        <v>0</v>
      </c>
      <c r="AC78" s="107" t="n">
        <f aca="false">W78*$D78</f>
        <v>0</v>
      </c>
      <c r="AD78" s="107" t="n">
        <f aca="false">X78*$D78</f>
        <v>0</v>
      </c>
      <c r="AE78" s="107" t="n">
        <f aca="false">SUM(Y78:AD78)</f>
        <v>0</v>
      </c>
    </row>
    <row r="79" customFormat="false" ht="15" hidden="false" customHeight="false" outlineLevel="0" collapsed="false">
      <c r="A79" s="103" t="s">
        <v>526</v>
      </c>
      <c r="B79" s="104" t="n">
        <v>0</v>
      </c>
      <c r="C79" s="105" t="n">
        <f aca="false">IF(K79=0,0,R79/K79)</f>
        <v>6</v>
      </c>
      <c r="D79" s="105" t="n">
        <f aca="false">C79+B79</f>
        <v>6</v>
      </c>
      <c r="E79" s="106" t="n">
        <v>0</v>
      </c>
      <c r="F79" s="106" t="n">
        <v>0</v>
      </c>
      <c r="G79" s="106" t="n">
        <v>0</v>
      </c>
      <c r="H79" s="106" t="n">
        <v>0</v>
      </c>
      <c r="I79" s="106" t="n">
        <v>0</v>
      </c>
      <c r="J79" s="106" t="n">
        <v>1</v>
      </c>
      <c r="K79" s="106" t="n">
        <f aca="false">SUM(E79:J79)</f>
        <v>1</v>
      </c>
      <c r="L79" s="107" t="n">
        <v>0</v>
      </c>
      <c r="M79" s="107" t="n">
        <v>0</v>
      </c>
      <c r="N79" s="107" t="n">
        <v>0</v>
      </c>
      <c r="O79" s="107" t="n">
        <v>0</v>
      </c>
      <c r="P79" s="107" t="n">
        <v>0</v>
      </c>
      <c r="Q79" s="107" t="n">
        <v>6</v>
      </c>
      <c r="R79" s="107" t="n">
        <f aca="false">SUM(L79:Q79)</f>
        <v>6</v>
      </c>
      <c r="S79" s="108" t="n">
        <v>0</v>
      </c>
      <c r="T79" s="108" t="n">
        <v>0</v>
      </c>
      <c r="U79" s="108" t="n">
        <v>0</v>
      </c>
      <c r="V79" s="108" t="n">
        <v>0</v>
      </c>
      <c r="W79" s="108" t="n">
        <v>0</v>
      </c>
      <c r="X79" s="108" t="n">
        <v>0</v>
      </c>
      <c r="Y79" s="107" t="n">
        <f aca="false">S79*$D79</f>
        <v>0</v>
      </c>
      <c r="Z79" s="107" t="n">
        <f aca="false">T79*$D79</f>
        <v>0</v>
      </c>
      <c r="AA79" s="107" t="n">
        <f aca="false">U79*$D79</f>
        <v>0</v>
      </c>
      <c r="AB79" s="107" t="n">
        <f aca="false">V79*$D79</f>
        <v>0</v>
      </c>
      <c r="AC79" s="107" t="n">
        <f aca="false">W79*$D79</f>
        <v>0</v>
      </c>
      <c r="AD79" s="107" t="n">
        <f aca="false">X79*$D79</f>
        <v>0</v>
      </c>
      <c r="AE79" s="107" t="n">
        <f aca="false">SUM(Y79:AD79)</f>
        <v>0</v>
      </c>
    </row>
    <row r="80" customFormat="false" ht="15" hidden="false" customHeight="false" outlineLevel="0" collapsed="false">
      <c r="A80" s="103" t="s">
        <v>527</v>
      </c>
      <c r="B80" s="104" t="n">
        <v>0</v>
      </c>
      <c r="C80" s="105" t="n">
        <f aca="false">IF(K80=0,0,R80/K80)</f>
        <v>6</v>
      </c>
      <c r="D80" s="105" t="n">
        <f aca="false">C80+B80</f>
        <v>6</v>
      </c>
      <c r="E80" s="106" t="n">
        <v>0</v>
      </c>
      <c r="F80" s="106" t="n">
        <v>0</v>
      </c>
      <c r="G80" s="106" t="n">
        <v>0</v>
      </c>
      <c r="H80" s="106" t="n">
        <v>0</v>
      </c>
      <c r="I80" s="106" t="n">
        <v>0</v>
      </c>
      <c r="J80" s="106" t="n">
        <v>1</v>
      </c>
      <c r="K80" s="106" t="n">
        <f aca="false">SUM(E80:J80)</f>
        <v>1</v>
      </c>
      <c r="L80" s="107" t="n">
        <v>0</v>
      </c>
      <c r="M80" s="107" t="n">
        <v>0</v>
      </c>
      <c r="N80" s="107" t="n">
        <v>0</v>
      </c>
      <c r="O80" s="107" t="n">
        <v>0</v>
      </c>
      <c r="P80" s="107" t="n">
        <v>0</v>
      </c>
      <c r="Q80" s="107" t="n">
        <v>6</v>
      </c>
      <c r="R80" s="107" t="n">
        <f aca="false">SUM(L80:Q80)</f>
        <v>6</v>
      </c>
      <c r="S80" s="108" t="n">
        <v>0</v>
      </c>
      <c r="T80" s="108" t="n">
        <v>0</v>
      </c>
      <c r="U80" s="108" t="n">
        <v>0</v>
      </c>
      <c r="V80" s="108" t="n">
        <v>0</v>
      </c>
      <c r="W80" s="108" t="n">
        <v>0</v>
      </c>
      <c r="X80" s="108" t="n">
        <v>0</v>
      </c>
      <c r="Y80" s="107" t="n">
        <f aca="false">S80*$D80</f>
        <v>0</v>
      </c>
      <c r="Z80" s="107" t="n">
        <f aca="false">T80*$D80</f>
        <v>0</v>
      </c>
      <c r="AA80" s="107" t="n">
        <f aca="false">U80*$D80</f>
        <v>0</v>
      </c>
      <c r="AB80" s="107" t="n">
        <f aca="false">V80*$D80</f>
        <v>0</v>
      </c>
      <c r="AC80" s="107" t="n">
        <f aca="false">W80*$D80</f>
        <v>0</v>
      </c>
      <c r="AD80" s="107" t="n">
        <f aca="false">X80*$D80</f>
        <v>0</v>
      </c>
      <c r="AE80" s="107" t="n">
        <f aca="false">SUM(Y80:AD80)</f>
        <v>0</v>
      </c>
    </row>
    <row r="81" customFormat="false" ht="15" hidden="false" customHeight="false" outlineLevel="0" collapsed="false">
      <c r="A81" s="103" t="s">
        <v>528</v>
      </c>
      <c r="B81" s="104" t="n">
        <v>0</v>
      </c>
      <c r="C81" s="105" t="n">
        <f aca="false">IF(K81=0,0,R81/K81)</f>
        <v>6</v>
      </c>
      <c r="D81" s="105" t="n">
        <f aca="false">C81+B81</f>
        <v>6</v>
      </c>
      <c r="E81" s="106" t="n">
        <v>0</v>
      </c>
      <c r="F81" s="106" t="n">
        <v>0</v>
      </c>
      <c r="G81" s="106" t="n">
        <v>0</v>
      </c>
      <c r="H81" s="106" t="n">
        <v>0</v>
      </c>
      <c r="I81" s="106" t="n">
        <v>0</v>
      </c>
      <c r="J81" s="106" t="n">
        <v>1</v>
      </c>
      <c r="K81" s="106" t="n">
        <f aca="false">SUM(E81:J81)</f>
        <v>1</v>
      </c>
      <c r="L81" s="107" t="n">
        <v>0</v>
      </c>
      <c r="M81" s="107" t="n">
        <v>0</v>
      </c>
      <c r="N81" s="107" t="n">
        <v>0</v>
      </c>
      <c r="O81" s="107" t="n">
        <v>0</v>
      </c>
      <c r="P81" s="107" t="n">
        <v>0</v>
      </c>
      <c r="Q81" s="107" t="n">
        <v>6</v>
      </c>
      <c r="R81" s="107" t="n">
        <f aca="false">SUM(L81:Q81)</f>
        <v>6</v>
      </c>
      <c r="S81" s="108" t="n">
        <v>0</v>
      </c>
      <c r="T81" s="108" t="n">
        <v>0</v>
      </c>
      <c r="U81" s="108" t="n">
        <v>0</v>
      </c>
      <c r="V81" s="108" t="n">
        <v>0</v>
      </c>
      <c r="W81" s="108" t="n">
        <v>0</v>
      </c>
      <c r="X81" s="108" t="n">
        <v>0</v>
      </c>
      <c r="Y81" s="107" t="n">
        <f aca="false">S81*$D81</f>
        <v>0</v>
      </c>
      <c r="Z81" s="107" t="n">
        <f aca="false">T81*$D81</f>
        <v>0</v>
      </c>
      <c r="AA81" s="107" t="n">
        <f aca="false">U81*$D81</f>
        <v>0</v>
      </c>
      <c r="AB81" s="107" t="n">
        <f aca="false">V81*$D81</f>
        <v>0</v>
      </c>
      <c r="AC81" s="107" t="n">
        <f aca="false">W81*$D81</f>
        <v>0</v>
      </c>
      <c r="AD81" s="107" t="n">
        <f aca="false">X81*$D81</f>
        <v>0</v>
      </c>
      <c r="AE81" s="107" t="n">
        <f aca="false">SUM(Y81:AD81)</f>
        <v>0</v>
      </c>
    </row>
    <row r="82" customFormat="false" ht="15" hidden="false" customHeight="false" outlineLevel="0" collapsed="false">
      <c r="A82" s="103" t="s">
        <v>529</v>
      </c>
      <c r="B82" s="104" t="n">
        <v>0</v>
      </c>
      <c r="C82" s="105" t="n">
        <f aca="false">IF(K82=0,0,R82/K82)</f>
        <v>4.5</v>
      </c>
      <c r="D82" s="105" t="n">
        <f aca="false">C82+B82</f>
        <v>4.5</v>
      </c>
      <c r="E82" s="106" t="n">
        <v>0</v>
      </c>
      <c r="F82" s="106" t="n">
        <v>0</v>
      </c>
      <c r="G82" s="106" t="n">
        <v>0</v>
      </c>
      <c r="H82" s="106" t="n">
        <v>0</v>
      </c>
      <c r="I82" s="106" t="n">
        <v>0</v>
      </c>
      <c r="J82" s="106" t="n">
        <v>1</v>
      </c>
      <c r="K82" s="106" t="n">
        <f aca="false">SUM(E82:J82)</f>
        <v>1</v>
      </c>
      <c r="L82" s="107" t="n">
        <v>0</v>
      </c>
      <c r="M82" s="107" t="n">
        <v>0</v>
      </c>
      <c r="N82" s="107" t="n">
        <v>0</v>
      </c>
      <c r="O82" s="107" t="n">
        <v>0</v>
      </c>
      <c r="P82" s="107" t="n">
        <v>0</v>
      </c>
      <c r="Q82" s="107" t="n">
        <v>4.5</v>
      </c>
      <c r="R82" s="107" t="n">
        <f aca="false">SUM(L82:Q82)</f>
        <v>4.5</v>
      </c>
      <c r="S82" s="108" t="n">
        <v>0</v>
      </c>
      <c r="T82" s="108" t="n">
        <v>0</v>
      </c>
      <c r="U82" s="108" t="n">
        <v>0</v>
      </c>
      <c r="V82" s="108" t="n">
        <v>0</v>
      </c>
      <c r="W82" s="108" t="n">
        <v>0</v>
      </c>
      <c r="X82" s="108" t="n">
        <v>0</v>
      </c>
      <c r="Y82" s="107" t="n">
        <f aca="false">S82*$D82</f>
        <v>0</v>
      </c>
      <c r="Z82" s="107" t="n">
        <f aca="false">T82*$D82</f>
        <v>0</v>
      </c>
      <c r="AA82" s="107" t="n">
        <f aca="false">U82*$D82</f>
        <v>0</v>
      </c>
      <c r="AB82" s="107" t="n">
        <f aca="false">V82*$D82</f>
        <v>0</v>
      </c>
      <c r="AC82" s="107" t="n">
        <f aca="false">W82*$D82</f>
        <v>0</v>
      </c>
      <c r="AD82" s="107" t="n">
        <f aca="false">X82*$D82</f>
        <v>0</v>
      </c>
      <c r="AE82" s="107" t="n">
        <f aca="false">SUM(Y82:AD82)</f>
        <v>0</v>
      </c>
    </row>
    <row r="83" customFormat="false" ht="15" hidden="false" customHeight="false" outlineLevel="0" collapsed="false">
      <c r="A83" s="103" t="s">
        <v>530</v>
      </c>
      <c r="B83" s="104" t="n">
        <v>0</v>
      </c>
      <c r="C83" s="105" t="n">
        <f aca="false">IF(K83=0,0,R83/K83)</f>
        <v>4</v>
      </c>
      <c r="D83" s="105" t="n">
        <f aca="false">C83+B83</f>
        <v>4</v>
      </c>
      <c r="E83" s="106" t="n">
        <v>0</v>
      </c>
      <c r="F83" s="106" t="n">
        <v>0</v>
      </c>
      <c r="G83" s="106" t="n">
        <v>0</v>
      </c>
      <c r="H83" s="106" t="n">
        <v>0</v>
      </c>
      <c r="I83" s="106" t="n">
        <v>1</v>
      </c>
      <c r="J83" s="106" t="n">
        <v>0</v>
      </c>
      <c r="K83" s="106" t="n">
        <f aca="false">SUM(E83:J83)</f>
        <v>1</v>
      </c>
      <c r="L83" s="107" t="n">
        <v>0</v>
      </c>
      <c r="M83" s="107" t="n">
        <v>0</v>
      </c>
      <c r="N83" s="107" t="n">
        <v>0</v>
      </c>
      <c r="O83" s="107" t="n">
        <v>0</v>
      </c>
      <c r="P83" s="107" t="n">
        <v>4</v>
      </c>
      <c r="Q83" s="107" t="n">
        <v>0</v>
      </c>
      <c r="R83" s="107" t="n">
        <f aca="false">SUM(L83:Q83)</f>
        <v>4</v>
      </c>
      <c r="S83" s="108" t="n">
        <v>0</v>
      </c>
      <c r="T83" s="108" t="n">
        <v>0</v>
      </c>
      <c r="U83" s="108" t="n">
        <v>0</v>
      </c>
      <c r="V83" s="108" t="n">
        <v>0</v>
      </c>
      <c r="W83" s="108" t="n">
        <v>0</v>
      </c>
      <c r="X83" s="108" t="n">
        <v>0</v>
      </c>
      <c r="Y83" s="107" t="n">
        <f aca="false">S83*$D83</f>
        <v>0</v>
      </c>
      <c r="Z83" s="107" t="n">
        <f aca="false">T83*$D83</f>
        <v>0</v>
      </c>
      <c r="AA83" s="107" t="n">
        <f aca="false">U83*$D83</f>
        <v>0</v>
      </c>
      <c r="AB83" s="107" t="n">
        <f aca="false">V83*$D83</f>
        <v>0</v>
      </c>
      <c r="AC83" s="107" t="n">
        <f aca="false">W83*$D83</f>
        <v>0</v>
      </c>
      <c r="AD83" s="107" t="n">
        <f aca="false">X83*$D83</f>
        <v>0</v>
      </c>
      <c r="AE83" s="107" t="n">
        <f aca="false">SUM(Y83:AD83)</f>
        <v>0</v>
      </c>
    </row>
    <row r="84" customFormat="false" ht="15" hidden="false" customHeight="false" outlineLevel="0" collapsed="false">
      <c r="A84" s="103" t="s">
        <v>531</v>
      </c>
      <c r="B84" s="104" t="n">
        <v>0</v>
      </c>
      <c r="C84" s="105" t="n">
        <f aca="false">IF(K84=0,0,R84/K84)</f>
        <v>2</v>
      </c>
      <c r="D84" s="105" t="n">
        <f aca="false">C84+B84</f>
        <v>2</v>
      </c>
      <c r="E84" s="106" t="n">
        <v>0</v>
      </c>
      <c r="F84" s="106" t="n">
        <v>0</v>
      </c>
      <c r="G84" s="106" t="n">
        <v>0</v>
      </c>
      <c r="H84" s="106" t="n">
        <v>0</v>
      </c>
      <c r="I84" s="106" t="n">
        <v>0</v>
      </c>
      <c r="J84" s="106" t="n">
        <v>2</v>
      </c>
      <c r="K84" s="106" t="n">
        <f aca="false">SUM(E84:J84)</f>
        <v>2</v>
      </c>
      <c r="L84" s="107" t="n">
        <v>0</v>
      </c>
      <c r="M84" s="107" t="n">
        <v>0</v>
      </c>
      <c r="N84" s="107" t="n">
        <v>0</v>
      </c>
      <c r="O84" s="107" t="n">
        <v>0</v>
      </c>
      <c r="P84" s="107" t="n">
        <v>0</v>
      </c>
      <c r="Q84" s="107" t="n">
        <v>4</v>
      </c>
      <c r="R84" s="107" t="n">
        <f aca="false">SUM(L84:Q84)</f>
        <v>4</v>
      </c>
      <c r="S84" s="108" t="n">
        <v>1</v>
      </c>
      <c r="T84" s="108" t="n">
        <v>1</v>
      </c>
      <c r="U84" s="108" t="n">
        <v>1</v>
      </c>
      <c r="V84" s="108" t="n">
        <v>1</v>
      </c>
      <c r="W84" s="108" t="n">
        <v>1</v>
      </c>
      <c r="X84" s="108" t="n">
        <v>1</v>
      </c>
      <c r="Y84" s="107" t="n">
        <f aca="false">S84*$D84</f>
        <v>2</v>
      </c>
      <c r="Z84" s="107" t="n">
        <f aca="false">T84*$D84</f>
        <v>2</v>
      </c>
      <c r="AA84" s="107" t="n">
        <f aca="false">U84*$D84</f>
        <v>2</v>
      </c>
      <c r="AB84" s="107" t="n">
        <f aca="false">V84*$D84</f>
        <v>2</v>
      </c>
      <c r="AC84" s="107" t="n">
        <f aca="false">W84*$D84</f>
        <v>2</v>
      </c>
      <c r="AD84" s="107" t="n">
        <f aca="false">X84*$D84</f>
        <v>2</v>
      </c>
      <c r="AE84" s="107" t="n">
        <f aca="false">SUM(Y84:AD84)</f>
        <v>12</v>
      </c>
    </row>
    <row r="85" customFormat="false" ht="15" hidden="false" customHeight="false" outlineLevel="0" collapsed="false">
      <c r="A85" s="103" t="s">
        <v>532</v>
      </c>
      <c r="B85" s="104" t="n">
        <v>0</v>
      </c>
      <c r="C85" s="105" t="n">
        <f aca="false">IF(K85=0,0,R85/K85)</f>
        <v>2</v>
      </c>
      <c r="D85" s="105" t="n">
        <f aca="false">C85+B85</f>
        <v>2</v>
      </c>
      <c r="E85" s="106" t="n">
        <v>0</v>
      </c>
      <c r="F85" s="106" t="n">
        <v>0</v>
      </c>
      <c r="G85" s="106" t="n">
        <v>0</v>
      </c>
      <c r="H85" s="106" t="n">
        <v>0</v>
      </c>
      <c r="I85" s="106" t="n">
        <v>1</v>
      </c>
      <c r="J85" s="106" t="n">
        <v>0</v>
      </c>
      <c r="K85" s="106" t="n">
        <f aca="false">SUM(E85:J85)</f>
        <v>1</v>
      </c>
      <c r="L85" s="107" t="n">
        <v>0</v>
      </c>
      <c r="M85" s="107" t="n">
        <v>0</v>
      </c>
      <c r="N85" s="107" t="n">
        <v>0</v>
      </c>
      <c r="O85" s="107" t="n">
        <v>0</v>
      </c>
      <c r="P85" s="107" t="n">
        <v>2</v>
      </c>
      <c r="Q85" s="107" t="n">
        <v>0</v>
      </c>
      <c r="R85" s="107" t="n">
        <f aca="false">SUM(L85:Q85)</f>
        <v>2</v>
      </c>
      <c r="S85" s="108" t="n">
        <v>0</v>
      </c>
      <c r="T85" s="108" t="n">
        <v>0</v>
      </c>
      <c r="U85" s="108" t="n">
        <v>0</v>
      </c>
      <c r="V85" s="108" t="n">
        <v>0</v>
      </c>
      <c r="W85" s="108" t="n">
        <v>0</v>
      </c>
      <c r="X85" s="108" t="n">
        <v>0</v>
      </c>
      <c r="Y85" s="107" t="n">
        <f aca="false">S85*$D85</f>
        <v>0</v>
      </c>
      <c r="Z85" s="107" t="n">
        <f aca="false">T85*$D85</f>
        <v>0</v>
      </c>
      <c r="AA85" s="107" t="n">
        <f aca="false">U85*$D85</f>
        <v>0</v>
      </c>
      <c r="AB85" s="107" t="n">
        <f aca="false">V85*$D85</f>
        <v>0</v>
      </c>
      <c r="AC85" s="107" t="n">
        <f aca="false">W85*$D85</f>
        <v>0</v>
      </c>
      <c r="AD85" s="107" t="n">
        <f aca="false">X85*$D85</f>
        <v>0</v>
      </c>
      <c r="AE85" s="107" t="n">
        <f aca="false">SUM(Y85:AD85)</f>
        <v>0</v>
      </c>
    </row>
    <row r="86" customFormat="false" ht="15" hidden="false" customHeight="false" outlineLevel="0" collapsed="false">
      <c r="A86" s="103" t="s">
        <v>533</v>
      </c>
      <c r="B86" s="104" t="n">
        <v>0</v>
      </c>
      <c r="C86" s="105" t="n">
        <f aca="false">IF(K86=0,0,R86/K86)</f>
        <v>0.8</v>
      </c>
      <c r="D86" s="105" t="n">
        <f aca="false">C86+B86</f>
        <v>0.8</v>
      </c>
      <c r="E86" s="106" t="n">
        <v>0</v>
      </c>
      <c r="F86" s="106" t="n">
        <v>0</v>
      </c>
      <c r="G86" s="106" t="n">
        <v>0</v>
      </c>
      <c r="H86" s="106" t="n">
        <v>0</v>
      </c>
      <c r="I86" s="106" t="n">
        <v>0</v>
      </c>
      <c r="J86" s="106" t="n">
        <v>1</v>
      </c>
      <c r="K86" s="106" t="n">
        <f aca="false">SUM(E86:J86)</f>
        <v>1</v>
      </c>
      <c r="L86" s="107" t="n">
        <v>0</v>
      </c>
      <c r="M86" s="107" t="n">
        <v>0</v>
      </c>
      <c r="N86" s="107" t="n">
        <v>0</v>
      </c>
      <c r="O86" s="107" t="n">
        <v>0</v>
      </c>
      <c r="P86" s="107" t="n">
        <v>0</v>
      </c>
      <c r="Q86" s="107" t="n">
        <v>0.8</v>
      </c>
      <c r="R86" s="107" t="n">
        <f aca="false">SUM(L86:Q86)</f>
        <v>0.8</v>
      </c>
      <c r="S86" s="108" t="n">
        <v>0</v>
      </c>
      <c r="T86" s="108" t="n">
        <v>0</v>
      </c>
      <c r="U86" s="108" t="n">
        <v>0</v>
      </c>
      <c r="V86" s="108" t="n">
        <v>0</v>
      </c>
      <c r="W86" s="108" t="n">
        <v>0</v>
      </c>
      <c r="X86" s="108" t="n">
        <v>0</v>
      </c>
      <c r="Y86" s="107" t="n">
        <f aca="false">S86*$D86</f>
        <v>0</v>
      </c>
      <c r="Z86" s="107" t="n">
        <f aca="false">T86*$D86</f>
        <v>0</v>
      </c>
      <c r="AA86" s="107" t="n">
        <f aca="false">U86*$D86</f>
        <v>0</v>
      </c>
      <c r="AB86" s="107" t="n">
        <f aca="false">V86*$D86</f>
        <v>0</v>
      </c>
      <c r="AC86" s="107" t="n">
        <f aca="false">W86*$D86</f>
        <v>0</v>
      </c>
      <c r="AD86" s="107" t="n">
        <f aca="false">X86*$D86</f>
        <v>0</v>
      </c>
      <c r="AE86" s="107" t="n">
        <f aca="false">SUM(Y86:AD86)</f>
        <v>0</v>
      </c>
    </row>
    <row r="87" customFormat="false" ht="15" hidden="false" customHeight="false" outlineLevel="0" collapsed="false">
      <c r="A87" s="103" t="s">
        <v>534</v>
      </c>
      <c r="B87" s="104" t="n">
        <v>0</v>
      </c>
      <c r="C87" s="105" t="n">
        <f aca="false">IF(K87=0,0,R87/K87)</f>
        <v>0</v>
      </c>
      <c r="D87" s="105" t="n">
        <f aca="false">C87+B87</f>
        <v>0</v>
      </c>
      <c r="E87" s="106" t="n">
        <v>0</v>
      </c>
      <c r="F87" s="106" t="n">
        <v>1</v>
      </c>
      <c r="G87" s="106" t="n">
        <v>3</v>
      </c>
      <c r="H87" s="106" t="n">
        <v>0</v>
      </c>
      <c r="I87" s="106" t="n">
        <v>0</v>
      </c>
      <c r="J87" s="106" t="n">
        <v>0</v>
      </c>
      <c r="K87" s="106" t="n">
        <f aca="false">SUM(E87:J87)</f>
        <v>4</v>
      </c>
      <c r="L87" s="107" t="n">
        <v>0</v>
      </c>
      <c r="M87" s="107" t="n">
        <v>0</v>
      </c>
      <c r="N87" s="107" t="n">
        <v>0</v>
      </c>
      <c r="O87" s="107" t="n">
        <v>0</v>
      </c>
      <c r="P87" s="107" t="n">
        <v>0</v>
      </c>
      <c r="Q87" s="107" t="n">
        <v>0</v>
      </c>
      <c r="R87" s="107" t="n">
        <f aca="false">SUM(L87:Q87)</f>
        <v>0</v>
      </c>
      <c r="S87" s="108" t="n">
        <v>0</v>
      </c>
      <c r="T87" s="108" t="n">
        <v>0</v>
      </c>
      <c r="U87" s="108" t="n">
        <v>0</v>
      </c>
      <c r="V87" s="108" t="n">
        <v>0</v>
      </c>
      <c r="W87" s="108" t="n">
        <v>0</v>
      </c>
      <c r="X87" s="108" t="n">
        <v>0</v>
      </c>
      <c r="Y87" s="107" t="n">
        <f aca="false">S87*$D87</f>
        <v>0</v>
      </c>
      <c r="Z87" s="107" t="n">
        <f aca="false">T87*$D87</f>
        <v>0</v>
      </c>
      <c r="AA87" s="107" t="n">
        <f aca="false">U87*$D87</f>
        <v>0</v>
      </c>
      <c r="AB87" s="107" t="n">
        <f aca="false">V87*$D87</f>
        <v>0</v>
      </c>
      <c r="AC87" s="107" t="n">
        <f aca="false">W87*$D87</f>
        <v>0</v>
      </c>
      <c r="AD87" s="107" t="n">
        <f aca="false">X87*$D87</f>
        <v>0</v>
      </c>
      <c r="AE87" s="107" t="n">
        <f aca="false">SUM(Y87:AD87)</f>
        <v>0</v>
      </c>
    </row>
    <row r="88" customFormat="false" ht="15" hidden="false" customHeight="false" outlineLevel="0" collapsed="false">
      <c r="A88" s="103" t="s">
        <v>535</v>
      </c>
      <c r="B88" s="104" t="n">
        <v>0</v>
      </c>
      <c r="C88" s="105" t="n">
        <f aca="false">IF(K88=0,0,R88/K88)</f>
        <v>0</v>
      </c>
      <c r="D88" s="105" t="n">
        <f aca="false">C88+B88</f>
        <v>0</v>
      </c>
      <c r="E88" s="106" t="n">
        <v>0</v>
      </c>
      <c r="F88" s="106" t="n">
        <v>0</v>
      </c>
      <c r="G88" s="106" t="n">
        <v>1</v>
      </c>
      <c r="H88" s="106" t="n">
        <v>0</v>
      </c>
      <c r="I88" s="106" t="n">
        <v>0</v>
      </c>
      <c r="J88" s="106" t="n">
        <v>0</v>
      </c>
      <c r="K88" s="106" t="n">
        <f aca="false">SUM(E88:J88)</f>
        <v>1</v>
      </c>
      <c r="L88" s="107" t="n">
        <v>0</v>
      </c>
      <c r="M88" s="107" t="n">
        <v>0</v>
      </c>
      <c r="N88" s="107" t="n">
        <v>0</v>
      </c>
      <c r="O88" s="107" t="n">
        <v>0</v>
      </c>
      <c r="P88" s="107" t="n">
        <v>0</v>
      </c>
      <c r="Q88" s="107" t="n">
        <v>0</v>
      </c>
      <c r="R88" s="107" t="n">
        <f aca="false">SUM(L88:Q88)</f>
        <v>0</v>
      </c>
      <c r="S88" s="108" t="n">
        <v>0</v>
      </c>
      <c r="T88" s="108" t="n">
        <v>0</v>
      </c>
      <c r="U88" s="108" t="n">
        <v>0</v>
      </c>
      <c r="V88" s="108" t="n">
        <v>0</v>
      </c>
      <c r="W88" s="108" t="n">
        <v>0</v>
      </c>
      <c r="X88" s="108" t="n">
        <v>0</v>
      </c>
      <c r="Y88" s="107" t="n">
        <f aca="false">S88*$D88</f>
        <v>0</v>
      </c>
      <c r="Z88" s="107" t="n">
        <f aca="false">T88*$D88</f>
        <v>0</v>
      </c>
      <c r="AA88" s="107" t="n">
        <f aca="false">U88*$D88</f>
        <v>0</v>
      </c>
      <c r="AB88" s="107" t="n">
        <f aca="false">V88*$D88</f>
        <v>0</v>
      </c>
      <c r="AC88" s="107" t="n">
        <f aca="false">W88*$D88</f>
        <v>0</v>
      </c>
      <c r="AD88" s="107" t="n">
        <f aca="false">X88*$D88</f>
        <v>0</v>
      </c>
      <c r="AE88" s="107" t="n">
        <f aca="false">SUM(Y88:AD88)</f>
        <v>0</v>
      </c>
    </row>
    <row r="89" customFormat="false" ht="15" hidden="false" customHeight="false" outlineLevel="0" collapsed="false">
      <c r="A89" s="109" t="s">
        <v>536</v>
      </c>
      <c r="B89" s="110"/>
      <c r="C89" s="110"/>
      <c r="D89" s="110"/>
      <c r="E89" s="111" t="n">
        <f aca="false">SUM(E7:E88)</f>
        <v>1666</v>
      </c>
      <c r="F89" s="111" t="n">
        <f aca="false">SUM(F7:F88)</f>
        <v>1812</v>
      </c>
      <c r="G89" s="111" t="n">
        <f aca="false">SUM(G7:G88)</f>
        <v>2894</v>
      </c>
      <c r="H89" s="111" t="n">
        <f aca="false">SUM(H7:H88)</f>
        <v>2224</v>
      </c>
      <c r="I89" s="111" t="n">
        <f aca="false">SUM(I7:I88)</f>
        <v>2617</v>
      </c>
      <c r="J89" s="111" t="n">
        <f aca="false">SUM(J7:J88)</f>
        <v>2934</v>
      </c>
      <c r="K89" s="111" t="n">
        <f aca="false">SUM(K7:K88)</f>
        <v>14147</v>
      </c>
      <c r="L89" s="112" t="n">
        <f aca="false">SUM(L7:L88)</f>
        <v>7914.58</v>
      </c>
      <c r="M89" s="112" t="n">
        <f aca="false">SUM(M7:M88)</f>
        <v>8612.82</v>
      </c>
      <c r="N89" s="112" t="n">
        <f aca="false">SUM(N7:N88)</f>
        <v>12973</v>
      </c>
      <c r="O89" s="112" t="n">
        <f aca="false">SUM(O7:O88)</f>
        <v>9848.39</v>
      </c>
      <c r="P89" s="112" t="n">
        <f aca="false">SUM(P7:P88)</f>
        <v>12515.03</v>
      </c>
      <c r="Q89" s="112" t="n">
        <f aca="false">SUM(Q7:Q88)</f>
        <v>13997.46</v>
      </c>
      <c r="R89" s="112" t="n">
        <f aca="false">SUM(R7:R88)</f>
        <v>65861.28</v>
      </c>
      <c r="S89" s="111" t="n">
        <f aca="false">SUM(S7:S88)</f>
        <v>2590</v>
      </c>
      <c r="T89" s="111" t="n">
        <f aca="false">SUM(T7:T88)</f>
        <v>2590</v>
      </c>
      <c r="U89" s="111" t="n">
        <f aca="false">SUM(U7:U88)</f>
        <v>2590</v>
      </c>
      <c r="V89" s="111" t="n">
        <f aca="false">SUM(V7:V88)</f>
        <v>2590</v>
      </c>
      <c r="W89" s="111" t="n">
        <f aca="false">SUM(W7:W88)</f>
        <v>2590</v>
      </c>
      <c r="X89" s="111" t="n">
        <f aca="false">SUM(X7:X88)</f>
        <v>2590</v>
      </c>
      <c r="Y89" s="112" t="n">
        <f aca="false">SUM(Y7:Y88)</f>
        <v>12825.9025437111</v>
      </c>
      <c r="Z89" s="112" t="n">
        <f aca="false">SUM(Z7:Z88)</f>
        <v>12825.9025437111</v>
      </c>
      <c r="AA89" s="112" t="n">
        <f aca="false">SUM(AA7:AA88)</f>
        <v>12825.9025437111</v>
      </c>
      <c r="AB89" s="112" t="n">
        <f aca="false">SUM(AB7:AB88)</f>
        <v>12825.9025437111</v>
      </c>
      <c r="AC89" s="112" t="n">
        <f aca="false">SUM(AC7:AC88)</f>
        <v>12825.9025437111</v>
      </c>
      <c r="AD89" s="112" t="n">
        <f aca="false">SUM(AD7:AD88)</f>
        <v>12825.9025437111</v>
      </c>
      <c r="AE89" s="112" t="n">
        <f aca="false">SUM(AE7:AE88)</f>
        <v>76955.4152622664</v>
      </c>
    </row>
    <row r="91" customFormat="false" ht="15" hidden="false" customHeight="false" outlineLevel="0" collapsed="false">
      <c r="A91" s="102" t="s">
        <v>537</v>
      </c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</row>
    <row r="92" customFormat="false" ht="15" hidden="false" customHeight="false" outlineLevel="0" collapsed="false">
      <c r="A92" s="103" t="s">
        <v>538</v>
      </c>
      <c r="B92" s="104" t="n">
        <v>1</v>
      </c>
      <c r="C92" s="105" t="n">
        <f aca="false">IF(K92=0,0,R92/K92)</f>
        <v>11.8146577017115</v>
      </c>
      <c r="D92" s="105" t="n">
        <f aca="false">C92+B92</f>
        <v>12.8146577017115</v>
      </c>
      <c r="E92" s="106" t="n">
        <v>140</v>
      </c>
      <c r="F92" s="106" t="n">
        <v>124</v>
      </c>
      <c r="G92" s="106" t="n">
        <v>157</v>
      </c>
      <c r="H92" s="106" t="n">
        <v>131</v>
      </c>
      <c r="I92" s="106" t="n">
        <v>132</v>
      </c>
      <c r="J92" s="106" t="n">
        <v>134</v>
      </c>
      <c r="K92" s="106" t="n">
        <f aca="false">SUM(E92:J92)</f>
        <v>818</v>
      </c>
      <c r="L92" s="107" t="n">
        <v>1629.75</v>
      </c>
      <c r="M92" s="107" t="n">
        <v>1466.95</v>
      </c>
      <c r="N92" s="107" t="n">
        <v>1874.05</v>
      </c>
      <c r="O92" s="107" t="n">
        <v>1547.5</v>
      </c>
      <c r="P92" s="107" t="n">
        <v>1547.5</v>
      </c>
      <c r="Q92" s="107" t="n">
        <v>1598.64</v>
      </c>
      <c r="R92" s="107" t="n">
        <f aca="false">SUM(L92:Q92)</f>
        <v>9664.39</v>
      </c>
      <c r="S92" s="108" t="n">
        <v>132</v>
      </c>
      <c r="T92" s="108" t="n">
        <v>132</v>
      </c>
      <c r="U92" s="108" t="n">
        <v>132</v>
      </c>
      <c r="V92" s="108" t="n">
        <v>132</v>
      </c>
      <c r="W92" s="108" t="n">
        <v>132</v>
      </c>
      <c r="X92" s="108" t="n">
        <v>132</v>
      </c>
      <c r="Y92" s="107" t="n">
        <f aca="false">S92*$D92</f>
        <v>1691.53481662592</v>
      </c>
      <c r="Z92" s="107" t="n">
        <f aca="false">T92*$D92</f>
        <v>1691.53481662592</v>
      </c>
      <c r="AA92" s="107" t="n">
        <f aca="false">U92*$D92</f>
        <v>1691.53481662592</v>
      </c>
      <c r="AB92" s="107" t="n">
        <f aca="false">V92*$D92</f>
        <v>1691.53481662592</v>
      </c>
      <c r="AC92" s="107" t="n">
        <f aca="false">W92*$D92</f>
        <v>1691.53481662592</v>
      </c>
      <c r="AD92" s="107" t="n">
        <f aca="false">X92*$D92</f>
        <v>1691.53481662592</v>
      </c>
      <c r="AE92" s="107" t="n">
        <f aca="false">SUM(Y92:AD92)</f>
        <v>10149.2088997555</v>
      </c>
    </row>
    <row r="93" customFormat="false" ht="15" hidden="false" customHeight="false" outlineLevel="0" collapsed="false">
      <c r="A93" s="103" t="s">
        <v>539</v>
      </c>
      <c r="B93" s="104" t="n">
        <v>1</v>
      </c>
      <c r="C93" s="105" t="n">
        <f aca="false">IF(K93=0,0,R93/K93)</f>
        <v>9.77244582043344</v>
      </c>
      <c r="D93" s="105" t="n">
        <f aca="false">C93+B93</f>
        <v>10.7724458204334</v>
      </c>
      <c r="E93" s="106" t="n">
        <v>40</v>
      </c>
      <c r="F93" s="106" t="n">
        <v>39</v>
      </c>
      <c r="G93" s="106" t="n">
        <v>80</v>
      </c>
      <c r="H93" s="106" t="n">
        <v>64</v>
      </c>
      <c r="I93" s="106" t="n">
        <v>38</v>
      </c>
      <c r="J93" s="106" t="n">
        <v>62</v>
      </c>
      <c r="K93" s="106" t="n">
        <f aca="false">SUM(E93:J93)</f>
        <v>323</v>
      </c>
      <c r="L93" s="107" t="n">
        <v>401</v>
      </c>
      <c r="M93" s="107" t="n">
        <v>356.05</v>
      </c>
      <c r="N93" s="107" t="n">
        <v>795.6</v>
      </c>
      <c r="O93" s="107" t="n">
        <v>626.35</v>
      </c>
      <c r="P93" s="107" t="n">
        <v>368</v>
      </c>
      <c r="Q93" s="107" t="n">
        <v>609.5</v>
      </c>
      <c r="R93" s="107" t="n">
        <f aca="false">SUM(L93:Q93)</f>
        <v>3156.5</v>
      </c>
      <c r="S93" s="108" t="n">
        <v>55</v>
      </c>
      <c r="T93" s="108" t="n">
        <v>55</v>
      </c>
      <c r="U93" s="108" t="n">
        <v>55</v>
      </c>
      <c r="V93" s="108" t="n">
        <v>55</v>
      </c>
      <c r="W93" s="108" t="n">
        <v>55</v>
      </c>
      <c r="X93" s="108" t="n">
        <v>55</v>
      </c>
      <c r="Y93" s="107" t="n">
        <f aca="false">S93*$D93</f>
        <v>592.484520123839</v>
      </c>
      <c r="Z93" s="107" t="n">
        <f aca="false">T93*$D93</f>
        <v>592.484520123839</v>
      </c>
      <c r="AA93" s="107" t="n">
        <f aca="false">U93*$D93</f>
        <v>592.484520123839</v>
      </c>
      <c r="AB93" s="107" t="n">
        <f aca="false">V93*$D93</f>
        <v>592.484520123839</v>
      </c>
      <c r="AC93" s="107" t="n">
        <f aca="false">W93*$D93</f>
        <v>592.484520123839</v>
      </c>
      <c r="AD93" s="107" t="n">
        <f aca="false">X93*$D93</f>
        <v>592.484520123839</v>
      </c>
      <c r="AE93" s="107" t="n">
        <f aca="false">SUM(Y93:AD93)</f>
        <v>3554.90712074303</v>
      </c>
    </row>
    <row r="94" customFormat="false" ht="15" hidden="false" customHeight="false" outlineLevel="0" collapsed="false">
      <c r="A94" s="103" t="s">
        <v>540</v>
      </c>
      <c r="B94" s="104" t="n">
        <v>0</v>
      </c>
      <c r="C94" s="105" t="n">
        <f aca="false">IF(K94=0,0,R94/K94)</f>
        <v>5.1239263803681</v>
      </c>
      <c r="D94" s="105" t="n">
        <f aca="false">C94+B94</f>
        <v>5.1239263803681</v>
      </c>
      <c r="E94" s="106" t="n">
        <v>61</v>
      </c>
      <c r="F94" s="106" t="n">
        <v>82</v>
      </c>
      <c r="G94" s="106" t="n">
        <v>133</v>
      </c>
      <c r="H94" s="106" t="n">
        <v>48</v>
      </c>
      <c r="I94" s="106" t="n">
        <v>76</v>
      </c>
      <c r="J94" s="106" t="n">
        <v>89</v>
      </c>
      <c r="K94" s="106" t="n">
        <f aca="false">SUM(E94:J94)</f>
        <v>489</v>
      </c>
      <c r="L94" s="107" t="n">
        <v>233.2</v>
      </c>
      <c r="M94" s="107" t="n">
        <v>336.6</v>
      </c>
      <c r="N94" s="107" t="n">
        <v>698.1</v>
      </c>
      <c r="O94" s="107" t="n">
        <v>267.4</v>
      </c>
      <c r="P94" s="107" t="n">
        <v>442.5</v>
      </c>
      <c r="Q94" s="107" t="n">
        <v>527.8</v>
      </c>
      <c r="R94" s="107" t="n">
        <f aca="false">SUM(L94:Q94)</f>
        <v>2505.6</v>
      </c>
      <c r="S94" s="108" t="n">
        <v>71</v>
      </c>
      <c r="T94" s="108" t="n">
        <v>71</v>
      </c>
      <c r="U94" s="108" t="n">
        <v>71</v>
      </c>
      <c r="V94" s="108" t="n">
        <v>71</v>
      </c>
      <c r="W94" s="108" t="n">
        <v>71</v>
      </c>
      <c r="X94" s="108" t="n">
        <v>71</v>
      </c>
      <c r="Y94" s="107" t="n">
        <f aca="false">S94*$D94</f>
        <v>363.798773006135</v>
      </c>
      <c r="Z94" s="107" t="n">
        <f aca="false">T94*$D94</f>
        <v>363.798773006135</v>
      </c>
      <c r="AA94" s="107" t="n">
        <f aca="false">U94*$D94</f>
        <v>363.798773006135</v>
      </c>
      <c r="AB94" s="107" t="n">
        <f aca="false">V94*$D94</f>
        <v>363.798773006135</v>
      </c>
      <c r="AC94" s="107" t="n">
        <f aca="false">W94*$D94</f>
        <v>363.798773006135</v>
      </c>
      <c r="AD94" s="107" t="n">
        <f aca="false">X94*$D94</f>
        <v>363.798773006135</v>
      </c>
      <c r="AE94" s="107" t="n">
        <f aca="false">SUM(Y94:AD94)</f>
        <v>2182.79263803681</v>
      </c>
    </row>
    <row r="95" customFormat="false" ht="15" hidden="false" customHeight="false" outlineLevel="0" collapsed="false">
      <c r="A95" s="103" t="s">
        <v>541</v>
      </c>
      <c r="B95" s="104" t="n">
        <v>0</v>
      </c>
      <c r="C95" s="105" t="n">
        <f aca="false">IF(K95=0,0,R95/K95)</f>
        <v>13.5807453416149</v>
      </c>
      <c r="D95" s="105" t="n">
        <f aca="false">C95+B95</f>
        <v>13.5807453416149</v>
      </c>
      <c r="E95" s="106" t="n">
        <v>28</v>
      </c>
      <c r="F95" s="106" t="n">
        <v>35</v>
      </c>
      <c r="G95" s="106" t="n">
        <v>22</v>
      </c>
      <c r="H95" s="106" t="n">
        <v>28</v>
      </c>
      <c r="I95" s="106" t="n">
        <v>23</v>
      </c>
      <c r="J95" s="106" t="n">
        <v>25</v>
      </c>
      <c r="K95" s="106" t="n">
        <f aca="false">SUM(E95:J95)</f>
        <v>161</v>
      </c>
      <c r="L95" s="107" t="n">
        <v>376.5</v>
      </c>
      <c r="M95" s="107" t="n">
        <v>472</v>
      </c>
      <c r="N95" s="107" t="n">
        <v>307.9</v>
      </c>
      <c r="O95" s="107" t="n">
        <v>359.1</v>
      </c>
      <c r="P95" s="107" t="n">
        <v>321.8</v>
      </c>
      <c r="Q95" s="107" t="n">
        <v>349.2</v>
      </c>
      <c r="R95" s="107" t="n">
        <f aca="false">SUM(L95:Q95)</f>
        <v>2186.5</v>
      </c>
      <c r="S95" s="108" t="n">
        <v>25</v>
      </c>
      <c r="T95" s="108" t="n">
        <v>25</v>
      </c>
      <c r="U95" s="108" t="n">
        <v>25</v>
      </c>
      <c r="V95" s="108" t="n">
        <v>25</v>
      </c>
      <c r="W95" s="108" t="n">
        <v>25</v>
      </c>
      <c r="X95" s="108" t="n">
        <v>25</v>
      </c>
      <c r="Y95" s="107" t="n">
        <f aca="false">S95*$D95</f>
        <v>339.518633540373</v>
      </c>
      <c r="Z95" s="107" t="n">
        <f aca="false">T95*$D95</f>
        <v>339.518633540373</v>
      </c>
      <c r="AA95" s="107" t="n">
        <f aca="false">U95*$D95</f>
        <v>339.518633540373</v>
      </c>
      <c r="AB95" s="107" t="n">
        <f aca="false">V95*$D95</f>
        <v>339.518633540373</v>
      </c>
      <c r="AC95" s="107" t="n">
        <f aca="false">W95*$D95</f>
        <v>339.518633540373</v>
      </c>
      <c r="AD95" s="107" t="n">
        <f aca="false">X95*$D95</f>
        <v>339.518633540373</v>
      </c>
      <c r="AE95" s="107" t="n">
        <f aca="false">SUM(Y95:AD95)</f>
        <v>2037.11180124224</v>
      </c>
    </row>
    <row r="96" customFormat="false" ht="15" hidden="false" customHeight="false" outlineLevel="0" collapsed="false">
      <c r="A96" s="103" t="s">
        <v>542</v>
      </c>
      <c r="B96" s="104" t="n">
        <v>0</v>
      </c>
      <c r="C96" s="105" t="n">
        <f aca="false">IF(K96=0,0,R96/K96)</f>
        <v>5.06847619047619</v>
      </c>
      <c r="D96" s="105" t="n">
        <f aca="false">C96+B96</f>
        <v>5.06847619047619</v>
      </c>
      <c r="E96" s="106" t="n">
        <v>13</v>
      </c>
      <c r="F96" s="106" t="n">
        <v>49</v>
      </c>
      <c r="G96" s="106" t="n">
        <v>62</v>
      </c>
      <c r="H96" s="106" t="n">
        <v>68</v>
      </c>
      <c r="I96" s="106" t="n">
        <v>72</v>
      </c>
      <c r="J96" s="106" t="n">
        <v>51</v>
      </c>
      <c r="K96" s="106" t="n">
        <f aca="false">SUM(E96:J96)</f>
        <v>315</v>
      </c>
      <c r="L96" s="107" t="n">
        <v>65.74</v>
      </c>
      <c r="M96" s="107" t="n">
        <v>239.87</v>
      </c>
      <c r="N96" s="107" t="n">
        <v>322.89</v>
      </c>
      <c r="O96" s="107" t="n">
        <v>336.36</v>
      </c>
      <c r="P96" s="107" t="n">
        <v>362.7</v>
      </c>
      <c r="Q96" s="107" t="n">
        <v>269.01</v>
      </c>
      <c r="R96" s="107" t="n">
        <f aca="false">SUM(L96:Q96)</f>
        <v>1596.57</v>
      </c>
      <c r="S96" s="108" t="n">
        <v>64</v>
      </c>
      <c r="T96" s="108" t="n">
        <v>64</v>
      </c>
      <c r="U96" s="108" t="n">
        <v>64</v>
      </c>
      <c r="V96" s="108" t="n">
        <v>64</v>
      </c>
      <c r="W96" s="108" t="n">
        <v>64</v>
      </c>
      <c r="X96" s="108" t="n">
        <v>64</v>
      </c>
      <c r="Y96" s="107" t="n">
        <f aca="false">S96*$D96</f>
        <v>324.382476190476</v>
      </c>
      <c r="Z96" s="107" t="n">
        <f aca="false">T96*$D96</f>
        <v>324.382476190476</v>
      </c>
      <c r="AA96" s="107" t="n">
        <f aca="false">U96*$D96</f>
        <v>324.382476190476</v>
      </c>
      <c r="AB96" s="107" t="n">
        <f aca="false">V96*$D96</f>
        <v>324.382476190476</v>
      </c>
      <c r="AC96" s="107" t="n">
        <f aca="false">W96*$D96</f>
        <v>324.382476190476</v>
      </c>
      <c r="AD96" s="107" t="n">
        <f aca="false">X96*$D96</f>
        <v>324.382476190476</v>
      </c>
      <c r="AE96" s="107" t="n">
        <f aca="false">SUM(Y96:AD96)</f>
        <v>1946.29485714286</v>
      </c>
    </row>
    <row r="97" customFormat="false" ht="15" hidden="false" customHeight="false" outlineLevel="0" collapsed="false">
      <c r="A97" s="103" t="s">
        <v>543</v>
      </c>
      <c r="B97" s="104" t="n">
        <v>0</v>
      </c>
      <c r="C97" s="105" t="n">
        <f aca="false">IF(K97=0,0,R97/K97)</f>
        <v>10.7231034482759</v>
      </c>
      <c r="D97" s="105" t="n">
        <f aca="false">C97+B97</f>
        <v>10.7231034482759</v>
      </c>
      <c r="E97" s="106" t="n">
        <v>21</v>
      </c>
      <c r="F97" s="106" t="n">
        <v>16</v>
      </c>
      <c r="G97" s="106" t="n">
        <v>28</v>
      </c>
      <c r="H97" s="106" t="n">
        <v>24</v>
      </c>
      <c r="I97" s="106" t="n">
        <v>29</v>
      </c>
      <c r="J97" s="106" t="n">
        <v>27</v>
      </c>
      <c r="K97" s="106" t="n">
        <f aca="false">SUM(E97:J97)</f>
        <v>145</v>
      </c>
      <c r="L97" s="107" t="n">
        <v>224.2</v>
      </c>
      <c r="M97" s="107" t="n">
        <v>178.4</v>
      </c>
      <c r="N97" s="107" t="n">
        <v>308.35</v>
      </c>
      <c r="O97" s="107" t="n">
        <v>249.15</v>
      </c>
      <c r="P97" s="107" t="n">
        <v>303.15</v>
      </c>
      <c r="Q97" s="107" t="n">
        <v>291.6</v>
      </c>
      <c r="R97" s="107" t="n">
        <f aca="false">SUM(L97:Q97)</f>
        <v>1554.85</v>
      </c>
      <c r="S97" s="108" t="n">
        <v>27</v>
      </c>
      <c r="T97" s="108" t="n">
        <v>27</v>
      </c>
      <c r="U97" s="108" t="n">
        <v>27</v>
      </c>
      <c r="V97" s="108" t="n">
        <v>27</v>
      </c>
      <c r="W97" s="108" t="n">
        <v>27</v>
      </c>
      <c r="X97" s="108" t="n">
        <v>27</v>
      </c>
      <c r="Y97" s="107" t="n">
        <f aca="false">S97*$D97</f>
        <v>289.523793103448</v>
      </c>
      <c r="Z97" s="107" t="n">
        <f aca="false">T97*$D97</f>
        <v>289.523793103448</v>
      </c>
      <c r="AA97" s="107" t="n">
        <f aca="false">U97*$D97</f>
        <v>289.523793103448</v>
      </c>
      <c r="AB97" s="107" t="n">
        <f aca="false">V97*$D97</f>
        <v>289.523793103448</v>
      </c>
      <c r="AC97" s="107" t="n">
        <f aca="false">W97*$D97</f>
        <v>289.523793103448</v>
      </c>
      <c r="AD97" s="107" t="n">
        <f aca="false">X97*$D97</f>
        <v>289.523793103448</v>
      </c>
      <c r="AE97" s="107" t="n">
        <f aca="false">SUM(Y97:AD97)</f>
        <v>1737.14275862069</v>
      </c>
    </row>
    <row r="98" customFormat="false" ht="15" hidden="false" customHeight="false" outlineLevel="0" collapsed="false">
      <c r="A98" s="103" t="s">
        <v>544</v>
      </c>
      <c r="B98" s="104" t="n">
        <v>0</v>
      </c>
      <c r="C98" s="105" t="n">
        <f aca="false">IF(K98=0,0,R98/K98)</f>
        <v>12.2385714285714</v>
      </c>
      <c r="D98" s="105" t="n">
        <f aca="false">C98+B98</f>
        <v>12.2385714285714</v>
      </c>
      <c r="E98" s="106" t="n">
        <v>34</v>
      </c>
      <c r="F98" s="106" t="n">
        <v>15</v>
      </c>
      <c r="G98" s="106" t="n">
        <v>15</v>
      </c>
      <c r="H98" s="106" t="n">
        <v>22</v>
      </c>
      <c r="I98" s="106" t="n">
        <v>7</v>
      </c>
      <c r="J98" s="106" t="n">
        <v>12</v>
      </c>
      <c r="K98" s="106" t="n">
        <f aca="false">SUM(E98:J98)</f>
        <v>105</v>
      </c>
      <c r="L98" s="107" t="n">
        <v>417.55</v>
      </c>
      <c r="M98" s="107" t="n">
        <v>188.15</v>
      </c>
      <c r="N98" s="107" t="n">
        <v>172.35</v>
      </c>
      <c r="O98" s="107" t="n">
        <v>269.75</v>
      </c>
      <c r="P98" s="107" t="n">
        <v>83.2</v>
      </c>
      <c r="Q98" s="107" t="n">
        <v>154.05</v>
      </c>
      <c r="R98" s="107" t="n">
        <f aca="false">SUM(L98:Q98)</f>
        <v>1285.05</v>
      </c>
      <c r="S98" s="108" t="n">
        <v>14</v>
      </c>
      <c r="T98" s="108" t="n">
        <v>14</v>
      </c>
      <c r="U98" s="108" t="n">
        <v>14</v>
      </c>
      <c r="V98" s="108" t="n">
        <v>14</v>
      </c>
      <c r="W98" s="108" t="n">
        <v>14</v>
      </c>
      <c r="X98" s="108" t="n">
        <v>14</v>
      </c>
      <c r="Y98" s="107" t="n">
        <f aca="false">S98*$D98</f>
        <v>171.34</v>
      </c>
      <c r="Z98" s="107" t="n">
        <f aca="false">T98*$D98</f>
        <v>171.34</v>
      </c>
      <c r="AA98" s="107" t="n">
        <f aca="false">U98*$D98</f>
        <v>171.34</v>
      </c>
      <c r="AB98" s="107" t="n">
        <f aca="false">V98*$D98</f>
        <v>171.34</v>
      </c>
      <c r="AC98" s="107" t="n">
        <f aca="false">W98*$D98</f>
        <v>171.34</v>
      </c>
      <c r="AD98" s="107" t="n">
        <f aca="false">X98*$D98</f>
        <v>171.34</v>
      </c>
      <c r="AE98" s="107" t="n">
        <f aca="false">SUM(Y98:AD98)</f>
        <v>1028.04</v>
      </c>
    </row>
    <row r="99" customFormat="false" ht="15" hidden="false" customHeight="false" outlineLevel="0" collapsed="false">
      <c r="A99" s="103" t="s">
        <v>545</v>
      </c>
      <c r="B99" s="104" t="n">
        <v>0</v>
      </c>
      <c r="C99" s="105" t="n">
        <f aca="false">IF(K99=0,0,R99/K99)</f>
        <v>3.71906158357771</v>
      </c>
      <c r="D99" s="105" t="n">
        <f aca="false">C99+B99</f>
        <v>3.71906158357771</v>
      </c>
      <c r="E99" s="106" t="n">
        <v>45</v>
      </c>
      <c r="F99" s="106" t="n">
        <v>45</v>
      </c>
      <c r="G99" s="106" t="n">
        <v>63</v>
      </c>
      <c r="H99" s="106" t="n">
        <v>59</v>
      </c>
      <c r="I99" s="106" t="n">
        <v>62</v>
      </c>
      <c r="J99" s="106" t="n">
        <v>67</v>
      </c>
      <c r="K99" s="106" t="n">
        <f aca="false">SUM(E99:J99)</f>
        <v>341</v>
      </c>
      <c r="L99" s="107" t="n">
        <v>169.8</v>
      </c>
      <c r="M99" s="107" t="n">
        <v>164.8</v>
      </c>
      <c r="N99" s="107" t="n">
        <v>232.8</v>
      </c>
      <c r="O99" s="107" t="n">
        <v>209.6</v>
      </c>
      <c r="P99" s="107" t="n">
        <v>235.2</v>
      </c>
      <c r="Q99" s="107" t="n">
        <v>256</v>
      </c>
      <c r="R99" s="107" t="n">
        <f aca="false">SUM(L99:Q99)</f>
        <v>1268.2</v>
      </c>
      <c r="S99" s="108" t="n">
        <v>63</v>
      </c>
      <c r="T99" s="108" t="n">
        <v>63</v>
      </c>
      <c r="U99" s="108" t="n">
        <v>63</v>
      </c>
      <c r="V99" s="108" t="n">
        <v>63</v>
      </c>
      <c r="W99" s="108" t="n">
        <v>63</v>
      </c>
      <c r="X99" s="108" t="n">
        <v>63</v>
      </c>
      <c r="Y99" s="107" t="n">
        <f aca="false">S99*$D99</f>
        <v>234.300879765396</v>
      </c>
      <c r="Z99" s="107" t="n">
        <f aca="false">T99*$D99</f>
        <v>234.300879765396</v>
      </c>
      <c r="AA99" s="107" t="n">
        <f aca="false">U99*$D99</f>
        <v>234.300879765396</v>
      </c>
      <c r="AB99" s="107" t="n">
        <f aca="false">V99*$D99</f>
        <v>234.300879765396</v>
      </c>
      <c r="AC99" s="107" t="n">
        <f aca="false">W99*$D99</f>
        <v>234.300879765396</v>
      </c>
      <c r="AD99" s="107" t="n">
        <f aca="false">X99*$D99</f>
        <v>234.300879765396</v>
      </c>
      <c r="AE99" s="107" t="n">
        <f aca="false">SUM(Y99:AD99)</f>
        <v>1405.80527859238</v>
      </c>
    </row>
    <row r="100" customFormat="false" ht="15" hidden="false" customHeight="false" outlineLevel="0" collapsed="false">
      <c r="A100" s="103" t="s">
        <v>546</v>
      </c>
      <c r="B100" s="104" t="n">
        <v>1</v>
      </c>
      <c r="C100" s="105" t="n">
        <f aca="false">IF(K100=0,0,R100/K100)</f>
        <v>6.8541975308642</v>
      </c>
      <c r="D100" s="105" t="n">
        <f aca="false">C100+B100</f>
        <v>7.8541975308642</v>
      </c>
      <c r="E100" s="106" t="n">
        <v>0</v>
      </c>
      <c r="F100" s="106" t="n">
        <v>0</v>
      </c>
      <c r="G100" s="106" t="n">
        <v>0</v>
      </c>
      <c r="H100" s="106" t="n">
        <v>46</v>
      </c>
      <c r="I100" s="106" t="n">
        <v>84</v>
      </c>
      <c r="J100" s="106" t="n">
        <v>32</v>
      </c>
      <c r="K100" s="106" t="n">
        <f aca="false">SUM(E100:J100)</f>
        <v>162</v>
      </c>
      <c r="L100" s="107" t="n">
        <v>0</v>
      </c>
      <c r="M100" s="107" t="n">
        <v>0</v>
      </c>
      <c r="N100" s="107" t="n">
        <v>0</v>
      </c>
      <c r="O100" s="107" t="n">
        <v>301.68</v>
      </c>
      <c r="P100" s="107" t="n">
        <v>585.27</v>
      </c>
      <c r="Q100" s="107" t="n">
        <v>223.43</v>
      </c>
      <c r="R100" s="107" t="n">
        <f aca="false">SUM(L100:Q100)</f>
        <v>1110.38</v>
      </c>
      <c r="S100" s="108" t="n">
        <v>54</v>
      </c>
      <c r="T100" s="108" t="n">
        <v>54</v>
      </c>
      <c r="U100" s="108" t="n">
        <v>54</v>
      </c>
      <c r="V100" s="108" t="n">
        <v>54</v>
      </c>
      <c r="W100" s="108" t="n">
        <v>54</v>
      </c>
      <c r="X100" s="108" t="n">
        <v>54</v>
      </c>
      <c r="Y100" s="107" t="n">
        <f aca="false">S100*$D100</f>
        <v>424.126666666667</v>
      </c>
      <c r="Z100" s="107" t="n">
        <f aca="false">T100*$D100</f>
        <v>424.126666666667</v>
      </c>
      <c r="AA100" s="107" t="n">
        <f aca="false">U100*$D100</f>
        <v>424.126666666667</v>
      </c>
      <c r="AB100" s="107" t="n">
        <f aca="false">V100*$D100</f>
        <v>424.126666666667</v>
      </c>
      <c r="AC100" s="107" t="n">
        <f aca="false">W100*$D100</f>
        <v>424.126666666667</v>
      </c>
      <c r="AD100" s="107" t="n">
        <f aca="false">X100*$D100</f>
        <v>424.126666666667</v>
      </c>
      <c r="AE100" s="107" t="n">
        <f aca="false">SUM(Y100:AD100)</f>
        <v>2544.76</v>
      </c>
    </row>
    <row r="101" customFormat="false" ht="15" hidden="false" customHeight="false" outlineLevel="0" collapsed="false">
      <c r="A101" s="103" t="s">
        <v>547</v>
      </c>
      <c r="B101" s="104" t="n">
        <v>1</v>
      </c>
      <c r="C101" s="105" t="n">
        <f aca="false">IF(K101=0,0,R101/K101)</f>
        <v>7.76102941176471</v>
      </c>
      <c r="D101" s="105" t="n">
        <f aca="false">C101+B101</f>
        <v>8.76102941176471</v>
      </c>
      <c r="E101" s="106" t="n">
        <v>26</v>
      </c>
      <c r="F101" s="106" t="n">
        <v>11</v>
      </c>
      <c r="G101" s="106" t="n">
        <v>25</v>
      </c>
      <c r="H101" s="106" t="n">
        <v>27</v>
      </c>
      <c r="I101" s="106" t="n">
        <v>21</v>
      </c>
      <c r="J101" s="106" t="n">
        <v>26</v>
      </c>
      <c r="K101" s="106" t="n">
        <f aca="false">SUM(E101:J101)</f>
        <v>136</v>
      </c>
      <c r="L101" s="107" t="n">
        <v>208</v>
      </c>
      <c r="M101" s="107" t="n">
        <v>82.8</v>
      </c>
      <c r="N101" s="107" t="n">
        <v>193.6</v>
      </c>
      <c r="O101" s="107" t="n">
        <v>197.9</v>
      </c>
      <c r="P101" s="107" t="n">
        <v>164.4</v>
      </c>
      <c r="Q101" s="107" t="n">
        <v>208.8</v>
      </c>
      <c r="R101" s="107" t="n">
        <f aca="false">SUM(L101:Q101)</f>
        <v>1055.5</v>
      </c>
      <c r="S101" s="108" t="n">
        <v>25</v>
      </c>
      <c r="T101" s="108" t="n">
        <v>25</v>
      </c>
      <c r="U101" s="108" t="n">
        <v>25</v>
      </c>
      <c r="V101" s="108" t="n">
        <v>25</v>
      </c>
      <c r="W101" s="108" t="n">
        <v>25</v>
      </c>
      <c r="X101" s="108" t="n">
        <v>25</v>
      </c>
      <c r="Y101" s="107" t="n">
        <f aca="false">S101*$D101</f>
        <v>219.025735294118</v>
      </c>
      <c r="Z101" s="107" t="n">
        <f aca="false">T101*$D101</f>
        <v>219.025735294118</v>
      </c>
      <c r="AA101" s="107" t="n">
        <f aca="false">U101*$D101</f>
        <v>219.025735294118</v>
      </c>
      <c r="AB101" s="107" t="n">
        <f aca="false">V101*$D101</f>
        <v>219.025735294118</v>
      </c>
      <c r="AC101" s="107" t="n">
        <f aca="false">W101*$D101</f>
        <v>219.025735294118</v>
      </c>
      <c r="AD101" s="107" t="n">
        <f aca="false">X101*$D101</f>
        <v>219.025735294118</v>
      </c>
      <c r="AE101" s="107" t="n">
        <f aca="false">SUM(Y101:AD101)</f>
        <v>1314.15441176471</v>
      </c>
    </row>
    <row r="102" customFormat="false" ht="15" hidden="false" customHeight="false" outlineLevel="0" collapsed="false">
      <c r="A102" s="103" t="s">
        <v>548</v>
      </c>
      <c r="B102" s="104" t="n">
        <v>0</v>
      </c>
      <c r="C102" s="105" t="n">
        <f aca="false">IF(K102=0,0,R102/K102)</f>
        <v>5.87467065868264</v>
      </c>
      <c r="D102" s="105" t="n">
        <f aca="false">C102+B102</f>
        <v>5.87467065868264</v>
      </c>
      <c r="E102" s="106" t="n">
        <v>0</v>
      </c>
      <c r="F102" s="106" t="n">
        <v>0</v>
      </c>
      <c r="G102" s="106" t="n">
        <v>0</v>
      </c>
      <c r="H102" s="106" t="n">
        <v>66</v>
      </c>
      <c r="I102" s="106" t="n">
        <v>61</v>
      </c>
      <c r="J102" s="106" t="n">
        <v>40</v>
      </c>
      <c r="K102" s="106" t="n">
        <f aca="false">SUM(E102:J102)</f>
        <v>167</v>
      </c>
      <c r="L102" s="107" t="n">
        <v>0</v>
      </c>
      <c r="M102" s="107" t="n">
        <v>0</v>
      </c>
      <c r="N102" s="107" t="n">
        <v>0</v>
      </c>
      <c r="O102" s="107" t="n">
        <v>380.71</v>
      </c>
      <c r="P102" s="107" t="n">
        <v>359.1</v>
      </c>
      <c r="Q102" s="107" t="n">
        <v>241.26</v>
      </c>
      <c r="R102" s="107" t="n">
        <f aca="false">SUM(L102:Q102)</f>
        <v>981.07</v>
      </c>
      <c r="S102" s="108" t="n">
        <v>56</v>
      </c>
      <c r="T102" s="108" t="n">
        <v>56</v>
      </c>
      <c r="U102" s="108" t="n">
        <v>56</v>
      </c>
      <c r="V102" s="108" t="n">
        <v>56</v>
      </c>
      <c r="W102" s="108" t="n">
        <v>56</v>
      </c>
      <c r="X102" s="108" t="n">
        <v>56</v>
      </c>
      <c r="Y102" s="107" t="n">
        <f aca="false">S102*$D102</f>
        <v>328.981556886228</v>
      </c>
      <c r="Z102" s="107" t="n">
        <f aca="false">T102*$D102</f>
        <v>328.981556886228</v>
      </c>
      <c r="AA102" s="107" t="n">
        <f aca="false">U102*$D102</f>
        <v>328.981556886228</v>
      </c>
      <c r="AB102" s="107" t="n">
        <f aca="false">V102*$D102</f>
        <v>328.981556886228</v>
      </c>
      <c r="AC102" s="107" t="n">
        <f aca="false">W102*$D102</f>
        <v>328.981556886228</v>
      </c>
      <c r="AD102" s="107" t="n">
        <f aca="false">X102*$D102</f>
        <v>328.981556886228</v>
      </c>
      <c r="AE102" s="107" t="n">
        <f aca="false">SUM(Y102:AD102)</f>
        <v>1973.88934131737</v>
      </c>
    </row>
    <row r="103" customFormat="false" ht="15" hidden="false" customHeight="false" outlineLevel="0" collapsed="false">
      <c r="A103" s="103" t="s">
        <v>549</v>
      </c>
      <c r="B103" s="104" t="n">
        <v>0</v>
      </c>
      <c r="C103" s="105" t="n">
        <f aca="false">IF(K103=0,0,R103/K103)</f>
        <v>12.2404285714286</v>
      </c>
      <c r="D103" s="105" t="n">
        <f aca="false">C103+B103</f>
        <v>12.2404285714286</v>
      </c>
      <c r="E103" s="106" t="n">
        <v>0</v>
      </c>
      <c r="F103" s="106" t="n">
        <v>0</v>
      </c>
      <c r="G103" s="106" t="n">
        <v>6</v>
      </c>
      <c r="H103" s="106" t="n">
        <v>23</v>
      </c>
      <c r="I103" s="106" t="n">
        <v>28</v>
      </c>
      <c r="J103" s="106" t="n">
        <v>13</v>
      </c>
      <c r="K103" s="106" t="n">
        <f aca="false">SUM(E103:J103)</f>
        <v>70</v>
      </c>
      <c r="L103" s="107" t="n">
        <v>0</v>
      </c>
      <c r="M103" s="107" t="n">
        <v>0</v>
      </c>
      <c r="N103" s="107" t="n">
        <v>79.13</v>
      </c>
      <c r="O103" s="107" t="n">
        <v>273</v>
      </c>
      <c r="P103" s="107" t="n">
        <v>352.3</v>
      </c>
      <c r="Q103" s="107" t="n">
        <v>152.4</v>
      </c>
      <c r="R103" s="107" t="n">
        <f aca="false">SUM(L103:Q103)</f>
        <v>856.83</v>
      </c>
      <c r="S103" s="108" t="n">
        <v>21</v>
      </c>
      <c r="T103" s="108" t="n">
        <v>21</v>
      </c>
      <c r="U103" s="108" t="n">
        <v>21</v>
      </c>
      <c r="V103" s="108" t="n">
        <v>21</v>
      </c>
      <c r="W103" s="108" t="n">
        <v>21</v>
      </c>
      <c r="X103" s="108" t="n">
        <v>21</v>
      </c>
      <c r="Y103" s="107" t="n">
        <f aca="false">S103*$D103</f>
        <v>257.049</v>
      </c>
      <c r="Z103" s="107" t="n">
        <f aca="false">T103*$D103</f>
        <v>257.049</v>
      </c>
      <c r="AA103" s="107" t="n">
        <f aca="false">U103*$D103</f>
        <v>257.049</v>
      </c>
      <c r="AB103" s="107" t="n">
        <f aca="false">V103*$D103</f>
        <v>257.049</v>
      </c>
      <c r="AC103" s="107" t="n">
        <f aca="false">W103*$D103</f>
        <v>257.049</v>
      </c>
      <c r="AD103" s="107" t="n">
        <f aca="false">X103*$D103</f>
        <v>257.049</v>
      </c>
      <c r="AE103" s="107" t="n">
        <f aca="false">SUM(Y103:AD103)</f>
        <v>1542.294</v>
      </c>
    </row>
    <row r="104" customFormat="false" ht="15" hidden="false" customHeight="false" outlineLevel="0" collapsed="false">
      <c r="A104" s="103" t="s">
        <v>550</v>
      </c>
      <c r="B104" s="104" t="n">
        <v>0</v>
      </c>
      <c r="C104" s="105" t="n">
        <f aca="false">IF(K104=0,0,R104/K104)</f>
        <v>3.67619047619048</v>
      </c>
      <c r="D104" s="105" t="n">
        <f aca="false">C104+B104</f>
        <v>3.67619047619048</v>
      </c>
      <c r="E104" s="106" t="n">
        <v>24</v>
      </c>
      <c r="F104" s="106" t="n">
        <v>21</v>
      </c>
      <c r="G104" s="106" t="n">
        <v>27</v>
      </c>
      <c r="H104" s="106" t="n">
        <v>45</v>
      </c>
      <c r="I104" s="106" t="n">
        <v>50</v>
      </c>
      <c r="J104" s="106" t="n">
        <v>64</v>
      </c>
      <c r="K104" s="106" t="n">
        <f aca="false">SUM(E104:J104)</f>
        <v>231</v>
      </c>
      <c r="L104" s="107" t="n">
        <v>91</v>
      </c>
      <c r="M104" s="107" t="n">
        <v>73.8</v>
      </c>
      <c r="N104" s="107" t="n">
        <v>96.4</v>
      </c>
      <c r="O104" s="107" t="n">
        <v>157.4</v>
      </c>
      <c r="P104" s="107" t="n">
        <v>183.2</v>
      </c>
      <c r="Q104" s="107" t="n">
        <v>247.4</v>
      </c>
      <c r="R104" s="107" t="n">
        <f aca="false">SUM(L104:Q104)</f>
        <v>849.2</v>
      </c>
      <c r="S104" s="108" t="n">
        <v>53</v>
      </c>
      <c r="T104" s="108" t="n">
        <v>53</v>
      </c>
      <c r="U104" s="108" t="n">
        <v>53</v>
      </c>
      <c r="V104" s="108" t="n">
        <v>53</v>
      </c>
      <c r="W104" s="108" t="n">
        <v>53</v>
      </c>
      <c r="X104" s="108" t="n">
        <v>53</v>
      </c>
      <c r="Y104" s="107" t="n">
        <f aca="false">S104*$D104</f>
        <v>194.838095238095</v>
      </c>
      <c r="Z104" s="107" t="n">
        <f aca="false">T104*$D104</f>
        <v>194.838095238095</v>
      </c>
      <c r="AA104" s="107" t="n">
        <f aca="false">U104*$D104</f>
        <v>194.838095238095</v>
      </c>
      <c r="AB104" s="107" t="n">
        <f aca="false">V104*$D104</f>
        <v>194.838095238095</v>
      </c>
      <c r="AC104" s="107" t="n">
        <f aca="false">W104*$D104</f>
        <v>194.838095238095</v>
      </c>
      <c r="AD104" s="107" t="n">
        <f aca="false">X104*$D104</f>
        <v>194.838095238095</v>
      </c>
      <c r="AE104" s="107" t="n">
        <f aca="false">SUM(Y104:AD104)</f>
        <v>1169.02857142857</v>
      </c>
    </row>
    <row r="105" customFormat="false" ht="15" hidden="false" customHeight="false" outlineLevel="0" collapsed="false">
      <c r="A105" s="103" t="s">
        <v>551</v>
      </c>
      <c r="B105" s="104" t="n">
        <v>0</v>
      </c>
      <c r="C105" s="105" t="n">
        <f aca="false">IF(K105=0,0,R105/K105)</f>
        <v>11.5069014084507</v>
      </c>
      <c r="D105" s="105" t="n">
        <f aca="false">C105+B105</f>
        <v>11.5069014084507</v>
      </c>
      <c r="E105" s="106" t="n">
        <v>0</v>
      </c>
      <c r="F105" s="106" t="n">
        <v>0</v>
      </c>
      <c r="G105" s="106" t="n">
        <v>0</v>
      </c>
      <c r="H105" s="106" t="n">
        <v>23</v>
      </c>
      <c r="I105" s="106" t="n">
        <v>35</v>
      </c>
      <c r="J105" s="106" t="n">
        <v>13</v>
      </c>
      <c r="K105" s="106" t="n">
        <f aca="false">SUM(E105:J105)</f>
        <v>71</v>
      </c>
      <c r="L105" s="107" t="n">
        <v>0</v>
      </c>
      <c r="M105" s="107" t="n">
        <v>0</v>
      </c>
      <c r="N105" s="107" t="n">
        <v>0</v>
      </c>
      <c r="O105" s="107" t="n">
        <v>250.35</v>
      </c>
      <c r="P105" s="107" t="n">
        <v>409.94</v>
      </c>
      <c r="Q105" s="107" t="n">
        <v>156.7</v>
      </c>
      <c r="R105" s="107" t="n">
        <f aca="false">SUM(L105:Q105)</f>
        <v>816.99</v>
      </c>
      <c r="S105" s="108" t="n">
        <v>24</v>
      </c>
      <c r="T105" s="108" t="n">
        <v>24</v>
      </c>
      <c r="U105" s="108" t="n">
        <v>24</v>
      </c>
      <c r="V105" s="108" t="n">
        <v>24</v>
      </c>
      <c r="W105" s="108" t="n">
        <v>24</v>
      </c>
      <c r="X105" s="108" t="n">
        <v>24</v>
      </c>
      <c r="Y105" s="107" t="n">
        <f aca="false">S105*$D105</f>
        <v>276.165633802817</v>
      </c>
      <c r="Z105" s="107" t="n">
        <f aca="false">T105*$D105</f>
        <v>276.165633802817</v>
      </c>
      <c r="AA105" s="107" t="n">
        <f aca="false">U105*$D105</f>
        <v>276.165633802817</v>
      </c>
      <c r="AB105" s="107" t="n">
        <f aca="false">V105*$D105</f>
        <v>276.165633802817</v>
      </c>
      <c r="AC105" s="107" t="n">
        <f aca="false">W105*$D105</f>
        <v>276.165633802817</v>
      </c>
      <c r="AD105" s="107" t="n">
        <f aca="false">X105*$D105</f>
        <v>276.165633802817</v>
      </c>
      <c r="AE105" s="107" t="n">
        <f aca="false">SUM(Y105:AD105)</f>
        <v>1656.9938028169</v>
      </c>
    </row>
    <row r="106" customFormat="false" ht="15" hidden="false" customHeight="false" outlineLevel="0" collapsed="false">
      <c r="A106" s="103" t="s">
        <v>552</v>
      </c>
      <c r="B106" s="104" t="n">
        <v>0</v>
      </c>
      <c r="C106" s="105" t="n">
        <f aca="false">IF(K106=0,0,R106/K106)</f>
        <v>3.83707070707071</v>
      </c>
      <c r="D106" s="105" t="n">
        <f aca="false">C106+B106</f>
        <v>3.83707070707071</v>
      </c>
      <c r="E106" s="106" t="n">
        <v>31</v>
      </c>
      <c r="F106" s="106" t="n">
        <v>31</v>
      </c>
      <c r="G106" s="106" t="n">
        <v>40</v>
      </c>
      <c r="H106" s="106" t="n">
        <v>31</v>
      </c>
      <c r="I106" s="106" t="n">
        <v>29</v>
      </c>
      <c r="J106" s="106" t="n">
        <v>36</v>
      </c>
      <c r="K106" s="106" t="n">
        <f aca="false">SUM(E106:J106)</f>
        <v>198</v>
      </c>
      <c r="L106" s="107" t="n">
        <v>114.2</v>
      </c>
      <c r="M106" s="107" t="n">
        <v>106.6</v>
      </c>
      <c r="N106" s="107" t="n">
        <v>155</v>
      </c>
      <c r="O106" s="107" t="n">
        <v>112.6</v>
      </c>
      <c r="P106" s="107" t="n">
        <v>113.2</v>
      </c>
      <c r="Q106" s="107" t="n">
        <v>158.14</v>
      </c>
      <c r="R106" s="107" t="n">
        <f aca="false">SUM(L106:Q106)</f>
        <v>759.74</v>
      </c>
      <c r="S106" s="108" t="n">
        <v>32</v>
      </c>
      <c r="T106" s="108" t="n">
        <v>32</v>
      </c>
      <c r="U106" s="108" t="n">
        <v>32</v>
      </c>
      <c r="V106" s="108" t="n">
        <v>32</v>
      </c>
      <c r="W106" s="108" t="n">
        <v>32</v>
      </c>
      <c r="X106" s="108" t="n">
        <v>32</v>
      </c>
      <c r="Y106" s="107" t="n">
        <f aca="false">S106*$D106</f>
        <v>122.786262626263</v>
      </c>
      <c r="Z106" s="107" t="n">
        <f aca="false">T106*$D106</f>
        <v>122.786262626263</v>
      </c>
      <c r="AA106" s="107" t="n">
        <f aca="false">U106*$D106</f>
        <v>122.786262626263</v>
      </c>
      <c r="AB106" s="107" t="n">
        <f aca="false">V106*$D106</f>
        <v>122.786262626263</v>
      </c>
      <c r="AC106" s="107" t="n">
        <f aca="false">W106*$D106</f>
        <v>122.786262626263</v>
      </c>
      <c r="AD106" s="107" t="n">
        <f aca="false">X106*$D106</f>
        <v>122.786262626263</v>
      </c>
      <c r="AE106" s="107" t="n">
        <f aca="false">SUM(Y106:AD106)</f>
        <v>736.717575757576</v>
      </c>
    </row>
    <row r="107" customFormat="false" ht="15" hidden="false" customHeight="false" outlineLevel="0" collapsed="false">
      <c r="A107" s="103" t="s">
        <v>553</v>
      </c>
      <c r="B107" s="104" t="n">
        <v>1</v>
      </c>
      <c r="C107" s="105" t="n">
        <f aca="false">IF(K107=0,0,R107/K107)</f>
        <v>7.82291666666667</v>
      </c>
      <c r="D107" s="105" t="n">
        <f aca="false">C107+B107</f>
        <v>8.82291666666667</v>
      </c>
      <c r="E107" s="106" t="n">
        <v>11</v>
      </c>
      <c r="F107" s="106" t="n">
        <v>13</v>
      </c>
      <c r="G107" s="106" t="n">
        <v>25</v>
      </c>
      <c r="H107" s="106" t="n">
        <v>15</v>
      </c>
      <c r="I107" s="106" t="n">
        <v>10</v>
      </c>
      <c r="J107" s="106" t="n">
        <v>22</v>
      </c>
      <c r="K107" s="106" t="n">
        <f aca="false">SUM(E107:J107)</f>
        <v>96</v>
      </c>
      <c r="L107" s="107" t="n">
        <v>85.6</v>
      </c>
      <c r="M107" s="107" t="n">
        <v>104</v>
      </c>
      <c r="N107" s="107" t="n">
        <v>194.8</v>
      </c>
      <c r="O107" s="107" t="n">
        <v>111.8</v>
      </c>
      <c r="P107" s="107" t="n">
        <v>80</v>
      </c>
      <c r="Q107" s="107" t="n">
        <v>174.8</v>
      </c>
      <c r="R107" s="107" t="n">
        <f aca="false">SUM(L107:Q107)</f>
        <v>751</v>
      </c>
      <c r="S107" s="108" t="n">
        <v>16</v>
      </c>
      <c r="T107" s="108" t="n">
        <v>16</v>
      </c>
      <c r="U107" s="108" t="n">
        <v>16</v>
      </c>
      <c r="V107" s="108" t="n">
        <v>16</v>
      </c>
      <c r="W107" s="108" t="n">
        <v>16</v>
      </c>
      <c r="X107" s="108" t="n">
        <v>16</v>
      </c>
      <c r="Y107" s="107" t="n">
        <f aca="false">S107*$D107</f>
        <v>141.166666666667</v>
      </c>
      <c r="Z107" s="107" t="n">
        <f aca="false">T107*$D107</f>
        <v>141.166666666667</v>
      </c>
      <c r="AA107" s="107" t="n">
        <f aca="false">U107*$D107</f>
        <v>141.166666666667</v>
      </c>
      <c r="AB107" s="107" t="n">
        <f aca="false">V107*$D107</f>
        <v>141.166666666667</v>
      </c>
      <c r="AC107" s="107" t="n">
        <f aca="false">W107*$D107</f>
        <v>141.166666666667</v>
      </c>
      <c r="AD107" s="107" t="n">
        <f aca="false">X107*$D107</f>
        <v>141.166666666667</v>
      </c>
      <c r="AE107" s="107" t="n">
        <f aca="false">SUM(Y107:AD107)</f>
        <v>847</v>
      </c>
    </row>
    <row r="108" customFormat="false" ht="15" hidden="false" customHeight="false" outlineLevel="0" collapsed="false">
      <c r="A108" s="103" t="s">
        <v>554</v>
      </c>
      <c r="B108" s="104" t="n">
        <v>0</v>
      </c>
      <c r="C108" s="105" t="n">
        <f aca="false">IF(K108=0,0,R108/K108)</f>
        <v>4.60343949044586</v>
      </c>
      <c r="D108" s="105" t="n">
        <f aca="false">C108+B108</f>
        <v>4.60343949044586</v>
      </c>
      <c r="E108" s="106" t="n">
        <v>31</v>
      </c>
      <c r="F108" s="106" t="n">
        <v>26</v>
      </c>
      <c r="G108" s="106" t="n">
        <v>21</v>
      </c>
      <c r="H108" s="106" t="n">
        <v>17</v>
      </c>
      <c r="I108" s="106" t="n">
        <v>37</v>
      </c>
      <c r="J108" s="106" t="n">
        <v>25</v>
      </c>
      <c r="K108" s="106" t="n">
        <f aca="false">SUM(E108:J108)</f>
        <v>157</v>
      </c>
      <c r="L108" s="107" t="n">
        <v>145.75</v>
      </c>
      <c r="M108" s="107" t="n">
        <v>124</v>
      </c>
      <c r="N108" s="107" t="n">
        <v>99.75</v>
      </c>
      <c r="O108" s="107" t="n">
        <v>78.5</v>
      </c>
      <c r="P108" s="107" t="n">
        <v>177.25</v>
      </c>
      <c r="Q108" s="107" t="n">
        <v>97.49</v>
      </c>
      <c r="R108" s="107" t="n">
        <f aca="false">SUM(L108:Q108)</f>
        <v>722.74</v>
      </c>
      <c r="S108" s="108" t="n">
        <v>26</v>
      </c>
      <c r="T108" s="108" t="n">
        <v>26</v>
      </c>
      <c r="U108" s="108" t="n">
        <v>26</v>
      </c>
      <c r="V108" s="108" t="n">
        <v>26</v>
      </c>
      <c r="W108" s="108" t="n">
        <v>26</v>
      </c>
      <c r="X108" s="108" t="n">
        <v>26</v>
      </c>
      <c r="Y108" s="107" t="n">
        <f aca="false">S108*$D108</f>
        <v>119.689426751592</v>
      </c>
      <c r="Z108" s="107" t="n">
        <f aca="false">T108*$D108</f>
        <v>119.689426751592</v>
      </c>
      <c r="AA108" s="107" t="n">
        <f aca="false">U108*$D108</f>
        <v>119.689426751592</v>
      </c>
      <c r="AB108" s="107" t="n">
        <f aca="false">V108*$D108</f>
        <v>119.689426751592</v>
      </c>
      <c r="AC108" s="107" t="n">
        <f aca="false">W108*$D108</f>
        <v>119.689426751592</v>
      </c>
      <c r="AD108" s="107" t="n">
        <f aca="false">X108*$D108</f>
        <v>119.689426751592</v>
      </c>
      <c r="AE108" s="107" t="n">
        <f aca="false">SUM(Y108:AD108)</f>
        <v>718.136560509554</v>
      </c>
    </row>
    <row r="109" customFormat="false" ht="15" hidden="false" customHeight="false" outlineLevel="0" collapsed="false">
      <c r="A109" s="103" t="s">
        <v>555</v>
      </c>
      <c r="B109" s="104" t="n">
        <v>0</v>
      </c>
      <c r="C109" s="105" t="n">
        <f aca="false">IF(K109=0,0,R109/K109)</f>
        <v>5.70872</v>
      </c>
      <c r="D109" s="105" t="n">
        <f aca="false">C109+B109</f>
        <v>5.70872</v>
      </c>
      <c r="E109" s="106" t="n">
        <v>15</v>
      </c>
      <c r="F109" s="106" t="n">
        <v>20</v>
      </c>
      <c r="G109" s="106" t="n">
        <v>19</v>
      </c>
      <c r="H109" s="106" t="n">
        <v>35</v>
      </c>
      <c r="I109" s="106" t="n">
        <v>17</v>
      </c>
      <c r="J109" s="106" t="n">
        <v>19</v>
      </c>
      <c r="K109" s="106" t="n">
        <f aca="false">SUM(E109:J109)</f>
        <v>125</v>
      </c>
      <c r="L109" s="107" t="n">
        <v>95.17</v>
      </c>
      <c r="M109" s="107" t="n">
        <v>109.97</v>
      </c>
      <c r="N109" s="107" t="n">
        <v>101.9</v>
      </c>
      <c r="O109" s="107" t="n">
        <v>187.44</v>
      </c>
      <c r="P109" s="107" t="n">
        <v>91.55</v>
      </c>
      <c r="Q109" s="107" t="n">
        <v>127.56</v>
      </c>
      <c r="R109" s="107" t="n">
        <f aca="false">SUM(L109:Q109)</f>
        <v>713.59</v>
      </c>
      <c r="S109" s="108" t="n">
        <v>24</v>
      </c>
      <c r="T109" s="108" t="n">
        <v>24</v>
      </c>
      <c r="U109" s="108" t="n">
        <v>24</v>
      </c>
      <c r="V109" s="108" t="n">
        <v>24</v>
      </c>
      <c r="W109" s="108" t="n">
        <v>24</v>
      </c>
      <c r="X109" s="108" t="n">
        <v>24</v>
      </c>
      <c r="Y109" s="107" t="n">
        <f aca="false">S109*$D109</f>
        <v>137.00928</v>
      </c>
      <c r="Z109" s="107" t="n">
        <f aca="false">T109*$D109</f>
        <v>137.00928</v>
      </c>
      <c r="AA109" s="107" t="n">
        <f aca="false">U109*$D109</f>
        <v>137.00928</v>
      </c>
      <c r="AB109" s="107" t="n">
        <f aca="false">V109*$D109</f>
        <v>137.00928</v>
      </c>
      <c r="AC109" s="107" t="n">
        <f aca="false">W109*$D109</f>
        <v>137.00928</v>
      </c>
      <c r="AD109" s="107" t="n">
        <f aca="false">X109*$D109</f>
        <v>137.00928</v>
      </c>
      <c r="AE109" s="107" t="n">
        <f aca="false">SUM(Y109:AD109)</f>
        <v>822.05568</v>
      </c>
    </row>
    <row r="110" customFormat="false" ht="15" hidden="false" customHeight="false" outlineLevel="0" collapsed="false">
      <c r="A110" s="103" t="s">
        <v>556</v>
      </c>
      <c r="B110" s="104" t="n">
        <v>0</v>
      </c>
      <c r="C110" s="105" t="n">
        <f aca="false">IF(K110=0,0,R110/K110)</f>
        <v>4.58702702702703</v>
      </c>
      <c r="D110" s="105" t="n">
        <f aca="false">C110+B110</f>
        <v>4.58702702702703</v>
      </c>
      <c r="E110" s="106" t="n">
        <v>10</v>
      </c>
      <c r="F110" s="106" t="n">
        <v>6</v>
      </c>
      <c r="G110" s="106" t="n">
        <v>4</v>
      </c>
      <c r="H110" s="106" t="n">
        <v>40</v>
      </c>
      <c r="I110" s="106" t="n">
        <v>43</v>
      </c>
      <c r="J110" s="106" t="n">
        <v>45</v>
      </c>
      <c r="K110" s="106" t="n">
        <f aca="false">SUM(E110:J110)</f>
        <v>148</v>
      </c>
      <c r="L110" s="107" t="n">
        <v>44.82</v>
      </c>
      <c r="M110" s="107" t="n">
        <v>27</v>
      </c>
      <c r="N110" s="107" t="n">
        <v>17.1</v>
      </c>
      <c r="O110" s="107" t="n">
        <v>185.32</v>
      </c>
      <c r="P110" s="107" t="n">
        <v>198.5</v>
      </c>
      <c r="Q110" s="107" t="n">
        <v>206.14</v>
      </c>
      <c r="R110" s="107" t="n">
        <f aca="false">SUM(L110:Q110)</f>
        <v>678.88</v>
      </c>
      <c r="S110" s="108" t="n">
        <v>43</v>
      </c>
      <c r="T110" s="108" t="n">
        <v>43</v>
      </c>
      <c r="U110" s="108" t="n">
        <v>43</v>
      </c>
      <c r="V110" s="108" t="n">
        <v>43</v>
      </c>
      <c r="W110" s="108" t="n">
        <v>43</v>
      </c>
      <c r="X110" s="108" t="n">
        <v>43</v>
      </c>
      <c r="Y110" s="107" t="n">
        <f aca="false">S110*$D110</f>
        <v>197.242162162162</v>
      </c>
      <c r="Z110" s="107" t="n">
        <f aca="false">T110*$D110</f>
        <v>197.242162162162</v>
      </c>
      <c r="AA110" s="107" t="n">
        <f aca="false">U110*$D110</f>
        <v>197.242162162162</v>
      </c>
      <c r="AB110" s="107" t="n">
        <f aca="false">V110*$D110</f>
        <v>197.242162162162</v>
      </c>
      <c r="AC110" s="107" t="n">
        <f aca="false">W110*$D110</f>
        <v>197.242162162162</v>
      </c>
      <c r="AD110" s="107" t="n">
        <f aca="false">X110*$D110</f>
        <v>197.242162162162</v>
      </c>
      <c r="AE110" s="107" t="n">
        <f aca="false">SUM(Y110:AD110)</f>
        <v>1183.45297297297</v>
      </c>
    </row>
    <row r="111" customFormat="false" ht="15" hidden="false" customHeight="false" outlineLevel="0" collapsed="false">
      <c r="A111" s="103" t="s">
        <v>557</v>
      </c>
      <c r="B111" s="104" t="n">
        <v>0</v>
      </c>
      <c r="C111" s="105" t="n">
        <f aca="false">IF(K111=0,0,R111/K111)</f>
        <v>4.90891472868217</v>
      </c>
      <c r="D111" s="105" t="n">
        <f aca="false">C111+B111</f>
        <v>4.90891472868217</v>
      </c>
      <c r="E111" s="106" t="n">
        <v>2</v>
      </c>
      <c r="F111" s="106" t="n">
        <v>0</v>
      </c>
      <c r="G111" s="106" t="n">
        <v>15</v>
      </c>
      <c r="H111" s="106" t="n">
        <v>37</v>
      </c>
      <c r="I111" s="106" t="n">
        <v>41</v>
      </c>
      <c r="J111" s="106" t="n">
        <v>34</v>
      </c>
      <c r="K111" s="106" t="n">
        <f aca="false">SUM(E111:J111)</f>
        <v>129</v>
      </c>
      <c r="L111" s="107" t="n">
        <v>12</v>
      </c>
      <c r="M111" s="107" t="n">
        <v>0</v>
      </c>
      <c r="N111" s="107" t="n">
        <v>72.75</v>
      </c>
      <c r="O111" s="107" t="n">
        <v>182</v>
      </c>
      <c r="P111" s="107" t="n">
        <v>201.75</v>
      </c>
      <c r="Q111" s="107" t="n">
        <v>164.75</v>
      </c>
      <c r="R111" s="107" t="n">
        <f aca="false">SUM(L111:Q111)</f>
        <v>633.25</v>
      </c>
      <c r="S111" s="108" t="n">
        <v>37</v>
      </c>
      <c r="T111" s="108" t="n">
        <v>37</v>
      </c>
      <c r="U111" s="108" t="n">
        <v>37</v>
      </c>
      <c r="V111" s="108" t="n">
        <v>37</v>
      </c>
      <c r="W111" s="108" t="n">
        <v>37</v>
      </c>
      <c r="X111" s="108" t="n">
        <v>37</v>
      </c>
      <c r="Y111" s="107" t="n">
        <f aca="false">S111*$D111</f>
        <v>181.62984496124</v>
      </c>
      <c r="Z111" s="107" t="n">
        <f aca="false">T111*$D111</f>
        <v>181.62984496124</v>
      </c>
      <c r="AA111" s="107" t="n">
        <f aca="false">U111*$D111</f>
        <v>181.62984496124</v>
      </c>
      <c r="AB111" s="107" t="n">
        <f aca="false">V111*$D111</f>
        <v>181.62984496124</v>
      </c>
      <c r="AC111" s="107" t="n">
        <f aca="false">W111*$D111</f>
        <v>181.62984496124</v>
      </c>
      <c r="AD111" s="107" t="n">
        <f aca="false">X111*$D111</f>
        <v>181.62984496124</v>
      </c>
      <c r="AE111" s="107" t="n">
        <f aca="false">SUM(Y111:AD111)</f>
        <v>1089.77906976744</v>
      </c>
    </row>
    <row r="112" customFormat="false" ht="15" hidden="false" customHeight="false" outlineLevel="0" collapsed="false">
      <c r="A112" s="103" t="s">
        <v>558</v>
      </c>
      <c r="B112" s="104" t="n">
        <v>0</v>
      </c>
      <c r="C112" s="105" t="n">
        <f aca="false">IF(K112=0,0,R112/K112)</f>
        <v>3.31909638554217</v>
      </c>
      <c r="D112" s="105" t="n">
        <f aca="false">C112+B112</f>
        <v>3.31909638554217</v>
      </c>
      <c r="E112" s="106" t="n">
        <v>0</v>
      </c>
      <c r="F112" s="106" t="n">
        <v>4</v>
      </c>
      <c r="G112" s="106" t="n">
        <v>44</v>
      </c>
      <c r="H112" s="106" t="n">
        <v>44</v>
      </c>
      <c r="I112" s="106" t="n">
        <v>37</v>
      </c>
      <c r="J112" s="106" t="n">
        <v>37</v>
      </c>
      <c r="K112" s="106" t="n">
        <f aca="false">SUM(E112:J112)</f>
        <v>166</v>
      </c>
      <c r="L112" s="107" t="n">
        <v>0</v>
      </c>
      <c r="M112" s="107" t="n">
        <v>13.48</v>
      </c>
      <c r="N112" s="107" t="n">
        <v>139.49</v>
      </c>
      <c r="O112" s="107" t="n">
        <v>147.54</v>
      </c>
      <c r="P112" s="107" t="n">
        <v>124.27</v>
      </c>
      <c r="Q112" s="107" t="n">
        <v>126.19</v>
      </c>
      <c r="R112" s="107" t="n">
        <f aca="false">SUM(L112:Q112)</f>
        <v>550.97</v>
      </c>
      <c r="S112" s="108" t="n">
        <v>39</v>
      </c>
      <c r="T112" s="108" t="n">
        <v>39</v>
      </c>
      <c r="U112" s="108" t="n">
        <v>39</v>
      </c>
      <c r="V112" s="108" t="n">
        <v>39</v>
      </c>
      <c r="W112" s="108" t="n">
        <v>39</v>
      </c>
      <c r="X112" s="108" t="n">
        <v>39</v>
      </c>
      <c r="Y112" s="107" t="n">
        <f aca="false">S112*$D112</f>
        <v>129.444759036145</v>
      </c>
      <c r="Z112" s="107" t="n">
        <f aca="false">T112*$D112</f>
        <v>129.444759036145</v>
      </c>
      <c r="AA112" s="107" t="n">
        <f aca="false">U112*$D112</f>
        <v>129.444759036145</v>
      </c>
      <c r="AB112" s="107" t="n">
        <f aca="false">V112*$D112</f>
        <v>129.444759036145</v>
      </c>
      <c r="AC112" s="107" t="n">
        <f aca="false">W112*$D112</f>
        <v>129.444759036145</v>
      </c>
      <c r="AD112" s="107" t="n">
        <f aca="false">X112*$D112</f>
        <v>129.444759036145</v>
      </c>
      <c r="AE112" s="107" t="n">
        <f aca="false">SUM(Y112:AD112)</f>
        <v>776.668554216867</v>
      </c>
    </row>
    <row r="113" customFormat="false" ht="15" hidden="false" customHeight="false" outlineLevel="0" collapsed="false">
      <c r="A113" s="103" t="s">
        <v>559</v>
      </c>
      <c r="B113" s="104" t="n">
        <v>0</v>
      </c>
      <c r="C113" s="105" t="n">
        <f aca="false">IF(K113=0,0,R113/K113)</f>
        <v>7.95588235294118</v>
      </c>
      <c r="D113" s="105" t="n">
        <f aca="false">C113+B113</f>
        <v>7.95588235294118</v>
      </c>
      <c r="E113" s="106" t="n">
        <v>4</v>
      </c>
      <c r="F113" s="106" t="n">
        <v>4</v>
      </c>
      <c r="G113" s="106" t="n">
        <v>15</v>
      </c>
      <c r="H113" s="106" t="n">
        <v>15</v>
      </c>
      <c r="I113" s="106" t="n">
        <v>16</v>
      </c>
      <c r="J113" s="106" t="n">
        <v>14</v>
      </c>
      <c r="K113" s="106" t="n">
        <f aca="false">SUM(E113:J113)</f>
        <v>68</v>
      </c>
      <c r="L113" s="107" t="n">
        <v>30.8</v>
      </c>
      <c r="M113" s="107" t="n">
        <v>32</v>
      </c>
      <c r="N113" s="107" t="n">
        <v>120</v>
      </c>
      <c r="O113" s="107" t="n">
        <v>118.8</v>
      </c>
      <c r="P113" s="107" t="n">
        <v>127.4</v>
      </c>
      <c r="Q113" s="107" t="n">
        <v>112</v>
      </c>
      <c r="R113" s="107" t="n">
        <f aca="false">SUM(L113:Q113)</f>
        <v>541</v>
      </c>
      <c r="S113" s="108" t="n">
        <v>15</v>
      </c>
      <c r="T113" s="108" t="n">
        <v>15</v>
      </c>
      <c r="U113" s="108" t="n">
        <v>15</v>
      </c>
      <c r="V113" s="108" t="n">
        <v>15</v>
      </c>
      <c r="W113" s="108" t="n">
        <v>15</v>
      </c>
      <c r="X113" s="108" t="n">
        <v>15</v>
      </c>
      <c r="Y113" s="107" t="n">
        <f aca="false">S113*$D113</f>
        <v>119.338235294118</v>
      </c>
      <c r="Z113" s="107" t="n">
        <f aca="false">T113*$D113</f>
        <v>119.338235294118</v>
      </c>
      <c r="AA113" s="107" t="n">
        <f aca="false">U113*$D113</f>
        <v>119.338235294118</v>
      </c>
      <c r="AB113" s="107" t="n">
        <f aca="false">V113*$D113</f>
        <v>119.338235294118</v>
      </c>
      <c r="AC113" s="107" t="n">
        <f aca="false">W113*$D113</f>
        <v>119.338235294118</v>
      </c>
      <c r="AD113" s="107" t="n">
        <f aca="false">X113*$D113</f>
        <v>119.338235294118</v>
      </c>
      <c r="AE113" s="107" t="n">
        <f aca="false">SUM(Y113:AD113)</f>
        <v>716.029411764706</v>
      </c>
    </row>
    <row r="114" customFormat="false" ht="15" hidden="false" customHeight="false" outlineLevel="0" collapsed="false">
      <c r="A114" s="103" t="s">
        <v>560</v>
      </c>
      <c r="B114" s="104" t="n">
        <v>0</v>
      </c>
      <c r="C114" s="105" t="n">
        <f aca="false">IF(K114=0,0,R114/K114)</f>
        <v>3.8962962962963</v>
      </c>
      <c r="D114" s="105" t="n">
        <f aca="false">C114+B114</f>
        <v>3.8962962962963</v>
      </c>
      <c r="E114" s="106" t="n">
        <v>0</v>
      </c>
      <c r="F114" s="106" t="n">
        <v>14</v>
      </c>
      <c r="G114" s="106" t="n">
        <v>25</v>
      </c>
      <c r="H114" s="106" t="n">
        <v>35</v>
      </c>
      <c r="I114" s="106" t="n">
        <v>33</v>
      </c>
      <c r="J114" s="106" t="n">
        <v>28</v>
      </c>
      <c r="K114" s="106" t="n">
        <f aca="false">SUM(E114:J114)</f>
        <v>135</v>
      </c>
      <c r="L114" s="107" t="n">
        <v>0</v>
      </c>
      <c r="M114" s="107" t="n">
        <v>56</v>
      </c>
      <c r="N114" s="107" t="n">
        <v>91.4</v>
      </c>
      <c r="O114" s="107" t="n">
        <v>136</v>
      </c>
      <c r="P114" s="107" t="n">
        <v>131.4</v>
      </c>
      <c r="Q114" s="107" t="n">
        <v>111.2</v>
      </c>
      <c r="R114" s="107" t="n">
        <f aca="false">SUM(L114:Q114)</f>
        <v>526</v>
      </c>
      <c r="S114" s="108" t="n">
        <v>32</v>
      </c>
      <c r="T114" s="108" t="n">
        <v>32</v>
      </c>
      <c r="U114" s="108" t="n">
        <v>32</v>
      </c>
      <c r="V114" s="108" t="n">
        <v>32</v>
      </c>
      <c r="W114" s="108" t="n">
        <v>32</v>
      </c>
      <c r="X114" s="108" t="n">
        <v>32</v>
      </c>
      <c r="Y114" s="107" t="n">
        <f aca="false">S114*$D114</f>
        <v>124.681481481481</v>
      </c>
      <c r="Z114" s="107" t="n">
        <f aca="false">T114*$D114</f>
        <v>124.681481481481</v>
      </c>
      <c r="AA114" s="107" t="n">
        <f aca="false">U114*$D114</f>
        <v>124.681481481481</v>
      </c>
      <c r="AB114" s="107" t="n">
        <f aca="false">V114*$D114</f>
        <v>124.681481481481</v>
      </c>
      <c r="AC114" s="107" t="n">
        <f aca="false">W114*$D114</f>
        <v>124.681481481481</v>
      </c>
      <c r="AD114" s="107" t="n">
        <f aca="false">X114*$D114</f>
        <v>124.681481481481</v>
      </c>
      <c r="AE114" s="107" t="n">
        <f aca="false">SUM(Y114:AD114)</f>
        <v>748.088888888889</v>
      </c>
    </row>
    <row r="115" customFormat="false" ht="15" hidden="false" customHeight="false" outlineLevel="0" collapsed="false">
      <c r="A115" s="103" t="s">
        <v>561</v>
      </c>
      <c r="B115" s="104" t="n">
        <v>0</v>
      </c>
      <c r="C115" s="105" t="n">
        <f aca="false">IF(K115=0,0,R115/K115)</f>
        <v>13.7866666666667</v>
      </c>
      <c r="D115" s="105" t="n">
        <f aca="false">C115+B115</f>
        <v>13.7866666666667</v>
      </c>
      <c r="E115" s="106" t="n">
        <v>15</v>
      </c>
      <c r="F115" s="106" t="n">
        <v>11</v>
      </c>
      <c r="G115" s="106" t="n">
        <v>4</v>
      </c>
      <c r="H115" s="106" t="n">
        <v>0</v>
      </c>
      <c r="I115" s="106" t="n">
        <v>0</v>
      </c>
      <c r="J115" s="106" t="n">
        <v>0</v>
      </c>
      <c r="K115" s="106" t="n">
        <f aca="false">SUM(E115:J115)</f>
        <v>30</v>
      </c>
      <c r="L115" s="107" t="n">
        <v>205.7</v>
      </c>
      <c r="M115" s="107" t="n">
        <v>151.9</v>
      </c>
      <c r="N115" s="107" t="n">
        <v>56</v>
      </c>
      <c r="O115" s="107" t="n">
        <v>0</v>
      </c>
      <c r="P115" s="107" t="n">
        <v>0</v>
      </c>
      <c r="Q115" s="107" t="n">
        <v>0</v>
      </c>
      <c r="R115" s="107" t="n">
        <f aca="false">SUM(L115:Q115)</f>
        <v>413.6</v>
      </c>
      <c r="S115" s="108" t="n">
        <v>0</v>
      </c>
      <c r="T115" s="108" t="n">
        <v>0</v>
      </c>
      <c r="U115" s="108" t="n">
        <v>0</v>
      </c>
      <c r="V115" s="108" t="n">
        <v>0</v>
      </c>
      <c r="W115" s="108" t="n">
        <v>0</v>
      </c>
      <c r="X115" s="108" t="n">
        <v>0</v>
      </c>
      <c r="Y115" s="107" t="n">
        <f aca="false">S115*$D115</f>
        <v>0</v>
      </c>
      <c r="Z115" s="107" t="n">
        <f aca="false">T115*$D115</f>
        <v>0</v>
      </c>
      <c r="AA115" s="107" t="n">
        <f aca="false">U115*$D115</f>
        <v>0</v>
      </c>
      <c r="AB115" s="107" t="n">
        <f aca="false">V115*$D115</f>
        <v>0</v>
      </c>
      <c r="AC115" s="107" t="n">
        <f aca="false">W115*$D115</f>
        <v>0</v>
      </c>
      <c r="AD115" s="107" t="n">
        <f aca="false">X115*$D115</f>
        <v>0</v>
      </c>
      <c r="AE115" s="107" t="n">
        <f aca="false">SUM(Y115:AD115)</f>
        <v>0</v>
      </c>
    </row>
    <row r="116" customFormat="false" ht="15" hidden="false" customHeight="false" outlineLevel="0" collapsed="false">
      <c r="A116" s="103" t="s">
        <v>562</v>
      </c>
      <c r="B116" s="104" t="n">
        <v>0</v>
      </c>
      <c r="C116" s="105" t="n">
        <f aca="false">IF(K116=0,0,R116/K116)</f>
        <v>5.41864864864865</v>
      </c>
      <c r="D116" s="105" t="n">
        <f aca="false">C116+B116</f>
        <v>5.41864864864865</v>
      </c>
      <c r="E116" s="106" t="n">
        <v>7</v>
      </c>
      <c r="F116" s="106" t="n">
        <v>6</v>
      </c>
      <c r="G116" s="106" t="n">
        <v>21</v>
      </c>
      <c r="H116" s="106" t="n">
        <v>8</v>
      </c>
      <c r="I116" s="106" t="n">
        <v>3</v>
      </c>
      <c r="J116" s="106" t="n">
        <v>29</v>
      </c>
      <c r="K116" s="106" t="n">
        <f aca="false">SUM(E116:J116)</f>
        <v>74</v>
      </c>
      <c r="L116" s="107" t="n">
        <v>37.68</v>
      </c>
      <c r="M116" s="107" t="n">
        <v>32.18</v>
      </c>
      <c r="N116" s="107" t="n">
        <v>114.68</v>
      </c>
      <c r="O116" s="107" t="n">
        <v>44</v>
      </c>
      <c r="P116" s="107" t="n">
        <v>14.86</v>
      </c>
      <c r="Q116" s="107" t="n">
        <v>157.58</v>
      </c>
      <c r="R116" s="107" t="n">
        <f aca="false">SUM(L116:Q116)</f>
        <v>400.98</v>
      </c>
      <c r="S116" s="108" t="n">
        <v>13</v>
      </c>
      <c r="T116" s="108" t="n">
        <v>13</v>
      </c>
      <c r="U116" s="108" t="n">
        <v>13</v>
      </c>
      <c r="V116" s="108" t="n">
        <v>13</v>
      </c>
      <c r="W116" s="108" t="n">
        <v>13</v>
      </c>
      <c r="X116" s="108" t="n">
        <v>13</v>
      </c>
      <c r="Y116" s="107" t="n">
        <f aca="false">S116*$D116</f>
        <v>70.4424324324324</v>
      </c>
      <c r="Z116" s="107" t="n">
        <f aca="false">T116*$D116</f>
        <v>70.4424324324324</v>
      </c>
      <c r="AA116" s="107" t="n">
        <f aca="false">U116*$D116</f>
        <v>70.4424324324324</v>
      </c>
      <c r="AB116" s="107" t="n">
        <f aca="false">V116*$D116</f>
        <v>70.4424324324324</v>
      </c>
      <c r="AC116" s="107" t="n">
        <f aca="false">W116*$D116</f>
        <v>70.4424324324324</v>
      </c>
      <c r="AD116" s="107" t="n">
        <f aca="false">X116*$D116</f>
        <v>70.4424324324324</v>
      </c>
      <c r="AE116" s="107" t="n">
        <f aca="false">SUM(Y116:AD116)</f>
        <v>422.654594594595</v>
      </c>
    </row>
    <row r="117" customFormat="false" ht="15" hidden="false" customHeight="false" outlineLevel="0" collapsed="false">
      <c r="A117" s="103" t="s">
        <v>563</v>
      </c>
      <c r="B117" s="104" t="n">
        <v>0</v>
      </c>
      <c r="C117" s="105" t="n">
        <f aca="false">IF(K117=0,0,R117/K117)</f>
        <v>5.04144736842105</v>
      </c>
      <c r="D117" s="105" t="n">
        <f aca="false">C117+B117</f>
        <v>5.04144736842105</v>
      </c>
      <c r="E117" s="106" t="n">
        <v>39</v>
      </c>
      <c r="F117" s="106" t="n">
        <v>2</v>
      </c>
      <c r="G117" s="106" t="n">
        <v>11</v>
      </c>
      <c r="H117" s="106" t="n">
        <v>8</v>
      </c>
      <c r="I117" s="106" t="n">
        <v>8</v>
      </c>
      <c r="J117" s="106" t="n">
        <v>8</v>
      </c>
      <c r="K117" s="106" t="n">
        <f aca="false">SUM(E117:J117)</f>
        <v>76</v>
      </c>
      <c r="L117" s="107" t="n">
        <v>196.11</v>
      </c>
      <c r="M117" s="107" t="n">
        <v>11</v>
      </c>
      <c r="N117" s="107" t="n">
        <v>53.64</v>
      </c>
      <c r="O117" s="107" t="n">
        <v>40.43</v>
      </c>
      <c r="P117" s="107" t="n">
        <v>37.97</v>
      </c>
      <c r="Q117" s="107" t="n">
        <v>44</v>
      </c>
      <c r="R117" s="107" t="n">
        <f aca="false">SUM(L117:Q117)</f>
        <v>383.15</v>
      </c>
      <c r="S117" s="108" t="n">
        <v>8</v>
      </c>
      <c r="T117" s="108" t="n">
        <v>8</v>
      </c>
      <c r="U117" s="108" t="n">
        <v>8</v>
      </c>
      <c r="V117" s="108" t="n">
        <v>8</v>
      </c>
      <c r="W117" s="108" t="n">
        <v>8</v>
      </c>
      <c r="X117" s="108" t="n">
        <v>8</v>
      </c>
      <c r="Y117" s="107" t="n">
        <f aca="false">S117*$D117</f>
        <v>40.3315789473684</v>
      </c>
      <c r="Z117" s="107" t="n">
        <f aca="false">T117*$D117</f>
        <v>40.3315789473684</v>
      </c>
      <c r="AA117" s="107" t="n">
        <f aca="false">U117*$D117</f>
        <v>40.3315789473684</v>
      </c>
      <c r="AB117" s="107" t="n">
        <f aca="false">V117*$D117</f>
        <v>40.3315789473684</v>
      </c>
      <c r="AC117" s="107" t="n">
        <f aca="false">W117*$D117</f>
        <v>40.3315789473684</v>
      </c>
      <c r="AD117" s="107" t="n">
        <f aca="false">X117*$D117</f>
        <v>40.3315789473684</v>
      </c>
      <c r="AE117" s="107" t="n">
        <f aca="false">SUM(Y117:AD117)</f>
        <v>241.989473684211</v>
      </c>
    </row>
    <row r="118" customFormat="false" ht="15" hidden="false" customHeight="false" outlineLevel="0" collapsed="false">
      <c r="A118" s="103" t="s">
        <v>564</v>
      </c>
      <c r="B118" s="104" t="n">
        <v>0</v>
      </c>
      <c r="C118" s="105" t="n">
        <f aca="false">IF(K118=0,0,R118/K118)</f>
        <v>12.2290322580645</v>
      </c>
      <c r="D118" s="105" t="n">
        <f aca="false">C118+B118</f>
        <v>12.2290322580645</v>
      </c>
      <c r="E118" s="106" t="n">
        <v>0</v>
      </c>
      <c r="F118" s="106" t="n">
        <v>0</v>
      </c>
      <c r="G118" s="106" t="n">
        <v>10</v>
      </c>
      <c r="H118" s="106" t="n">
        <v>6</v>
      </c>
      <c r="I118" s="106" t="n">
        <v>12</v>
      </c>
      <c r="J118" s="106" t="n">
        <v>3</v>
      </c>
      <c r="K118" s="106" t="n">
        <f aca="false">SUM(E118:J118)</f>
        <v>31</v>
      </c>
      <c r="L118" s="107" t="n">
        <v>0</v>
      </c>
      <c r="M118" s="107" t="n">
        <v>0</v>
      </c>
      <c r="N118" s="107" t="n">
        <v>121.55</v>
      </c>
      <c r="O118" s="107" t="n">
        <v>76.05</v>
      </c>
      <c r="P118" s="107" t="n">
        <v>144</v>
      </c>
      <c r="Q118" s="107" t="n">
        <v>37.5</v>
      </c>
      <c r="R118" s="107" t="n">
        <f aca="false">SUM(L118:Q118)</f>
        <v>379.1</v>
      </c>
      <c r="S118" s="108" t="n">
        <v>7</v>
      </c>
      <c r="T118" s="108" t="n">
        <v>7</v>
      </c>
      <c r="U118" s="108" t="n">
        <v>7</v>
      </c>
      <c r="V118" s="108" t="n">
        <v>7</v>
      </c>
      <c r="W118" s="108" t="n">
        <v>7</v>
      </c>
      <c r="X118" s="108" t="n">
        <v>7</v>
      </c>
      <c r="Y118" s="107" t="n">
        <f aca="false">S118*$D118</f>
        <v>85.6032258064516</v>
      </c>
      <c r="Z118" s="107" t="n">
        <f aca="false">T118*$D118</f>
        <v>85.6032258064516</v>
      </c>
      <c r="AA118" s="107" t="n">
        <f aca="false">U118*$D118</f>
        <v>85.6032258064516</v>
      </c>
      <c r="AB118" s="107" t="n">
        <f aca="false">V118*$D118</f>
        <v>85.6032258064516</v>
      </c>
      <c r="AC118" s="107" t="n">
        <f aca="false">W118*$D118</f>
        <v>85.6032258064516</v>
      </c>
      <c r="AD118" s="107" t="n">
        <f aca="false">X118*$D118</f>
        <v>85.6032258064516</v>
      </c>
      <c r="AE118" s="107" t="n">
        <f aca="false">SUM(Y118:AD118)</f>
        <v>513.61935483871</v>
      </c>
    </row>
    <row r="119" customFormat="false" ht="15" hidden="false" customHeight="false" outlineLevel="0" collapsed="false">
      <c r="A119" s="103" t="s">
        <v>565</v>
      </c>
      <c r="B119" s="104" t="n">
        <v>0</v>
      </c>
      <c r="C119" s="105" t="n">
        <f aca="false">IF(K119=0,0,R119/K119)</f>
        <v>7.80625</v>
      </c>
      <c r="D119" s="105" t="n">
        <f aca="false">C119+B119</f>
        <v>7.80625</v>
      </c>
      <c r="E119" s="106" t="n">
        <v>0</v>
      </c>
      <c r="F119" s="106" t="n">
        <v>0</v>
      </c>
      <c r="G119" s="106" t="n">
        <v>0</v>
      </c>
      <c r="H119" s="106" t="n">
        <v>8</v>
      </c>
      <c r="I119" s="106" t="n">
        <v>22</v>
      </c>
      <c r="J119" s="106" t="n">
        <v>18</v>
      </c>
      <c r="K119" s="106" t="n">
        <f aca="false">SUM(E119:J119)</f>
        <v>48</v>
      </c>
      <c r="L119" s="107" t="n">
        <v>0</v>
      </c>
      <c r="M119" s="107" t="n">
        <v>0</v>
      </c>
      <c r="N119" s="107" t="n">
        <v>0</v>
      </c>
      <c r="O119" s="107" t="n">
        <v>64</v>
      </c>
      <c r="P119" s="107" t="n">
        <v>167.9</v>
      </c>
      <c r="Q119" s="107" t="n">
        <v>142.8</v>
      </c>
      <c r="R119" s="107" t="n">
        <f aca="false">SUM(L119:Q119)</f>
        <v>374.7</v>
      </c>
      <c r="S119" s="108" t="n">
        <v>16</v>
      </c>
      <c r="T119" s="108" t="n">
        <v>16</v>
      </c>
      <c r="U119" s="108" t="n">
        <v>16</v>
      </c>
      <c r="V119" s="108" t="n">
        <v>16</v>
      </c>
      <c r="W119" s="108" t="n">
        <v>16</v>
      </c>
      <c r="X119" s="108" t="n">
        <v>16</v>
      </c>
      <c r="Y119" s="107" t="n">
        <f aca="false">S119*$D119</f>
        <v>124.9</v>
      </c>
      <c r="Z119" s="107" t="n">
        <f aca="false">T119*$D119</f>
        <v>124.9</v>
      </c>
      <c r="AA119" s="107" t="n">
        <f aca="false">U119*$D119</f>
        <v>124.9</v>
      </c>
      <c r="AB119" s="107" t="n">
        <f aca="false">V119*$D119</f>
        <v>124.9</v>
      </c>
      <c r="AC119" s="107" t="n">
        <f aca="false">W119*$D119</f>
        <v>124.9</v>
      </c>
      <c r="AD119" s="107" t="n">
        <f aca="false">X119*$D119</f>
        <v>124.9</v>
      </c>
      <c r="AE119" s="107" t="n">
        <f aca="false">SUM(Y119:AD119)</f>
        <v>749.4</v>
      </c>
    </row>
    <row r="120" customFormat="false" ht="15" hidden="false" customHeight="false" outlineLevel="0" collapsed="false">
      <c r="A120" s="103" t="s">
        <v>566</v>
      </c>
      <c r="B120" s="104" t="n">
        <v>0</v>
      </c>
      <c r="C120" s="105" t="n">
        <f aca="false">IF(K120=0,0,R120/K120)</f>
        <v>12.887037037037</v>
      </c>
      <c r="D120" s="105" t="n">
        <f aca="false">C120+B120</f>
        <v>12.887037037037</v>
      </c>
      <c r="E120" s="106" t="n">
        <v>0</v>
      </c>
      <c r="F120" s="106" t="n">
        <v>0</v>
      </c>
      <c r="G120" s="106" t="n">
        <v>0</v>
      </c>
      <c r="H120" s="106" t="n">
        <v>0</v>
      </c>
      <c r="I120" s="106" t="n">
        <v>8</v>
      </c>
      <c r="J120" s="106" t="n">
        <v>19</v>
      </c>
      <c r="K120" s="106" t="n">
        <f aca="false">SUM(E120:J120)</f>
        <v>27</v>
      </c>
      <c r="L120" s="107" t="n">
        <v>0</v>
      </c>
      <c r="M120" s="107" t="n">
        <v>0</v>
      </c>
      <c r="N120" s="107" t="n">
        <v>0</v>
      </c>
      <c r="O120" s="107" t="n">
        <v>0</v>
      </c>
      <c r="P120" s="107" t="n">
        <v>104.3</v>
      </c>
      <c r="Q120" s="107" t="n">
        <v>243.65</v>
      </c>
      <c r="R120" s="107" t="n">
        <f aca="false">SUM(L120:Q120)</f>
        <v>347.95</v>
      </c>
      <c r="S120" s="108" t="n">
        <v>9</v>
      </c>
      <c r="T120" s="108" t="n">
        <v>9</v>
      </c>
      <c r="U120" s="108" t="n">
        <v>9</v>
      </c>
      <c r="V120" s="108" t="n">
        <v>9</v>
      </c>
      <c r="W120" s="108" t="n">
        <v>9</v>
      </c>
      <c r="X120" s="108" t="n">
        <v>9</v>
      </c>
      <c r="Y120" s="107" t="n">
        <f aca="false">S120*$D120</f>
        <v>115.983333333333</v>
      </c>
      <c r="Z120" s="107" t="n">
        <f aca="false">T120*$D120</f>
        <v>115.983333333333</v>
      </c>
      <c r="AA120" s="107" t="n">
        <f aca="false">U120*$D120</f>
        <v>115.983333333333</v>
      </c>
      <c r="AB120" s="107" t="n">
        <f aca="false">V120*$D120</f>
        <v>115.983333333333</v>
      </c>
      <c r="AC120" s="107" t="n">
        <f aca="false">W120*$D120</f>
        <v>115.983333333333</v>
      </c>
      <c r="AD120" s="107" t="n">
        <f aca="false">X120*$D120</f>
        <v>115.983333333333</v>
      </c>
      <c r="AE120" s="107" t="n">
        <f aca="false">SUM(Y120:AD120)</f>
        <v>695.9</v>
      </c>
    </row>
    <row r="121" customFormat="false" ht="15" hidden="false" customHeight="false" outlineLevel="0" collapsed="false">
      <c r="A121" s="103" t="s">
        <v>567</v>
      </c>
      <c r="B121" s="104" t="n">
        <v>0</v>
      </c>
      <c r="C121" s="105" t="n">
        <f aca="false">IF(K121=0,0,R121/K121)</f>
        <v>325</v>
      </c>
      <c r="D121" s="105" t="n">
        <f aca="false">C121+B121</f>
        <v>325</v>
      </c>
      <c r="E121" s="106" t="n">
        <v>0</v>
      </c>
      <c r="F121" s="106" t="n">
        <v>0</v>
      </c>
      <c r="G121" s="106" t="n">
        <v>1</v>
      </c>
      <c r="H121" s="106" t="n">
        <v>0</v>
      </c>
      <c r="I121" s="106" t="n">
        <v>0</v>
      </c>
      <c r="J121" s="106" t="n">
        <v>0</v>
      </c>
      <c r="K121" s="106" t="n">
        <f aca="false">SUM(E121:J121)</f>
        <v>1</v>
      </c>
      <c r="L121" s="107" t="n">
        <v>0</v>
      </c>
      <c r="M121" s="107" t="n">
        <v>0</v>
      </c>
      <c r="N121" s="107" t="n">
        <v>325</v>
      </c>
      <c r="O121" s="107" t="n">
        <v>0</v>
      </c>
      <c r="P121" s="107" t="n">
        <v>0</v>
      </c>
      <c r="Q121" s="107" t="n">
        <v>0</v>
      </c>
      <c r="R121" s="107" t="n">
        <f aca="false">SUM(L121:Q121)</f>
        <v>325</v>
      </c>
      <c r="S121" s="108" t="n">
        <v>0</v>
      </c>
      <c r="T121" s="108" t="n">
        <v>0</v>
      </c>
      <c r="U121" s="108" t="n">
        <v>0</v>
      </c>
      <c r="V121" s="108" t="n">
        <v>0</v>
      </c>
      <c r="W121" s="108" t="n">
        <v>0</v>
      </c>
      <c r="X121" s="108" t="n">
        <v>0</v>
      </c>
      <c r="Y121" s="107" t="n">
        <f aca="false">S121*$D121</f>
        <v>0</v>
      </c>
      <c r="Z121" s="107" t="n">
        <f aca="false">T121*$D121</f>
        <v>0</v>
      </c>
      <c r="AA121" s="107" t="n">
        <f aca="false">U121*$D121</f>
        <v>0</v>
      </c>
      <c r="AB121" s="107" t="n">
        <f aca="false">V121*$D121</f>
        <v>0</v>
      </c>
      <c r="AC121" s="107" t="n">
        <f aca="false">W121*$D121</f>
        <v>0</v>
      </c>
      <c r="AD121" s="107" t="n">
        <f aca="false">X121*$D121</f>
        <v>0</v>
      </c>
      <c r="AE121" s="107" t="n">
        <f aca="false">SUM(Y121:AD121)</f>
        <v>0</v>
      </c>
    </row>
    <row r="122" customFormat="false" ht="15" hidden="false" customHeight="false" outlineLevel="0" collapsed="false">
      <c r="A122" s="103" t="s">
        <v>568</v>
      </c>
      <c r="B122" s="104" t="n">
        <v>0</v>
      </c>
      <c r="C122" s="105" t="n">
        <f aca="false">IF(K122=0,0,R122/K122)</f>
        <v>325</v>
      </c>
      <c r="D122" s="105" t="n">
        <f aca="false">C122+B122</f>
        <v>325</v>
      </c>
      <c r="E122" s="106" t="n">
        <v>0</v>
      </c>
      <c r="F122" s="106" t="n">
        <v>0</v>
      </c>
      <c r="G122" s="106" t="n">
        <v>1</v>
      </c>
      <c r="H122" s="106" t="n">
        <v>0</v>
      </c>
      <c r="I122" s="106" t="n">
        <v>0</v>
      </c>
      <c r="J122" s="106" t="n">
        <v>0</v>
      </c>
      <c r="K122" s="106" t="n">
        <f aca="false">SUM(E122:J122)</f>
        <v>1</v>
      </c>
      <c r="L122" s="107" t="n">
        <v>0</v>
      </c>
      <c r="M122" s="107" t="n">
        <v>0</v>
      </c>
      <c r="N122" s="107" t="n">
        <v>325</v>
      </c>
      <c r="O122" s="107" t="n">
        <v>0</v>
      </c>
      <c r="P122" s="107" t="n">
        <v>0</v>
      </c>
      <c r="Q122" s="107" t="n">
        <v>0</v>
      </c>
      <c r="R122" s="107" t="n">
        <f aca="false">SUM(L122:Q122)</f>
        <v>325</v>
      </c>
      <c r="S122" s="108" t="n">
        <v>0</v>
      </c>
      <c r="T122" s="108" t="n">
        <v>0</v>
      </c>
      <c r="U122" s="108" t="n">
        <v>0</v>
      </c>
      <c r="V122" s="108" t="n">
        <v>0</v>
      </c>
      <c r="W122" s="108" t="n">
        <v>0</v>
      </c>
      <c r="X122" s="108" t="n">
        <v>0</v>
      </c>
      <c r="Y122" s="107" t="n">
        <f aca="false">S122*$D122</f>
        <v>0</v>
      </c>
      <c r="Z122" s="107" t="n">
        <f aca="false">T122*$D122</f>
        <v>0</v>
      </c>
      <c r="AA122" s="107" t="n">
        <f aca="false">U122*$D122</f>
        <v>0</v>
      </c>
      <c r="AB122" s="107" t="n">
        <f aca="false">V122*$D122</f>
        <v>0</v>
      </c>
      <c r="AC122" s="107" t="n">
        <f aca="false">W122*$D122</f>
        <v>0</v>
      </c>
      <c r="AD122" s="107" t="n">
        <f aca="false">X122*$D122</f>
        <v>0</v>
      </c>
      <c r="AE122" s="107" t="n">
        <f aca="false">SUM(Y122:AD122)</f>
        <v>0</v>
      </c>
    </row>
    <row r="123" customFormat="false" ht="15" hidden="false" customHeight="false" outlineLevel="0" collapsed="false">
      <c r="A123" s="103" t="s">
        <v>569</v>
      </c>
      <c r="B123" s="104" t="n">
        <v>0</v>
      </c>
      <c r="C123" s="105" t="n">
        <f aca="false">IF(K123=0,0,R123/K123)</f>
        <v>320</v>
      </c>
      <c r="D123" s="105" t="n">
        <f aca="false">C123+B123</f>
        <v>320</v>
      </c>
      <c r="E123" s="106" t="n">
        <v>0</v>
      </c>
      <c r="F123" s="106" t="n">
        <v>0</v>
      </c>
      <c r="G123" s="106" t="n">
        <v>1</v>
      </c>
      <c r="H123" s="106" t="n">
        <v>0</v>
      </c>
      <c r="I123" s="106" t="n">
        <v>0</v>
      </c>
      <c r="J123" s="106" t="n">
        <v>0</v>
      </c>
      <c r="K123" s="106" t="n">
        <f aca="false">SUM(E123:J123)</f>
        <v>1</v>
      </c>
      <c r="L123" s="107" t="n">
        <v>0</v>
      </c>
      <c r="M123" s="107" t="n">
        <v>0</v>
      </c>
      <c r="N123" s="107" t="n">
        <v>320</v>
      </c>
      <c r="O123" s="107" t="n">
        <v>0</v>
      </c>
      <c r="P123" s="107" t="n">
        <v>0</v>
      </c>
      <c r="Q123" s="107" t="n">
        <v>0</v>
      </c>
      <c r="R123" s="107" t="n">
        <f aca="false">SUM(L123:Q123)</f>
        <v>320</v>
      </c>
      <c r="S123" s="108" t="n">
        <v>0</v>
      </c>
      <c r="T123" s="108" t="n">
        <v>0</v>
      </c>
      <c r="U123" s="108" t="n">
        <v>0</v>
      </c>
      <c r="V123" s="108" t="n">
        <v>0</v>
      </c>
      <c r="W123" s="108" t="n">
        <v>0</v>
      </c>
      <c r="X123" s="108" t="n">
        <v>0</v>
      </c>
      <c r="Y123" s="107" t="n">
        <f aca="false">S123*$D123</f>
        <v>0</v>
      </c>
      <c r="Z123" s="107" t="n">
        <f aca="false">T123*$D123</f>
        <v>0</v>
      </c>
      <c r="AA123" s="107" t="n">
        <f aca="false">U123*$D123</f>
        <v>0</v>
      </c>
      <c r="AB123" s="107" t="n">
        <f aca="false">V123*$D123</f>
        <v>0</v>
      </c>
      <c r="AC123" s="107" t="n">
        <f aca="false">W123*$D123</f>
        <v>0</v>
      </c>
      <c r="AD123" s="107" t="n">
        <f aca="false">X123*$D123</f>
        <v>0</v>
      </c>
      <c r="AE123" s="107" t="n">
        <f aca="false">SUM(Y123:AD123)</f>
        <v>0</v>
      </c>
    </row>
    <row r="124" customFormat="false" ht="15" hidden="false" customHeight="false" outlineLevel="0" collapsed="false">
      <c r="A124" s="103" t="s">
        <v>570</v>
      </c>
      <c r="B124" s="104" t="n">
        <v>0</v>
      </c>
      <c r="C124" s="105" t="n">
        <f aca="false">IF(K124=0,0,R124/K124)</f>
        <v>5.37440677966102</v>
      </c>
      <c r="D124" s="105" t="n">
        <f aca="false">C124+B124</f>
        <v>5.37440677966102</v>
      </c>
      <c r="E124" s="106" t="n">
        <v>0</v>
      </c>
      <c r="F124" s="106" t="n">
        <v>7</v>
      </c>
      <c r="G124" s="106" t="n">
        <v>30</v>
      </c>
      <c r="H124" s="106" t="n">
        <v>4</v>
      </c>
      <c r="I124" s="106" t="n">
        <v>9</v>
      </c>
      <c r="J124" s="106" t="n">
        <v>9</v>
      </c>
      <c r="K124" s="106" t="n">
        <f aca="false">SUM(E124:J124)</f>
        <v>59</v>
      </c>
      <c r="L124" s="107" t="n">
        <v>0</v>
      </c>
      <c r="M124" s="107" t="n">
        <v>34.39</v>
      </c>
      <c r="N124" s="107" t="n">
        <v>162.53</v>
      </c>
      <c r="O124" s="107" t="n">
        <v>22</v>
      </c>
      <c r="P124" s="107" t="n">
        <v>48.67</v>
      </c>
      <c r="Q124" s="107" t="n">
        <v>49.5</v>
      </c>
      <c r="R124" s="107" t="n">
        <f aca="false">SUM(L124:Q124)</f>
        <v>317.09</v>
      </c>
      <c r="S124" s="108" t="n">
        <v>7</v>
      </c>
      <c r="T124" s="108" t="n">
        <v>7</v>
      </c>
      <c r="U124" s="108" t="n">
        <v>7</v>
      </c>
      <c r="V124" s="108" t="n">
        <v>7</v>
      </c>
      <c r="W124" s="108" t="n">
        <v>7</v>
      </c>
      <c r="X124" s="108" t="n">
        <v>7</v>
      </c>
      <c r="Y124" s="107" t="n">
        <f aca="false">S124*$D124</f>
        <v>37.6208474576271</v>
      </c>
      <c r="Z124" s="107" t="n">
        <f aca="false">T124*$D124</f>
        <v>37.6208474576271</v>
      </c>
      <c r="AA124" s="107" t="n">
        <f aca="false">U124*$D124</f>
        <v>37.6208474576271</v>
      </c>
      <c r="AB124" s="107" t="n">
        <f aca="false">V124*$D124</f>
        <v>37.6208474576271</v>
      </c>
      <c r="AC124" s="107" t="n">
        <f aca="false">W124*$D124</f>
        <v>37.6208474576271</v>
      </c>
      <c r="AD124" s="107" t="n">
        <f aca="false">X124*$D124</f>
        <v>37.6208474576271</v>
      </c>
      <c r="AE124" s="107" t="n">
        <f aca="false">SUM(Y124:AD124)</f>
        <v>225.725084745763</v>
      </c>
    </row>
    <row r="125" customFormat="false" ht="15" hidden="false" customHeight="false" outlineLevel="0" collapsed="false">
      <c r="A125" s="103" t="s">
        <v>571</v>
      </c>
      <c r="B125" s="104" t="n">
        <v>0</v>
      </c>
      <c r="C125" s="105" t="n">
        <f aca="false">IF(K125=0,0,R125/K125)</f>
        <v>6.314</v>
      </c>
      <c r="D125" s="105" t="n">
        <f aca="false">C125+B125</f>
        <v>6.314</v>
      </c>
      <c r="E125" s="106" t="n">
        <v>9</v>
      </c>
      <c r="F125" s="106" t="n">
        <v>5</v>
      </c>
      <c r="G125" s="106" t="n">
        <v>15</v>
      </c>
      <c r="H125" s="106" t="n">
        <v>8</v>
      </c>
      <c r="I125" s="106" t="n">
        <v>8</v>
      </c>
      <c r="J125" s="106" t="n">
        <v>5</v>
      </c>
      <c r="K125" s="106" t="n">
        <f aca="false">SUM(E125:J125)</f>
        <v>50</v>
      </c>
      <c r="L125" s="107" t="n">
        <v>57.4</v>
      </c>
      <c r="M125" s="107" t="n">
        <v>24.85</v>
      </c>
      <c r="N125" s="107" t="n">
        <v>92.4</v>
      </c>
      <c r="O125" s="107" t="n">
        <v>54.95</v>
      </c>
      <c r="P125" s="107" t="n">
        <v>52.5</v>
      </c>
      <c r="Q125" s="107" t="n">
        <v>33.6</v>
      </c>
      <c r="R125" s="107" t="n">
        <f aca="false">SUM(L125:Q125)</f>
        <v>315.7</v>
      </c>
      <c r="S125" s="108" t="n">
        <v>7</v>
      </c>
      <c r="T125" s="108" t="n">
        <v>7</v>
      </c>
      <c r="U125" s="108" t="n">
        <v>7</v>
      </c>
      <c r="V125" s="108" t="n">
        <v>7</v>
      </c>
      <c r="W125" s="108" t="n">
        <v>7</v>
      </c>
      <c r="X125" s="108" t="n">
        <v>7</v>
      </c>
      <c r="Y125" s="107" t="n">
        <f aca="false">S125*$D125</f>
        <v>44.198</v>
      </c>
      <c r="Z125" s="107" t="n">
        <f aca="false">T125*$D125</f>
        <v>44.198</v>
      </c>
      <c r="AA125" s="107" t="n">
        <f aca="false">U125*$D125</f>
        <v>44.198</v>
      </c>
      <c r="AB125" s="107" t="n">
        <f aca="false">V125*$D125</f>
        <v>44.198</v>
      </c>
      <c r="AC125" s="107" t="n">
        <f aca="false">W125*$D125</f>
        <v>44.198</v>
      </c>
      <c r="AD125" s="107" t="n">
        <f aca="false">X125*$D125</f>
        <v>44.198</v>
      </c>
      <c r="AE125" s="107" t="n">
        <f aca="false">SUM(Y125:AD125)</f>
        <v>265.188</v>
      </c>
    </row>
    <row r="126" customFormat="false" ht="15" hidden="false" customHeight="false" outlineLevel="0" collapsed="false">
      <c r="A126" s="103" t="s">
        <v>572</v>
      </c>
      <c r="B126" s="104" t="n">
        <v>0</v>
      </c>
      <c r="C126" s="105" t="n">
        <f aca="false">IF(K126=0,0,R126/K126)</f>
        <v>3.73571428571429</v>
      </c>
      <c r="D126" s="105" t="n">
        <f aca="false">C126+B126</f>
        <v>3.73571428571429</v>
      </c>
      <c r="E126" s="106" t="n">
        <v>0</v>
      </c>
      <c r="F126" s="106" t="n">
        <v>9</v>
      </c>
      <c r="G126" s="106" t="n">
        <v>18</v>
      </c>
      <c r="H126" s="106" t="n">
        <v>16</v>
      </c>
      <c r="I126" s="106" t="n">
        <v>21</v>
      </c>
      <c r="J126" s="106" t="n">
        <v>20</v>
      </c>
      <c r="K126" s="106" t="n">
        <f aca="false">SUM(E126:J126)</f>
        <v>84</v>
      </c>
      <c r="L126" s="107" t="n">
        <v>0</v>
      </c>
      <c r="M126" s="107" t="n">
        <v>34</v>
      </c>
      <c r="N126" s="107" t="n">
        <v>65.6</v>
      </c>
      <c r="O126" s="107" t="n">
        <v>53.8</v>
      </c>
      <c r="P126" s="107" t="n">
        <v>81</v>
      </c>
      <c r="Q126" s="107" t="n">
        <v>79.4</v>
      </c>
      <c r="R126" s="107" t="n">
        <f aca="false">SUM(L126:Q126)</f>
        <v>313.8</v>
      </c>
      <c r="S126" s="108" t="n">
        <v>19</v>
      </c>
      <c r="T126" s="108" t="n">
        <v>19</v>
      </c>
      <c r="U126" s="108" t="n">
        <v>19</v>
      </c>
      <c r="V126" s="108" t="n">
        <v>19</v>
      </c>
      <c r="W126" s="108" t="n">
        <v>19</v>
      </c>
      <c r="X126" s="108" t="n">
        <v>19</v>
      </c>
      <c r="Y126" s="107" t="n">
        <f aca="false">S126*$D126</f>
        <v>70.9785714285714</v>
      </c>
      <c r="Z126" s="107" t="n">
        <f aca="false">T126*$D126</f>
        <v>70.9785714285714</v>
      </c>
      <c r="AA126" s="107" t="n">
        <f aca="false">U126*$D126</f>
        <v>70.9785714285714</v>
      </c>
      <c r="AB126" s="107" t="n">
        <f aca="false">V126*$D126</f>
        <v>70.9785714285714</v>
      </c>
      <c r="AC126" s="107" t="n">
        <f aca="false">W126*$D126</f>
        <v>70.9785714285714</v>
      </c>
      <c r="AD126" s="107" t="n">
        <f aca="false">X126*$D126</f>
        <v>70.9785714285714</v>
      </c>
      <c r="AE126" s="107" t="n">
        <f aca="false">SUM(Y126:AD126)</f>
        <v>425.871428571429</v>
      </c>
    </row>
    <row r="127" customFormat="false" ht="15" hidden="false" customHeight="false" outlineLevel="0" collapsed="false">
      <c r="A127" s="103" t="s">
        <v>573</v>
      </c>
      <c r="B127" s="104" t="n">
        <v>0</v>
      </c>
      <c r="C127" s="105" t="n">
        <f aca="false">IF(K127=0,0,R127/K127)</f>
        <v>300</v>
      </c>
      <c r="D127" s="105" t="n">
        <f aca="false">C127+B127</f>
        <v>300</v>
      </c>
      <c r="E127" s="106" t="n">
        <v>0</v>
      </c>
      <c r="F127" s="106" t="n">
        <v>0</v>
      </c>
      <c r="G127" s="106" t="n">
        <v>1</v>
      </c>
      <c r="H127" s="106" t="n">
        <v>0</v>
      </c>
      <c r="I127" s="106" t="n">
        <v>0</v>
      </c>
      <c r="J127" s="106" t="n">
        <v>0</v>
      </c>
      <c r="K127" s="106" t="n">
        <f aca="false">SUM(E127:J127)</f>
        <v>1</v>
      </c>
      <c r="L127" s="107" t="n">
        <v>0</v>
      </c>
      <c r="M127" s="107" t="n">
        <v>0</v>
      </c>
      <c r="N127" s="107" t="n">
        <v>300</v>
      </c>
      <c r="O127" s="107" t="n">
        <v>0</v>
      </c>
      <c r="P127" s="107" t="n">
        <v>0</v>
      </c>
      <c r="Q127" s="107" t="n">
        <v>0</v>
      </c>
      <c r="R127" s="107" t="n">
        <f aca="false">SUM(L127:Q127)</f>
        <v>300</v>
      </c>
      <c r="S127" s="108" t="n">
        <v>0</v>
      </c>
      <c r="T127" s="108" t="n">
        <v>0</v>
      </c>
      <c r="U127" s="108" t="n">
        <v>0</v>
      </c>
      <c r="V127" s="108" t="n">
        <v>0</v>
      </c>
      <c r="W127" s="108" t="n">
        <v>0</v>
      </c>
      <c r="X127" s="108" t="n">
        <v>0</v>
      </c>
      <c r="Y127" s="107" t="n">
        <f aca="false">S127*$D127</f>
        <v>0</v>
      </c>
      <c r="Z127" s="107" t="n">
        <f aca="false">T127*$D127</f>
        <v>0</v>
      </c>
      <c r="AA127" s="107" t="n">
        <f aca="false">U127*$D127</f>
        <v>0</v>
      </c>
      <c r="AB127" s="107" t="n">
        <f aca="false">V127*$D127</f>
        <v>0</v>
      </c>
      <c r="AC127" s="107" t="n">
        <f aca="false">W127*$D127</f>
        <v>0</v>
      </c>
      <c r="AD127" s="107" t="n">
        <f aca="false">X127*$D127</f>
        <v>0</v>
      </c>
      <c r="AE127" s="107" t="n">
        <f aca="false">SUM(Y127:AD127)</f>
        <v>0</v>
      </c>
    </row>
    <row r="128" customFormat="false" ht="15" hidden="false" customHeight="false" outlineLevel="0" collapsed="false">
      <c r="A128" s="103" t="s">
        <v>574</v>
      </c>
      <c r="B128" s="104" t="n">
        <v>0</v>
      </c>
      <c r="C128" s="105" t="n">
        <f aca="false">IF(K128=0,0,R128/K128)</f>
        <v>6.75682926829268</v>
      </c>
      <c r="D128" s="105" t="n">
        <f aca="false">C128+B128</f>
        <v>6.75682926829268</v>
      </c>
      <c r="E128" s="106" t="n">
        <v>0</v>
      </c>
      <c r="F128" s="106" t="n">
        <v>41</v>
      </c>
      <c r="G128" s="106" t="n">
        <v>0</v>
      </c>
      <c r="H128" s="106" t="n">
        <v>0</v>
      </c>
      <c r="I128" s="106" t="n">
        <v>0</v>
      </c>
      <c r="J128" s="106" t="n">
        <v>0</v>
      </c>
      <c r="K128" s="106" t="n">
        <f aca="false">SUM(E128:J128)</f>
        <v>41</v>
      </c>
      <c r="L128" s="107" t="n">
        <v>0</v>
      </c>
      <c r="M128" s="107" t="n">
        <v>277.03</v>
      </c>
      <c r="N128" s="107" t="n">
        <v>0</v>
      </c>
      <c r="O128" s="107" t="n">
        <v>0</v>
      </c>
      <c r="P128" s="107" t="n">
        <v>0</v>
      </c>
      <c r="Q128" s="107" t="n">
        <v>0</v>
      </c>
      <c r="R128" s="107" t="n">
        <f aca="false">SUM(L128:Q128)</f>
        <v>277.03</v>
      </c>
      <c r="S128" s="108" t="n">
        <v>0</v>
      </c>
      <c r="T128" s="108" t="n">
        <v>0</v>
      </c>
      <c r="U128" s="108" t="n">
        <v>0</v>
      </c>
      <c r="V128" s="108" t="n">
        <v>0</v>
      </c>
      <c r="W128" s="108" t="n">
        <v>0</v>
      </c>
      <c r="X128" s="108" t="n">
        <v>0</v>
      </c>
      <c r="Y128" s="107" t="n">
        <f aca="false">S128*$D128</f>
        <v>0</v>
      </c>
      <c r="Z128" s="107" t="n">
        <f aca="false">T128*$D128</f>
        <v>0</v>
      </c>
      <c r="AA128" s="107" t="n">
        <f aca="false">U128*$D128</f>
        <v>0</v>
      </c>
      <c r="AB128" s="107" t="n">
        <f aca="false">V128*$D128</f>
        <v>0</v>
      </c>
      <c r="AC128" s="107" t="n">
        <f aca="false">W128*$D128</f>
        <v>0</v>
      </c>
      <c r="AD128" s="107" t="n">
        <f aca="false">X128*$D128</f>
        <v>0</v>
      </c>
      <c r="AE128" s="107" t="n">
        <f aca="false">SUM(Y128:AD128)</f>
        <v>0</v>
      </c>
    </row>
    <row r="129" customFormat="false" ht="15" hidden="false" customHeight="false" outlineLevel="0" collapsed="false">
      <c r="A129" s="103" t="s">
        <v>575</v>
      </c>
      <c r="B129" s="104" t="n">
        <v>0</v>
      </c>
      <c r="C129" s="105" t="n">
        <f aca="false">IF(K129=0,0,R129/K129)</f>
        <v>3.78930555555556</v>
      </c>
      <c r="D129" s="105" t="n">
        <f aca="false">C129+B129</f>
        <v>3.78930555555556</v>
      </c>
      <c r="E129" s="106" t="n">
        <v>6</v>
      </c>
      <c r="F129" s="106" t="n">
        <v>12</v>
      </c>
      <c r="G129" s="106" t="n">
        <v>17</v>
      </c>
      <c r="H129" s="106" t="n">
        <v>10</v>
      </c>
      <c r="I129" s="106" t="n">
        <v>9</v>
      </c>
      <c r="J129" s="106" t="n">
        <v>18</v>
      </c>
      <c r="K129" s="106" t="n">
        <f aca="false">SUM(E129:J129)</f>
        <v>72</v>
      </c>
      <c r="L129" s="107" t="n">
        <v>12</v>
      </c>
      <c r="M129" s="107" t="n">
        <v>31.08</v>
      </c>
      <c r="N129" s="107" t="n">
        <v>60.5</v>
      </c>
      <c r="O129" s="107" t="n">
        <v>31.5</v>
      </c>
      <c r="P129" s="107" t="n">
        <v>41.8</v>
      </c>
      <c r="Q129" s="107" t="n">
        <v>95.95</v>
      </c>
      <c r="R129" s="107" t="n">
        <f aca="false">SUM(L129:Q129)</f>
        <v>272.83</v>
      </c>
      <c r="S129" s="108" t="n">
        <v>12</v>
      </c>
      <c r="T129" s="108" t="n">
        <v>12</v>
      </c>
      <c r="U129" s="108" t="n">
        <v>12</v>
      </c>
      <c r="V129" s="108" t="n">
        <v>12</v>
      </c>
      <c r="W129" s="108" t="n">
        <v>12</v>
      </c>
      <c r="X129" s="108" t="n">
        <v>12</v>
      </c>
      <c r="Y129" s="107" t="n">
        <f aca="false">S129*$D129</f>
        <v>45.4716666666667</v>
      </c>
      <c r="Z129" s="107" t="n">
        <f aca="false">T129*$D129</f>
        <v>45.4716666666667</v>
      </c>
      <c r="AA129" s="107" t="n">
        <f aca="false">U129*$D129</f>
        <v>45.4716666666667</v>
      </c>
      <c r="AB129" s="107" t="n">
        <f aca="false">V129*$D129</f>
        <v>45.4716666666667</v>
      </c>
      <c r="AC129" s="107" t="n">
        <f aca="false">W129*$D129</f>
        <v>45.4716666666667</v>
      </c>
      <c r="AD129" s="107" t="n">
        <f aca="false">X129*$D129</f>
        <v>45.4716666666667</v>
      </c>
      <c r="AE129" s="107" t="n">
        <f aca="false">SUM(Y129:AD129)</f>
        <v>272.83</v>
      </c>
    </row>
    <row r="130" customFormat="false" ht="15" hidden="false" customHeight="false" outlineLevel="0" collapsed="false">
      <c r="A130" s="103" t="s">
        <v>576</v>
      </c>
      <c r="B130" s="104" t="n">
        <v>0</v>
      </c>
      <c r="C130" s="105" t="n">
        <f aca="false">IF(K130=0,0,R130/K130)</f>
        <v>250</v>
      </c>
      <c r="D130" s="105" t="n">
        <f aca="false">C130+B130</f>
        <v>250</v>
      </c>
      <c r="E130" s="106" t="n">
        <v>0</v>
      </c>
      <c r="F130" s="106" t="n">
        <v>0</v>
      </c>
      <c r="G130" s="106" t="n">
        <v>1</v>
      </c>
      <c r="H130" s="106" t="n">
        <v>0</v>
      </c>
      <c r="I130" s="106" t="n">
        <v>0</v>
      </c>
      <c r="J130" s="106" t="n">
        <v>0</v>
      </c>
      <c r="K130" s="106" t="n">
        <f aca="false">SUM(E130:J130)</f>
        <v>1</v>
      </c>
      <c r="L130" s="107" t="n">
        <v>0</v>
      </c>
      <c r="M130" s="107" t="n">
        <v>0</v>
      </c>
      <c r="N130" s="107" t="n">
        <v>250</v>
      </c>
      <c r="O130" s="107" t="n">
        <v>0</v>
      </c>
      <c r="P130" s="107" t="n">
        <v>0</v>
      </c>
      <c r="Q130" s="107" t="n">
        <v>0</v>
      </c>
      <c r="R130" s="107" t="n">
        <f aca="false">SUM(L130:Q130)</f>
        <v>250</v>
      </c>
      <c r="S130" s="108" t="n">
        <v>0</v>
      </c>
      <c r="T130" s="108" t="n">
        <v>0</v>
      </c>
      <c r="U130" s="108" t="n">
        <v>0</v>
      </c>
      <c r="V130" s="108" t="n">
        <v>0</v>
      </c>
      <c r="W130" s="108" t="n">
        <v>0</v>
      </c>
      <c r="X130" s="108" t="n">
        <v>0</v>
      </c>
      <c r="Y130" s="107" t="n">
        <f aca="false">S130*$D130</f>
        <v>0</v>
      </c>
      <c r="Z130" s="107" t="n">
        <f aca="false">T130*$D130</f>
        <v>0</v>
      </c>
      <c r="AA130" s="107" t="n">
        <f aca="false">U130*$D130</f>
        <v>0</v>
      </c>
      <c r="AB130" s="107" t="n">
        <f aca="false">V130*$D130</f>
        <v>0</v>
      </c>
      <c r="AC130" s="107" t="n">
        <f aca="false">W130*$D130</f>
        <v>0</v>
      </c>
      <c r="AD130" s="107" t="n">
        <f aca="false">X130*$D130</f>
        <v>0</v>
      </c>
      <c r="AE130" s="107" t="n">
        <f aca="false">SUM(Y130:AD130)</f>
        <v>0</v>
      </c>
    </row>
    <row r="131" customFormat="false" ht="15" hidden="false" customHeight="false" outlineLevel="0" collapsed="false">
      <c r="A131" s="103" t="s">
        <v>577</v>
      </c>
      <c r="B131" s="104" t="n">
        <v>0</v>
      </c>
      <c r="C131" s="105" t="n">
        <f aca="false">IF(K131=0,0,R131/K131)</f>
        <v>9.54</v>
      </c>
      <c r="D131" s="105" t="n">
        <f aca="false">C131+B131</f>
        <v>9.54</v>
      </c>
      <c r="E131" s="106" t="n">
        <v>0</v>
      </c>
      <c r="F131" s="106" t="n">
        <v>0</v>
      </c>
      <c r="G131" s="106" t="n">
        <v>0</v>
      </c>
      <c r="H131" s="106" t="n">
        <v>0</v>
      </c>
      <c r="I131" s="106" t="n">
        <v>8</v>
      </c>
      <c r="J131" s="106" t="n">
        <v>17</v>
      </c>
      <c r="K131" s="106" t="n">
        <f aca="false">SUM(E131:J131)</f>
        <v>25</v>
      </c>
      <c r="L131" s="107" t="n">
        <v>0</v>
      </c>
      <c r="M131" s="107" t="n">
        <v>0</v>
      </c>
      <c r="N131" s="107" t="n">
        <v>0</v>
      </c>
      <c r="O131" s="107" t="n">
        <v>0</v>
      </c>
      <c r="P131" s="107" t="n">
        <v>74</v>
      </c>
      <c r="Q131" s="107" t="n">
        <v>164.5</v>
      </c>
      <c r="R131" s="107" t="n">
        <f aca="false">SUM(L131:Q131)</f>
        <v>238.5</v>
      </c>
      <c r="S131" s="108" t="n">
        <v>8</v>
      </c>
      <c r="T131" s="108" t="n">
        <v>8</v>
      </c>
      <c r="U131" s="108" t="n">
        <v>8</v>
      </c>
      <c r="V131" s="108" t="n">
        <v>8</v>
      </c>
      <c r="W131" s="108" t="n">
        <v>8</v>
      </c>
      <c r="X131" s="108" t="n">
        <v>8</v>
      </c>
      <c r="Y131" s="107" t="n">
        <f aca="false">S131*$D131</f>
        <v>76.32</v>
      </c>
      <c r="Z131" s="107" t="n">
        <f aca="false">T131*$D131</f>
        <v>76.32</v>
      </c>
      <c r="AA131" s="107" t="n">
        <f aca="false">U131*$D131</f>
        <v>76.32</v>
      </c>
      <c r="AB131" s="107" t="n">
        <f aca="false">V131*$D131</f>
        <v>76.32</v>
      </c>
      <c r="AC131" s="107" t="n">
        <f aca="false">W131*$D131</f>
        <v>76.32</v>
      </c>
      <c r="AD131" s="107" t="n">
        <f aca="false">X131*$D131</f>
        <v>76.32</v>
      </c>
      <c r="AE131" s="107" t="n">
        <f aca="false">SUM(Y131:AD131)</f>
        <v>457.92</v>
      </c>
    </row>
    <row r="132" customFormat="false" ht="15" hidden="false" customHeight="false" outlineLevel="0" collapsed="false">
      <c r="A132" s="103" t="s">
        <v>578</v>
      </c>
      <c r="B132" s="104" t="n">
        <v>0</v>
      </c>
      <c r="C132" s="105" t="n">
        <f aca="false">IF(K132=0,0,R132/K132)</f>
        <v>4.95108695652174</v>
      </c>
      <c r="D132" s="105" t="n">
        <f aca="false">C132+B132</f>
        <v>4.95108695652174</v>
      </c>
      <c r="E132" s="106" t="n">
        <v>0</v>
      </c>
      <c r="F132" s="106" t="n">
        <v>10</v>
      </c>
      <c r="G132" s="106" t="n">
        <v>12</v>
      </c>
      <c r="H132" s="106" t="n">
        <v>7</v>
      </c>
      <c r="I132" s="106" t="n">
        <v>13</v>
      </c>
      <c r="J132" s="106" t="n">
        <v>4</v>
      </c>
      <c r="K132" s="106" t="n">
        <f aca="false">SUM(E132:J132)</f>
        <v>46</v>
      </c>
      <c r="L132" s="107" t="n">
        <v>0</v>
      </c>
      <c r="M132" s="107" t="n">
        <v>50</v>
      </c>
      <c r="N132" s="107" t="n">
        <v>58.5</v>
      </c>
      <c r="O132" s="107" t="n">
        <v>35</v>
      </c>
      <c r="P132" s="107" t="n">
        <v>64.25</v>
      </c>
      <c r="Q132" s="107" t="n">
        <v>20</v>
      </c>
      <c r="R132" s="107" t="n">
        <f aca="false">SUM(L132:Q132)</f>
        <v>227.75</v>
      </c>
      <c r="S132" s="108" t="n">
        <v>8</v>
      </c>
      <c r="T132" s="108" t="n">
        <v>8</v>
      </c>
      <c r="U132" s="108" t="n">
        <v>8</v>
      </c>
      <c r="V132" s="108" t="n">
        <v>8</v>
      </c>
      <c r="W132" s="108" t="n">
        <v>8</v>
      </c>
      <c r="X132" s="108" t="n">
        <v>8</v>
      </c>
      <c r="Y132" s="107" t="n">
        <f aca="false">S132*$D132</f>
        <v>39.6086956521739</v>
      </c>
      <c r="Z132" s="107" t="n">
        <f aca="false">T132*$D132</f>
        <v>39.6086956521739</v>
      </c>
      <c r="AA132" s="107" t="n">
        <f aca="false">U132*$D132</f>
        <v>39.6086956521739</v>
      </c>
      <c r="AB132" s="107" t="n">
        <f aca="false">V132*$D132</f>
        <v>39.6086956521739</v>
      </c>
      <c r="AC132" s="107" t="n">
        <f aca="false">W132*$D132</f>
        <v>39.6086956521739</v>
      </c>
      <c r="AD132" s="107" t="n">
        <f aca="false">X132*$D132</f>
        <v>39.6086956521739</v>
      </c>
      <c r="AE132" s="107" t="n">
        <f aca="false">SUM(Y132:AD132)</f>
        <v>237.652173913043</v>
      </c>
    </row>
    <row r="133" customFormat="false" ht="15" hidden="false" customHeight="false" outlineLevel="0" collapsed="false">
      <c r="A133" s="103" t="s">
        <v>579</v>
      </c>
      <c r="B133" s="104" t="n">
        <v>0</v>
      </c>
      <c r="C133" s="105" t="n">
        <f aca="false">IF(K133=0,0,R133/K133)</f>
        <v>6.85151515151515</v>
      </c>
      <c r="D133" s="105" t="n">
        <f aca="false">C133+B133</f>
        <v>6.85151515151515</v>
      </c>
      <c r="E133" s="106" t="n">
        <v>0</v>
      </c>
      <c r="F133" s="106" t="n">
        <v>0</v>
      </c>
      <c r="G133" s="106" t="n">
        <v>0</v>
      </c>
      <c r="H133" s="106" t="n">
        <v>2</v>
      </c>
      <c r="I133" s="106" t="n">
        <v>25</v>
      </c>
      <c r="J133" s="106" t="n">
        <v>6</v>
      </c>
      <c r="K133" s="106" t="n">
        <f aca="false">SUM(E133:J133)</f>
        <v>33</v>
      </c>
      <c r="L133" s="107" t="n">
        <v>0</v>
      </c>
      <c r="M133" s="107" t="n">
        <v>0</v>
      </c>
      <c r="N133" s="107" t="n">
        <v>0</v>
      </c>
      <c r="O133" s="107" t="n">
        <v>11.2</v>
      </c>
      <c r="P133" s="107" t="n">
        <v>175</v>
      </c>
      <c r="Q133" s="107" t="n">
        <v>39.9</v>
      </c>
      <c r="R133" s="107" t="n">
        <f aca="false">SUM(L133:Q133)</f>
        <v>226.1</v>
      </c>
      <c r="S133" s="108" t="n">
        <v>11</v>
      </c>
      <c r="T133" s="108" t="n">
        <v>11</v>
      </c>
      <c r="U133" s="108" t="n">
        <v>11</v>
      </c>
      <c r="V133" s="108" t="n">
        <v>11</v>
      </c>
      <c r="W133" s="108" t="n">
        <v>11</v>
      </c>
      <c r="X133" s="108" t="n">
        <v>11</v>
      </c>
      <c r="Y133" s="107" t="n">
        <f aca="false">S133*$D133</f>
        <v>75.3666666666667</v>
      </c>
      <c r="Z133" s="107" t="n">
        <f aca="false">T133*$D133</f>
        <v>75.3666666666667</v>
      </c>
      <c r="AA133" s="107" t="n">
        <f aca="false">U133*$D133</f>
        <v>75.3666666666667</v>
      </c>
      <c r="AB133" s="107" t="n">
        <f aca="false">V133*$D133</f>
        <v>75.3666666666667</v>
      </c>
      <c r="AC133" s="107" t="n">
        <f aca="false">W133*$D133</f>
        <v>75.3666666666667</v>
      </c>
      <c r="AD133" s="107" t="n">
        <f aca="false">X133*$D133</f>
        <v>75.3666666666667</v>
      </c>
      <c r="AE133" s="107" t="n">
        <f aca="false">SUM(Y133:AD133)</f>
        <v>452.2</v>
      </c>
    </row>
    <row r="134" customFormat="false" ht="15" hidden="false" customHeight="false" outlineLevel="0" collapsed="false">
      <c r="A134" s="103" t="s">
        <v>580</v>
      </c>
      <c r="B134" s="104" t="n">
        <v>0</v>
      </c>
      <c r="C134" s="105" t="n">
        <f aca="false">IF(K134=0,0,R134/K134)</f>
        <v>5.19953488372093</v>
      </c>
      <c r="D134" s="105" t="n">
        <f aca="false">C134+B134</f>
        <v>5.19953488372093</v>
      </c>
      <c r="E134" s="106" t="n">
        <v>22</v>
      </c>
      <c r="F134" s="106" t="n">
        <v>20</v>
      </c>
      <c r="G134" s="106" t="n">
        <v>1</v>
      </c>
      <c r="H134" s="106" t="n">
        <v>0</v>
      </c>
      <c r="I134" s="106" t="n">
        <v>0</v>
      </c>
      <c r="J134" s="106" t="n">
        <v>0</v>
      </c>
      <c r="K134" s="106" t="n">
        <f aca="false">SUM(E134:J134)</f>
        <v>43</v>
      </c>
      <c r="L134" s="107" t="n">
        <v>114.12</v>
      </c>
      <c r="M134" s="107" t="n">
        <v>106.71</v>
      </c>
      <c r="N134" s="107" t="n">
        <v>2.75</v>
      </c>
      <c r="O134" s="107" t="n">
        <v>0</v>
      </c>
      <c r="P134" s="107" t="n">
        <v>0</v>
      </c>
      <c r="Q134" s="107" t="n">
        <v>0</v>
      </c>
      <c r="R134" s="107" t="n">
        <f aca="false">SUM(L134:Q134)</f>
        <v>223.58</v>
      </c>
      <c r="S134" s="108" t="n">
        <v>0</v>
      </c>
      <c r="T134" s="108" t="n">
        <v>0</v>
      </c>
      <c r="U134" s="108" t="n">
        <v>0</v>
      </c>
      <c r="V134" s="108" t="n">
        <v>0</v>
      </c>
      <c r="W134" s="108" t="n">
        <v>0</v>
      </c>
      <c r="X134" s="108" t="n">
        <v>0</v>
      </c>
      <c r="Y134" s="107" t="n">
        <f aca="false">S134*$D134</f>
        <v>0</v>
      </c>
      <c r="Z134" s="107" t="n">
        <f aca="false">T134*$D134</f>
        <v>0</v>
      </c>
      <c r="AA134" s="107" t="n">
        <f aca="false">U134*$D134</f>
        <v>0</v>
      </c>
      <c r="AB134" s="107" t="n">
        <f aca="false">V134*$D134</f>
        <v>0</v>
      </c>
      <c r="AC134" s="107" t="n">
        <f aca="false">W134*$D134</f>
        <v>0</v>
      </c>
      <c r="AD134" s="107" t="n">
        <f aca="false">X134*$D134</f>
        <v>0</v>
      </c>
      <c r="AE134" s="107" t="n">
        <f aca="false">SUM(Y134:AD134)</f>
        <v>0</v>
      </c>
    </row>
    <row r="135" customFormat="false" ht="15" hidden="false" customHeight="false" outlineLevel="0" collapsed="false">
      <c r="A135" s="103" t="s">
        <v>581</v>
      </c>
      <c r="B135" s="104" t="n">
        <v>0</v>
      </c>
      <c r="C135" s="105" t="n">
        <f aca="false">IF(K135=0,0,R135/K135)</f>
        <v>3.97857142857143</v>
      </c>
      <c r="D135" s="105" t="n">
        <f aca="false">C135+B135</f>
        <v>3.97857142857143</v>
      </c>
      <c r="E135" s="106" t="n">
        <v>0</v>
      </c>
      <c r="F135" s="106" t="n">
        <v>11</v>
      </c>
      <c r="G135" s="106" t="n">
        <v>9</v>
      </c>
      <c r="H135" s="106" t="n">
        <v>8</v>
      </c>
      <c r="I135" s="106" t="n">
        <v>16</v>
      </c>
      <c r="J135" s="106" t="n">
        <v>12</v>
      </c>
      <c r="K135" s="106" t="n">
        <f aca="false">SUM(E135:J135)</f>
        <v>56</v>
      </c>
      <c r="L135" s="107" t="n">
        <v>0</v>
      </c>
      <c r="M135" s="107" t="n">
        <v>43.4</v>
      </c>
      <c r="N135" s="107" t="n">
        <v>35.4</v>
      </c>
      <c r="O135" s="107" t="n">
        <v>32</v>
      </c>
      <c r="P135" s="107" t="n">
        <v>64</v>
      </c>
      <c r="Q135" s="107" t="n">
        <v>48</v>
      </c>
      <c r="R135" s="107" t="n">
        <f aca="false">SUM(L135:Q135)</f>
        <v>222.8</v>
      </c>
      <c r="S135" s="108" t="n">
        <v>12</v>
      </c>
      <c r="T135" s="108" t="n">
        <v>12</v>
      </c>
      <c r="U135" s="108" t="n">
        <v>12</v>
      </c>
      <c r="V135" s="108" t="n">
        <v>12</v>
      </c>
      <c r="W135" s="108" t="n">
        <v>12</v>
      </c>
      <c r="X135" s="108" t="n">
        <v>12</v>
      </c>
      <c r="Y135" s="107" t="n">
        <f aca="false">S135*$D135</f>
        <v>47.7428571428572</v>
      </c>
      <c r="Z135" s="107" t="n">
        <f aca="false">T135*$D135</f>
        <v>47.7428571428572</v>
      </c>
      <c r="AA135" s="107" t="n">
        <f aca="false">U135*$D135</f>
        <v>47.7428571428572</v>
      </c>
      <c r="AB135" s="107" t="n">
        <f aca="false">V135*$D135</f>
        <v>47.7428571428572</v>
      </c>
      <c r="AC135" s="107" t="n">
        <f aca="false">W135*$D135</f>
        <v>47.7428571428572</v>
      </c>
      <c r="AD135" s="107" t="n">
        <f aca="false">X135*$D135</f>
        <v>47.7428571428572</v>
      </c>
      <c r="AE135" s="107" t="n">
        <f aca="false">SUM(Y135:AD135)</f>
        <v>286.457142857143</v>
      </c>
    </row>
    <row r="136" customFormat="false" ht="15" hidden="false" customHeight="false" outlineLevel="0" collapsed="false">
      <c r="A136" s="103" t="s">
        <v>582</v>
      </c>
      <c r="B136" s="104" t="n">
        <v>0</v>
      </c>
      <c r="C136" s="105" t="n">
        <f aca="false">IF(K136=0,0,R136/K136)</f>
        <v>220</v>
      </c>
      <c r="D136" s="105" t="n">
        <f aca="false">C136+B136</f>
        <v>220</v>
      </c>
      <c r="E136" s="106" t="n">
        <v>0</v>
      </c>
      <c r="F136" s="106" t="n">
        <v>0</v>
      </c>
      <c r="G136" s="106" t="n">
        <v>1</v>
      </c>
      <c r="H136" s="106" t="n">
        <v>0</v>
      </c>
      <c r="I136" s="106" t="n">
        <v>0</v>
      </c>
      <c r="J136" s="106" t="n">
        <v>0</v>
      </c>
      <c r="K136" s="106" t="n">
        <f aca="false">SUM(E136:J136)</f>
        <v>1</v>
      </c>
      <c r="L136" s="107" t="n">
        <v>0</v>
      </c>
      <c r="M136" s="107" t="n">
        <v>0</v>
      </c>
      <c r="N136" s="107" t="n">
        <v>220</v>
      </c>
      <c r="O136" s="107" t="n">
        <v>0</v>
      </c>
      <c r="P136" s="107" t="n">
        <v>0</v>
      </c>
      <c r="Q136" s="107" t="n">
        <v>0</v>
      </c>
      <c r="R136" s="107" t="n">
        <f aca="false">SUM(L136:Q136)</f>
        <v>220</v>
      </c>
      <c r="S136" s="108" t="n">
        <v>0</v>
      </c>
      <c r="T136" s="108" t="n">
        <v>0</v>
      </c>
      <c r="U136" s="108" t="n">
        <v>0</v>
      </c>
      <c r="V136" s="108" t="n">
        <v>0</v>
      </c>
      <c r="W136" s="108" t="n">
        <v>0</v>
      </c>
      <c r="X136" s="108" t="n">
        <v>0</v>
      </c>
      <c r="Y136" s="107" t="n">
        <f aca="false">S136*$D136</f>
        <v>0</v>
      </c>
      <c r="Z136" s="107" t="n">
        <f aca="false">T136*$D136</f>
        <v>0</v>
      </c>
      <c r="AA136" s="107" t="n">
        <f aca="false">U136*$D136</f>
        <v>0</v>
      </c>
      <c r="AB136" s="107" t="n">
        <f aca="false">V136*$D136</f>
        <v>0</v>
      </c>
      <c r="AC136" s="107" t="n">
        <f aca="false">W136*$D136</f>
        <v>0</v>
      </c>
      <c r="AD136" s="107" t="n">
        <f aca="false">X136*$D136</f>
        <v>0</v>
      </c>
      <c r="AE136" s="107" t="n">
        <f aca="false">SUM(Y136:AD136)</f>
        <v>0</v>
      </c>
    </row>
    <row r="137" customFormat="false" ht="15" hidden="false" customHeight="false" outlineLevel="0" collapsed="false">
      <c r="A137" s="103" t="s">
        <v>583</v>
      </c>
      <c r="B137" s="104" t="n">
        <v>0</v>
      </c>
      <c r="C137" s="105" t="n">
        <f aca="false">IF(K137=0,0,R137/K137)</f>
        <v>4.28823529411765</v>
      </c>
      <c r="D137" s="105" t="n">
        <f aca="false">C137+B137</f>
        <v>4.28823529411765</v>
      </c>
      <c r="E137" s="106" t="n">
        <v>6</v>
      </c>
      <c r="F137" s="106" t="n">
        <v>13</v>
      </c>
      <c r="G137" s="106" t="n">
        <v>9</v>
      </c>
      <c r="H137" s="106" t="n">
        <v>9</v>
      </c>
      <c r="I137" s="106" t="n">
        <v>3</v>
      </c>
      <c r="J137" s="106" t="n">
        <v>11</v>
      </c>
      <c r="K137" s="106" t="n">
        <f aca="false">SUM(E137:J137)</f>
        <v>51</v>
      </c>
      <c r="L137" s="107" t="n">
        <v>26.1</v>
      </c>
      <c r="M137" s="107" t="n">
        <v>54.23</v>
      </c>
      <c r="N137" s="107" t="n">
        <v>38.93</v>
      </c>
      <c r="O137" s="107" t="n">
        <v>37.12</v>
      </c>
      <c r="P137" s="107" t="n">
        <v>13.5</v>
      </c>
      <c r="Q137" s="107" t="n">
        <v>48.82</v>
      </c>
      <c r="R137" s="107" t="n">
        <f aca="false">SUM(L137:Q137)</f>
        <v>218.7</v>
      </c>
      <c r="S137" s="108" t="n">
        <v>8</v>
      </c>
      <c r="T137" s="108" t="n">
        <v>8</v>
      </c>
      <c r="U137" s="108" t="n">
        <v>8</v>
      </c>
      <c r="V137" s="108" t="n">
        <v>8</v>
      </c>
      <c r="W137" s="108" t="n">
        <v>8</v>
      </c>
      <c r="X137" s="108" t="n">
        <v>8</v>
      </c>
      <c r="Y137" s="107" t="n">
        <f aca="false">S137*$D137</f>
        <v>34.3058823529412</v>
      </c>
      <c r="Z137" s="107" t="n">
        <f aca="false">T137*$D137</f>
        <v>34.3058823529412</v>
      </c>
      <c r="AA137" s="107" t="n">
        <f aca="false">U137*$D137</f>
        <v>34.3058823529412</v>
      </c>
      <c r="AB137" s="107" t="n">
        <f aca="false">V137*$D137</f>
        <v>34.3058823529412</v>
      </c>
      <c r="AC137" s="107" t="n">
        <f aca="false">W137*$D137</f>
        <v>34.3058823529412</v>
      </c>
      <c r="AD137" s="107" t="n">
        <f aca="false">X137*$D137</f>
        <v>34.3058823529412</v>
      </c>
      <c r="AE137" s="107" t="n">
        <f aca="false">SUM(Y137:AD137)</f>
        <v>205.835294117647</v>
      </c>
    </row>
    <row r="138" customFormat="false" ht="15" hidden="false" customHeight="false" outlineLevel="0" collapsed="false">
      <c r="A138" s="103" t="s">
        <v>584</v>
      </c>
      <c r="B138" s="104" t="n">
        <v>0</v>
      </c>
      <c r="C138" s="105" t="n">
        <f aca="false">IF(K138=0,0,R138/K138)</f>
        <v>10.2714285714286</v>
      </c>
      <c r="D138" s="105" t="n">
        <f aca="false">C138+B138</f>
        <v>10.2714285714286</v>
      </c>
      <c r="E138" s="106" t="n">
        <v>0</v>
      </c>
      <c r="F138" s="106" t="n">
        <v>0</v>
      </c>
      <c r="G138" s="106" t="n">
        <v>8</v>
      </c>
      <c r="H138" s="106" t="n">
        <v>3</v>
      </c>
      <c r="I138" s="106" t="n">
        <v>4</v>
      </c>
      <c r="J138" s="106" t="n">
        <v>6</v>
      </c>
      <c r="K138" s="106" t="n">
        <f aca="false">SUM(E138:J138)</f>
        <v>21</v>
      </c>
      <c r="L138" s="107" t="n">
        <v>0</v>
      </c>
      <c r="M138" s="107" t="n">
        <v>0</v>
      </c>
      <c r="N138" s="107" t="n">
        <v>88.2</v>
      </c>
      <c r="O138" s="107" t="n">
        <v>30.5</v>
      </c>
      <c r="P138" s="107" t="n">
        <v>37</v>
      </c>
      <c r="Q138" s="107" t="n">
        <v>60</v>
      </c>
      <c r="R138" s="107" t="n">
        <f aca="false">SUM(L138:Q138)</f>
        <v>215.7</v>
      </c>
      <c r="S138" s="108" t="n">
        <v>4</v>
      </c>
      <c r="T138" s="108" t="n">
        <v>4</v>
      </c>
      <c r="U138" s="108" t="n">
        <v>4</v>
      </c>
      <c r="V138" s="108" t="n">
        <v>4</v>
      </c>
      <c r="W138" s="108" t="n">
        <v>4</v>
      </c>
      <c r="X138" s="108" t="n">
        <v>4</v>
      </c>
      <c r="Y138" s="107" t="n">
        <f aca="false">S138*$D138</f>
        <v>41.0857142857143</v>
      </c>
      <c r="Z138" s="107" t="n">
        <f aca="false">T138*$D138</f>
        <v>41.0857142857143</v>
      </c>
      <c r="AA138" s="107" t="n">
        <f aca="false">U138*$D138</f>
        <v>41.0857142857143</v>
      </c>
      <c r="AB138" s="107" t="n">
        <f aca="false">V138*$D138</f>
        <v>41.0857142857143</v>
      </c>
      <c r="AC138" s="107" t="n">
        <f aca="false">W138*$D138</f>
        <v>41.0857142857143</v>
      </c>
      <c r="AD138" s="107" t="n">
        <f aca="false">X138*$D138</f>
        <v>41.0857142857143</v>
      </c>
      <c r="AE138" s="107" t="n">
        <f aca="false">SUM(Y138:AD138)</f>
        <v>246.514285714286</v>
      </c>
    </row>
    <row r="139" customFormat="false" ht="15" hidden="false" customHeight="false" outlineLevel="0" collapsed="false">
      <c r="A139" s="103" t="s">
        <v>585</v>
      </c>
      <c r="B139" s="104" t="n">
        <v>0</v>
      </c>
      <c r="C139" s="105" t="n">
        <f aca="false">IF(K139=0,0,R139/K139)</f>
        <v>2.690375</v>
      </c>
      <c r="D139" s="105" t="n">
        <f aca="false">C139+B139</f>
        <v>2.690375</v>
      </c>
      <c r="E139" s="106" t="n">
        <v>7</v>
      </c>
      <c r="F139" s="106" t="n">
        <v>15</v>
      </c>
      <c r="G139" s="106" t="n">
        <v>23</v>
      </c>
      <c r="H139" s="106" t="n">
        <v>9</v>
      </c>
      <c r="I139" s="106" t="n">
        <v>13</v>
      </c>
      <c r="J139" s="106" t="n">
        <v>13</v>
      </c>
      <c r="K139" s="106" t="n">
        <f aca="false">SUM(E139:J139)</f>
        <v>80</v>
      </c>
      <c r="L139" s="107" t="n">
        <v>14</v>
      </c>
      <c r="M139" s="107" t="n">
        <v>46.15</v>
      </c>
      <c r="N139" s="107" t="n">
        <v>57.37</v>
      </c>
      <c r="O139" s="107" t="n">
        <v>21.4</v>
      </c>
      <c r="P139" s="107" t="n">
        <v>35.59</v>
      </c>
      <c r="Q139" s="107" t="n">
        <v>40.72</v>
      </c>
      <c r="R139" s="107" t="n">
        <f aca="false">SUM(L139:Q139)</f>
        <v>215.23</v>
      </c>
      <c r="S139" s="108" t="n">
        <v>12</v>
      </c>
      <c r="T139" s="108" t="n">
        <v>12</v>
      </c>
      <c r="U139" s="108" t="n">
        <v>12</v>
      </c>
      <c r="V139" s="108" t="n">
        <v>12</v>
      </c>
      <c r="W139" s="108" t="n">
        <v>12</v>
      </c>
      <c r="X139" s="108" t="n">
        <v>12</v>
      </c>
      <c r="Y139" s="107" t="n">
        <f aca="false">S139*$D139</f>
        <v>32.2845</v>
      </c>
      <c r="Z139" s="107" t="n">
        <f aca="false">T139*$D139</f>
        <v>32.2845</v>
      </c>
      <c r="AA139" s="107" t="n">
        <f aca="false">U139*$D139</f>
        <v>32.2845</v>
      </c>
      <c r="AB139" s="107" t="n">
        <f aca="false">V139*$D139</f>
        <v>32.2845</v>
      </c>
      <c r="AC139" s="107" t="n">
        <f aca="false">W139*$D139</f>
        <v>32.2845</v>
      </c>
      <c r="AD139" s="107" t="n">
        <f aca="false">X139*$D139</f>
        <v>32.2845</v>
      </c>
      <c r="AE139" s="107" t="n">
        <f aca="false">SUM(Y139:AD139)</f>
        <v>193.707</v>
      </c>
    </row>
    <row r="140" customFormat="false" ht="15" hidden="false" customHeight="false" outlineLevel="0" collapsed="false">
      <c r="A140" s="103" t="s">
        <v>586</v>
      </c>
      <c r="B140" s="104" t="n">
        <v>0</v>
      </c>
      <c r="C140" s="105" t="n">
        <f aca="false">IF(K140=0,0,R140/K140)</f>
        <v>5.83714285714286</v>
      </c>
      <c r="D140" s="105" t="n">
        <f aca="false">C140+B140</f>
        <v>5.83714285714286</v>
      </c>
      <c r="E140" s="106" t="n">
        <v>0</v>
      </c>
      <c r="F140" s="106" t="n">
        <v>6</v>
      </c>
      <c r="G140" s="106" t="n">
        <v>0</v>
      </c>
      <c r="H140" s="106" t="n">
        <v>6</v>
      </c>
      <c r="I140" s="106" t="n">
        <v>16</v>
      </c>
      <c r="J140" s="106" t="n">
        <v>7</v>
      </c>
      <c r="K140" s="106" t="n">
        <f aca="false">SUM(E140:J140)</f>
        <v>35</v>
      </c>
      <c r="L140" s="107" t="n">
        <v>0</v>
      </c>
      <c r="M140" s="107" t="n">
        <v>32.1</v>
      </c>
      <c r="N140" s="107" t="n">
        <v>0</v>
      </c>
      <c r="O140" s="107" t="n">
        <v>35.1</v>
      </c>
      <c r="P140" s="107" t="n">
        <v>96</v>
      </c>
      <c r="Q140" s="107" t="n">
        <v>41.1</v>
      </c>
      <c r="R140" s="107" t="n">
        <f aca="false">SUM(L140:Q140)</f>
        <v>204.3</v>
      </c>
      <c r="S140" s="108" t="n">
        <v>10</v>
      </c>
      <c r="T140" s="108" t="n">
        <v>10</v>
      </c>
      <c r="U140" s="108" t="n">
        <v>10</v>
      </c>
      <c r="V140" s="108" t="n">
        <v>10</v>
      </c>
      <c r="W140" s="108" t="n">
        <v>10</v>
      </c>
      <c r="X140" s="108" t="n">
        <v>10</v>
      </c>
      <c r="Y140" s="107" t="n">
        <f aca="false">S140*$D140</f>
        <v>58.3714285714286</v>
      </c>
      <c r="Z140" s="107" t="n">
        <f aca="false">T140*$D140</f>
        <v>58.3714285714286</v>
      </c>
      <c r="AA140" s="107" t="n">
        <f aca="false">U140*$D140</f>
        <v>58.3714285714286</v>
      </c>
      <c r="AB140" s="107" t="n">
        <f aca="false">V140*$D140</f>
        <v>58.3714285714286</v>
      </c>
      <c r="AC140" s="107" t="n">
        <f aca="false">W140*$D140</f>
        <v>58.3714285714286</v>
      </c>
      <c r="AD140" s="107" t="n">
        <f aca="false">X140*$D140</f>
        <v>58.3714285714286</v>
      </c>
      <c r="AE140" s="107" t="n">
        <f aca="false">SUM(Y140:AD140)</f>
        <v>350.228571428571</v>
      </c>
    </row>
    <row r="141" customFormat="false" ht="15" hidden="false" customHeight="false" outlineLevel="0" collapsed="false">
      <c r="A141" s="103" t="s">
        <v>587</v>
      </c>
      <c r="B141" s="104" t="n">
        <v>0</v>
      </c>
      <c r="C141" s="105" t="n">
        <f aca="false">IF(K141=0,0,R141/K141)</f>
        <v>5.76176470588235</v>
      </c>
      <c r="D141" s="105" t="n">
        <f aca="false">C141+B141</f>
        <v>5.76176470588235</v>
      </c>
      <c r="E141" s="106" t="n">
        <v>3</v>
      </c>
      <c r="F141" s="106" t="n">
        <v>5</v>
      </c>
      <c r="G141" s="106" t="n">
        <v>13</v>
      </c>
      <c r="H141" s="106" t="n">
        <v>7</v>
      </c>
      <c r="I141" s="106" t="n">
        <v>5</v>
      </c>
      <c r="J141" s="106" t="n">
        <v>1</v>
      </c>
      <c r="K141" s="106" t="n">
        <f aca="false">SUM(E141:J141)</f>
        <v>34</v>
      </c>
      <c r="L141" s="107" t="n">
        <v>16.8</v>
      </c>
      <c r="M141" s="107" t="n">
        <v>30</v>
      </c>
      <c r="N141" s="107" t="n">
        <v>71.1</v>
      </c>
      <c r="O141" s="107" t="n">
        <v>42</v>
      </c>
      <c r="P141" s="107" t="n">
        <v>30</v>
      </c>
      <c r="Q141" s="107" t="n">
        <v>6</v>
      </c>
      <c r="R141" s="107" t="n">
        <f aca="false">SUM(L141:Q141)</f>
        <v>195.9</v>
      </c>
      <c r="S141" s="108" t="n">
        <v>4</v>
      </c>
      <c r="T141" s="108" t="n">
        <v>4</v>
      </c>
      <c r="U141" s="108" t="n">
        <v>4</v>
      </c>
      <c r="V141" s="108" t="n">
        <v>4</v>
      </c>
      <c r="W141" s="108" t="n">
        <v>4</v>
      </c>
      <c r="X141" s="108" t="n">
        <v>4</v>
      </c>
      <c r="Y141" s="107" t="n">
        <f aca="false">S141*$D141</f>
        <v>23.0470588235294</v>
      </c>
      <c r="Z141" s="107" t="n">
        <f aca="false">T141*$D141</f>
        <v>23.0470588235294</v>
      </c>
      <c r="AA141" s="107" t="n">
        <f aca="false">U141*$D141</f>
        <v>23.0470588235294</v>
      </c>
      <c r="AB141" s="107" t="n">
        <f aca="false">V141*$D141</f>
        <v>23.0470588235294</v>
      </c>
      <c r="AC141" s="107" t="n">
        <f aca="false">W141*$D141</f>
        <v>23.0470588235294</v>
      </c>
      <c r="AD141" s="107" t="n">
        <f aca="false">X141*$D141</f>
        <v>23.0470588235294</v>
      </c>
      <c r="AE141" s="107" t="n">
        <f aca="false">SUM(Y141:AD141)</f>
        <v>138.282352941176</v>
      </c>
    </row>
    <row r="142" customFormat="false" ht="15" hidden="false" customHeight="false" outlineLevel="0" collapsed="false">
      <c r="A142" s="103" t="s">
        <v>588</v>
      </c>
      <c r="B142" s="104" t="n">
        <v>0</v>
      </c>
      <c r="C142" s="105" t="n">
        <f aca="false">IF(K142=0,0,R142/K142)</f>
        <v>3.9375</v>
      </c>
      <c r="D142" s="105" t="n">
        <f aca="false">C142+B142</f>
        <v>3.9375</v>
      </c>
      <c r="E142" s="106" t="n">
        <v>0</v>
      </c>
      <c r="F142" s="106" t="n">
        <v>5</v>
      </c>
      <c r="G142" s="106" t="n">
        <v>9</v>
      </c>
      <c r="H142" s="106" t="n">
        <v>8</v>
      </c>
      <c r="I142" s="106" t="n">
        <v>12</v>
      </c>
      <c r="J142" s="106" t="n">
        <v>14</v>
      </c>
      <c r="K142" s="106" t="n">
        <f aca="false">SUM(E142:J142)</f>
        <v>48</v>
      </c>
      <c r="L142" s="107" t="n">
        <v>0</v>
      </c>
      <c r="M142" s="107" t="n">
        <v>20</v>
      </c>
      <c r="N142" s="107" t="n">
        <v>34.8</v>
      </c>
      <c r="O142" s="107" t="n">
        <v>31.4</v>
      </c>
      <c r="P142" s="107" t="n">
        <v>47.4</v>
      </c>
      <c r="Q142" s="107" t="n">
        <v>55.4</v>
      </c>
      <c r="R142" s="107" t="n">
        <f aca="false">SUM(L142:Q142)</f>
        <v>189</v>
      </c>
      <c r="S142" s="108" t="n">
        <v>11</v>
      </c>
      <c r="T142" s="108" t="n">
        <v>11</v>
      </c>
      <c r="U142" s="108" t="n">
        <v>11</v>
      </c>
      <c r="V142" s="108" t="n">
        <v>11</v>
      </c>
      <c r="W142" s="108" t="n">
        <v>11</v>
      </c>
      <c r="X142" s="108" t="n">
        <v>11</v>
      </c>
      <c r="Y142" s="107" t="n">
        <f aca="false">S142*$D142</f>
        <v>43.3125</v>
      </c>
      <c r="Z142" s="107" t="n">
        <f aca="false">T142*$D142</f>
        <v>43.3125</v>
      </c>
      <c r="AA142" s="107" t="n">
        <f aca="false">U142*$D142</f>
        <v>43.3125</v>
      </c>
      <c r="AB142" s="107" t="n">
        <f aca="false">V142*$D142</f>
        <v>43.3125</v>
      </c>
      <c r="AC142" s="107" t="n">
        <f aca="false">W142*$D142</f>
        <v>43.3125</v>
      </c>
      <c r="AD142" s="107" t="n">
        <f aca="false">X142*$D142</f>
        <v>43.3125</v>
      </c>
      <c r="AE142" s="107" t="n">
        <f aca="false">SUM(Y142:AD142)</f>
        <v>259.875</v>
      </c>
    </row>
    <row r="143" customFormat="false" ht="15" hidden="false" customHeight="false" outlineLevel="0" collapsed="false">
      <c r="A143" s="103" t="s">
        <v>589</v>
      </c>
      <c r="B143" s="104" t="n">
        <v>0</v>
      </c>
      <c r="C143" s="105" t="n">
        <f aca="false">IF(K143=0,0,R143/K143)</f>
        <v>5.13805555555556</v>
      </c>
      <c r="D143" s="105" t="n">
        <f aca="false">C143+B143</f>
        <v>5.13805555555556</v>
      </c>
      <c r="E143" s="106" t="n">
        <v>0</v>
      </c>
      <c r="F143" s="106" t="n">
        <v>0</v>
      </c>
      <c r="G143" s="106" t="n">
        <v>0</v>
      </c>
      <c r="H143" s="106" t="n">
        <v>6</v>
      </c>
      <c r="I143" s="106" t="n">
        <v>19</v>
      </c>
      <c r="J143" s="106" t="n">
        <v>11</v>
      </c>
      <c r="K143" s="106" t="n">
        <f aca="false">SUM(E143:J143)</f>
        <v>36</v>
      </c>
      <c r="L143" s="107" t="n">
        <v>0</v>
      </c>
      <c r="M143" s="107" t="n">
        <v>0</v>
      </c>
      <c r="N143" s="107" t="n">
        <v>0</v>
      </c>
      <c r="O143" s="107" t="n">
        <v>31.5</v>
      </c>
      <c r="P143" s="107" t="n">
        <v>97.82</v>
      </c>
      <c r="Q143" s="107" t="n">
        <v>55.65</v>
      </c>
      <c r="R143" s="107" t="n">
        <f aca="false">SUM(L143:Q143)</f>
        <v>184.97</v>
      </c>
      <c r="S143" s="108" t="n">
        <v>12</v>
      </c>
      <c r="T143" s="108" t="n">
        <v>12</v>
      </c>
      <c r="U143" s="108" t="n">
        <v>12</v>
      </c>
      <c r="V143" s="108" t="n">
        <v>12</v>
      </c>
      <c r="W143" s="108" t="n">
        <v>12</v>
      </c>
      <c r="X143" s="108" t="n">
        <v>12</v>
      </c>
      <c r="Y143" s="107" t="n">
        <f aca="false">S143*$D143</f>
        <v>61.6566666666667</v>
      </c>
      <c r="Z143" s="107" t="n">
        <f aca="false">T143*$D143</f>
        <v>61.6566666666667</v>
      </c>
      <c r="AA143" s="107" t="n">
        <f aca="false">U143*$D143</f>
        <v>61.6566666666667</v>
      </c>
      <c r="AB143" s="107" t="n">
        <f aca="false">V143*$D143</f>
        <v>61.6566666666667</v>
      </c>
      <c r="AC143" s="107" t="n">
        <f aca="false">W143*$D143</f>
        <v>61.6566666666667</v>
      </c>
      <c r="AD143" s="107" t="n">
        <f aca="false">X143*$D143</f>
        <v>61.6566666666667</v>
      </c>
      <c r="AE143" s="107" t="n">
        <f aca="false">SUM(Y143:AD143)</f>
        <v>369.94</v>
      </c>
    </row>
    <row r="144" customFormat="false" ht="15" hidden="false" customHeight="false" outlineLevel="0" collapsed="false">
      <c r="A144" s="103" t="s">
        <v>590</v>
      </c>
      <c r="B144" s="104" t="n">
        <v>0</v>
      </c>
      <c r="C144" s="105" t="n">
        <f aca="false">IF(K144=0,0,R144/K144)</f>
        <v>5.13361111111111</v>
      </c>
      <c r="D144" s="105" t="n">
        <f aca="false">C144+B144</f>
        <v>5.13361111111111</v>
      </c>
      <c r="E144" s="106" t="n">
        <v>36</v>
      </c>
      <c r="F144" s="106" t="n">
        <v>0</v>
      </c>
      <c r="G144" s="106" t="n">
        <v>0</v>
      </c>
      <c r="H144" s="106" t="n">
        <v>0</v>
      </c>
      <c r="I144" s="106" t="n">
        <v>0</v>
      </c>
      <c r="J144" s="106" t="n">
        <v>0</v>
      </c>
      <c r="K144" s="106" t="n">
        <f aca="false">SUM(E144:J144)</f>
        <v>36</v>
      </c>
      <c r="L144" s="107" t="n">
        <v>184.81</v>
      </c>
      <c r="M144" s="107" t="n">
        <v>0</v>
      </c>
      <c r="N144" s="107" t="n">
        <v>0</v>
      </c>
      <c r="O144" s="107" t="n">
        <v>0</v>
      </c>
      <c r="P144" s="107" t="n">
        <v>0</v>
      </c>
      <c r="Q144" s="107" t="n">
        <v>0</v>
      </c>
      <c r="R144" s="107" t="n">
        <f aca="false">SUM(L144:Q144)</f>
        <v>184.81</v>
      </c>
      <c r="S144" s="108" t="n">
        <v>0</v>
      </c>
      <c r="T144" s="108" t="n">
        <v>0</v>
      </c>
      <c r="U144" s="108" t="n">
        <v>0</v>
      </c>
      <c r="V144" s="108" t="n">
        <v>0</v>
      </c>
      <c r="W144" s="108" t="n">
        <v>0</v>
      </c>
      <c r="X144" s="108" t="n">
        <v>0</v>
      </c>
      <c r="Y144" s="107" t="n">
        <f aca="false">S144*$D144</f>
        <v>0</v>
      </c>
      <c r="Z144" s="107" t="n">
        <f aca="false">T144*$D144</f>
        <v>0</v>
      </c>
      <c r="AA144" s="107" t="n">
        <f aca="false">U144*$D144</f>
        <v>0</v>
      </c>
      <c r="AB144" s="107" t="n">
        <f aca="false">V144*$D144</f>
        <v>0</v>
      </c>
      <c r="AC144" s="107" t="n">
        <f aca="false">W144*$D144</f>
        <v>0</v>
      </c>
      <c r="AD144" s="107" t="n">
        <f aca="false">X144*$D144</f>
        <v>0</v>
      </c>
      <c r="AE144" s="107" t="n">
        <f aca="false">SUM(Y144:AD144)</f>
        <v>0</v>
      </c>
    </row>
    <row r="145" customFormat="false" ht="15" hidden="false" customHeight="false" outlineLevel="0" collapsed="false">
      <c r="A145" s="103" t="s">
        <v>591</v>
      </c>
      <c r="B145" s="104" t="n">
        <v>0</v>
      </c>
      <c r="C145" s="105" t="n">
        <f aca="false">IF(K145=0,0,R145/K145)</f>
        <v>3.92978723404255</v>
      </c>
      <c r="D145" s="105" t="n">
        <f aca="false">C145+B145</f>
        <v>3.92978723404255</v>
      </c>
      <c r="E145" s="106" t="n">
        <v>0</v>
      </c>
      <c r="F145" s="106" t="n">
        <v>17</v>
      </c>
      <c r="G145" s="106" t="n">
        <v>9</v>
      </c>
      <c r="H145" s="106" t="n">
        <v>17</v>
      </c>
      <c r="I145" s="106" t="n">
        <v>0</v>
      </c>
      <c r="J145" s="106" t="n">
        <v>4</v>
      </c>
      <c r="K145" s="106" t="n">
        <f aca="false">SUM(E145:J145)</f>
        <v>47</v>
      </c>
      <c r="L145" s="107" t="n">
        <v>0</v>
      </c>
      <c r="M145" s="107" t="n">
        <v>64.8</v>
      </c>
      <c r="N145" s="107" t="n">
        <v>37.1</v>
      </c>
      <c r="O145" s="107" t="n">
        <v>67.4</v>
      </c>
      <c r="P145" s="107" t="n">
        <v>0</v>
      </c>
      <c r="Q145" s="107" t="n">
        <v>15.4</v>
      </c>
      <c r="R145" s="107" t="n">
        <f aca="false">SUM(L145:Q145)</f>
        <v>184.7</v>
      </c>
      <c r="S145" s="108" t="n">
        <v>7</v>
      </c>
      <c r="T145" s="108" t="n">
        <v>7</v>
      </c>
      <c r="U145" s="108" t="n">
        <v>7</v>
      </c>
      <c r="V145" s="108" t="n">
        <v>7</v>
      </c>
      <c r="W145" s="108" t="n">
        <v>7</v>
      </c>
      <c r="X145" s="108" t="n">
        <v>7</v>
      </c>
      <c r="Y145" s="107" t="n">
        <f aca="false">S145*$D145</f>
        <v>27.5085106382979</v>
      </c>
      <c r="Z145" s="107" t="n">
        <f aca="false">T145*$D145</f>
        <v>27.5085106382979</v>
      </c>
      <c r="AA145" s="107" t="n">
        <f aca="false">U145*$D145</f>
        <v>27.5085106382979</v>
      </c>
      <c r="AB145" s="107" t="n">
        <f aca="false">V145*$D145</f>
        <v>27.5085106382979</v>
      </c>
      <c r="AC145" s="107" t="n">
        <f aca="false">W145*$D145</f>
        <v>27.5085106382979</v>
      </c>
      <c r="AD145" s="107" t="n">
        <f aca="false">X145*$D145</f>
        <v>27.5085106382979</v>
      </c>
      <c r="AE145" s="107" t="n">
        <f aca="false">SUM(Y145:AD145)</f>
        <v>165.051063829787</v>
      </c>
    </row>
    <row r="146" customFormat="false" ht="15" hidden="false" customHeight="false" outlineLevel="0" collapsed="false">
      <c r="A146" s="103" t="s">
        <v>592</v>
      </c>
      <c r="B146" s="104" t="n">
        <v>0</v>
      </c>
      <c r="C146" s="105" t="n">
        <f aca="false">IF(K146=0,0,R146/K146)</f>
        <v>6.46892857142857</v>
      </c>
      <c r="D146" s="105" t="n">
        <f aca="false">C146+B146</f>
        <v>6.46892857142857</v>
      </c>
      <c r="E146" s="106" t="n">
        <v>0</v>
      </c>
      <c r="F146" s="106" t="n">
        <v>0</v>
      </c>
      <c r="G146" s="106" t="n">
        <v>0</v>
      </c>
      <c r="H146" s="106" t="n">
        <v>0</v>
      </c>
      <c r="I146" s="106" t="n">
        <v>9</v>
      </c>
      <c r="J146" s="106" t="n">
        <v>19</v>
      </c>
      <c r="K146" s="106" t="n">
        <f aca="false">SUM(E146:J146)</f>
        <v>28</v>
      </c>
      <c r="L146" s="107" t="n">
        <v>0</v>
      </c>
      <c r="M146" s="107" t="n">
        <v>0</v>
      </c>
      <c r="N146" s="107" t="n">
        <v>0</v>
      </c>
      <c r="O146" s="107" t="n">
        <v>0</v>
      </c>
      <c r="P146" s="107" t="n">
        <v>61.6</v>
      </c>
      <c r="Q146" s="107" t="n">
        <v>119.53</v>
      </c>
      <c r="R146" s="107" t="n">
        <f aca="false">SUM(L146:Q146)</f>
        <v>181.13</v>
      </c>
      <c r="S146" s="108" t="n">
        <v>9</v>
      </c>
      <c r="T146" s="108" t="n">
        <v>9</v>
      </c>
      <c r="U146" s="108" t="n">
        <v>9</v>
      </c>
      <c r="V146" s="108" t="n">
        <v>9</v>
      </c>
      <c r="W146" s="108" t="n">
        <v>9</v>
      </c>
      <c r="X146" s="108" t="n">
        <v>9</v>
      </c>
      <c r="Y146" s="107" t="n">
        <f aca="false">S146*$D146</f>
        <v>58.2203571428571</v>
      </c>
      <c r="Z146" s="107" t="n">
        <f aca="false">T146*$D146</f>
        <v>58.2203571428571</v>
      </c>
      <c r="AA146" s="107" t="n">
        <f aca="false">U146*$D146</f>
        <v>58.2203571428571</v>
      </c>
      <c r="AB146" s="107" t="n">
        <f aca="false">V146*$D146</f>
        <v>58.2203571428571</v>
      </c>
      <c r="AC146" s="107" t="n">
        <f aca="false">W146*$D146</f>
        <v>58.2203571428571</v>
      </c>
      <c r="AD146" s="107" t="n">
        <f aca="false">X146*$D146</f>
        <v>58.2203571428571</v>
      </c>
      <c r="AE146" s="107" t="n">
        <f aca="false">SUM(Y146:AD146)</f>
        <v>349.322142857143</v>
      </c>
    </row>
    <row r="147" customFormat="false" ht="15" hidden="false" customHeight="false" outlineLevel="0" collapsed="false">
      <c r="A147" s="103" t="s">
        <v>593</v>
      </c>
      <c r="B147" s="104" t="n">
        <v>0</v>
      </c>
      <c r="C147" s="105" t="n">
        <f aca="false">IF(K147=0,0,R147/K147)</f>
        <v>9.52631578947369</v>
      </c>
      <c r="D147" s="105" t="n">
        <f aca="false">C147+B147</f>
        <v>9.52631578947369</v>
      </c>
      <c r="E147" s="106" t="n">
        <v>0</v>
      </c>
      <c r="F147" s="106" t="n">
        <v>0</v>
      </c>
      <c r="G147" s="106" t="n">
        <v>0</v>
      </c>
      <c r="H147" s="106" t="n">
        <v>15</v>
      </c>
      <c r="I147" s="106" t="n">
        <v>4</v>
      </c>
      <c r="J147" s="106" t="n">
        <v>0</v>
      </c>
      <c r="K147" s="106" t="n">
        <f aca="false">SUM(E147:J147)</f>
        <v>19</v>
      </c>
      <c r="L147" s="107" t="n">
        <v>0</v>
      </c>
      <c r="M147" s="107" t="n">
        <v>0</v>
      </c>
      <c r="N147" s="107" t="n">
        <v>0</v>
      </c>
      <c r="O147" s="107" t="n">
        <v>146</v>
      </c>
      <c r="P147" s="107" t="n">
        <v>35</v>
      </c>
      <c r="Q147" s="107" t="n">
        <v>0</v>
      </c>
      <c r="R147" s="107" t="n">
        <f aca="false">SUM(L147:Q147)</f>
        <v>181</v>
      </c>
      <c r="S147" s="108" t="n">
        <v>6</v>
      </c>
      <c r="T147" s="108" t="n">
        <v>6</v>
      </c>
      <c r="U147" s="108" t="n">
        <v>6</v>
      </c>
      <c r="V147" s="108" t="n">
        <v>6</v>
      </c>
      <c r="W147" s="108" t="n">
        <v>6</v>
      </c>
      <c r="X147" s="108" t="n">
        <v>6</v>
      </c>
      <c r="Y147" s="107" t="n">
        <f aca="false">S147*$D147</f>
        <v>57.1578947368421</v>
      </c>
      <c r="Z147" s="107" t="n">
        <f aca="false">T147*$D147</f>
        <v>57.1578947368421</v>
      </c>
      <c r="AA147" s="107" t="n">
        <f aca="false">U147*$D147</f>
        <v>57.1578947368421</v>
      </c>
      <c r="AB147" s="107" t="n">
        <f aca="false">V147*$D147</f>
        <v>57.1578947368421</v>
      </c>
      <c r="AC147" s="107" t="n">
        <f aca="false">W147*$D147</f>
        <v>57.1578947368421</v>
      </c>
      <c r="AD147" s="107" t="n">
        <f aca="false">X147*$D147</f>
        <v>57.1578947368421</v>
      </c>
      <c r="AE147" s="107" t="n">
        <f aca="false">SUM(Y147:AD147)</f>
        <v>342.947368421053</v>
      </c>
    </row>
    <row r="148" customFormat="false" ht="15" hidden="false" customHeight="false" outlineLevel="0" collapsed="false">
      <c r="A148" s="103" t="s">
        <v>594</v>
      </c>
      <c r="B148" s="104" t="n">
        <v>0</v>
      </c>
      <c r="C148" s="105" t="n">
        <f aca="false">IF(K148=0,0,R148/K148)</f>
        <v>11.9853333333333</v>
      </c>
      <c r="D148" s="105" t="n">
        <f aca="false">C148+B148</f>
        <v>11.9853333333333</v>
      </c>
      <c r="E148" s="106" t="n">
        <v>0</v>
      </c>
      <c r="F148" s="106" t="n">
        <v>0</v>
      </c>
      <c r="G148" s="106" t="n">
        <v>6</v>
      </c>
      <c r="H148" s="106" t="n">
        <v>4</v>
      </c>
      <c r="I148" s="106" t="n">
        <v>5</v>
      </c>
      <c r="J148" s="106" t="n">
        <v>0</v>
      </c>
      <c r="K148" s="106" t="n">
        <f aca="false">SUM(E148:J148)</f>
        <v>15</v>
      </c>
      <c r="L148" s="107" t="n">
        <v>0</v>
      </c>
      <c r="M148" s="107" t="n">
        <v>0</v>
      </c>
      <c r="N148" s="107" t="n">
        <v>69.55</v>
      </c>
      <c r="O148" s="107" t="n">
        <v>45.23</v>
      </c>
      <c r="P148" s="107" t="n">
        <v>65</v>
      </c>
      <c r="Q148" s="107" t="n">
        <v>0</v>
      </c>
      <c r="R148" s="107" t="n">
        <f aca="false">SUM(L148:Q148)</f>
        <v>179.78</v>
      </c>
      <c r="S148" s="108" t="n">
        <v>3</v>
      </c>
      <c r="T148" s="108" t="n">
        <v>3</v>
      </c>
      <c r="U148" s="108" t="n">
        <v>3</v>
      </c>
      <c r="V148" s="108" t="n">
        <v>3</v>
      </c>
      <c r="W148" s="108" t="n">
        <v>3</v>
      </c>
      <c r="X148" s="108" t="n">
        <v>3</v>
      </c>
      <c r="Y148" s="107" t="n">
        <f aca="false">S148*$D148</f>
        <v>35.956</v>
      </c>
      <c r="Z148" s="107" t="n">
        <f aca="false">T148*$D148</f>
        <v>35.956</v>
      </c>
      <c r="AA148" s="107" t="n">
        <f aca="false">U148*$D148</f>
        <v>35.956</v>
      </c>
      <c r="AB148" s="107" t="n">
        <f aca="false">V148*$D148</f>
        <v>35.956</v>
      </c>
      <c r="AC148" s="107" t="n">
        <f aca="false">W148*$D148</f>
        <v>35.956</v>
      </c>
      <c r="AD148" s="107" t="n">
        <f aca="false">X148*$D148</f>
        <v>35.956</v>
      </c>
      <c r="AE148" s="107" t="n">
        <f aca="false">SUM(Y148:AD148)</f>
        <v>215.736</v>
      </c>
    </row>
    <row r="149" customFormat="false" ht="15" hidden="false" customHeight="false" outlineLevel="0" collapsed="false">
      <c r="A149" s="103" t="s">
        <v>595</v>
      </c>
      <c r="B149" s="104" t="n">
        <v>0</v>
      </c>
      <c r="C149" s="105" t="n">
        <f aca="false">IF(K149=0,0,R149/K149)</f>
        <v>5.578125</v>
      </c>
      <c r="D149" s="105" t="n">
        <f aca="false">C149+B149</f>
        <v>5.578125</v>
      </c>
      <c r="E149" s="106" t="n">
        <v>0</v>
      </c>
      <c r="F149" s="106" t="n">
        <v>6</v>
      </c>
      <c r="G149" s="106" t="n">
        <v>9</v>
      </c>
      <c r="H149" s="106" t="n">
        <v>6</v>
      </c>
      <c r="I149" s="106" t="n">
        <v>10</v>
      </c>
      <c r="J149" s="106" t="n">
        <v>1</v>
      </c>
      <c r="K149" s="106" t="n">
        <f aca="false">SUM(E149:J149)</f>
        <v>32</v>
      </c>
      <c r="L149" s="107" t="n">
        <v>0</v>
      </c>
      <c r="M149" s="107" t="n">
        <v>35.1</v>
      </c>
      <c r="N149" s="107" t="n">
        <v>45.3</v>
      </c>
      <c r="O149" s="107" t="n">
        <v>35.1</v>
      </c>
      <c r="P149" s="107" t="n">
        <v>57</v>
      </c>
      <c r="Q149" s="107" t="n">
        <v>6</v>
      </c>
      <c r="R149" s="107" t="n">
        <f aca="false">SUM(L149:Q149)</f>
        <v>178.5</v>
      </c>
      <c r="S149" s="108" t="n">
        <v>6</v>
      </c>
      <c r="T149" s="108" t="n">
        <v>6</v>
      </c>
      <c r="U149" s="108" t="n">
        <v>6</v>
      </c>
      <c r="V149" s="108" t="n">
        <v>6</v>
      </c>
      <c r="W149" s="108" t="n">
        <v>6</v>
      </c>
      <c r="X149" s="108" t="n">
        <v>6</v>
      </c>
      <c r="Y149" s="107" t="n">
        <f aca="false">S149*$D149</f>
        <v>33.46875</v>
      </c>
      <c r="Z149" s="107" t="n">
        <f aca="false">T149*$D149</f>
        <v>33.46875</v>
      </c>
      <c r="AA149" s="107" t="n">
        <f aca="false">U149*$D149</f>
        <v>33.46875</v>
      </c>
      <c r="AB149" s="107" t="n">
        <f aca="false">V149*$D149</f>
        <v>33.46875</v>
      </c>
      <c r="AC149" s="107" t="n">
        <f aca="false">W149*$D149</f>
        <v>33.46875</v>
      </c>
      <c r="AD149" s="107" t="n">
        <f aca="false">X149*$D149</f>
        <v>33.46875</v>
      </c>
      <c r="AE149" s="107" t="n">
        <f aca="false">SUM(Y149:AD149)</f>
        <v>200.8125</v>
      </c>
    </row>
    <row r="150" customFormat="false" ht="15" hidden="false" customHeight="false" outlineLevel="0" collapsed="false">
      <c r="A150" s="103" t="s">
        <v>596</v>
      </c>
      <c r="B150" s="104" t="n">
        <v>0</v>
      </c>
      <c r="C150" s="105" t="n">
        <f aca="false">IF(K150=0,0,R150/K150)</f>
        <v>4.07976190476191</v>
      </c>
      <c r="D150" s="105" t="n">
        <f aca="false">C150+B150</f>
        <v>4.07976190476191</v>
      </c>
      <c r="E150" s="106" t="n">
        <v>19</v>
      </c>
      <c r="F150" s="106" t="n">
        <v>18</v>
      </c>
      <c r="G150" s="106" t="n">
        <v>5</v>
      </c>
      <c r="H150" s="106" t="n">
        <v>0</v>
      </c>
      <c r="I150" s="106" t="n">
        <v>0</v>
      </c>
      <c r="J150" s="106" t="n">
        <v>0</v>
      </c>
      <c r="K150" s="106" t="n">
        <f aca="false">SUM(E150:J150)</f>
        <v>42</v>
      </c>
      <c r="L150" s="107" t="n">
        <v>88</v>
      </c>
      <c r="M150" s="107" t="n">
        <v>66.85</v>
      </c>
      <c r="N150" s="107" t="n">
        <v>16.5</v>
      </c>
      <c r="O150" s="107" t="n">
        <v>0</v>
      </c>
      <c r="P150" s="107" t="n">
        <v>0</v>
      </c>
      <c r="Q150" s="107" t="n">
        <v>0</v>
      </c>
      <c r="R150" s="107" t="n">
        <f aca="false">SUM(L150:Q150)</f>
        <v>171.35</v>
      </c>
      <c r="S150" s="108" t="n">
        <v>0</v>
      </c>
      <c r="T150" s="108" t="n">
        <v>0</v>
      </c>
      <c r="U150" s="108" t="n">
        <v>0</v>
      </c>
      <c r="V150" s="108" t="n">
        <v>0</v>
      </c>
      <c r="W150" s="108" t="n">
        <v>0</v>
      </c>
      <c r="X150" s="108" t="n">
        <v>0</v>
      </c>
      <c r="Y150" s="107" t="n">
        <f aca="false">S150*$D150</f>
        <v>0</v>
      </c>
      <c r="Z150" s="107" t="n">
        <f aca="false">T150*$D150</f>
        <v>0</v>
      </c>
      <c r="AA150" s="107" t="n">
        <f aca="false">U150*$D150</f>
        <v>0</v>
      </c>
      <c r="AB150" s="107" t="n">
        <f aca="false">V150*$D150</f>
        <v>0</v>
      </c>
      <c r="AC150" s="107" t="n">
        <f aca="false">W150*$D150</f>
        <v>0</v>
      </c>
      <c r="AD150" s="107" t="n">
        <f aca="false">X150*$D150</f>
        <v>0</v>
      </c>
      <c r="AE150" s="107" t="n">
        <f aca="false">SUM(Y150:AD150)</f>
        <v>0</v>
      </c>
    </row>
    <row r="151" customFormat="false" ht="15" hidden="false" customHeight="false" outlineLevel="0" collapsed="false">
      <c r="A151" s="103" t="s">
        <v>597</v>
      </c>
      <c r="B151" s="104" t="n">
        <v>0</v>
      </c>
      <c r="C151" s="105" t="n">
        <f aca="false">IF(K151=0,0,R151/K151)</f>
        <v>5.8551724137931</v>
      </c>
      <c r="D151" s="105" t="n">
        <f aca="false">C151+B151</f>
        <v>5.8551724137931</v>
      </c>
      <c r="E151" s="106" t="n">
        <v>0</v>
      </c>
      <c r="F151" s="106" t="n">
        <v>0</v>
      </c>
      <c r="G151" s="106" t="n">
        <v>0</v>
      </c>
      <c r="H151" s="106" t="n">
        <v>0</v>
      </c>
      <c r="I151" s="106" t="n">
        <v>4</v>
      </c>
      <c r="J151" s="106" t="n">
        <v>25</v>
      </c>
      <c r="K151" s="106" t="n">
        <f aca="false">SUM(E151:J151)</f>
        <v>29</v>
      </c>
      <c r="L151" s="107" t="n">
        <v>0</v>
      </c>
      <c r="M151" s="107" t="n">
        <v>0</v>
      </c>
      <c r="N151" s="107" t="n">
        <v>0</v>
      </c>
      <c r="O151" s="107" t="n">
        <v>0</v>
      </c>
      <c r="P151" s="107" t="n">
        <v>22.8</v>
      </c>
      <c r="Q151" s="107" t="n">
        <v>147</v>
      </c>
      <c r="R151" s="107" t="n">
        <f aca="false">SUM(L151:Q151)</f>
        <v>169.8</v>
      </c>
      <c r="S151" s="108" t="n">
        <v>10</v>
      </c>
      <c r="T151" s="108" t="n">
        <v>10</v>
      </c>
      <c r="U151" s="108" t="n">
        <v>10</v>
      </c>
      <c r="V151" s="108" t="n">
        <v>10</v>
      </c>
      <c r="W151" s="108" t="n">
        <v>10</v>
      </c>
      <c r="X151" s="108" t="n">
        <v>10</v>
      </c>
      <c r="Y151" s="107" t="n">
        <f aca="false">S151*$D151</f>
        <v>58.551724137931</v>
      </c>
      <c r="Z151" s="107" t="n">
        <f aca="false">T151*$D151</f>
        <v>58.551724137931</v>
      </c>
      <c r="AA151" s="107" t="n">
        <f aca="false">U151*$D151</f>
        <v>58.551724137931</v>
      </c>
      <c r="AB151" s="107" t="n">
        <f aca="false">V151*$D151</f>
        <v>58.551724137931</v>
      </c>
      <c r="AC151" s="107" t="n">
        <f aca="false">W151*$D151</f>
        <v>58.551724137931</v>
      </c>
      <c r="AD151" s="107" t="n">
        <f aca="false">X151*$D151</f>
        <v>58.551724137931</v>
      </c>
      <c r="AE151" s="107" t="n">
        <f aca="false">SUM(Y151:AD151)</f>
        <v>351.310344827586</v>
      </c>
    </row>
    <row r="152" customFormat="false" ht="15" hidden="false" customHeight="false" outlineLevel="0" collapsed="false">
      <c r="A152" s="103" t="s">
        <v>598</v>
      </c>
      <c r="B152" s="104" t="n">
        <v>0</v>
      </c>
      <c r="C152" s="105" t="n">
        <f aca="false">IF(K152=0,0,R152/K152)</f>
        <v>4.69444444444445</v>
      </c>
      <c r="D152" s="105" t="n">
        <f aca="false">C152+B152</f>
        <v>4.69444444444445</v>
      </c>
      <c r="E152" s="106" t="n">
        <v>14</v>
      </c>
      <c r="F152" s="106" t="n">
        <v>22</v>
      </c>
      <c r="G152" s="106" t="n">
        <v>0</v>
      </c>
      <c r="H152" s="106" t="n">
        <v>0</v>
      </c>
      <c r="I152" s="106" t="n">
        <v>0</v>
      </c>
      <c r="J152" s="106" t="n">
        <v>0</v>
      </c>
      <c r="K152" s="106" t="n">
        <f aca="false">SUM(E152:J152)</f>
        <v>36</v>
      </c>
      <c r="L152" s="107" t="n">
        <v>61.25</v>
      </c>
      <c r="M152" s="107" t="n">
        <v>107.75</v>
      </c>
      <c r="N152" s="107" t="n">
        <v>0</v>
      </c>
      <c r="O152" s="107" t="n">
        <v>0</v>
      </c>
      <c r="P152" s="107" t="n">
        <v>0</v>
      </c>
      <c r="Q152" s="107" t="n">
        <v>0</v>
      </c>
      <c r="R152" s="107" t="n">
        <f aca="false">SUM(L152:Q152)</f>
        <v>169</v>
      </c>
      <c r="S152" s="108" t="n">
        <v>0</v>
      </c>
      <c r="T152" s="108" t="n">
        <v>0</v>
      </c>
      <c r="U152" s="108" t="n">
        <v>0</v>
      </c>
      <c r="V152" s="108" t="n">
        <v>0</v>
      </c>
      <c r="W152" s="108" t="n">
        <v>0</v>
      </c>
      <c r="X152" s="108" t="n">
        <v>0</v>
      </c>
      <c r="Y152" s="107" t="n">
        <f aca="false">S152*$D152</f>
        <v>0</v>
      </c>
      <c r="Z152" s="107" t="n">
        <f aca="false">T152*$D152</f>
        <v>0</v>
      </c>
      <c r="AA152" s="107" t="n">
        <f aca="false">U152*$D152</f>
        <v>0</v>
      </c>
      <c r="AB152" s="107" t="n">
        <f aca="false">V152*$D152</f>
        <v>0</v>
      </c>
      <c r="AC152" s="107" t="n">
        <f aca="false">W152*$D152</f>
        <v>0</v>
      </c>
      <c r="AD152" s="107" t="n">
        <f aca="false">X152*$D152</f>
        <v>0</v>
      </c>
      <c r="AE152" s="107" t="n">
        <f aca="false">SUM(Y152:AD152)</f>
        <v>0</v>
      </c>
    </row>
    <row r="153" customFormat="false" ht="15" hidden="false" customHeight="false" outlineLevel="0" collapsed="false">
      <c r="A153" s="103" t="s">
        <v>599</v>
      </c>
      <c r="B153" s="104" t="n">
        <v>0</v>
      </c>
      <c r="C153" s="105" t="n">
        <f aca="false">IF(K153=0,0,R153/K153)</f>
        <v>9.55882352941176</v>
      </c>
      <c r="D153" s="105" t="n">
        <f aca="false">C153+B153</f>
        <v>9.55882352941176</v>
      </c>
      <c r="E153" s="106" t="n">
        <v>0</v>
      </c>
      <c r="F153" s="106" t="n">
        <v>0</v>
      </c>
      <c r="G153" s="106" t="n">
        <v>5</v>
      </c>
      <c r="H153" s="106" t="n">
        <v>2</v>
      </c>
      <c r="I153" s="106" t="n">
        <v>9</v>
      </c>
      <c r="J153" s="106" t="n">
        <v>1</v>
      </c>
      <c r="K153" s="106" t="n">
        <f aca="false">SUM(E153:J153)</f>
        <v>17</v>
      </c>
      <c r="L153" s="107" t="n">
        <v>0</v>
      </c>
      <c r="M153" s="107" t="n">
        <v>0</v>
      </c>
      <c r="N153" s="107" t="n">
        <v>50</v>
      </c>
      <c r="O153" s="107" t="n">
        <v>20</v>
      </c>
      <c r="P153" s="107" t="n">
        <v>86.5</v>
      </c>
      <c r="Q153" s="107" t="n">
        <v>6</v>
      </c>
      <c r="R153" s="107" t="n">
        <f aca="false">SUM(L153:Q153)</f>
        <v>162.5</v>
      </c>
      <c r="S153" s="108" t="n">
        <v>4</v>
      </c>
      <c r="T153" s="108" t="n">
        <v>4</v>
      </c>
      <c r="U153" s="108" t="n">
        <v>4</v>
      </c>
      <c r="V153" s="108" t="n">
        <v>4</v>
      </c>
      <c r="W153" s="108" t="n">
        <v>4</v>
      </c>
      <c r="X153" s="108" t="n">
        <v>4</v>
      </c>
      <c r="Y153" s="107" t="n">
        <f aca="false">S153*$D153</f>
        <v>38.2352941176471</v>
      </c>
      <c r="Z153" s="107" t="n">
        <f aca="false">T153*$D153</f>
        <v>38.2352941176471</v>
      </c>
      <c r="AA153" s="107" t="n">
        <f aca="false">U153*$D153</f>
        <v>38.2352941176471</v>
      </c>
      <c r="AB153" s="107" t="n">
        <f aca="false">V153*$D153</f>
        <v>38.2352941176471</v>
      </c>
      <c r="AC153" s="107" t="n">
        <f aca="false">W153*$D153</f>
        <v>38.2352941176471</v>
      </c>
      <c r="AD153" s="107" t="n">
        <f aca="false">X153*$D153</f>
        <v>38.2352941176471</v>
      </c>
      <c r="AE153" s="107" t="n">
        <f aca="false">SUM(Y153:AD153)</f>
        <v>229.411764705882</v>
      </c>
    </row>
    <row r="154" customFormat="false" ht="15" hidden="false" customHeight="false" outlineLevel="0" collapsed="false">
      <c r="A154" s="103" t="s">
        <v>600</v>
      </c>
      <c r="B154" s="104" t="n">
        <v>0</v>
      </c>
      <c r="C154" s="105" t="n">
        <f aca="false">IF(K154=0,0,R154/K154)</f>
        <v>10.72</v>
      </c>
      <c r="D154" s="105" t="n">
        <f aca="false">C154+B154</f>
        <v>10.72</v>
      </c>
      <c r="E154" s="106" t="n">
        <v>0</v>
      </c>
      <c r="F154" s="106" t="n">
        <v>15</v>
      </c>
      <c r="G154" s="106" t="n">
        <v>0</v>
      </c>
      <c r="H154" s="106" t="n">
        <v>0</v>
      </c>
      <c r="I154" s="106" t="n">
        <v>0</v>
      </c>
      <c r="J154" s="106" t="n">
        <v>0</v>
      </c>
      <c r="K154" s="106" t="n">
        <f aca="false">SUM(E154:J154)</f>
        <v>15</v>
      </c>
      <c r="L154" s="107" t="n">
        <v>0</v>
      </c>
      <c r="M154" s="107" t="n">
        <v>160.8</v>
      </c>
      <c r="N154" s="107" t="n">
        <v>0</v>
      </c>
      <c r="O154" s="107" t="n">
        <v>0</v>
      </c>
      <c r="P154" s="107" t="n">
        <v>0</v>
      </c>
      <c r="Q154" s="107" t="n">
        <v>0</v>
      </c>
      <c r="R154" s="107" t="n">
        <f aca="false">SUM(L154:Q154)</f>
        <v>160.8</v>
      </c>
      <c r="S154" s="108" t="n">
        <v>0</v>
      </c>
      <c r="T154" s="108" t="n">
        <v>0</v>
      </c>
      <c r="U154" s="108" t="n">
        <v>0</v>
      </c>
      <c r="V154" s="108" t="n">
        <v>0</v>
      </c>
      <c r="W154" s="108" t="n">
        <v>0</v>
      </c>
      <c r="X154" s="108" t="n">
        <v>0</v>
      </c>
      <c r="Y154" s="107" t="n">
        <f aca="false">S154*$D154</f>
        <v>0</v>
      </c>
      <c r="Z154" s="107" t="n">
        <f aca="false">T154*$D154</f>
        <v>0</v>
      </c>
      <c r="AA154" s="107" t="n">
        <f aca="false">U154*$D154</f>
        <v>0</v>
      </c>
      <c r="AB154" s="107" t="n">
        <f aca="false">V154*$D154</f>
        <v>0</v>
      </c>
      <c r="AC154" s="107" t="n">
        <f aca="false">W154*$D154</f>
        <v>0</v>
      </c>
      <c r="AD154" s="107" t="n">
        <f aca="false">X154*$D154</f>
        <v>0</v>
      </c>
      <c r="AE154" s="107" t="n">
        <f aca="false">SUM(Y154:AD154)</f>
        <v>0</v>
      </c>
    </row>
    <row r="155" customFormat="false" ht="15" hidden="false" customHeight="false" outlineLevel="0" collapsed="false">
      <c r="A155" s="103" t="s">
        <v>601</v>
      </c>
      <c r="B155" s="104" t="n">
        <v>0</v>
      </c>
      <c r="C155" s="105" t="n">
        <f aca="false">IF(K155=0,0,R155/K155)</f>
        <v>5.68928571428572</v>
      </c>
      <c r="D155" s="105" t="n">
        <f aca="false">C155+B155</f>
        <v>5.68928571428572</v>
      </c>
      <c r="E155" s="106" t="n">
        <v>0</v>
      </c>
      <c r="F155" s="106" t="n">
        <v>0</v>
      </c>
      <c r="G155" s="106" t="n">
        <v>28</v>
      </c>
      <c r="H155" s="106" t="n">
        <v>0</v>
      </c>
      <c r="I155" s="106" t="n">
        <v>0</v>
      </c>
      <c r="J155" s="106" t="n">
        <v>0</v>
      </c>
      <c r="K155" s="106" t="n">
        <f aca="false">SUM(E155:J155)</f>
        <v>28</v>
      </c>
      <c r="L155" s="107" t="n">
        <v>0</v>
      </c>
      <c r="M155" s="107" t="n">
        <v>0</v>
      </c>
      <c r="N155" s="107" t="n">
        <v>159.3</v>
      </c>
      <c r="O155" s="107" t="n">
        <v>0</v>
      </c>
      <c r="P155" s="107" t="n">
        <v>0</v>
      </c>
      <c r="Q155" s="107" t="n">
        <v>0</v>
      </c>
      <c r="R155" s="107" t="n">
        <f aca="false">SUM(L155:Q155)</f>
        <v>159.3</v>
      </c>
      <c r="S155" s="108" t="n">
        <v>0</v>
      </c>
      <c r="T155" s="108" t="n">
        <v>0</v>
      </c>
      <c r="U155" s="108" t="n">
        <v>0</v>
      </c>
      <c r="V155" s="108" t="n">
        <v>0</v>
      </c>
      <c r="W155" s="108" t="n">
        <v>0</v>
      </c>
      <c r="X155" s="108" t="n">
        <v>0</v>
      </c>
      <c r="Y155" s="107" t="n">
        <f aca="false">S155*$D155</f>
        <v>0</v>
      </c>
      <c r="Z155" s="107" t="n">
        <f aca="false">T155*$D155</f>
        <v>0</v>
      </c>
      <c r="AA155" s="107" t="n">
        <f aca="false">U155*$D155</f>
        <v>0</v>
      </c>
      <c r="AB155" s="107" t="n">
        <f aca="false">V155*$D155</f>
        <v>0</v>
      </c>
      <c r="AC155" s="107" t="n">
        <f aca="false">W155*$D155</f>
        <v>0</v>
      </c>
      <c r="AD155" s="107" t="n">
        <f aca="false">X155*$D155</f>
        <v>0</v>
      </c>
      <c r="AE155" s="107" t="n">
        <f aca="false">SUM(Y155:AD155)</f>
        <v>0</v>
      </c>
    </row>
    <row r="156" customFormat="false" ht="15" hidden="false" customHeight="false" outlineLevel="0" collapsed="false">
      <c r="A156" s="103" t="s">
        <v>602</v>
      </c>
      <c r="B156" s="104" t="n">
        <v>0</v>
      </c>
      <c r="C156" s="105" t="n">
        <f aca="false">IF(K156=0,0,R156/K156)</f>
        <v>9.90625</v>
      </c>
      <c r="D156" s="105" t="n">
        <f aca="false">C156+B156</f>
        <v>9.90625</v>
      </c>
      <c r="E156" s="106" t="n">
        <v>0</v>
      </c>
      <c r="F156" s="106" t="n">
        <v>0</v>
      </c>
      <c r="G156" s="106" t="n">
        <v>0</v>
      </c>
      <c r="H156" s="106" t="n">
        <v>0</v>
      </c>
      <c r="I156" s="106" t="n">
        <v>0</v>
      </c>
      <c r="J156" s="106" t="n">
        <v>16</v>
      </c>
      <c r="K156" s="106" t="n">
        <f aca="false">SUM(E156:J156)</f>
        <v>16</v>
      </c>
      <c r="L156" s="107" t="n">
        <v>0</v>
      </c>
      <c r="M156" s="107" t="n">
        <v>0</v>
      </c>
      <c r="N156" s="107" t="n">
        <v>0</v>
      </c>
      <c r="O156" s="107" t="n">
        <v>0</v>
      </c>
      <c r="P156" s="107" t="n">
        <v>0</v>
      </c>
      <c r="Q156" s="107" t="n">
        <v>158.5</v>
      </c>
      <c r="R156" s="107" t="n">
        <f aca="false">SUM(L156:Q156)</f>
        <v>158.5</v>
      </c>
      <c r="S156" s="108" t="n">
        <v>5</v>
      </c>
      <c r="T156" s="108" t="n">
        <v>5</v>
      </c>
      <c r="U156" s="108" t="n">
        <v>5</v>
      </c>
      <c r="V156" s="108" t="n">
        <v>5</v>
      </c>
      <c r="W156" s="108" t="n">
        <v>5</v>
      </c>
      <c r="X156" s="108" t="n">
        <v>5</v>
      </c>
      <c r="Y156" s="107" t="n">
        <f aca="false">S156*$D156</f>
        <v>49.53125</v>
      </c>
      <c r="Z156" s="107" t="n">
        <f aca="false">T156*$D156</f>
        <v>49.53125</v>
      </c>
      <c r="AA156" s="107" t="n">
        <f aca="false">U156*$D156</f>
        <v>49.53125</v>
      </c>
      <c r="AB156" s="107" t="n">
        <f aca="false">V156*$D156</f>
        <v>49.53125</v>
      </c>
      <c r="AC156" s="107" t="n">
        <f aca="false">W156*$D156</f>
        <v>49.53125</v>
      </c>
      <c r="AD156" s="107" t="n">
        <f aca="false">X156*$D156</f>
        <v>49.53125</v>
      </c>
      <c r="AE156" s="107" t="n">
        <f aca="false">SUM(Y156:AD156)</f>
        <v>297.1875</v>
      </c>
    </row>
    <row r="157" customFormat="false" ht="15" hidden="false" customHeight="false" outlineLevel="0" collapsed="false">
      <c r="A157" s="103" t="s">
        <v>603</v>
      </c>
      <c r="B157" s="104" t="n">
        <v>0</v>
      </c>
      <c r="C157" s="105" t="n">
        <f aca="false">IF(K157=0,0,R157/K157)</f>
        <v>2.91470588235294</v>
      </c>
      <c r="D157" s="105" t="n">
        <f aca="false">C157+B157</f>
        <v>2.91470588235294</v>
      </c>
      <c r="E157" s="106" t="n">
        <v>15</v>
      </c>
      <c r="F157" s="106" t="n">
        <v>7</v>
      </c>
      <c r="G157" s="106" t="n">
        <v>0</v>
      </c>
      <c r="H157" s="106" t="n">
        <v>6</v>
      </c>
      <c r="I157" s="106" t="n">
        <v>17</v>
      </c>
      <c r="J157" s="106" t="n">
        <v>6</v>
      </c>
      <c r="K157" s="106" t="n">
        <f aca="false">SUM(E157:J157)</f>
        <v>51</v>
      </c>
      <c r="L157" s="107" t="n">
        <v>44.55</v>
      </c>
      <c r="M157" s="107" t="n">
        <v>21</v>
      </c>
      <c r="N157" s="107" t="n">
        <v>0</v>
      </c>
      <c r="O157" s="107" t="n">
        <v>16.5</v>
      </c>
      <c r="P157" s="107" t="n">
        <v>49.05</v>
      </c>
      <c r="Q157" s="107" t="n">
        <v>17.55</v>
      </c>
      <c r="R157" s="107" t="n">
        <f aca="false">SUM(L157:Q157)</f>
        <v>148.65</v>
      </c>
      <c r="S157" s="108" t="n">
        <v>10</v>
      </c>
      <c r="T157" s="108" t="n">
        <v>10</v>
      </c>
      <c r="U157" s="108" t="n">
        <v>10</v>
      </c>
      <c r="V157" s="108" t="n">
        <v>10</v>
      </c>
      <c r="W157" s="108" t="n">
        <v>10</v>
      </c>
      <c r="X157" s="108" t="n">
        <v>10</v>
      </c>
      <c r="Y157" s="107" t="n">
        <f aca="false">S157*$D157</f>
        <v>29.1470588235294</v>
      </c>
      <c r="Z157" s="107" t="n">
        <f aca="false">T157*$D157</f>
        <v>29.1470588235294</v>
      </c>
      <c r="AA157" s="107" t="n">
        <f aca="false">U157*$D157</f>
        <v>29.1470588235294</v>
      </c>
      <c r="AB157" s="107" t="n">
        <f aca="false">V157*$D157</f>
        <v>29.1470588235294</v>
      </c>
      <c r="AC157" s="107" t="n">
        <f aca="false">W157*$D157</f>
        <v>29.1470588235294</v>
      </c>
      <c r="AD157" s="107" t="n">
        <f aca="false">X157*$D157</f>
        <v>29.1470588235294</v>
      </c>
      <c r="AE157" s="107" t="n">
        <f aca="false">SUM(Y157:AD157)</f>
        <v>174.882352941177</v>
      </c>
    </row>
    <row r="158" customFormat="false" ht="15" hidden="false" customHeight="false" outlineLevel="0" collapsed="false">
      <c r="A158" s="103" t="s">
        <v>604</v>
      </c>
      <c r="B158" s="104" t="n">
        <v>0</v>
      </c>
      <c r="C158" s="105" t="n">
        <f aca="false">IF(K158=0,0,R158/K158)</f>
        <v>5.41153846153846</v>
      </c>
      <c r="D158" s="105" t="n">
        <f aca="false">C158+B158</f>
        <v>5.41153846153846</v>
      </c>
      <c r="E158" s="106" t="n">
        <v>0</v>
      </c>
      <c r="F158" s="106" t="n">
        <v>26</v>
      </c>
      <c r="G158" s="106" t="n">
        <v>0</v>
      </c>
      <c r="H158" s="106" t="n">
        <v>0</v>
      </c>
      <c r="I158" s="106" t="n">
        <v>0</v>
      </c>
      <c r="J158" s="106" t="n">
        <v>0</v>
      </c>
      <c r="K158" s="106" t="n">
        <f aca="false">SUM(E158:J158)</f>
        <v>26</v>
      </c>
      <c r="L158" s="107" t="n">
        <v>0</v>
      </c>
      <c r="M158" s="107" t="n">
        <v>140.7</v>
      </c>
      <c r="N158" s="107" t="n">
        <v>0</v>
      </c>
      <c r="O158" s="107" t="n">
        <v>0</v>
      </c>
      <c r="P158" s="107" t="n">
        <v>0</v>
      </c>
      <c r="Q158" s="107" t="n">
        <v>0</v>
      </c>
      <c r="R158" s="107" t="n">
        <f aca="false">SUM(L158:Q158)</f>
        <v>140.7</v>
      </c>
      <c r="S158" s="108" t="n">
        <v>0</v>
      </c>
      <c r="T158" s="108" t="n">
        <v>0</v>
      </c>
      <c r="U158" s="108" t="n">
        <v>0</v>
      </c>
      <c r="V158" s="108" t="n">
        <v>0</v>
      </c>
      <c r="W158" s="108" t="n">
        <v>0</v>
      </c>
      <c r="X158" s="108" t="n">
        <v>0</v>
      </c>
      <c r="Y158" s="107" t="n">
        <f aca="false">S158*$D158</f>
        <v>0</v>
      </c>
      <c r="Z158" s="107" t="n">
        <f aca="false">T158*$D158</f>
        <v>0</v>
      </c>
      <c r="AA158" s="107" t="n">
        <f aca="false">U158*$D158</f>
        <v>0</v>
      </c>
      <c r="AB158" s="107" t="n">
        <f aca="false">V158*$D158</f>
        <v>0</v>
      </c>
      <c r="AC158" s="107" t="n">
        <f aca="false">W158*$D158</f>
        <v>0</v>
      </c>
      <c r="AD158" s="107" t="n">
        <f aca="false">X158*$D158</f>
        <v>0</v>
      </c>
      <c r="AE158" s="107" t="n">
        <f aca="false">SUM(Y158:AD158)</f>
        <v>0</v>
      </c>
    </row>
    <row r="159" customFormat="false" ht="15" hidden="false" customHeight="false" outlineLevel="0" collapsed="false">
      <c r="A159" s="103" t="s">
        <v>605</v>
      </c>
      <c r="B159" s="104" t="n">
        <v>0</v>
      </c>
      <c r="C159" s="105" t="n">
        <f aca="false">IF(K159=0,0,R159/K159)</f>
        <v>5.7825</v>
      </c>
      <c r="D159" s="105" t="n">
        <f aca="false">C159+B159</f>
        <v>5.7825</v>
      </c>
      <c r="E159" s="106" t="n">
        <v>0</v>
      </c>
      <c r="F159" s="106" t="n">
        <v>24</v>
      </c>
      <c r="G159" s="106" t="n">
        <v>0</v>
      </c>
      <c r="H159" s="106" t="n">
        <v>0</v>
      </c>
      <c r="I159" s="106" t="n">
        <v>0</v>
      </c>
      <c r="J159" s="106" t="n">
        <v>0</v>
      </c>
      <c r="K159" s="106" t="n">
        <f aca="false">SUM(E159:J159)</f>
        <v>24</v>
      </c>
      <c r="L159" s="107" t="n">
        <v>0</v>
      </c>
      <c r="M159" s="107" t="n">
        <v>138.78</v>
      </c>
      <c r="N159" s="107" t="n">
        <v>0</v>
      </c>
      <c r="O159" s="107" t="n">
        <v>0</v>
      </c>
      <c r="P159" s="107" t="n">
        <v>0</v>
      </c>
      <c r="Q159" s="107" t="n">
        <v>0</v>
      </c>
      <c r="R159" s="107" t="n">
        <f aca="false">SUM(L159:Q159)</f>
        <v>138.78</v>
      </c>
      <c r="S159" s="108" t="n">
        <v>0</v>
      </c>
      <c r="T159" s="108" t="n">
        <v>0</v>
      </c>
      <c r="U159" s="108" t="n">
        <v>0</v>
      </c>
      <c r="V159" s="108" t="n">
        <v>0</v>
      </c>
      <c r="W159" s="108" t="n">
        <v>0</v>
      </c>
      <c r="X159" s="108" t="n">
        <v>0</v>
      </c>
      <c r="Y159" s="107" t="n">
        <f aca="false">S159*$D159</f>
        <v>0</v>
      </c>
      <c r="Z159" s="107" t="n">
        <f aca="false">T159*$D159</f>
        <v>0</v>
      </c>
      <c r="AA159" s="107" t="n">
        <f aca="false">U159*$D159</f>
        <v>0</v>
      </c>
      <c r="AB159" s="107" t="n">
        <f aca="false">V159*$D159</f>
        <v>0</v>
      </c>
      <c r="AC159" s="107" t="n">
        <f aca="false">W159*$D159</f>
        <v>0</v>
      </c>
      <c r="AD159" s="107" t="n">
        <f aca="false">X159*$D159</f>
        <v>0</v>
      </c>
      <c r="AE159" s="107" t="n">
        <f aca="false">SUM(Y159:AD159)</f>
        <v>0</v>
      </c>
    </row>
    <row r="160" customFormat="false" ht="15" hidden="false" customHeight="false" outlineLevel="0" collapsed="false">
      <c r="A160" s="103" t="s">
        <v>606</v>
      </c>
      <c r="B160" s="104" t="n">
        <v>0</v>
      </c>
      <c r="C160" s="105" t="n">
        <f aca="false">IF(K160=0,0,R160/K160)</f>
        <v>11.1133333333333</v>
      </c>
      <c r="D160" s="105" t="n">
        <f aca="false">C160+B160</f>
        <v>11.1133333333333</v>
      </c>
      <c r="E160" s="106" t="n">
        <v>0</v>
      </c>
      <c r="F160" s="106" t="n">
        <v>0</v>
      </c>
      <c r="G160" s="106" t="n">
        <v>0</v>
      </c>
      <c r="H160" s="106" t="n">
        <v>7</v>
      </c>
      <c r="I160" s="106" t="n">
        <v>5</v>
      </c>
      <c r="J160" s="106" t="n">
        <v>0</v>
      </c>
      <c r="K160" s="106" t="n">
        <f aca="false">SUM(E160:J160)</f>
        <v>12</v>
      </c>
      <c r="L160" s="107" t="n">
        <v>0</v>
      </c>
      <c r="M160" s="107" t="n">
        <v>0</v>
      </c>
      <c r="N160" s="107" t="n">
        <v>0</v>
      </c>
      <c r="O160" s="107" t="n">
        <v>74.61</v>
      </c>
      <c r="P160" s="107" t="n">
        <v>58.75</v>
      </c>
      <c r="Q160" s="107" t="n">
        <v>0</v>
      </c>
      <c r="R160" s="107" t="n">
        <f aca="false">SUM(L160:Q160)</f>
        <v>133.36</v>
      </c>
      <c r="S160" s="108" t="n">
        <v>4</v>
      </c>
      <c r="T160" s="108" t="n">
        <v>4</v>
      </c>
      <c r="U160" s="108" t="n">
        <v>4</v>
      </c>
      <c r="V160" s="108" t="n">
        <v>4</v>
      </c>
      <c r="W160" s="108" t="n">
        <v>4</v>
      </c>
      <c r="X160" s="108" t="n">
        <v>4</v>
      </c>
      <c r="Y160" s="107" t="n">
        <f aca="false">S160*$D160</f>
        <v>44.4533333333333</v>
      </c>
      <c r="Z160" s="107" t="n">
        <f aca="false">T160*$D160</f>
        <v>44.4533333333333</v>
      </c>
      <c r="AA160" s="107" t="n">
        <f aca="false">U160*$D160</f>
        <v>44.4533333333333</v>
      </c>
      <c r="AB160" s="107" t="n">
        <f aca="false">V160*$D160</f>
        <v>44.4533333333333</v>
      </c>
      <c r="AC160" s="107" t="n">
        <f aca="false">W160*$D160</f>
        <v>44.4533333333333</v>
      </c>
      <c r="AD160" s="107" t="n">
        <f aca="false">X160*$D160</f>
        <v>44.4533333333333</v>
      </c>
      <c r="AE160" s="107" t="n">
        <f aca="false">SUM(Y160:AD160)</f>
        <v>266.72</v>
      </c>
    </row>
    <row r="161" customFormat="false" ht="15" hidden="false" customHeight="false" outlineLevel="0" collapsed="false">
      <c r="A161" s="103" t="s">
        <v>607</v>
      </c>
      <c r="B161" s="104" t="n">
        <v>0</v>
      </c>
      <c r="C161" s="105" t="n">
        <f aca="false">IF(K161=0,0,R161/K161)</f>
        <v>18.7142857142857</v>
      </c>
      <c r="D161" s="105" t="n">
        <f aca="false">C161+B161</f>
        <v>18.7142857142857</v>
      </c>
      <c r="E161" s="106" t="n">
        <v>0</v>
      </c>
      <c r="F161" s="106" t="n">
        <v>0</v>
      </c>
      <c r="G161" s="106" t="n">
        <v>0</v>
      </c>
      <c r="H161" s="106" t="n">
        <v>1</v>
      </c>
      <c r="I161" s="106" t="n">
        <v>4</v>
      </c>
      <c r="J161" s="106" t="n">
        <v>2</v>
      </c>
      <c r="K161" s="106" t="n">
        <f aca="false">SUM(E161:J161)</f>
        <v>7</v>
      </c>
      <c r="L161" s="107" t="n">
        <v>0</v>
      </c>
      <c r="M161" s="107" t="n">
        <v>0</v>
      </c>
      <c r="N161" s="107" t="n">
        <v>0</v>
      </c>
      <c r="O161" s="107" t="n">
        <v>20</v>
      </c>
      <c r="P161" s="107" t="n">
        <v>74</v>
      </c>
      <c r="Q161" s="107" t="n">
        <v>37</v>
      </c>
      <c r="R161" s="107" t="n">
        <f aca="false">SUM(L161:Q161)</f>
        <v>131</v>
      </c>
      <c r="S161" s="108" t="n">
        <v>2</v>
      </c>
      <c r="T161" s="108" t="n">
        <v>2</v>
      </c>
      <c r="U161" s="108" t="n">
        <v>2</v>
      </c>
      <c r="V161" s="108" t="n">
        <v>2</v>
      </c>
      <c r="W161" s="108" t="n">
        <v>2</v>
      </c>
      <c r="X161" s="108" t="n">
        <v>2</v>
      </c>
      <c r="Y161" s="107" t="n">
        <f aca="false">S161*$D161</f>
        <v>37.4285714285714</v>
      </c>
      <c r="Z161" s="107" t="n">
        <f aca="false">T161*$D161</f>
        <v>37.4285714285714</v>
      </c>
      <c r="AA161" s="107" t="n">
        <f aca="false">U161*$D161</f>
        <v>37.4285714285714</v>
      </c>
      <c r="AB161" s="107" t="n">
        <f aca="false">V161*$D161</f>
        <v>37.4285714285714</v>
      </c>
      <c r="AC161" s="107" t="n">
        <f aca="false">W161*$D161</f>
        <v>37.4285714285714</v>
      </c>
      <c r="AD161" s="107" t="n">
        <f aca="false">X161*$D161</f>
        <v>37.4285714285714</v>
      </c>
      <c r="AE161" s="107" t="n">
        <f aca="false">SUM(Y161:AD161)</f>
        <v>224.571428571429</v>
      </c>
    </row>
    <row r="162" customFormat="false" ht="15" hidden="false" customHeight="false" outlineLevel="0" collapsed="false">
      <c r="A162" s="103" t="s">
        <v>608</v>
      </c>
      <c r="B162" s="104" t="n">
        <v>0</v>
      </c>
      <c r="C162" s="105" t="n">
        <f aca="false">IF(K162=0,0,R162/K162)</f>
        <v>5.99095238095238</v>
      </c>
      <c r="D162" s="105" t="n">
        <f aca="false">C162+B162</f>
        <v>5.99095238095238</v>
      </c>
      <c r="E162" s="106" t="n">
        <v>0</v>
      </c>
      <c r="F162" s="106" t="n">
        <v>21</v>
      </c>
      <c r="G162" s="106" t="n">
        <v>0</v>
      </c>
      <c r="H162" s="106" t="n">
        <v>0</v>
      </c>
      <c r="I162" s="106" t="n">
        <v>0</v>
      </c>
      <c r="J162" s="106" t="n">
        <v>0</v>
      </c>
      <c r="K162" s="106" t="n">
        <f aca="false">SUM(E162:J162)</f>
        <v>21</v>
      </c>
      <c r="L162" s="107" t="n">
        <v>0</v>
      </c>
      <c r="M162" s="107" t="n">
        <v>125.81</v>
      </c>
      <c r="N162" s="107" t="n">
        <v>0</v>
      </c>
      <c r="O162" s="107" t="n">
        <v>0</v>
      </c>
      <c r="P162" s="107" t="n">
        <v>0</v>
      </c>
      <c r="Q162" s="107" t="n">
        <v>0</v>
      </c>
      <c r="R162" s="107" t="n">
        <f aca="false">SUM(L162:Q162)</f>
        <v>125.81</v>
      </c>
      <c r="S162" s="108" t="n">
        <v>0</v>
      </c>
      <c r="T162" s="108" t="n">
        <v>0</v>
      </c>
      <c r="U162" s="108" t="n">
        <v>0</v>
      </c>
      <c r="V162" s="108" t="n">
        <v>0</v>
      </c>
      <c r="W162" s="108" t="n">
        <v>0</v>
      </c>
      <c r="X162" s="108" t="n">
        <v>0</v>
      </c>
      <c r="Y162" s="107" t="n">
        <f aca="false">S162*$D162</f>
        <v>0</v>
      </c>
      <c r="Z162" s="107" t="n">
        <f aca="false">T162*$D162</f>
        <v>0</v>
      </c>
      <c r="AA162" s="107" t="n">
        <f aca="false">U162*$D162</f>
        <v>0</v>
      </c>
      <c r="AB162" s="107" t="n">
        <f aca="false">V162*$D162</f>
        <v>0</v>
      </c>
      <c r="AC162" s="107" t="n">
        <f aca="false">W162*$D162</f>
        <v>0</v>
      </c>
      <c r="AD162" s="107" t="n">
        <f aca="false">X162*$D162</f>
        <v>0</v>
      </c>
      <c r="AE162" s="107" t="n">
        <f aca="false">SUM(Y162:AD162)</f>
        <v>0</v>
      </c>
    </row>
    <row r="163" customFormat="false" ht="15" hidden="false" customHeight="false" outlineLevel="0" collapsed="false">
      <c r="A163" s="103" t="s">
        <v>609</v>
      </c>
      <c r="B163" s="104" t="n">
        <v>0</v>
      </c>
      <c r="C163" s="105" t="n">
        <f aca="false">IF(K163=0,0,R163/K163)</f>
        <v>125</v>
      </c>
      <c r="D163" s="105" t="n">
        <f aca="false">C163+B163</f>
        <v>125</v>
      </c>
      <c r="E163" s="106" t="n">
        <v>0</v>
      </c>
      <c r="F163" s="106" t="n">
        <v>0</v>
      </c>
      <c r="G163" s="106" t="n">
        <v>1</v>
      </c>
      <c r="H163" s="106" t="n">
        <v>0</v>
      </c>
      <c r="I163" s="106" t="n">
        <v>0</v>
      </c>
      <c r="J163" s="106" t="n">
        <v>0</v>
      </c>
      <c r="K163" s="106" t="n">
        <f aca="false">SUM(E163:J163)</f>
        <v>1</v>
      </c>
      <c r="L163" s="107" t="n">
        <v>0</v>
      </c>
      <c r="M163" s="107" t="n">
        <v>0</v>
      </c>
      <c r="N163" s="107" t="n">
        <v>125</v>
      </c>
      <c r="O163" s="107" t="n">
        <v>0</v>
      </c>
      <c r="P163" s="107" t="n">
        <v>0</v>
      </c>
      <c r="Q163" s="107" t="n">
        <v>0</v>
      </c>
      <c r="R163" s="107" t="n">
        <f aca="false">SUM(L163:Q163)</f>
        <v>125</v>
      </c>
      <c r="S163" s="108" t="n">
        <v>0</v>
      </c>
      <c r="T163" s="108" t="n">
        <v>0</v>
      </c>
      <c r="U163" s="108" t="n">
        <v>0</v>
      </c>
      <c r="V163" s="108" t="n">
        <v>0</v>
      </c>
      <c r="W163" s="108" t="n">
        <v>0</v>
      </c>
      <c r="X163" s="108" t="n">
        <v>0</v>
      </c>
      <c r="Y163" s="107" t="n">
        <f aca="false">S163*$D163</f>
        <v>0</v>
      </c>
      <c r="Z163" s="107" t="n">
        <f aca="false">T163*$D163</f>
        <v>0</v>
      </c>
      <c r="AA163" s="107" t="n">
        <f aca="false">U163*$D163</f>
        <v>0</v>
      </c>
      <c r="AB163" s="107" t="n">
        <f aca="false">V163*$D163</f>
        <v>0</v>
      </c>
      <c r="AC163" s="107" t="n">
        <f aca="false">W163*$D163</f>
        <v>0</v>
      </c>
      <c r="AD163" s="107" t="n">
        <f aca="false">X163*$D163</f>
        <v>0</v>
      </c>
      <c r="AE163" s="107" t="n">
        <f aca="false">SUM(Y163:AD163)</f>
        <v>0</v>
      </c>
    </row>
    <row r="164" customFormat="false" ht="15" hidden="false" customHeight="false" outlineLevel="0" collapsed="false">
      <c r="A164" s="103" t="s">
        <v>610</v>
      </c>
      <c r="B164" s="104" t="n">
        <v>0</v>
      </c>
      <c r="C164" s="105" t="n">
        <f aca="false">IF(K164=0,0,R164/K164)</f>
        <v>6.0725</v>
      </c>
      <c r="D164" s="105" t="n">
        <f aca="false">C164+B164</f>
        <v>6.0725</v>
      </c>
      <c r="E164" s="106" t="n">
        <v>0</v>
      </c>
      <c r="F164" s="106" t="n">
        <v>4</v>
      </c>
      <c r="G164" s="106" t="n">
        <v>8</v>
      </c>
      <c r="H164" s="106" t="n">
        <v>8</v>
      </c>
      <c r="I164" s="106" t="n">
        <v>0</v>
      </c>
      <c r="J164" s="106" t="n">
        <v>0</v>
      </c>
      <c r="K164" s="106" t="n">
        <f aca="false">SUM(E164:J164)</f>
        <v>20</v>
      </c>
      <c r="L164" s="107" t="n">
        <v>0</v>
      </c>
      <c r="M164" s="107" t="n">
        <v>10.5</v>
      </c>
      <c r="N164" s="107" t="n">
        <v>54.95</v>
      </c>
      <c r="O164" s="107" t="n">
        <v>56</v>
      </c>
      <c r="P164" s="107" t="n">
        <v>0</v>
      </c>
      <c r="Q164" s="107" t="n">
        <v>0</v>
      </c>
      <c r="R164" s="107" t="n">
        <f aca="false">SUM(L164:Q164)</f>
        <v>121.45</v>
      </c>
      <c r="S164" s="108" t="n">
        <v>3</v>
      </c>
      <c r="T164" s="108" t="n">
        <v>3</v>
      </c>
      <c r="U164" s="108" t="n">
        <v>3</v>
      </c>
      <c r="V164" s="108" t="n">
        <v>3</v>
      </c>
      <c r="W164" s="108" t="n">
        <v>3</v>
      </c>
      <c r="X164" s="108" t="n">
        <v>3</v>
      </c>
      <c r="Y164" s="107" t="n">
        <f aca="false">S164*$D164</f>
        <v>18.2175</v>
      </c>
      <c r="Z164" s="107" t="n">
        <f aca="false">T164*$D164</f>
        <v>18.2175</v>
      </c>
      <c r="AA164" s="107" t="n">
        <f aca="false">U164*$D164</f>
        <v>18.2175</v>
      </c>
      <c r="AB164" s="107" t="n">
        <f aca="false">V164*$D164</f>
        <v>18.2175</v>
      </c>
      <c r="AC164" s="107" t="n">
        <f aca="false">W164*$D164</f>
        <v>18.2175</v>
      </c>
      <c r="AD164" s="107" t="n">
        <f aca="false">X164*$D164</f>
        <v>18.2175</v>
      </c>
      <c r="AE164" s="107" t="n">
        <f aca="false">SUM(Y164:AD164)</f>
        <v>109.305</v>
      </c>
    </row>
    <row r="165" customFormat="false" ht="15" hidden="false" customHeight="false" outlineLevel="0" collapsed="false">
      <c r="A165" s="103" t="s">
        <v>611</v>
      </c>
      <c r="B165" s="104" t="n">
        <v>0</v>
      </c>
      <c r="C165" s="105" t="n">
        <f aca="false">IF(K165=0,0,R165/K165)</f>
        <v>8.35714285714286</v>
      </c>
      <c r="D165" s="105" t="n">
        <f aca="false">C165+B165</f>
        <v>8.35714285714286</v>
      </c>
      <c r="E165" s="106" t="n">
        <v>0</v>
      </c>
      <c r="F165" s="106" t="n">
        <v>0</v>
      </c>
      <c r="G165" s="106" t="n">
        <v>0</v>
      </c>
      <c r="H165" s="106" t="n">
        <v>8</v>
      </c>
      <c r="I165" s="106" t="n">
        <v>6</v>
      </c>
      <c r="J165" s="106" t="n">
        <v>0</v>
      </c>
      <c r="K165" s="106" t="n">
        <f aca="false">SUM(E165:J165)</f>
        <v>14</v>
      </c>
      <c r="L165" s="107" t="n">
        <v>0</v>
      </c>
      <c r="M165" s="107" t="n">
        <v>0</v>
      </c>
      <c r="N165" s="107" t="n">
        <v>0</v>
      </c>
      <c r="O165" s="107" t="n">
        <v>62</v>
      </c>
      <c r="P165" s="107" t="n">
        <v>55</v>
      </c>
      <c r="Q165" s="107" t="n">
        <v>0</v>
      </c>
      <c r="R165" s="107" t="n">
        <f aca="false">SUM(L165:Q165)</f>
        <v>117</v>
      </c>
      <c r="S165" s="108" t="n">
        <v>5</v>
      </c>
      <c r="T165" s="108" t="n">
        <v>5</v>
      </c>
      <c r="U165" s="108" t="n">
        <v>5</v>
      </c>
      <c r="V165" s="108" t="n">
        <v>5</v>
      </c>
      <c r="W165" s="108" t="n">
        <v>5</v>
      </c>
      <c r="X165" s="108" t="n">
        <v>5</v>
      </c>
      <c r="Y165" s="107" t="n">
        <f aca="false">S165*$D165</f>
        <v>41.7857142857143</v>
      </c>
      <c r="Z165" s="107" t="n">
        <f aca="false">T165*$D165</f>
        <v>41.7857142857143</v>
      </c>
      <c r="AA165" s="107" t="n">
        <f aca="false">U165*$D165</f>
        <v>41.7857142857143</v>
      </c>
      <c r="AB165" s="107" t="n">
        <f aca="false">V165*$D165</f>
        <v>41.7857142857143</v>
      </c>
      <c r="AC165" s="107" t="n">
        <f aca="false">W165*$D165</f>
        <v>41.7857142857143</v>
      </c>
      <c r="AD165" s="107" t="n">
        <f aca="false">X165*$D165</f>
        <v>41.7857142857143</v>
      </c>
      <c r="AE165" s="107" t="n">
        <f aca="false">SUM(Y165:AD165)</f>
        <v>250.714285714286</v>
      </c>
    </row>
    <row r="166" customFormat="false" ht="15" hidden="false" customHeight="false" outlineLevel="0" collapsed="false">
      <c r="A166" s="103" t="s">
        <v>612</v>
      </c>
      <c r="B166" s="104" t="n">
        <v>0</v>
      </c>
      <c r="C166" s="105" t="n">
        <f aca="false">IF(K166=0,0,R166/K166)</f>
        <v>5.52857142857143</v>
      </c>
      <c r="D166" s="105" t="n">
        <f aca="false">C166+B166</f>
        <v>5.52857142857143</v>
      </c>
      <c r="E166" s="106" t="n">
        <v>21</v>
      </c>
      <c r="F166" s="106" t="n">
        <v>0</v>
      </c>
      <c r="G166" s="106" t="n">
        <v>0</v>
      </c>
      <c r="H166" s="106" t="n">
        <v>0</v>
      </c>
      <c r="I166" s="106" t="n">
        <v>0</v>
      </c>
      <c r="J166" s="106" t="n">
        <v>0</v>
      </c>
      <c r="K166" s="106" t="n">
        <f aca="false">SUM(E166:J166)</f>
        <v>21</v>
      </c>
      <c r="L166" s="107" t="n">
        <v>116.1</v>
      </c>
      <c r="M166" s="107" t="n">
        <v>0</v>
      </c>
      <c r="N166" s="107" t="n">
        <v>0</v>
      </c>
      <c r="O166" s="107" t="n">
        <v>0</v>
      </c>
      <c r="P166" s="107" t="n">
        <v>0</v>
      </c>
      <c r="Q166" s="107" t="n">
        <v>0</v>
      </c>
      <c r="R166" s="107" t="n">
        <f aca="false">SUM(L166:Q166)</f>
        <v>116.1</v>
      </c>
      <c r="S166" s="108" t="n">
        <v>0</v>
      </c>
      <c r="T166" s="108" t="n">
        <v>0</v>
      </c>
      <c r="U166" s="108" t="n">
        <v>0</v>
      </c>
      <c r="V166" s="108" t="n">
        <v>0</v>
      </c>
      <c r="W166" s="108" t="n">
        <v>0</v>
      </c>
      <c r="X166" s="108" t="n">
        <v>0</v>
      </c>
      <c r="Y166" s="107" t="n">
        <f aca="false">S166*$D166</f>
        <v>0</v>
      </c>
      <c r="Z166" s="107" t="n">
        <f aca="false">T166*$D166</f>
        <v>0</v>
      </c>
      <c r="AA166" s="107" t="n">
        <f aca="false">U166*$D166</f>
        <v>0</v>
      </c>
      <c r="AB166" s="107" t="n">
        <f aca="false">V166*$D166</f>
        <v>0</v>
      </c>
      <c r="AC166" s="107" t="n">
        <f aca="false">W166*$D166</f>
        <v>0</v>
      </c>
      <c r="AD166" s="107" t="n">
        <f aca="false">X166*$D166</f>
        <v>0</v>
      </c>
      <c r="AE166" s="107" t="n">
        <f aca="false">SUM(Y166:AD166)</f>
        <v>0</v>
      </c>
    </row>
    <row r="167" customFormat="false" ht="15" hidden="false" customHeight="false" outlineLevel="0" collapsed="false">
      <c r="A167" s="103" t="s">
        <v>613</v>
      </c>
      <c r="B167" s="104" t="n">
        <v>0</v>
      </c>
      <c r="C167" s="105" t="n">
        <f aca="false">IF(K167=0,0,R167/K167)</f>
        <v>3.5765625</v>
      </c>
      <c r="D167" s="105" t="n">
        <f aca="false">C167+B167</f>
        <v>3.5765625</v>
      </c>
      <c r="E167" s="106" t="n">
        <v>0</v>
      </c>
      <c r="F167" s="106" t="n">
        <v>3</v>
      </c>
      <c r="G167" s="106" t="n">
        <v>9</v>
      </c>
      <c r="H167" s="106" t="n">
        <v>7</v>
      </c>
      <c r="I167" s="106" t="n">
        <v>6</v>
      </c>
      <c r="J167" s="106" t="n">
        <v>7</v>
      </c>
      <c r="K167" s="106" t="n">
        <f aca="false">SUM(E167:J167)</f>
        <v>32</v>
      </c>
      <c r="L167" s="107" t="n">
        <v>0</v>
      </c>
      <c r="M167" s="107" t="n">
        <v>10.5</v>
      </c>
      <c r="N167" s="107" t="n">
        <v>30.97</v>
      </c>
      <c r="O167" s="107" t="n">
        <v>23.98</v>
      </c>
      <c r="P167" s="107" t="n">
        <v>21</v>
      </c>
      <c r="Q167" s="107" t="n">
        <v>28</v>
      </c>
      <c r="R167" s="107" t="n">
        <f aca="false">SUM(L167:Q167)</f>
        <v>114.45</v>
      </c>
      <c r="S167" s="108" t="n">
        <v>7</v>
      </c>
      <c r="T167" s="108" t="n">
        <v>7</v>
      </c>
      <c r="U167" s="108" t="n">
        <v>7</v>
      </c>
      <c r="V167" s="108" t="n">
        <v>7</v>
      </c>
      <c r="W167" s="108" t="n">
        <v>7</v>
      </c>
      <c r="X167" s="108" t="n">
        <v>7</v>
      </c>
      <c r="Y167" s="107" t="n">
        <f aca="false">S167*$D167</f>
        <v>25.0359375</v>
      </c>
      <c r="Z167" s="107" t="n">
        <f aca="false">T167*$D167</f>
        <v>25.0359375</v>
      </c>
      <c r="AA167" s="107" t="n">
        <f aca="false">U167*$D167</f>
        <v>25.0359375</v>
      </c>
      <c r="AB167" s="107" t="n">
        <f aca="false">V167*$D167</f>
        <v>25.0359375</v>
      </c>
      <c r="AC167" s="107" t="n">
        <f aca="false">W167*$D167</f>
        <v>25.0359375</v>
      </c>
      <c r="AD167" s="107" t="n">
        <f aca="false">X167*$D167</f>
        <v>25.0359375</v>
      </c>
      <c r="AE167" s="107" t="n">
        <f aca="false">SUM(Y167:AD167)</f>
        <v>150.215625</v>
      </c>
    </row>
    <row r="168" customFormat="false" ht="15" hidden="false" customHeight="false" outlineLevel="0" collapsed="false">
      <c r="A168" s="103" t="s">
        <v>614</v>
      </c>
      <c r="B168" s="104" t="n">
        <v>0</v>
      </c>
      <c r="C168" s="105" t="n">
        <f aca="false">IF(K168=0,0,R168/K168)</f>
        <v>2.835</v>
      </c>
      <c r="D168" s="105" t="n">
        <f aca="false">C168+B168</f>
        <v>2.835</v>
      </c>
      <c r="E168" s="106" t="n">
        <v>0</v>
      </c>
      <c r="F168" s="106" t="n">
        <v>3</v>
      </c>
      <c r="G168" s="106" t="n">
        <v>17</v>
      </c>
      <c r="H168" s="106" t="n">
        <v>15</v>
      </c>
      <c r="I168" s="106" t="n">
        <v>5</v>
      </c>
      <c r="J168" s="106" t="n">
        <v>0</v>
      </c>
      <c r="K168" s="106" t="n">
        <f aca="false">SUM(E168:J168)</f>
        <v>40</v>
      </c>
      <c r="L168" s="107" t="n">
        <v>0</v>
      </c>
      <c r="M168" s="107" t="n">
        <v>9</v>
      </c>
      <c r="N168" s="107" t="n">
        <v>48.9</v>
      </c>
      <c r="O168" s="107" t="n">
        <v>40.5</v>
      </c>
      <c r="P168" s="107" t="n">
        <v>15</v>
      </c>
      <c r="Q168" s="107" t="n">
        <v>0</v>
      </c>
      <c r="R168" s="107" t="n">
        <f aca="false">SUM(L168:Q168)</f>
        <v>113.4</v>
      </c>
      <c r="S168" s="108" t="n">
        <v>7</v>
      </c>
      <c r="T168" s="108" t="n">
        <v>7</v>
      </c>
      <c r="U168" s="108" t="n">
        <v>7</v>
      </c>
      <c r="V168" s="108" t="n">
        <v>7</v>
      </c>
      <c r="W168" s="108" t="n">
        <v>7</v>
      </c>
      <c r="X168" s="108" t="n">
        <v>7</v>
      </c>
      <c r="Y168" s="107" t="n">
        <f aca="false">S168*$D168</f>
        <v>19.845</v>
      </c>
      <c r="Z168" s="107" t="n">
        <f aca="false">T168*$D168</f>
        <v>19.845</v>
      </c>
      <c r="AA168" s="107" t="n">
        <f aca="false">U168*$D168</f>
        <v>19.845</v>
      </c>
      <c r="AB168" s="107" t="n">
        <f aca="false">V168*$D168</f>
        <v>19.845</v>
      </c>
      <c r="AC168" s="107" t="n">
        <f aca="false">W168*$D168</f>
        <v>19.845</v>
      </c>
      <c r="AD168" s="107" t="n">
        <f aca="false">X168*$D168</f>
        <v>19.845</v>
      </c>
      <c r="AE168" s="107" t="n">
        <f aca="false">SUM(Y168:AD168)</f>
        <v>119.07</v>
      </c>
    </row>
    <row r="169" customFormat="false" ht="15" hidden="false" customHeight="false" outlineLevel="0" collapsed="false">
      <c r="A169" s="103" t="s">
        <v>615</v>
      </c>
      <c r="B169" s="104" t="n">
        <v>0</v>
      </c>
      <c r="C169" s="105" t="n">
        <f aca="false">IF(K169=0,0,R169/K169)</f>
        <v>6.27777777777778</v>
      </c>
      <c r="D169" s="105" t="n">
        <f aca="false">C169+B169</f>
        <v>6.27777777777778</v>
      </c>
      <c r="E169" s="106" t="n">
        <v>0</v>
      </c>
      <c r="F169" s="106" t="n">
        <v>0</v>
      </c>
      <c r="G169" s="106" t="n">
        <v>0</v>
      </c>
      <c r="H169" s="106" t="n">
        <v>0</v>
      </c>
      <c r="I169" s="106" t="n">
        <v>18</v>
      </c>
      <c r="J169" s="106" t="n">
        <v>0</v>
      </c>
      <c r="K169" s="106" t="n">
        <f aca="false">SUM(E169:J169)</f>
        <v>18</v>
      </c>
      <c r="L169" s="107" t="n">
        <v>0</v>
      </c>
      <c r="M169" s="107" t="n">
        <v>0</v>
      </c>
      <c r="N169" s="107" t="n">
        <v>0</v>
      </c>
      <c r="O169" s="107" t="n">
        <v>0</v>
      </c>
      <c r="P169" s="107" t="n">
        <v>113</v>
      </c>
      <c r="Q169" s="107" t="n">
        <v>0</v>
      </c>
      <c r="R169" s="107" t="n">
        <f aca="false">SUM(L169:Q169)</f>
        <v>113</v>
      </c>
      <c r="S169" s="108" t="n">
        <v>6</v>
      </c>
      <c r="T169" s="108" t="n">
        <v>6</v>
      </c>
      <c r="U169" s="108" t="n">
        <v>6</v>
      </c>
      <c r="V169" s="108" t="n">
        <v>6</v>
      </c>
      <c r="W169" s="108" t="n">
        <v>6</v>
      </c>
      <c r="X169" s="108" t="n">
        <v>6</v>
      </c>
      <c r="Y169" s="107" t="n">
        <f aca="false">S169*$D169</f>
        <v>37.6666666666667</v>
      </c>
      <c r="Z169" s="107" t="n">
        <f aca="false">T169*$D169</f>
        <v>37.6666666666667</v>
      </c>
      <c r="AA169" s="107" t="n">
        <f aca="false">U169*$D169</f>
        <v>37.6666666666667</v>
      </c>
      <c r="AB169" s="107" t="n">
        <f aca="false">V169*$D169</f>
        <v>37.6666666666667</v>
      </c>
      <c r="AC169" s="107" t="n">
        <f aca="false">W169*$D169</f>
        <v>37.6666666666667</v>
      </c>
      <c r="AD169" s="107" t="n">
        <f aca="false">X169*$D169</f>
        <v>37.6666666666667</v>
      </c>
      <c r="AE169" s="107" t="n">
        <f aca="false">SUM(Y169:AD169)</f>
        <v>226</v>
      </c>
    </row>
    <row r="170" customFormat="false" ht="15" hidden="false" customHeight="false" outlineLevel="0" collapsed="false">
      <c r="A170" s="103" t="s">
        <v>616</v>
      </c>
      <c r="B170" s="104" t="n">
        <v>0</v>
      </c>
      <c r="C170" s="105" t="n">
        <f aca="false">IF(K170=0,0,R170/K170)</f>
        <v>3.68</v>
      </c>
      <c r="D170" s="105" t="n">
        <f aca="false">C170+B170</f>
        <v>3.68</v>
      </c>
      <c r="E170" s="106" t="n">
        <v>0</v>
      </c>
      <c r="F170" s="106" t="n">
        <v>4</v>
      </c>
      <c r="G170" s="106" t="n">
        <v>8</v>
      </c>
      <c r="H170" s="106" t="n">
        <v>4</v>
      </c>
      <c r="I170" s="106" t="n">
        <v>7</v>
      </c>
      <c r="J170" s="106" t="n">
        <v>7</v>
      </c>
      <c r="K170" s="106" t="n">
        <f aca="false">SUM(E170:J170)</f>
        <v>30</v>
      </c>
      <c r="L170" s="107" t="n">
        <v>0</v>
      </c>
      <c r="M170" s="107" t="n">
        <v>14</v>
      </c>
      <c r="N170" s="107" t="n">
        <v>30</v>
      </c>
      <c r="O170" s="107" t="n">
        <v>12</v>
      </c>
      <c r="P170" s="107" t="n">
        <v>26.4</v>
      </c>
      <c r="Q170" s="107" t="n">
        <v>28</v>
      </c>
      <c r="R170" s="107" t="n">
        <f aca="false">SUM(L170:Q170)</f>
        <v>110.4</v>
      </c>
      <c r="S170" s="108" t="n">
        <v>6</v>
      </c>
      <c r="T170" s="108" t="n">
        <v>6</v>
      </c>
      <c r="U170" s="108" t="n">
        <v>6</v>
      </c>
      <c r="V170" s="108" t="n">
        <v>6</v>
      </c>
      <c r="W170" s="108" t="n">
        <v>6</v>
      </c>
      <c r="X170" s="108" t="n">
        <v>6</v>
      </c>
      <c r="Y170" s="107" t="n">
        <f aca="false">S170*$D170</f>
        <v>22.08</v>
      </c>
      <c r="Z170" s="107" t="n">
        <f aca="false">T170*$D170</f>
        <v>22.08</v>
      </c>
      <c r="AA170" s="107" t="n">
        <f aca="false">U170*$D170</f>
        <v>22.08</v>
      </c>
      <c r="AB170" s="107" t="n">
        <f aca="false">V170*$D170</f>
        <v>22.08</v>
      </c>
      <c r="AC170" s="107" t="n">
        <f aca="false">W170*$D170</f>
        <v>22.08</v>
      </c>
      <c r="AD170" s="107" t="n">
        <f aca="false">X170*$D170</f>
        <v>22.08</v>
      </c>
      <c r="AE170" s="107" t="n">
        <f aca="false">SUM(Y170:AD170)</f>
        <v>132.48</v>
      </c>
    </row>
    <row r="171" customFormat="false" ht="15" hidden="false" customHeight="false" outlineLevel="0" collapsed="false">
      <c r="A171" s="103" t="s">
        <v>617</v>
      </c>
      <c r="B171" s="104" t="n">
        <v>0</v>
      </c>
      <c r="C171" s="105" t="n">
        <f aca="false">IF(K171=0,0,R171/K171)</f>
        <v>5.79473684210526</v>
      </c>
      <c r="D171" s="105" t="n">
        <f aca="false">C171+B171</f>
        <v>5.79473684210526</v>
      </c>
      <c r="E171" s="106" t="n">
        <v>3</v>
      </c>
      <c r="F171" s="106" t="n">
        <v>2</v>
      </c>
      <c r="G171" s="106" t="n">
        <v>6</v>
      </c>
      <c r="H171" s="106" t="n">
        <v>1</v>
      </c>
      <c r="I171" s="106" t="n">
        <v>2</v>
      </c>
      <c r="J171" s="106" t="n">
        <v>5</v>
      </c>
      <c r="K171" s="106" t="n">
        <f aca="false">SUM(E171:J171)</f>
        <v>19</v>
      </c>
      <c r="L171" s="107" t="n">
        <v>18</v>
      </c>
      <c r="M171" s="107" t="n">
        <v>12</v>
      </c>
      <c r="N171" s="107" t="n">
        <v>35.1</v>
      </c>
      <c r="O171" s="107" t="n">
        <v>3</v>
      </c>
      <c r="P171" s="107" t="n">
        <v>12</v>
      </c>
      <c r="Q171" s="107" t="n">
        <v>30</v>
      </c>
      <c r="R171" s="107" t="n">
        <f aca="false">SUM(L171:Q171)</f>
        <v>110.1</v>
      </c>
      <c r="S171" s="108" t="n">
        <v>3</v>
      </c>
      <c r="T171" s="108" t="n">
        <v>3</v>
      </c>
      <c r="U171" s="108" t="n">
        <v>3</v>
      </c>
      <c r="V171" s="108" t="n">
        <v>3</v>
      </c>
      <c r="W171" s="108" t="n">
        <v>3</v>
      </c>
      <c r="X171" s="108" t="n">
        <v>3</v>
      </c>
      <c r="Y171" s="107" t="n">
        <f aca="false">S171*$D171</f>
        <v>17.3842105263158</v>
      </c>
      <c r="Z171" s="107" t="n">
        <f aca="false">T171*$D171</f>
        <v>17.3842105263158</v>
      </c>
      <c r="AA171" s="107" t="n">
        <f aca="false">U171*$D171</f>
        <v>17.3842105263158</v>
      </c>
      <c r="AB171" s="107" t="n">
        <f aca="false">V171*$D171</f>
        <v>17.3842105263158</v>
      </c>
      <c r="AC171" s="107" t="n">
        <f aca="false">W171*$D171</f>
        <v>17.3842105263158</v>
      </c>
      <c r="AD171" s="107" t="n">
        <f aca="false">X171*$D171</f>
        <v>17.3842105263158</v>
      </c>
      <c r="AE171" s="107" t="n">
        <f aca="false">SUM(Y171:AD171)</f>
        <v>104.305263157895</v>
      </c>
    </row>
    <row r="172" customFormat="false" ht="15" hidden="false" customHeight="false" outlineLevel="0" collapsed="false">
      <c r="A172" s="103" t="s">
        <v>618</v>
      </c>
      <c r="B172" s="104" t="n">
        <v>0</v>
      </c>
      <c r="C172" s="105" t="n">
        <f aca="false">IF(K172=0,0,R172/K172)</f>
        <v>10</v>
      </c>
      <c r="D172" s="105" t="n">
        <f aca="false">C172+B172</f>
        <v>10</v>
      </c>
      <c r="E172" s="106" t="n">
        <v>0</v>
      </c>
      <c r="F172" s="106" t="n">
        <v>0</v>
      </c>
      <c r="G172" s="106" t="n">
        <v>5</v>
      </c>
      <c r="H172" s="106" t="n">
        <v>0</v>
      </c>
      <c r="I172" s="106" t="n">
        <v>6</v>
      </c>
      <c r="J172" s="106" t="n">
        <v>0</v>
      </c>
      <c r="K172" s="106" t="n">
        <f aca="false">SUM(E172:J172)</f>
        <v>11</v>
      </c>
      <c r="L172" s="107" t="n">
        <v>0</v>
      </c>
      <c r="M172" s="107" t="n">
        <v>0</v>
      </c>
      <c r="N172" s="107" t="n">
        <v>50</v>
      </c>
      <c r="O172" s="107" t="n">
        <v>0</v>
      </c>
      <c r="P172" s="107" t="n">
        <v>60</v>
      </c>
      <c r="Q172" s="107" t="n">
        <v>0</v>
      </c>
      <c r="R172" s="107" t="n">
        <f aca="false">SUM(L172:Q172)</f>
        <v>110</v>
      </c>
      <c r="S172" s="108" t="n">
        <v>2</v>
      </c>
      <c r="T172" s="108" t="n">
        <v>2</v>
      </c>
      <c r="U172" s="108" t="n">
        <v>2</v>
      </c>
      <c r="V172" s="108" t="n">
        <v>2</v>
      </c>
      <c r="W172" s="108" t="n">
        <v>2</v>
      </c>
      <c r="X172" s="108" t="n">
        <v>2</v>
      </c>
      <c r="Y172" s="107" t="n">
        <f aca="false">S172*$D172</f>
        <v>20</v>
      </c>
      <c r="Z172" s="107" t="n">
        <f aca="false">T172*$D172</f>
        <v>20</v>
      </c>
      <c r="AA172" s="107" t="n">
        <f aca="false">U172*$D172</f>
        <v>20</v>
      </c>
      <c r="AB172" s="107" t="n">
        <f aca="false">V172*$D172</f>
        <v>20</v>
      </c>
      <c r="AC172" s="107" t="n">
        <f aca="false">W172*$D172</f>
        <v>20</v>
      </c>
      <c r="AD172" s="107" t="n">
        <f aca="false">X172*$D172</f>
        <v>20</v>
      </c>
      <c r="AE172" s="107" t="n">
        <f aca="false">SUM(Y172:AD172)</f>
        <v>120</v>
      </c>
    </row>
    <row r="173" customFormat="false" ht="15" hidden="false" customHeight="false" outlineLevel="0" collapsed="false">
      <c r="A173" s="103" t="s">
        <v>619</v>
      </c>
      <c r="B173" s="104" t="n">
        <v>0</v>
      </c>
      <c r="C173" s="105" t="n">
        <f aca="false">IF(K173=0,0,R173/K173)</f>
        <v>9</v>
      </c>
      <c r="D173" s="105" t="n">
        <f aca="false">C173+B173</f>
        <v>9</v>
      </c>
      <c r="E173" s="106" t="n">
        <v>0</v>
      </c>
      <c r="F173" s="106" t="n">
        <v>0</v>
      </c>
      <c r="G173" s="106" t="n">
        <v>0</v>
      </c>
      <c r="H173" s="106" t="n">
        <v>0</v>
      </c>
      <c r="I173" s="106" t="n">
        <v>0</v>
      </c>
      <c r="J173" s="106" t="n">
        <v>12</v>
      </c>
      <c r="K173" s="106" t="n">
        <f aca="false">SUM(E173:J173)</f>
        <v>12</v>
      </c>
      <c r="L173" s="107" t="n">
        <v>0</v>
      </c>
      <c r="M173" s="107" t="n">
        <v>0</v>
      </c>
      <c r="N173" s="107" t="n">
        <v>0</v>
      </c>
      <c r="O173" s="107" t="n">
        <v>0</v>
      </c>
      <c r="P173" s="107" t="n">
        <v>0</v>
      </c>
      <c r="Q173" s="107" t="n">
        <v>108</v>
      </c>
      <c r="R173" s="107" t="n">
        <f aca="false">SUM(L173:Q173)</f>
        <v>108</v>
      </c>
      <c r="S173" s="108" t="n">
        <v>4</v>
      </c>
      <c r="T173" s="108" t="n">
        <v>4</v>
      </c>
      <c r="U173" s="108" t="n">
        <v>4</v>
      </c>
      <c r="V173" s="108" t="n">
        <v>4</v>
      </c>
      <c r="W173" s="108" t="n">
        <v>4</v>
      </c>
      <c r="X173" s="108" t="n">
        <v>4</v>
      </c>
      <c r="Y173" s="107" t="n">
        <f aca="false">S173*$D173</f>
        <v>36</v>
      </c>
      <c r="Z173" s="107" t="n">
        <f aca="false">T173*$D173</f>
        <v>36</v>
      </c>
      <c r="AA173" s="107" t="n">
        <f aca="false">U173*$D173</f>
        <v>36</v>
      </c>
      <c r="AB173" s="107" t="n">
        <f aca="false">V173*$D173</f>
        <v>36</v>
      </c>
      <c r="AC173" s="107" t="n">
        <f aca="false">W173*$D173</f>
        <v>36</v>
      </c>
      <c r="AD173" s="107" t="n">
        <f aca="false">X173*$D173</f>
        <v>36</v>
      </c>
      <c r="AE173" s="107" t="n">
        <f aca="false">SUM(Y173:AD173)</f>
        <v>216</v>
      </c>
    </row>
    <row r="174" customFormat="false" ht="15" hidden="false" customHeight="false" outlineLevel="0" collapsed="false">
      <c r="A174" s="103" t="s">
        <v>620</v>
      </c>
      <c r="B174" s="104" t="n">
        <v>0</v>
      </c>
      <c r="C174" s="105" t="n">
        <f aca="false">IF(K174=0,0,R174/K174)</f>
        <v>6.65625</v>
      </c>
      <c r="D174" s="105" t="n">
        <f aca="false">C174+B174</f>
        <v>6.65625</v>
      </c>
      <c r="E174" s="106" t="n">
        <v>0</v>
      </c>
      <c r="F174" s="106" t="n">
        <v>6</v>
      </c>
      <c r="G174" s="106" t="n">
        <v>10</v>
      </c>
      <c r="H174" s="106" t="n">
        <v>0</v>
      </c>
      <c r="I174" s="106" t="n">
        <v>0</v>
      </c>
      <c r="J174" s="106" t="n">
        <v>0</v>
      </c>
      <c r="K174" s="106" t="n">
        <f aca="false">SUM(E174:J174)</f>
        <v>16</v>
      </c>
      <c r="L174" s="107" t="n">
        <v>0</v>
      </c>
      <c r="M174" s="107" t="n">
        <v>51.5</v>
      </c>
      <c r="N174" s="107" t="n">
        <v>55</v>
      </c>
      <c r="O174" s="107" t="n">
        <v>0</v>
      </c>
      <c r="P174" s="107" t="n">
        <v>0</v>
      </c>
      <c r="Q174" s="107" t="n">
        <v>0</v>
      </c>
      <c r="R174" s="107" t="n">
        <f aca="false">SUM(L174:Q174)</f>
        <v>106.5</v>
      </c>
      <c r="S174" s="108" t="n">
        <v>0</v>
      </c>
      <c r="T174" s="108" t="n">
        <v>0</v>
      </c>
      <c r="U174" s="108" t="n">
        <v>0</v>
      </c>
      <c r="V174" s="108" t="n">
        <v>0</v>
      </c>
      <c r="W174" s="108" t="n">
        <v>0</v>
      </c>
      <c r="X174" s="108" t="n">
        <v>0</v>
      </c>
      <c r="Y174" s="107" t="n">
        <f aca="false">S174*$D174</f>
        <v>0</v>
      </c>
      <c r="Z174" s="107" t="n">
        <f aca="false">T174*$D174</f>
        <v>0</v>
      </c>
      <c r="AA174" s="107" t="n">
        <f aca="false">U174*$D174</f>
        <v>0</v>
      </c>
      <c r="AB174" s="107" t="n">
        <f aca="false">V174*$D174</f>
        <v>0</v>
      </c>
      <c r="AC174" s="107" t="n">
        <f aca="false">W174*$D174</f>
        <v>0</v>
      </c>
      <c r="AD174" s="107" t="n">
        <f aca="false">X174*$D174</f>
        <v>0</v>
      </c>
      <c r="AE174" s="107" t="n">
        <f aca="false">SUM(Y174:AD174)</f>
        <v>0</v>
      </c>
    </row>
    <row r="175" customFormat="false" ht="15" hidden="false" customHeight="false" outlineLevel="0" collapsed="false">
      <c r="A175" s="103" t="s">
        <v>621</v>
      </c>
      <c r="B175" s="104" t="n">
        <v>0</v>
      </c>
      <c r="C175" s="105" t="n">
        <f aca="false">IF(K175=0,0,R175/K175)</f>
        <v>52</v>
      </c>
      <c r="D175" s="105" t="n">
        <f aca="false">C175+B175</f>
        <v>52</v>
      </c>
      <c r="E175" s="106" t="n">
        <v>0</v>
      </c>
      <c r="F175" s="106" t="n">
        <v>0</v>
      </c>
      <c r="G175" s="106" t="n">
        <v>0</v>
      </c>
      <c r="H175" s="106" t="n">
        <v>1</v>
      </c>
      <c r="I175" s="106" t="n">
        <v>1</v>
      </c>
      <c r="J175" s="106" t="n">
        <v>0</v>
      </c>
      <c r="K175" s="106" t="n">
        <f aca="false">SUM(E175:J175)</f>
        <v>2</v>
      </c>
      <c r="L175" s="107" t="n">
        <v>0</v>
      </c>
      <c r="M175" s="107" t="n">
        <v>0</v>
      </c>
      <c r="N175" s="107" t="n">
        <v>0</v>
      </c>
      <c r="O175" s="107" t="n">
        <v>52</v>
      </c>
      <c r="P175" s="107" t="n">
        <v>52</v>
      </c>
      <c r="Q175" s="107" t="n">
        <v>0</v>
      </c>
      <c r="R175" s="107" t="n">
        <f aca="false">SUM(L175:Q175)</f>
        <v>104</v>
      </c>
      <c r="S175" s="108" t="n">
        <v>1</v>
      </c>
      <c r="T175" s="108" t="n">
        <v>1</v>
      </c>
      <c r="U175" s="108" t="n">
        <v>1</v>
      </c>
      <c r="V175" s="108" t="n">
        <v>1</v>
      </c>
      <c r="W175" s="108" t="n">
        <v>1</v>
      </c>
      <c r="X175" s="108" t="n">
        <v>1</v>
      </c>
      <c r="Y175" s="107" t="n">
        <f aca="false">S175*$D175</f>
        <v>52</v>
      </c>
      <c r="Z175" s="107" t="n">
        <f aca="false">T175*$D175</f>
        <v>52</v>
      </c>
      <c r="AA175" s="107" t="n">
        <f aca="false">U175*$D175</f>
        <v>52</v>
      </c>
      <c r="AB175" s="107" t="n">
        <f aca="false">V175*$D175</f>
        <v>52</v>
      </c>
      <c r="AC175" s="107" t="n">
        <f aca="false">W175*$D175</f>
        <v>52</v>
      </c>
      <c r="AD175" s="107" t="n">
        <f aca="false">X175*$D175</f>
        <v>52</v>
      </c>
      <c r="AE175" s="107" t="n">
        <f aca="false">SUM(Y175:AD175)</f>
        <v>312</v>
      </c>
    </row>
    <row r="176" customFormat="false" ht="15" hidden="false" customHeight="false" outlineLevel="0" collapsed="false">
      <c r="A176" s="103" t="s">
        <v>622</v>
      </c>
      <c r="B176" s="104" t="n">
        <v>0</v>
      </c>
      <c r="C176" s="105" t="n">
        <f aca="false">IF(K176=0,0,R176/K176)</f>
        <v>4.59090909090909</v>
      </c>
      <c r="D176" s="105" t="n">
        <f aca="false">C176+B176</f>
        <v>4.59090909090909</v>
      </c>
      <c r="E176" s="106" t="n">
        <v>0</v>
      </c>
      <c r="F176" s="106" t="n">
        <v>0</v>
      </c>
      <c r="G176" s="106" t="n">
        <v>0</v>
      </c>
      <c r="H176" s="106" t="n">
        <v>15</v>
      </c>
      <c r="I176" s="106" t="n">
        <v>7</v>
      </c>
      <c r="J176" s="106" t="n">
        <v>0</v>
      </c>
      <c r="K176" s="106" t="n">
        <f aca="false">SUM(E176:J176)</f>
        <v>22</v>
      </c>
      <c r="L176" s="107" t="n">
        <v>0</v>
      </c>
      <c r="M176" s="107" t="n">
        <v>0</v>
      </c>
      <c r="N176" s="107" t="n">
        <v>0</v>
      </c>
      <c r="O176" s="107" t="n">
        <v>69</v>
      </c>
      <c r="P176" s="107" t="n">
        <v>32</v>
      </c>
      <c r="Q176" s="107" t="n">
        <v>0</v>
      </c>
      <c r="R176" s="107" t="n">
        <f aca="false">SUM(L176:Q176)</f>
        <v>101</v>
      </c>
      <c r="S176" s="108" t="n">
        <v>7</v>
      </c>
      <c r="T176" s="108" t="n">
        <v>7</v>
      </c>
      <c r="U176" s="108" t="n">
        <v>7</v>
      </c>
      <c r="V176" s="108" t="n">
        <v>7</v>
      </c>
      <c r="W176" s="108" t="n">
        <v>7</v>
      </c>
      <c r="X176" s="108" t="n">
        <v>7</v>
      </c>
      <c r="Y176" s="107" t="n">
        <f aca="false">S176*$D176</f>
        <v>32.1363636363636</v>
      </c>
      <c r="Z176" s="107" t="n">
        <f aca="false">T176*$D176</f>
        <v>32.1363636363636</v>
      </c>
      <c r="AA176" s="107" t="n">
        <f aca="false">U176*$D176</f>
        <v>32.1363636363636</v>
      </c>
      <c r="AB176" s="107" t="n">
        <f aca="false">V176*$D176</f>
        <v>32.1363636363636</v>
      </c>
      <c r="AC176" s="107" t="n">
        <f aca="false">W176*$D176</f>
        <v>32.1363636363636</v>
      </c>
      <c r="AD176" s="107" t="n">
        <f aca="false">X176*$D176</f>
        <v>32.1363636363636</v>
      </c>
      <c r="AE176" s="107" t="n">
        <f aca="false">SUM(Y176:AD176)</f>
        <v>192.818181818182</v>
      </c>
    </row>
    <row r="177" customFormat="false" ht="15" hidden="false" customHeight="false" outlineLevel="0" collapsed="false">
      <c r="A177" s="103" t="s">
        <v>623</v>
      </c>
      <c r="B177" s="104" t="n">
        <v>0</v>
      </c>
      <c r="C177" s="105" t="n">
        <f aca="false">IF(K177=0,0,R177/K177)</f>
        <v>2.93264705882353</v>
      </c>
      <c r="D177" s="105" t="n">
        <f aca="false">C177+B177</f>
        <v>2.93264705882353</v>
      </c>
      <c r="E177" s="106" t="n">
        <v>0</v>
      </c>
      <c r="F177" s="106" t="n">
        <v>0</v>
      </c>
      <c r="G177" s="106" t="n">
        <v>7</v>
      </c>
      <c r="H177" s="106" t="n">
        <v>22</v>
      </c>
      <c r="I177" s="106" t="n">
        <v>5</v>
      </c>
      <c r="J177" s="106" t="n">
        <v>0</v>
      </c>
      <c r="K177" s="106" t="n">
        <f aca="false">SUM(E177:J177)</f>
        <v>34</v>
      </c>
      <c r="L177" s="107" t="n">
        <v>0</v>
      </c>
      <c r="M177" s="107" t="n">
        <v>0</v>
      </c>
      <c r="N177" s="107" t="n">
        <v>20.93</v>
      </c>
      <c r="O177" s="107" t="n">
        <v>63.83</v>
      </c>
      <c r="P177" s="107" t="n">
        <v>14.95</v>
      </c>
      <c r="Q177" s="107" t="n">
        <v>0</v>
      </c>
      <c r="R177" s="107" t="n">
        <f aca="false">SUM(L177:Q177)</f>
        <v>99.71</v>
      </c>
      <c r="S177" s="108" t="n">
        <v>9</v>
      </c>
      <c r="T177" s="108" t="n">
        <v>9</v>
      </c>
      <c r="U177" s="108" t="n">
        <v>9</v>
      </c>
      <c r="V177" s="108" t="n">
        <v>9</v>
      </c>
      <c r="W177" s="108" t="n">
        <v>9</v>
      </c>
      <c r="X177" s="108" t="n">
        <v>9</v>
      </c>
      <c r="Y177" s="107" t="n">
        <f aca="false">S177*$D177</f>
        <v>26.3938235294118</v>
      </c>
      <c r="Z177" s="107" t="n">
        <f aca="false">T177*$D177</f>
        <v>26.3938235294118</v>
      </c>
      <c r="AA177" s="107" t="n">
        <f aca="false">U177*$D177</f>
        <v>26.3938235294118</v>
      </c>
      <c r="AB177" s="107" t="n">
        <f aca="false">V177*$D177</f>
        <v>26.3938235294118</v>
      </c>
      <c r="AC177" s="107" t="n">
        <f aca="false">W177*$D177</f>
        <v>26.3938235294118</v>
      </c>
      <c r="AD177" s="107" t="n">
        <f aca="false">X177*$D177</f>
        <v>26.3938235294118</v>
      </c>
      <c r="AE177" s="107" t="n">
        <f aca="false">SUM(Y177:AD177)</f>
        <v>158.362941176471</v>
      </c>
    </row>
    <row r="178" customFormat="false" ht="15" hidden="false" customHeight="false" outlineLevel="0" collapsed="false">
      <c r="A178" s="103" t="s">
        <v>624</v>
      </c>
      <c r="B178" s="104" t="n">
        <v>0</v>
      </c>
      <c r="C178" s="105" t="n">
        <f aca="false">IF(K178=0,0,R178/K178)</f>
        <v>5.78823529411765</v>
      </c>
      <c r="D178" s="105" t="n">
        <f aca="false">C178+B178</f>
        <v>5.78823529411765</v>
      </c>
      <c r="E178" s="106" t="n">
        <v>17</v>
      </c>
      <c r="F178" s="106" t="n">
        <v>0</v>
      </c>
      <c r="G178" s="106" t="n">
        <v>0</v>
      </c>
      <c r="H178" s="106" t="n">
        <v>0</v>
      </c>
      <c r="I178" s="106" t="n">
        <v>0</v>
      </c>
      <c r="J178" s="106" t="n">
        <v>0</v>
      </c>
      <c r="K178" s="106" t="n">
        <f aca="false">SUM(E178:J178)</f>
        <v>17</v>
      </c>
      <c r="L178" s="107" t="n">
        <v>98.4</v>
      </c>
      <c r="M178" s="107" t="n">
        <v>0</v>
      </c>
      <c r="N178" s="107" t="n">
        <v>0</v>
      </c>
      <c r="O178" s="107" t="n">
        <v>0</v>
      </c>
      <c r="P178" s="107" t="n">
        <v>0</v>
      </c>
      <c r="Q178" s="107" t="n">
        <v>0</v>
      </c>
      <c r="R178" s="107" t="n">
        <f aca="false">SUM(L178:Q178)</f>
        <v>98.4</v>
      </c>
      <c r="S178" s="108" t="n">
        <v>0</v>
      </c>
      <c r="T178" s="108" t="n">
        <v>0</v>
      </c>
      <c r="U178" s="108" t="n">
        <v>0</v>
      </c>
      <c r="V178" s="108" t="n">
        <v>0</v>
      </c>
      <c r="W178" s="108" t="n">
        <v>0</v>
      </c>
      <c r="X178" s="108" t="n">
        <v>0</v>
      </c>
      <c r="Y178" s="107" t="n">
        <f aca="false">S178*$D178</f>
        <v>0</v>
      </c>
      <c r="Z178" s="107" t="n">
        <f aca="false">T178*$D178</f>
        <v>0</v>
      </c>
      <c r="AA178" s="107" t="n">
        <f aca="false">U178*$D178</f>
        <v>0</v>
      </c>
      <c r="AB178" s="107" t="n">
        <f aca="false">V178*$D178</f>
        <v>0</v>
      </c>
      <c r="AC178" s="107" t="n">
        <f aca="false">W178*$D178</f>
        <v>0</v>
      </c>
      <c r="AD178" s="107" t="n">
        <f aca="false">X178*$D178</f>
        <v>0</v>
      </c>
      <c r="AE178" s="107" t="n">
        <f aca="false">SUM(Y178:AD178)</f>
        <v>0</v>
      </c>
    </row>
    <row r="179" customFormat="false" ht="15" hidden="false" customHeight="false" outlineLevel="0" collapsed="false">
      <c r="A179" s="103" t="s">
        <v>625</v>
      </c>
      <c r="B179" s="104" t="n">
        <v>0</v>
      </c>
      <c r="C179" s="105" t="n">
        <f aca="false">IF(K179=0,0,R179/K179)</f>
        <v>4.851</v>
      </c>
      <c r="D179" s="105" t="n">
        <f aca="false">C179+B179</f>
        <v>4.851</v>
      </c>
      <c r="E179" s="106" t="n">
        <v>0</v>
      </c>
      <c r="F179" s="106" t="n">
        <v>0</v>
      </c>
      <c r="G179" s="106" t="n">
        <v>0</v>
      </c>
      <c r="H179" s="106" t="n">
        <v>0</v>
      </c>
      <c r="I179" s="106" t="n">
        <v>0</v>
      </c>
      <c r="J179" s="106" t="n">
        <v>20</v>
      </c>
      <c r="K179" s="106" t="n">
        <f aca="false">SUM(E179:J179)</f>
        <v>20</v>
      </c>
      <c r="L179" s="107" t="n">
        <v>0</v>
      </c>
      <c r="M179" s="107" t="n">
        <v>0</v>
      </c>
      <c r="N179" s="107" t="n">
        <v>0</v>
      </c>
      <c r="O179" s="107" t="n">
        <v>0</v>
      </c>
      <c r="P179" s="107" t="n">
        <v>0</v>
      </c>
      <c r="Q179" s="107" t="n">
        <v>97.02</v>
      </c>
      <c r="R179" s="107" t="n">
        <f aca="false">SUM(L179:Q179)</f>
        <v>97.02</v>
      </c>
      <c r="S179" s="108" t="n">
        <v>7</v>
      </c>
      <c r="T179" s="108" t="n">
        <v>7</v>
      </c>
      <c r="U179" s="108" t="n">
        <v>7</v>
      </c>
      <c r="V179" s="108" t="n">
        <v>7</v>
      </c>
      <c r="W179" s="108" t="n">
        <v>7</v>
      </c>
      <c r="X179" s="108" t="n">
        <v>7</v>
      </c>
      <c r="Y179" s="107" t="n">
        <f aca="false">S179*$D179</f>
        <v>33.957</v>
      </c>
      <c r="Z179" s="107" t="n">
        <f aca="false">T179*$D179</f>
        <v>33.957</v>
      </c>
      <c r="AA179" s="107" t="n">
        <f aca="false">U179*$D179</f>
        <v>33.957</v>
      </c>
      <c r="AB179" s="107" t="n">
        <f aca="false">V179*$D179</f>
        <v>33.957</v>
      </c>
      <c r="AC179" s="107" t="n">
        <f aca="false">W179*$D179</f>
        <v>33.957</v>
      </c>
      <c r="AD179" s="107" t="n">
        <f aca="false">X179*$D179</f>
        <v>33.957</v>
      </c>
      <c r="AE179" s="107" t="n">
        <f aca="false">SUM(Y179:AD179)</f>
        <v>203.742</v>
      </c>
    </row>
    <row r="180" customFormat="false" ht="15" hidden="false" customHeight="false" outlineLevel="0" collapsed="false">
      <c r="A180" s="103" t="s">
        <v>626</v>
      </c>
      <c r="B180" s="104" t="n">
        <v>0</v>
      </c>
      <c r="C180" s="105" t="n">
        <f aca="false">IF(K180=0,0,R180/K180)</f>
        <v>6.91785714285714</v>
      </c>
      <c r="D180" s="105" t="n">
        <f aca="false">C180+B180</f>
        <v>6.91785714285714</v>
      </c>
      <c r="E180" s="106" t="n">
        <v>10</v>
      </c>
      <c r="F180" s="106" t="n">
        <v>4</v>
      </c>
      <c r="G180" s="106" t="n">
        <v>0</v>
      </c>
      <c r="H180" s="106" t="n">
        <v>0</v>
      </c>
      <c r="I180" s="106" t="n">
        <v>0</v>
      </c>
      <c r="J180" s="106" t="n">
        <v>0</v>
      </c>
      <c r="K180" s="106" t="n">
        <f aca="false">SUM(E180:J180)</f>
        <v>14</v>
      </c>
      <c r="L180" s="107" t="n">
        <v>68.85</v>
      </c>
      <c r="M180" s="107" t="n">
        <v>28</v>
      </c>
      <c r="N180" s="107" t="n">
        <v>0</v>
      </c>
      <c r="O180" s="107" t="n">
        <v>0</v>
      </c>
      <c r="P180" s="107" t="n">
        <v>0</v>
      </c>
      <c r="Q180" s="107" t="n">
        <v>0</v>
      </c>
      <c r="R180" s="107" t="n">
        <f aca="false">SUM(L180:Q180)</f>
        <v>96.85</v>
      </c>
      <c r="S180" s="108" t="n">
        <v>0</v>
      </c>
      <c r="T180" s="108" t="n">
        <v>0</v>
      </c>
      <c r="U180" s="108" t="n">
        <v>0</v>
      </c>
      <c r="V180" s="108" t="n">
        <v>0</v>
      </c>
      <c r="W180" s="108" t="n">
        <v>0</v>
      </c>
      <c r="X180" s="108" t="n">
        <v>0</v>
      </c>
      <c r="Y180" s="107" t="n">
        <f aca="false">S180*$D180</f>
        <v>0</v>
      </c>
      <c r="Z180" s="107" t="n">
        <f aca="false">T180*$D180</f>
        <v>0</v>
      </c>
      <c r="AA180" s="107" t="n">
        <f aca="false">U180*$D180</f>
        <v>0</v>
      </c>
      <c r="AB180" s="107" t="n">
        <f aca="false">V180*$D180</f>
        <v>0</v>
      </c>
      <c r="AC180" s="107" t="n">
        <f aca="false">W180*$D180</f>
        <v>0</v>
      </c>
      <c r="AD180" s="107" t="n">
        <f aca="false">X180*$D180</f>
        <v>0</v>
      </c>
      <c r="AE180" s="107" t="n">
        <f aca="false">SUM(Y180:AD180)</f>
        <v>0</v>
      </c>
    </row>
    <row r="181" customFormat="false" ht="15" hidden="false" customHeight="false" outlineLevel="0" collapsed="false">
      <c r="A181" s="103" t="s">
        <v>627</v>
      </c>
      <c r="B181" s="104" t="n">
        <v>0</v>
      </c>
      <c r="C181" s="105" t="n">
        <f aca="false">IF(K181=0,0,R181/K181)</f>
        <v>6.38666666666667</v>
      </c>
      <c r="D181" s="105" t="n">
        <f aca="false">C181+B181</f>
        <v>6.38666666666667</v>
      </c>
      <c r="E181" s="106" t="n">
        <v>0</v>
      </c>
      <c r="F181" s="106" t="n">
        <v>2</v>
      </c>
      <c r="G181" s="106" t="n">
        <v>4</v>
      </c>
      <c r="H181" s="106" t="n">
        <v>7</v>
      </c>
      <c r="I181" s="106" t="n">
        <v>1</v>
      </c>
      <c r="J181" s="106" t="n">
        <v>1</v>
      </c>
      <c r="K181" s="106" t="n">
        <f aca="false">SUM(E181:J181)</f>
        <v>15</v>
      </c>
      <c r="L181" s="107" t="n">
        <v>0</v>
      </c>
      <c r="M181" s="107" t="n">
        <v>12</v>
      </c>
      <c r="N181" s="107" t="n">
        <v>32</v>
      </c>
      <c r="O181" s="107" t="n">
        <v>31.8</v>
      </c>
      <c r="P181" s="107" t="n">
        <v>10</v>
      </c>
      <c r="Q181" s="107" t="n">
        <v>10</v>
      </c>
      <c r="R181" s="107" t="n">
        <f aca="false">SUM(L181:Q181)</f>
        <v>95.8</v>
      </c>
      <c r="S181" s="108" t="n">
        <v>3</v>
      </c>
      <c r="T181" s="108" t="n">
        <v>3</v>
      </c>
      <c r="U181" s="108" t="n">
        <v>3</v>
      </c>
      <c r="V181" s="108" t="n">
        <v>3</v>
      </c>
      <c r="W181" s="108" t="n">
        <v>3</v>
      </c>
      <c r="X181" s="108" t="n">
        <v>3</v>
      </c>
      <c r="Y181" s="107" t="n">
        <f aca="false">S181*$D181</f>
        <v>19.16</v>
      </c>
      <c r="Z181" s="107" t="n">
        <f aca="false">T181*$D181</f>
        <v>19.16</v>
      </c>
      <c r="AA181" s="107" t="n">
        <f aca="false">U181*$D181</f>
        <v>19.16</v>
      </c>
      <c r="AB181" s="107" t="n">
        <f aca="false">V181*$D181</f>
        <v>19.16</v>
      </c>
      <c r="AC181" s="107" t="n">
        <f aca="false">W181*$D181</f>
        <v>19.16</v>
      </c>
      <c r="AD181" s="107" t="n">
        <f aca="false">X181*$D181</f>
        <v>19.16</v>
      </c>
      <c r="AE181" s="107" t="n">
        <f aca="false">SUM(Y181:AD181)</f>
        <v>114.96</v>
      </c>
    </row>
    <row r="182" customFormat="false" ht="15" hidden="false" customHeight="false" outlineLevel="0" collapsed="false">
      <c r="A182" s="103" t="s">
        <v>628</v>
      </c>
      <c r="B182" s="104" t="n">
        <v>0</v>
      </c>
      <c r="C182" s="105" t="n">
        <f aca="false">IF(K182=0,0,R182/K182)</f>
        <v>5.829375</v>
      </c>
      <c r="D182" s="105" t="n">
        <f aca="false">C182+B182</f>
        <v>5.829375</v>
      </c>
      <c r="E182" s="106" t="n">
        <v>0</v>
      </c>
      <c r="F182" s="106" t="n">
        <v>0</v>
      </c>
      <c r="G182" s="106" t="n">
        <v>16</v>
      </c>
      <c r="H182" s="106" t="n">
        <v>0</v>
      </c>
      <c r="I182" s="106" t="n">
        <v>0</v>
      </c>
      <c r="J182" s="106" t="n">
        <v>0</v>
      </c>
      <c r="K182" s="106" t="n">
        <f aca="false">SUM(E182:J182)</f>
        <v>16</v>
      </c>
      <c r="L182" s="107" t="n">
        <v>0</v>
      </c>
      <c r="M182" s="107" t="n">
        <v>0</v>
      </c>
      <c r="N182" s="107" t="n">
        <v>93.27</v>
      </c>
      <c r="O182" s="107" t="n">
        <v>0</v>
      </c>
      <c r="P182" s="107" t="n">
        <v>0</v>
      </c>
      <c r="Q182" s="107" t="n">
        <v>0</v>
      </c>
      <c r="R182" s="107" t="n">
        <f aca="false">SUM(L182:Q182)</f>
        <v>93.27</v>
      </c>
      <c r="S182" s="108" t="n">
        <v>0</v>
      </c>
      <c r="T182" s="108" t="n">
        <v>0</v>
      </c>
      <c r="U182" s="108" t="n">
        <v>0</v>
      </c>
      <c r="V182" s="108" t="n">
        <v>0</v>
      </c>
      <c r="W182" s="108" t="n">
        <v>0</v>
      </c>
      <c r="X182" s="108" t="n">
        <v>0</v>
      </c>
      <c r="Y182" s="107" t="n">
        <f aca="false">S182*$D182</f>
        <v>0</v>
      </c>
      <c r="Z182" s="107" t="n">
        <f aca="false">T182*$D182</f>
        <v>0</v>
      </c>
      <c r="AA182" s="107" t="n">
        <f aca="false">U182*$D182</f>
        <v>0</v>
      </c>
      <c r="AB182" s="107" t="n">
        <f aca="false">V182*$D182</f>
        <v>0</v>
      </c>
      <c r="AC182" s="107" t="n">
        <f aca="false">W182*$D182</f>
        <v>0</v>
      </c>
      <c r="AD182" s="107" t="n">
        <f aca="false">X182*$D182</f>
        <v>0</v>
      </c>
      <c r="AE182" s="107" t="n">
        <f aca="false">SUM(Y182:AD182)</f>
        <v>0</v>
      </c>
    </row>
    <row r="183" customFormat="false" ht="15" hidden="false" customHeight="false" outlineLevel="0" collapsed="false">
      <c r="A183" s="103" t="s">
        <v>629</v>
      </c>
      <c r="B183" s="104" t="n">
        <v>0</v>
      </c>
      <c r="C183" s="105" t="n">
        <f aca="false">IF(K183=0,0,R183/K183)</f>
        <v>2.78709677419355</v>
      </c>
      <c r="D183" s="105" t="n">
        <f aca="false">C183+B183</f>
        <v>2.78709677419355</v>
      </c>
      <c r="E183" s="106" t="n">
        <v>0</v>
      </c>
      <c r="F183" s="106" t="n">
        <v>3</v>
      </c>
      <c r="G183" s="106" t="n">
        <v>9</v>
      </c>
      <c r="H183" s="106" t="n">
        <v>5</v>
      </c>
      <c r="I183" s="106" t="n">
        <v>11</v>
      </c>
      <c r="J183" s="106" t="n">
        <v>3</v>
      </c>
      <c r="K183" s="106" t="n">
        <f aca="false">SUM(E183:J183)</f>
        <v>31</v>
      </c>
      <c r="L183" s="107" t="n">
        <v>0</v>
      </c>
      <c r="M183" s="107" t="n">
        <v>9</v>
      </c>
      <c r="N183" s="107" t="n">
        <v>27</v>
      </c>
      <c r="O183" s="107" t="n">
        <v>9</v>
      </c>
      <c r="P183" s="107" t="n">
        <v>32.4</v>
      </c>
      <c r="Q183" s="107" t="n">
        <v>9</v>
      </c>
      <c r="R183" s="107" t="n">
        <f aca="false">SUM(L183:Q183)</f>
        <v>86.4</v>
      </c>
      <c r="S183" s="108" t="n">
        <v>6</v>
      </c>
      <c r="T183" s="108" t="n">
        <v>6</v>
      </c>
      <c r="U183" s="108" t="n">
        <v>6</v>
      </c>
      <c r="V183" s="108" t="n">
        <v>6</v>
      </c>
      <c r="W183" s="108" t="n">
        <v>6</v>
      </c>
      <c r="X183" s="108" t="n">
        <v>6</v>
      </c>
      <c r="Y183" s="107" t="n">
        <f aca="false">S183*$D183</f>
        <v>16.7225806451613</v>
      </c>
      <c r="Z183" s="107" t="n">
        <f aca="false">T183*$D183</f>
        <v>16.7225806451613</v>
      </c>
      <c r="AA183" s="107" t="n">
        <f aca="false">U183*$D183</f>
        <v>16.7225806451613</v>
      </c>
      <c r="AB183" s="107" t="n">
        <f aca="false">V183*$D183</f>
        <v>16.7225806451613</v>
      </c>
      <c r="AC183" s="107" t="n">
        <f aca="false">W183*$D183</f>
        <v>16.7225806451613</v>
      </c>
      <c r="AD183" s="107" t="n">
        <f aca="false">X183*$D183</f>
        <v>16.7225806451613</v>
      </c>
      <c r="AE183" s="107" t="n">
        <f aca="false">SUM(Y183:AD183)</f>
        <v>100.335483870968</v>
      </c>
    </row>
    <row r="184" customFormat="false" ht="15" hidden="false" customHeight="false" outlineLevel="0" collapsed="false">
      <c r="A184" s="103" t="s">
        <v>630</v>
      </c>
      <c r="B184" s="104" t="n">
        <v>0</v>
      </c>
      <c r="C184" s="105" t="n">
        <f aca="false">IF(K184=0,0,R184/K184)</f>
        <v>0.89</v>
      </c>
      <c r="D184" s="105" t="n">
        <f aca="false">C184+B184</f>
        <v>0.89</v>
      </c>
      <c r="E184" s="106" t="n">
        <v>6</v>
      </c>
      <c r="F184" s="106" t="n">
        <v>17</v>
      </c>
      <c r="G184" s="106" t="n">
        <v>4</v>
      </c>
      <c r="H184" s="106" t="n">
        <v>8</v>
      </c>
      <c r="I184" s="106" t="n">
        <v>22</v>
      </c>
      <c r="J184" s="106" t="n">
        <v>38</v>
      </c>
      <c r="K184" s="106" t="n">
        <f aca="false">SUM(E184:J184)</f>
        <v>95</v>
      </c>
      <c r="L184" s="107" t="n">
        <v>5.2</v>
      </c>
      <c r="M184" s="107" t="n">
        <v>14.15</v>
      </c>
      <c r="N184" s="107" t="n">
        <v>3.85</v>
      </c>
      <c r="O184" s="107" t="n">
        <v>6.85</v>
      </c>
      <c r="P184" s="107" t="n">
        <v>18</v>
      </c>
      <c r="Q184" s="107" t="n">
        <v>36.5</v>
      </c>
      <c r="R184" s="107" t="n">
        <f aca="false">SUM(L184:Q184)</f>
        <v>84.55</v>
      </c>
      <c r="S184" s="108" t="n">
        <v>23</v>
      </c>
      <c r="T184" s="108" t="n">
        <v>23</v>
      </c>
      <c r="U184" s="108" t="n">
        <v>23</v>
      </c>
      <c r="V184" s="108" t="n">
        <v>23</v>
      </c>
      <c r="W184" s="108" t="n">
        <v>23</v>
      </c>
      <c r="X184" s="108" t="n">
        <v>23</v>
      </c>
      <c r="Y184" s="107" t="n">
        <f aca="false">S184*$D184</f>
        <v>20.47</v>
      </c>
      <c r="Z184" s="107" t="n">
        <f aca="false">T184*$D184</f>
        <v>20.47</v>
      </c>
      <c r="AA184" s="107" t="n">
        <f aca="false">U184*$D184</f>
        <v>20.47</v>
      </c>
      <c r="AB184" s="107" t="n">
        <f aca="false">V184*$D184</f>
        <v>20.47</v>
      </c>
      <c r="AC184" s="107" t="n">
        <f aca="false">W184*$D184</f>
        <v>20.47</v>
      </c>
      <c r="AD184" s="107" t="n">
        <f aca="false">X184*$D184</f>
        <v>20.47</v>
      </c>
      <c r="AE184" s="107" t="n">
        <f aca="false">SUM(Y184:AD184)</f>
        <v>122.82</v>
      </c>
    </row>
    <row r="185" customFormat="false" ht="15" hidden="false" customHeight="false" outlineLevel="0" collapsed="false">
      <c r="A185" s="103" t="s">
        <v>631</v>
      </c>
      <c r="B185" s="104" t="n">
        <v>0</v>
      </c>
      <c r="C185" s="105" t="n">
        <f aca="false">IF(K185=0,0,R185/K185)</f>
        <v>10.46875</v>
      </c>
      <c r="D185" s="105" t="n">
        <f aca="false">C185+B185</f>
        <v>10.46875</v>
      </c>
      <c r="E185" s="106" t="n">
        <v>0</v>
      </c>
      <c r="F185" s="106" t="n">
        <v>0</v>
      </c>
      <c r="G185" s="106" t="n">
        <v>0</v>
      </c>
      <c r="H185" s="106" t="n">
        <v>3</v>
      </c>
      <c r="I185" s="106" t="n">
        <v>5</v>
      </c>
      <c r="J185" s="106" t="n">
        <v>0</v>
      </c>
      <c r="K185" s="106" t="n">
        <f aca="false">SUM(E185:J185)</f>
        <v>8</v>
      </c>
      <c r="L185" s="107" t="n">
        <v>0</v>
      </c>
      <c r="M185" s="107" t="n">
        <v>0</v>
      </c>
      <c r="N185" s="107" t="n">
        <v>0</v>
      </c>
      <c r="O185" s="107" t="n">
        <v>23.12</v>
      </c>
      <c r="P185" s="107" t="n">
        <v>60.63</v>
      </c>
      <c r="Q185" s="107" t="n">
        <v>0</v>
      </c>
      <c r="R185" s="107" t="n">
        <f aca="false">SUM(L185:Q185)</f>
        <v>83.75</v>
      </c>
      <c r="S185" s="108" t="n">
        <v>3</v>
      </c>
      <c r="T185" s="108" t="n">
        <v>3</v>
      </c>
      <c r="U185" s="108" t="n">
        <v>3</v>
      </c>
      <c r="V185" s="108" t="n">
        <v>3</v>
      </c>
      <c r="W185" s="108" t="n">
        <v>3</v>
      </c>
      <c r="X185" s="108" t="n">
        <v>3</v>
      </c>
      <c r="Y185" s="107" t="n">
        <f aca="false">S185*$D185</f>
        <v>31.40625</v>
      </c>
      <c r="Z185" s="107" t="n">
        <f aca="false">T185*$D185</f>
        <v>31.40625</v>
      </c>
      <c r="AA185" s="107" t="n">
        <f aca="false">U185*$D185</f>
        <v>31.40625</v>
      </c>
      <c r="AB185" s="107" t="n">
        <f aca="false">V185*$D185</f>
        <v>31.40625</v>
      </c>
      <c r="AC185" s="107" t="n">
        <f aca="false">W185*$D185</f>
        <v>31.40625</v>
      </c>
      <c r="AD185" s="107" t="n">
        <f aca="false">X185*$D185</f>
        <v>31.40625</v>
      </c>
      <c r="AE185" s="107" t="n">
        <f aca="false">SUM(Y185:AD185)</f>
        <v>188.4375</v>
      </c>
    </row>
    <row r="186" customFormat="false" ht="15" hidden="false" customHeight="false" outlineLevel="0" collapsed="false">
      <c r="A186" s="103" t="s">
        <v>632</v>
      </c>
      <c r="B186" s="104" t="n">
        <v>0</v>
      </c>
      <c r="C186" s="105" t="n">
        <f aca="false">IF(K186=0,0,R186/K186)</f>
        <v>3.75454545454545</v>
      </c>
      <c r="D186" s="105" t="n">
        <f aca="false">C186+B186</f>
        <v>3.75454545454545</v>
      </c>
      <c r="E186" s="106" t="n">
        <v>0</v>
      </c>
      <c r="F186" s="106" t="n">
        <v>0</v>
      </c>
      <c r="G186" s="106" t="n">
        <v>1</v>
      </c>
      <c r="H186" s="106" t="n">
        <v>4</v>
      </c>
      <c r="I186" s="106" t="n">
        <v>8</v>
      </c>
      <c r="J186" s="106" t="n">
        <v>9</v>
      </c>
      <c r="K186" s="106" t="n">
        <f aca="false">SUM(E186:J186)</f>
        <v>22</v>
      </c>
      <c r="L186" s="107" t="n">
        <v>0</v>
      </c>
      <c r="M186" s="107" t="n">
        <v>0</v>
      </c>
      <c r="N186" s="107" t="n">
        <v>4</v>
      </c>
      <c r="O186" s="107" t="n">
        <v>14</v>
      </c>
      <c r="P186" s="107" t="n">
        <v>29.8</v>
      </c>
      <c r="Q186" s="107" t="n">
        <v>34.8</v>
      </c>
      <c r="R186" s="107" t="n">
        <f aca="false">SUM(L186:Q186)</f>
        <v>82.6</v>
      </c>
      <c r="S186" s="108" t="n">
        <v>7</v>
      </c>
      <c r="T186" s="108" t="n">
        <v>7</v>
      </c>
      <c r="U186" s="108" t="n">
        <v>7</v>
      </c>
      <c r="V186" s="108" t="n">
        <v>7</v>
      </c>
      <c r="W186" s="108" t="n">
        <v>7</v>
      </c>
      <c r="X186" s="108" t="n">
        <v>7</v>
      </c>
      <c r="Y186" s="107" t="n">
        <f aca="false">S186*$D186</f>
        <v>26.2818181818182</v>
      </c>
      <c r="Z186" s="107" t="n">
        <f aca="false">T186*$D186</f>
        <v>26.2818181818182</v>
      </c>
      <c r="AA186" s="107" t="n">
        <f aca="false">U186*$D186</f>
        <v>26.2818181818182</v>
      </c>
      <c r="AB186" s="107" t="n">
        <f aca="false">V186*$D186</f>
        <v>26.2818181818182</v>
      </c>
      <c r="AC186" s="107" t="n">
        <f aca="false">W186*$D186</f>
        <v>26.2818181818182</v>
      </c>
      <c r="AD186" s="107" t="n">
        <f aca="false">X186*$D186</f>
        <v>26.2818181818182</v>
      </c>
      <c r="AE186" s="107" t="n">
        <f aca="false">SUM(Y186:AD186)</f>
        <v>157.690909090909</v>
      </c>
    </row>
    <row r="187" customFormat="false" ht="15" hidden="false" customHeight="false" outlineLevel="0" collapsed="false">
      <c r="A187" s="103" t="s">
        <v>633</v>
      </c>
      <c r="B187" s="104" t="n">
        <v>0</v>
      </c>
      <c r="C187" s="105" t="n">
        <f aca="false">IF(K187=0,0,R187/K187)</f>
        <v>3.82857142857143</v>
      </c>
      <c r="D187" s="105" t="n">
        <f aca="false">C187+B187</f>
        <v>3.82857142857143</v>
      </c>
      <c r="E187" s="106" t="n">
        <v>0</v>
      </c>
      <c r="F187" s="106" t="n">
        <v>4</v>
      </c>
      <c r="G187" s="106" t="n">
        <v>4</v>
      </c>
      <c r="H187" s="106" t="n">
        <v>6</v>
      </c>
      <c r="I187" s="106" t="n">
        <v>3</v>
      </c>
      <c r="J187" s="106" t="n">
        <v>4</v>
      </c>
      <c r="K187" s="106" t="n">
        <f aca="false">SUM(E187:J187)</f>
        <v>21</v>
      </c>
      <c r="L187" s="107" t="n">
        <v>0</v>
      </c>
      <c r="M187" s="107" t="n">
        <v>16</v>
      </c>
      <c r="N187" s="107" t="n">
        <v>14.6</v>
      </c>
      <c r="O187" s="107" t="n">
        <v>23.4</v>
      </c>
      <c r="P187" s="107" t="n">
        <v>12</v>
      </c>
      <c r="Q187" s="107" t="n">
        <v>14.4</v>
      </c>
      <c r="R187" s="107" t="n">
        <f aca="false">SUM(L187:Q187)</f>
        <v>80.4</v>
      </c>
      <c r="S187" s="108" t="n">
        <v>4</v>
      </c>
      <c r="T187" s="108" t="n">
        <v>4</v>
      </c>
      <c r="U187" s="108" t="n">
        <v>4</v>
      </c>
      <c r="V187" s="108" t="n">
        <v>4</v>
      </c>
      <c r="W187" s="108" t="n">
        <v>4</v>
      </c>
      <c r="X187" s="108" t="n">
        <v>4</v>
      </c>
      <c r="Y187" s="107" t="n">
        <f aca="false">S187*$D187</f>
        <v>15.3142857142857</v>
      </c>
      <c r="Z187" s="107" t="n">
        <f aca="false">T187*$D187</f>
        <v>15.3142857142857</v>
      </c>
      <c r="AA187" s="107" t="n">
        <f aca="false">U187*$D187</f>
        <v>15.3142857142857</v>
      </c>
      <c r="AB187" s="107" t="n">
        <f aca="false">V187*$D187</f>
        <v>15.3142857142857</v>
      </c>
      <c r="AC187" s="107" t="n">
        <f aca="false">W187*$D187</f>
        <v>15.3142857142857</v>
      </c>
      <c r="AD187" s="107" t="n">
        <f aca="false">X187*$D187</f>
        <v>15.3142857142857</v>
      </c>
      <c r="AE187" s="107" t="n">
        <f aca="false">SUM(Y187:AD187)</f>
        <v>91.8857142857143</v>
      </c>
    </row>
    <row r="188" customFormat="false" ht="15" hidden="false" customHeight="false" outlineLevel="0" collapsed="false">
      <c r="A188" s="103" t="s">
        <v>634</v>
      </c>
      <c r="B188" s="104" t="n">
        <v>0</v>
      </c>
      <c r="C188" s="105" t="n">
        <f aca="false">IF(K188=0,0,R188/K188)</f>
        <v>13.2</v>
      </c>
      <c r="D188" s="105" t="n">
        <f aca="false">C188+B188</f>
        <v>13.2</v>
      </c>
      <c r="E188" s="106" t="n">
        <v>0</v>
      </c>
      <c r="F188" s="106" t="n">
        <v>0</v>
      </c>
      <c r="G188" s="106" t="n">
        <v>0</v>
      </c>
      <c r="H188" s="106" t="n">
        <v>0</v>
      </c>
      <c r="I188" s="106" t="n">
        <v>0</v>
      </c>
      <c r="J188" s="106" t="n">
        <v>6</v>
      </c>
      <c r="K188" s="106" t="n">
        <f aca="false">SUM(E188:J188)</f>
        <v>6</v>
      </c>
      <c r="L188" s="107" t="n">
        <v>0</v>
      </c>
      <c r="M188" s="107" t="n">
        <v>0</v>
      </c>
      <c r="N188" s="107" t="n">
        <v>0</v>
      </c>
      <c r="O188" s="107" t="n">
        <v>0</v>
      </c>
      <c r="P188" s="107" t="n">
        <v>0</v>
      </c>
      <c r="Q188" s="107" t="n">
        <v>79.2</v>
      </c>
      <c r="R188" s="107" t="n">
        <f aca="false">SUM(L188:Q188)</f>
        <v>79.2</v>
      </c>
      <c r="S188" s="108" t="n">
        <v>2</v>
      </c>
      <c r="T188" s="108" t="n">
        <v>2</v>
      </c>
      <c r="U188" s="108" t="n">
        <v>2</v>
      </c>
      <c r="V188" s="108" t="n">
        <v>2</v>
      </c>
      <c r="W188" s="108" t="n">
        <v>2</v>
      </c>
      <c r="X188" s="108" t="n">
        <v>2</v>
      </c>
      <c r="Y188" s="107" t="n">
        <f aca="false">S188*$D188</f>
        <v>26.4</v>
      </c>
      <c r="Z188" s="107" t="n">
        <f aca="false">T188*$D188</f>
        <v>26.4</v>
      </c>
      <c r="AA188" s="107" t="n">
        <f aca="false">U188*$D188</f>
        <v>26.4</v>
      </c>
      <c r="AB188" s="107" t="n">
        <f aca="false">V188*$D188</f>
        <v>26.4</v>
      </c>
      <c r="AC188" s="107" t="n">
        <f aca="false">W188*$D188</f>
        <v>26.4</v>
      </c>
      <c r="AD188" s="107" t="n">
        <f aca="false">X188*$D188</f>
        <v>26.4</v>
      </c>
      <c r="AE188" s="107" t="n">
        <f aca="false">SUM(Y188:AD188)</f>
        <v>158.4</v>
      </c>
    </row>
    <row r="189" customFormat="false" ht="15" hidden="false" customHeight="false" outlineLevel="0" collapsed="false">
      <c r="A189" s="103" t="s">
        <v>635</v>
      </c>
      <c r="B189" s="104" t="n">
        <v>0</v>
      </c>
      <c r="C189" s="105" t="n">
        <f aca="false">IF(K189=0,0,R189/K189)</f>
        <v>3.936</v>
      </c>
      <c r="D189" s="105" t="n">
        <f aca="false">C189+B189</f>
        <v>3.936</v>
      </c>
      <c r="E189" s="106" t="n">
        <v>0</v>
      </c>
      <c r="F189" s="106" t="n">
        <v>5</v>
      </c>
      <c r="G189" s="106" t="n">
        <v>7</v>
      </c>
      <c r="H189" s="106" t="n">
        <v>0</v>
      </c>
      <c r="I189" s="106" t="n">
        <v>0</v>
      </c>
      <c r="J189" s="106" t="n">
        <v>8</v>
      </c>
      <c r="K189" s="106" t="n">
        <f aca="false">SUM(E189:J189)</f>
        <v>20</v>
      </c>
      <c r="L189" s="107" t="n">
        <v>0</v>
      </c>
      <c r="M189" s="107" t="n">
        <v>15</v>
      </c>
      <c r="N189" s="107" t="n">
        <v>20.55</v>
      </c>
      <c r="O189" s="107" t="n">
        <v>0</v>
      </c>
      <c r="P189" s="107" t="n">
        <v>0</v>
      </c>
      <c r="Q189" s="107" t="n">
        <v>43.17</v>
      </c>
      <c r="R189" s="107" t="n">
        <f aca="false">SUM(L189:Q189)</f>
        <v>78.72</v>
      </c>
      <c r="S189" s="108" t="n">
        <v>3</v>
      </c>
      <c r="T189" s="108" t="n">
        <v>3</v>
      </c>
      <c r="U189" s="108" t="n">
        <v>3</v>
      </c>
      <c r="V189" s="108" t="n">
        <v>3</v>
      </c>
      <c r="W189" s="108" t="n">
        <v>3</v>
      </c>
      <c r="X189" s="108" t="n">
        <v>3</v>
      </c>
      <c r="Y189" s="107" t="n">
        <f aca="false">S189*$D189</f>
        <v>11.808</v>
      </c>
      <c r="Z189" s="107" t="n">
        <f aca="false">T189*$D189</f>
        <v>11.808</v>
      </c>
      <c r="AA189" s="107" t="n">
        <f aca="false">U189*$D189</f>
        <v>11.808</v>
      </c>
      <c r="AB189" s="107" t="n">
        <f aca="false">V189*$D189</f>
        <v>11.808</v>
      </c>
      <c r="AC189" s="107" t="n">
        <f aca="false">W189*$D189</f>
        <v>11.808</v>
      </c>
      <c r="AD189" s="107" t="n">
        <f aca="false">X189*$D189</f>
        <v>11.808</v>
      </c>
      <c r="AE189" s="107" t="n">
        <f aca="false">SUM(Y189:AD189)</f>
        <v>70.848</v>
      </c>
    </row>
    <row r="190" customFormat="false" ht="15" hidden="false" customHeight="false" outlineLevel="0" collapsed="false">
      <c r="A190" s="103" t="s">
        <v>636</v>
      </c>
      <c r="B190" s="104" t="n">
        <v>0</v>
      </c>
      <c r="C190" s="105" t="n">
        <f aca="false">IF(K190=0,0,R190/K190)</f>
        <v>6.39583333333333</v>
      </c>
      <c r="D190" s="105" t="n">
        <f aca="false">C190+B190</f>
        <v>6.39583333333333</v>
      </c>
      <c r="E190" s="106" t="n">
        <v>0</v>
      </c>
      <c r="F190" s="106" t="n">
        <v>0</v>
      </c>
      <c r="G190" s="106" t="n">
        <v>0</v>
      </c>
      <c r="H190" s="106" t="n">
        <v>7</v>
      </c>
      <c r="I190" s="106" t="n">
        <v>5</v>
      </c>
      <c r="J190" s="106" t="n">
        <v>0</v>
      </c>
      <c r="K190" s="106" t="n">
        <f aca="false">SUM(E190:J190)</f>
        <v>12</v>
      </c>
      <c r="L190" s="107" t="n">
        <v>0</v>
      </c>
      <c r="M190" s="107" t="n">
        <v>0</v>
      </c>
      <c r="N190" s="107" t="n">
        <v>0</v>
      </c>
      <c r="O190" s="107" t="n">
        <v>31.75</v>
      </c>
      <c r="P190" s="107" t="n">
        <v>45</v>
      </c>
      <c r="Q190" s="107" t="n">
        <v>0</v>
      </c>
      <c r="R190" s="107" t="n">
        <f aca="false">SUM(L190:Q190)</f>
        <v>76.75</v>
      </c>
      <c r="S190" s="108" t="n">
        <v>4</v>
      </c>
      <c r="T190" s="108" t="n">
        <v>4</v>
      </c>
      <c r="U190" s="108" t="n">
        <v>4</v>
      </c>
      <c r="V190" s="108" t="n">
        <v>4</v>
      </c>
      <c r="W190" s="108" t="n">
        <v>4</v>
      </c>
      <c r="X190" s="108" t="n">
        <v>4</v>
      </c>
      <c r="Y190" s="107" t="n">
        <f aca="false">S190*$D190</f>
        <v>25.5833333333333</v>
      </c>
      <c r="Z190" s="107" t="n">
        <f aca="false">T190*$D190</f>
        <v>25.5833333333333</v>
      </c>
      <c r="AA190" s="107" t="n">
        <f aca="false">U190*$D190</f>
        <v>25.5833333333333</v>
      </c>
      <c r="AB190" s="107" t="n">
        <f aca="false">V190*$D190</f>
        <v>25.5833333333333</v>
      </c>
      <c r="AC190" s="107" t="n">
        <f aca="false">W190*$D190</f>
        <v>25.5833333333333</v>
      </c>
      <c r="AD190" s="107" t="n">
        <f aca="false">X190*$D190</f>
        <v>25.5833333333333</v>
      </c>
      <c r="AE190" s="107" t="n">
        <f aca="false">SUM(Y190:AD190)</f>
        <v>153.5</v>
      </c>
    </row>
    <row r="191" customFormat="false" ht="15" hidden="false" customHeight="false" outlineLevel="0" collapsed="false">
      <c r="A191" s="103" t="s">
        <v>637</v>
      </c>
      <c r="B191" s="104" t="n">
        <v>0</v>
      </c>
      <c r="C191" s="105" t="n">
        <f aca="false">IF(K191=0,0,R191/K191)</f>
        <v>75</v>
      </c>
      <c r="D191" s="105" t="n">
        <f aca="false">C191+B191</f>
        <v>75</v>
      </c>
      <c r="E191" s="106" t="n">
        <v>0</v>
      </c>
      <c r="F191" s="106" t="n">
        <v>0</v>
      </c>
      <c r="G191" s="106" t="n">
        <v>1</v>
      </c>
      <c r="H191" s="106" t="n">
        <v>0</v>
      </c>
      <c r="I191" s="106" t="n">
        <v>0</v>
      </c>
      <c r="J191" s="106" t="n">
        <v>0</v>
      </c>
      <c r="K191" s="106" t="n">
        <f aca="false">SUM(E191:J191)</f>
        <v>1</v>
      </c>
      <c r="L191" s="107" t="n">
        <v>0</v>
      </c>
      <c r="M191" s="107" t="n">
        <v>0</v>
      </c>
      <c r="N191" s="107" t="n">
        <v>75</v>
      </c>
      <c r="O191" s="107" t="n">
        <v>0</v>
      </c>
      <c r="P191" s="107" t="n">
        <v>0</v>
      </c>
      <c r="Q191" s="107" t="n">
        <v>0</v>
      </c>
      <c r="R191" s="107" t="n">
        <f aca="false">SUM(L191:Q191)</f>
        <v>75</v>
      </c>
      <c r="S191" s="108" t="n">
        <v>0</v>
      </c>
      <c r="T191" s="108" t="n">
        <v>0</v>
      </c>
      <c r="U191" s="108" t="n">
        <v>0</v>
      </c>
      <c r="V191" s="108" t="n">
        <v>0</v>
      </c>
      <c r="W191" s="108" t="n">
        <v>0</v>
      </c>
      <c r="X191" s="108" t="n">
        <v>0</v>
      </c>
      <c r="Y191" s="107" t="n">
        <f aca="false">S191*$D191</f>
        <v>0</v>
      </c>
      <c r="Z191" s="107" t="n">
        <f aca="false">T191*$D191</f>
        <v>0</v>
      </c>
      <c r="AA191" s="107" t="n">
        <f aca="false">U191*$D191</f>
        <v>0</v>
      </c>
      <c r="AB191" s="107" t="n">
        <f aca="false">V191*$D191</f>
        <v>0</v>
      </c>
      <c r="AC191" s="107" t="n">
        <f aca="false">W191*$D191</f>
        <v>0</v>
      </c>
      <c r="AD191" s="107" t="n">
        <f aca="false">X191*$D191</f>
        <v>0</v>
      </c>
      <c r="AE191" s="107" t="n">
        <f aca="false">SUM(Y191:AD191)</f>
        <v>0</v>
      </c>
    </row>
    <row r="192" customFormat="false" ht="15" hidden="false" customHeight="false" outlineLevel="0" collapsed="false">
      <c r="A192" s="103" t="s">
        <v>638</v>
      </c>
      <c r="B192" s="104" t="n">
        <v>0</v>
      </c>
      <c r="C192" s="105" t="n">
        <f aca="false">IF(K192=0,0,R192/K192)</f>
        <v>4.02444444444445</v>
      </c>
      <c r="D192" s="105" t="n">
        <f aca="false">C192+B192</f>
        <v>4.02444444444445</v>
      </c>
      <c r="E192" s="106" t="n">
        <v>0</v>
      </c>
      <c r="F192" s="106" t="n">
        <v>15</v>
      </c>
      <c r="G192" s="106" t="n">
        <v>3</v>
      </c>
      <c r="H192" s="106" t="n">
        <v>0</v>
      </c>
      <c r="I192" s="106" t="n">
        <v>0</v>
      </c>
      <c r="J192" s="106" t="n">
        <v>0</v>
      </c>
      <c r="K192" s="106" t="n">
        <f aca="false">SUM(E192:J192)</f>
        <v>18</v>
      </c>
      <c r="L192" s="107" t="n">
        <v>0</v>
      </c>
      <c r="M192" s="107" t="n">
        <v>60.28</v>
      </c>
      <c r="N192" s="107" t="n">
        <v>12.16</v>
      </c>
      <c r="O192" s="107" t="n">
        <v>0</v>
      </c>
      <c r="P192" s="107" t="n">
        <v>0</v>
      </c>
      <c r="Q192" s="107" t="n">
        <v>0</v>
      </c>
      <c r="R192" s="107" t="n">
        <f aca="false">SUM(L192:Q192)</f>
        <v>72.44</v>
      </c>
      <c r="S192" s="108" t="n">
        <v>0</v>
      </c>
      <c r="T192" s="108" t="n">
        <v>0</v>
      </c>
      <c r="U192" s="108" t="n">
        <v>0</v>
      </c>
      <c r="V192" s="108" t="n">
        <v>0</v>
      </c>
      <c r="W192" s="108" t="n">
        <v>0</v>
      </c>
      <c r="X192" s="108" t="n">
        <v>0</v>
      </c>
      <c r="Y192" s="107" t="n">
        <f aca="false">S192*$D192</f>
        <v>0</v>
      </c>
      <c r="Z192" s="107" t="n">
        <f aca="false">T192*$D192</f>
        <v>0</v>
      </c>
      <c r="AA192" s="107" t="n">
        <f aca="false">U192*$D192</f>
        <v>0</v>
      </c>
      <c r="AB192" s="107" t="n">
        <f aca="false">V192*$D192</f>
        <v>0</v>
      </c>
      <c r="AC192" s="107" t="n">
        <f aca="false">W192*$D192</f>
        <v>0</v>
      </c>
      <c r="AD192" s="107" t="n">
        <f aca="false">X192*$D192</f>
        <v>0</v>
      </c>
      <c r="AE192" s="107" t="n">
        <f aca="false">SUM(Y192:AD192)</f>
        <v>0</v>
      </c>
    </row>
    <row r="193" customFormat="false" ht="15" hidden="false" customHeight="false" outlineLevel="0" collapsed="false">
      <c r="A193" s="103" t="s">
        <v>639</v>
      </c>
      <c r="B193" s="104" t="n">
        <v>0</v>
      </c>
      <c r="C193" s="105" t="n">
        <f aca="false">IF(K193=0,0,R193/K193)</f>
        <v>8</v>
      </c>
      <c r="D193" s="105" t="n">
        <f aca="false">C193+B193</f>
        <v>8</v>
      </c>
      <c r="E193" s="106" t="n">
        <v>0</v>
      </c>
      <c r="F193" s="106" t="n">
        <v>0</v>
      </c>
      <c r="G193" s="106" t="n">
        <v>0</v>
      </c>
      <c r="H193" s="106" t="n">
        <v>2</v>
      </c>
      <c r="I193" s="106" t="n">
        <v>5</v>
      </c>
      <c r="J193" s="106" t="n">
        <v>2</v>
      </c>
      <c r="K193" s="106" t="n">
        <f aca="false">SUM(E193:J193)</f>
        <v>9</v>
      </c>
      <c r="L193" s="107" t="n">
        <v>0</v>
      </c>
      <c r="M193" s="107" t="n">
        <v>0</v>
      </c>
      <c r="N193" s="107" t="n">
        <v>0</v>
      </c>
      <c r="O193" s="107" t="n">
        <v>16</v>
      </c>
      <c r="P193" s="107" t="n">
        <v>40</v>
      </c>
      <c r="Q193" s="107" t="n">
        <v>16</v>
      </c>
      <c r="R193" s="107" t="n">
        <f aca="false">SUM(L193:Q193)</f>
        <v>72</v>
      </c>
      <c r="S193" s="108" t="n">
        <v>3</v>
      </c>
      <c r="T193" s="108" t="n">
        <v>3</v>
      </c>
      <c r="U193" s="108" t="n">
        <v>3</v>
      </c>
      <c r="V193" s="108" t="n">
        <v>3</v>
      </c>
      <c r="W193" s="108" t="n">
        <v>3</v>
      </c>
      <c r="X193" s="108" t="n">
        <v>3</v>
      </c>
      <c r="Y193" s="107" t="n">
        <f aca="false">S193*$D193</f>
        <v>24</v>
      </c>
      <c r="Z193" s="107" t="n">
        <f aca="false">T193*$D193</f>
        <v>24</v>
      </c>
      <c r="AA193" s="107" t="n">
        <f aca="false">U193*$D193</f>
        <v>24</v>
      </c>
      <c r="AB193" s="107" t="n">
        <f aca="false">V193*$D193</f>
        <v>24</v>
      </c>
      <c r="AC193" s="107" t="n">
        <f aca="false">W193*$D193</f>
        <v>24</v>
      </c>
      <c r="AD193" s="107" t="n">
        <f aca="false">X193*$D193</f>
        <v>24</v>
      </c>
      <c r="AE193" s="107" t="n">
        <f aca="false">SUM(Y193:AD193)</f>
        <v>144</v>
      </c>
    </row>
    <row r="194" customFormat="false" ht="15" hidden="false" customHeight="false" outlineLevel="0" collapsed="false">
      <c r="A194" s="103" t="s">
        <v>640</v>
      </c>
      <c r="B194" s="104" t="n">
        <v>0</v>
      </c>
      <c r="C194" s="105" t="n">
        <f aca="false">IF(K194=0,0,R194/K194)</f>
        <v>11.9366666666667</v>
      </c>
      <c r="D194" s="105" t="n">
        <f aca="false">C194+B194</f>
        <v>11.9366666666667</v>
      </c>
      <c r="E194" s="106" t="n">
        <v>0</v>
      </c>
      <c r="F194" s="106" t="n">
        <v>0</v>
      </c>
      <c r="G194" s="106" t="n">
        <v>0</v>
      </c>
      <c r="H194" s="106" t="n">
        <v>6</v>
      </c>
      <c r="I194" s="106" t="n">
        <v>0</v>
      </c>
      <c r="J194" s="106" t="n">
        <v>0</v>
      </c>
      <c r="K194" s="106" t="n">
        <f aca="false">SUM(E194:J194)</f>
        <v>6</v>
      </c>
      <c r="L194" s="107" t="n">
        <v>0</v>
      </c>
      <c r="M194" s="107" t="n">
        <v>0</v>
      </c>
      <c r="N194" s="107" t="n">
        <v>0</v>
      </c>
      <c r="O194" s="107" t="n">
        <v>71.62</v>
      </c>
      <c r="P194" s="107" t="n">
        <v>0</v>
      </c>
      <c r="Q194" s="107" t="n">
        <v>0</v>
      </c>
      <c r="R194" s="107" t="n">
        <f aca="false">SUM(L194:Q194)</f>
        <v>71.62</v>
      </c>
      <c r="S194" s="108" t="n">
        <v>2</v>
      </c>
      <c r="T194" s="108" t="n">
        <v>2</v>
      </c>
      <c r="U194" s="108" t="n">
        <v>2</v>
      </c>
      <c r="V194" s="108" t="n">
        <v>2</v>
      </c>
      <c r="W194" s="108" t="n">
        <v>2</v>
      </c>
      <c r="X194" s="108" t="n">
        <v>2</v>
      </c>
      <c r="Y194" s="107" t="n">
        <f aca="false">S194*$D194</f>
        <v>23.8733333333333</v>
      </c>
      <c r="Z194" s="107" t="n">
        <f aca="false">T194*$D194</f>
        <v>23.8733333333333</v>
      </c>
      <c r="AA194" s="107" t="n">
        <f aca="false">U194*$D194</f>
        <v>23.8733333333333</v>
      </c>
      <c r="AB194" s="107" t="n">
        <f aca="false">V194*$D194</f>
        <v>23.8733333333333</v>
      </c>
      <c r="AC194" s="107" t="n">
        <f aca="false">W194*$D194</f>
        <v>23.8733333333333</v>
      </c>
      <c r="AD194" s="107" t="n">
        <f aca="false">X194*$D194</f>
        <v>23.8733333333333</v>
      </c>
      <c r="AE194" s="107" t="n">
        <f aca="false">SUM(Y194:AD194)</f>
        <v>143.24</v>
      </c>
    </row>
    <row r="195" customFormat="false" ht="15" hidden="false" customHeight="false" outlineLevel="0" collapsed="false">
      <c r="A195" s="103" t="s">
        <v>641</v>
      </c>
      <c r="B195" s="104" t="n">
        <v>0</v>
      </c>
      <c r="C195" s="105" t="n">
        <f aca="false">IF(K195=0,0,R195/K195)</f>
        <v>7.86666666666667</v>
      </c>
      <c r="D195" s="105" t="n">
        <f aca="false">C195+B195</f>
        <v>7.86666666666667</v>
      </c>
      <c r="E195" s="106" t="n">
        <v>0</v>
      </c>
      <c r="F195" s="106" t="n">
        <v>0</v>
      </c>
      <c r="G195" s="106" t="n">
        <v>0</v>
      </c>
      <c r="H195" s="106" t="n">
        <v>0</v>
      </c>
      <c r="I195" s="106" t="n">
        <v>0</v>
      </c>
      <c r="J195" s="106" t="n">
        <v>9</v>
      </c>
      <c r="K195" s="106" t="n">
        <f aca="false">SUM(E195:J195)</f>
        <v>9</v>
      </c>
      <c r="L195" s="107" t="n">
        <v>0</v>
      </c>
      <c r="M195" s="107" t="n">
        <v>0</v>
      </c>
      <c r="N195" s="107" t="n">
        <v>0</v>
      </c>
      <c r="O195" s="107" t="n">
        <v>0</v>
      </c>
      <c r="P195" s="107" t="n">
        <v>0</v>
      </c>
      <c r="Q195" s="107" t="n">
        <v>70.8</v>
      </c>
      <c r="R195" s="107" t="n">
        <f aca="false">SUM(L195:Q195)</f>
        <v>70.8</v>
      </c>
      <c r="S195" s="108" t="n">
        <v>3</v>
      </c>
      <c r="T195" s="108" t="n">
        <v>3</v>
      </c>
      <c r="U195" s="108" t="n">
        <v>3</v>
      </c>
      <c r="V195" s="108" t="n">
        <v>3</v>
      </c>
      <c r="W195" s="108" t="n">
        <v>3</v>
      </c>
      <c r="X195" s="108" t="n">
        <v>3</v>
      </c>
      <c r="Y195" s="107" t="n">
        <f aca="false">S195*$D195</f>
        <v>23.6</v>
      </c>
      <c r="Z195" s="107" t="n">
        <f aca="false">T195*$D195</f>
        <v>23.6</v>
      </c>
      <c r="AA195" s="107" t="n">
        <f aca="false">U195*$D195</f>
        <v>23.6</v>
      </c>
      <c r="AB195" s="107" t="n">
        <f aca="false">V195*$D195</f>
        <v>23.6</v>
      </c>
      <c r="AC195" s="107" t="n">
        <f aca="false">W195*$D195</f>
        <v>23.6</v>
      </c>
      <c r="AD195" s="107" t="n">
        <f aca="false">X195*$D195</f>
        <v>23.6</v>
      </c>
      <c r="AE195" s="107" t="n">
        <f aca="false">SUM(Y195:AD195)</f>
        <v>141.6</v>
      </c>
    </row>
    <row r="196" customFormat="false" ht="15" hidden="false" customHeight="false" outlineLevel="0" collapsed="false">
      <c r="A196" s="103" t="s">
        <v>642</v>
      </c>
      <c r="B196" s="104" t="n">
        <v>0</v>
      </c>
      <c r="C196" s="105" t="n">
        <f aca="false">IF(K196=0,0,R196/K196)</f>
        <v>2.90625</v>
      </c>
      <c r="D196" s="105" t="n">
        <f aca="false">C196+B196</f>
        <v>2.90625</v>
      </c>
      <c r="E196" s="106" t="n">
        <v>23</v>
      </c>
      <c r="F196" s="106" t="n">
        <v>1</v>
      </c>
      <c r="G196" s="106" t="n">
        <v>0</v>
      </c>
      <c r="H196" s="106" t="n">
        <v>0</v>
      </c>
      <c r="I196" s="106" t="n">
        <v>0</v>
      </c>
      <c r="J196" s="106" t="n">
        <v>0</v>
      </c>
      <c r="K196" s="106" t="n">
        <f aca="false">SUM(E196:J196)</f>
        <v>24</v>
      </c>
      <c r="L196" s="107" t="n">
        <v>66.75</v>
      </c>
      <c r="M196" s="107" t="n">
        <v>3</v>
      </c>
      <c r="N196" s="107" t="n">
        <v>0</v>
      </c>
      <c r="O196" s="107" t="n">
        <v>0</v>
      </c>
      <c r="P196" s="107" t="n">
        <v>0</v>
      </c>
      <c r="Q196" s="107" t="n">
        <v>0</v>
      </c>
      <c r="R196" s="107" t="n">
        <f aca="false">SUM(L196:Q196)</f>
        <v>69.75</v>
      </c>
      <c r="S196" s="108" t="n">
        <v>0</v>
      </c>
      <c r="T196" s="108" t="n">
        <v>0</v>
      </c>
      <c r="U196" s="108" t="n">
        <v>0</v>
      </c>
      <c r="V196" s="108" t="n">
        <v>0</v>
      </c>
      <c r="W196" s="108" t="n">
        <v>0</v>
      </c>
      <c r="X196" s="108" t="n">
        <v>0</v>
      </c>
      <c r="Y196" s="107" t="n">
        <f aca="false">S196*$D196</f>
        <v>0</v>
      </c>
      <c r="Z196" s="107" t="n">
        <f aca="false">T196*$D196</f>
        <v>0</v>
      </c>
      <c r="AA196" s="107" t="n">
        <f aca="false">U196*$D196</f>
        <v>0</v>
      </c>
      <c r="AB196" s="107" t="n">
        <f aca="false">V196*$D196</f>
        <v>0</v>
      </c>
      <c r="AC196" s="107" t="n">
        <f aca="false">W196*$D196</f>
        <v>0</v>
      </c>
      <c r="AD196" s="107" t="n">
        <f aca="false">X196*$D196</f>
        <v>0</v>
      </c>
      <c r="AE196" s="107" t="n">
        <f aca="false">SUM(Y196:AD196)</f>
        <v>0</v>
      </c>
    </row>
    <row r="197" customFormat="false" ht="15" hidden="false" customHeight="false" outlineLevel="0" collapsed="false">
      <c r="A197" s="103" t="s">
        <v>643</v>
      </c>
      <c r="B197" s="104" t="n">
        <v>0</v>
      </c>
      <c r="C197" s="105" t="n">
        <f aca="false">IF(K197=0,0,R197/K197)</f>
        <v>5.6</v>
      </c>
      <c r="D197" s="105" t="n">
        <f aca="false">C197+B197</f>
        <v>5.6</v>
      </c>
      <c r="E197" s="106" t="n">
        <v>0</v>
      </c>
      <c r="F197" s="106" t="n">
        <v>0</v>
      </c>
      <c r="G197" s="106" t="n">
        <v>0</v>
      </c>
      <c r="H197" s="106" t="n">
        <v>6</v>
      </c>
      <c r="I197" s="106" t="n">
        <v>1</v>
      </c>
      <c r="J197" s="106" t="n">
        <v>5</v>
      </c>
      <c r="K197" s="106" t="n">
        <f aca="false">SUM(E197:J197)</f>
        <v>12</v>
      </c>
      <c r="L197" s="107" t="n">
        <v>0</v>
      </c>
      <c r="M197" s="107" t="n">
        <v>0</v>
      </c>
      <c r="N197" s="107" t="n">
        <v>0</v>
      </c>
      <c r="O197" s="107" t="n">
        <v>36</v>
      </c>
      <c r="P197" s="107" t="n">
        <v>3</v>
      </c>
      <c r="Q197" s="107" t="n">
        <v>28.2</v>
      </c>
      <c r="R197" s="107" t="n">
        <f aca="false">SUM(L197:Q197)</f>
        <v>67.2</v>
      </c>
      <c r="S197" s="108" t="n">
        <v>4</v>
      </c>
      <c r="T197" s="108" t="n">
        <v>4</v>
      </c>
      <c r="U197" s="108" t="n">
        <v>4</v>
      </c>
      <c r="V197" s="108" t="n">
        <v>4</v>
      </c>
      <c r="W197" s="108" t="n">
        <v>4</v>
      </c>
      <c r="X197" s="108" t="n">
        <v>4</v>
      </c>
      <c r="Y197" s="107" t="n">
        <f aca="false">S197*$D197</f>
        <v>22.4</v>
      </c>
      <c r="Z197" s="107" t="n">
        <f aca="false">T197*$D197</f>
        <v>22.4</v>
      </c>
      <c r="AA197" s="107" t="n">
        <f aca="false">U197*$D197</f>
        <v>22.4</v>
      </c>
      <c r="AB197" s="107" t="n">
        <f aca="false">V197*$D197</f>
        <v>22.4</v>
      </c>
      <c r="AC197" s="107" t="n">
        <f aca="false">W197*$D197</f>
        <v>22.4</v>
      </c>
      <c r="AD197" s="107" t="n">
        <f aca="false">X197*$D197</f>
        <v>22.4</v>
      </c>
      <c r="AE197" s="107" t="n">
        <f aca="false">SUM(Y197:AD197)</f>
        <v>134.4</v>
      </c>
    </row>
    <row r="198" customFormat="false" ht="15" hidden="false" customHeight="false" outlineLevel="0" collapsed="false">
      <c r="A198" s="103" t="s">
        <v>644</v>
      </c>
      <c r="B198" s="104" t="n">
        <v>0</v>
      </c>
      <c r="C198" s="105" t="n">
        <f aca="false">IF(K198=0,0,R198/K198)</f>
        <v>65</v>
      </c>
      <c r="D198" s="105" t="n">
        <f aca="false">C198+B198</f>
        <v>65</v>
      </c>
      <c r="E198" s="106" t="n">
        <v>0</v>
      </c>
      <c r="F198" s="106" t="n">
        <v>0</v>
      </c>
      <c r="G198" s="106" t="n">
        <v>1</v>
      </c>
      <c r="H198" s="106" t="n">
        <v>0</v>
      </c>
      <c r="I198" s="106" t="n">
        <v>0</v>
      </c>
      <c r="J198" s="106" t="n">
        <v>0</v>
      </c>
      <c r="K198" s="106" t="n">
        <f aca="false">SUM(E198:J198)</f>
        <v>1</v>
      </c>
      <c r="L198" s="107" t="n">
        <v>0</v>
      </c>
      <c r="M198" s="107" t="n">
        <v>0</v>
      </c>
      <c r="N198" s="107" t="n">
        <v>65</v>
      </c>
      <c r="O198" s="107" t="n">
        <v>0</v>
      </c>
      <c r="P198" s="107" t="n">
        <v>0</v>
      </c>
      <c r="Q198" s="107" t="n">
        <v>0</v>
      </c>
      <c r="R198" s="107" t="n">
        <f aca="false">SUM(L198:Q198)</f>
        <v>65</v>
      </c>
      <c r="S198" s="108" t="n">
        <v>0</v>
      </c>
      <c r="T198" s="108" t="n">
        <v>0</v>
      </c>
      <c r="U198" s="108" t="n">
        <v>0</v>
      </c>
      <c r="V198" s="108" t="n">
        <v>0</v>
      </c>
      <c r="W198" s="108" t="n">
        <v>0</v>
      </c>
      <c r="X198" s="108" t="n">
        <v>0</v>
      </c>
      <c r="Y198" s="107" t="n">
        <f aca="false">S198*$D198</f>
        <v>0</v>
      </c>
      <c r="Z198" s="107" t="n">
        <f aca="false">T198*$D198</f>
        <v>0</v>
      </c>
      <c r="AA198" s="107" t="n">
        <f aca="false">U198*$D198</f>
        <v>0</v>
      </c>
      <c r="AB198" s="107" t="n">
        <f aca="false">V198*$D198</f>
        <v>0</v>
      </c>
      <c r="AC198" s="107" t="n">
        <f aca="false">W198*$D198</f>
        <v>0</v>
      </c>
      <c r="AD198" s="107" t="n">
        <f aca="false">X198*$D198</f>
        <v>0</v>
      </c>
      <c r="AE198" s="107" t="n">
        <f aca="false">SUM(Y198:AD198)</f>
        <v>0</v>
      </c>
    </row>
    <row r="199" customFormat="false" ht="15" hidden="false" customHeight="false" outlineLevel="0" collapsed="false">
      <c r="A199" s="103" t="s">
        <v>645</v>
      </c>
      <c r="B199" s="104" t="n">
        <v>0</v>
      </c>
      <c r="C199" s="105" t="n">
        <f aca="false">IF(K199=0,0,R199/K199)</f>
        <v>12.8</v>
      </c>
      <c r="D199" s="105" t="n">
        <f aca="false">C199+B199</f>
        <v>12.8</v>
      </c>
      <c r="E199" s="106" t="n">
        <v>0</v>
      </c>
      <c r="F199" s="106" t="n">
        <v>0</v>
      </c>
      <c r="G199" s="106" t="n">
        <v>5</v>
      </c>
      <c r="H199" s="106" t="n">
        <v>0</v>
      </c>
      <c r="I199" s="106" t="n">
        <v>0</v>
      </c>
      <c r="J199" s="106" t="n">
        <v>0</v>
      </c>
      <c r="K199" s="106" t="n">
        <f aca="false">SUM(E199:J199)</f>
        <v>5</v>
      </c>
      <c r="L199" s="107" t="n">
        <v>0</v>
      </c>
      <c r="M199" s="107" t="n">
        <v>0</v>
      </c>
      <c r="N199" s="107" t="n">
        <v>64</v>
      </c>
      <c r="O199" s="107" t="n">
        <v>0</v>
      </c>
      <c r="P199" s="107" t="n">
        <v>0</v>
      </c>
      <c r="Q199" s="107" t="n">
        <v>0</v>
      </c>
      <c r="R199" s="107" t="n">
        <f aca="false">SUM(L199:Q199)</f>
        <v>64</v>
      </c>
      <c r="S199" s="108" t="n">
        <v>0</v>
      </c>
      <c r="T199" s="108" t="n">
        <v>0</v>
      </c>
      <c r="U199" s="108" t="n">
        <v>0</v>
      </c>
      <c r="V199" s="108" t="n">
        <v>0</v>
      </c>
      <c r="W199" s="108" t="n">
        <v>0</v>
      </c>
      <c r="X199" s="108" t="n">
        <v>0</v>
      </c>
      <c r="Y199" s="107" t="n">
        <f aca="false">S199*$D199</f>
        <v>0</v>
      </c>
      <c r="Z199" s="107" t="n">
        <f aca="false">T199*$D199</f>
        <v>0</v>
      </c>
      <c r="AA199" s="107" t="n">
        <f aca="false">U199*$D199</f>
        <v>0</v>
      </c>
      <c r="AB199" s="107" t="n">
        <f aca="false">V199*$D199</f>
        <v>0</v>
      </c>
      <c r="AC199" s="107" t="n">
        <f aca="false">W199*$D199</f>
        <v>0</v>
      </c>
      <c r="AD199" s="107" t="n">
        <f aca="false">X199*$D199</f>
        <v>0</v>
      </c>
      <c r="AE199" s="107" t="n">
        <f aca="false">SUM(Y199:AD199)</f>
        <v>0</v>
      </c>
    </row>
    <row r="200" customFormat="false" ht="15" hidden="false" customHeight="false" outlineLevel="0" collapsed="false">
      <c r="A200" s="103" t="s">
        <v>646</v>
      </c>
      <c r="B200" s="104" t="n">
        <v>0</v>
      </c>
      <c r="C200" s="105" t="n">
        <f aca="false">IF(K200=0,0,R200/K200)</f>
        <v>12.8</v>
      </c>
      <c r="D200" s="105" t="n">
        <f aca="false">C200+B200</f>
        <v>12.8</v>
      </c>
      <c r="E200" s="106" t="n">
        <v>0</v>
      </c>
      <c r="F200" s="106" t="n">
        <v>0</v>
      </c>
      <c r="G200" s="106" t="n">
        <v>5</v>
      </c>
      <c r="H200" s="106" t="n">
        <v>0</v>
      </c>
      <c r="I200" s="106" t="n">
        <v>0</v>
      </c>
      <c r="J200" s="106" t="n">
        <v>0</v>
      </c>
      <c r="K200" s="106" t="n">
        <f aca="false">SUM(E200:J200)</f>
        <v>5</v>
      </c>
      <c r="L200" s="107" t="n">
        <v>0</v>
      </c>
      <c r="M200" s="107" t="n">
        <v>0</v>
      </c>
      <c r="N200" s="107" t="n">
        <v>64</v>
      </c>
      <c r="O200" s="107" t="n">
        <v>0</v>
      </c>
      <c r="P200" s="107" t="n">
        <v>0</v>
      </c>
      <c r="Q200" s="107" t="n">
        <v>0</v>
      </c>
      <c r="R200" s="107" t="n">
        <f aca="false">SUM(L200:Q200)</f>
        <v>64</v>
      </c>
      <c r="S200" s="108" t="n">
        <v>0</v>
      </c>
      <c r="T200" s="108" t="n">
        <v>0</v>
      </c>
      <c r="U200" s="108" t="n">
        <v>0</v>
      </c>
      <c r="V200" s="108" t="n">
        <v>0</v>
      </c>
      <c r="W200" s="108" t="n">
        <v>0</v>
      </c>
      <c r="X200" s="108" t="n">
        <v>0</v>
      </c>
      <c r="Y200" s="107" t="n">
        <f aca="false">S200*$D200</f>
        <v>0</v>
      </c>
      <c r="Z200" s="107" t="n">
        <f aca="false">T200*$D200</f>
        <v>0</v>
      </c>
      <c r="AA200" s="107" t="n">
        <f aca="false">U200*$D200</f>
        <v>0</v>
      </c>
      <c r="AB200" s="107" t="n">
        <f aca="false">V200*$D200</f>
        <v>0</v>
      </c>
      <c r="AC200" s="107" t="n">
        <f aca="false">W200*$D200</f>
        <v>0</v>
      </c>
      <c r="AD200" s="107" t="n">
        <f aca="false">X200*$D200</f>
        <v>0</v>
      </c>
      <c r="AE200" s="107" t="n">
        <f aca="false">SUM(Y200:AD200)</f>
        <v>0</v>
      </c>
    </row>
    <row r="201" customFormat="false" ht="15" hidden="false" customHeight="false" outlineLevel="0" collapsed="false">
      <c r="A201" s="103" t="s">
        <v>647</v>
      </c>
      <c r="B201" s="104" t="n">
        <v>0</v>
      </c>
      <c r="C201" s="105" t="n">
        <f aca="false">IF(K201=0,0,R201/K201)</f>
        <v>4.69230769230769</v>
      </c>
      <c r="D201" s="105" t="n">
        <f aca="false">C201+B201</f>
        <v>4.69230769230769</v>
      </c>
      <c r="E201" s="106" t="n">
        <v>0</v>
      </c>
      <c r="F201" s="106" t="n">
        <v>0</v>
      </c>
      <c r="G201" s="106" t="n">
        <v>0</v>
      </c>
      <c r="H201" s="106" t="n">
        <v>11</v>
      </c>
      <c r="I201" s="106" t="n">
        <v>2</v>
      </c>
      <c r="J201" s="106" t="n">
        <v>0</v>
      </c>
      <c r="K201" s="106" t="n">
        <f aca="false">SUM(E201:J201)</f>
        <v>13</v>
      </c>
      <c r="L201" s="107" t="n">
        <v>0</v>
      </c>
      <c r="M201" s="107" t="n">
        <v>0</v>
      </c>
      <c r="N201" s="107" t="n">
        <v>0</v>
      </c>
      <c r="O201" s="107" t="n">
        <v>52.75</v>
      </c>
      <c r="P201" s="107" t="n">
        <v>8.25</v>
      </c>
      <c r="Q201" s="107" t="n">
        <v>0</v>
      </c>
      <c r="R201" s="107" t="n">
        <f aca="false">SUM(L201:Q201)</f>
        <v>61</v>
      </c>
      <c r="S201" s="108" t="n">
        <v>4</v>
      </c>
      <c r="T201" s="108" t="n">
        <v>4</v>
      </c>
      <c r="U201" s="108" t="n">
        <v>4</v>
      </c>
      <c r="V201" s="108" t="n">
        <v>4</v>
      </c>
      <c r="W201" s="108" t="n">
        <v>4</v>
      </c>
      <c r="X201" s="108" t="n">
        <v>4</v>
      </c>
      <c r="Y201" s="107" t="n">
        <f aca="false">S201*$D201</f>
        <v>18.7692307692308</v>
      </c>
      <c r="Z201" s="107" t="n">
        <f aca="false">T201*$D201</f>
        <v>18.7692307692308</v>
      </c>
      <c r="AA201" s="107" t="n">
        <f aca="false">U201*$D201</f>
        <v>18.7692307692308</v>
      </c>
      <c r="AB201" s="107" t="n">
        <f aca="false">V201*$D201</f>
        <v>18.7692307692308</v>
      </c>
      <c r="AC201" s="107" t="n">
        <f aca="false">W201*$D201</f>
        <v>18.7692307692308</v>
      </c>
      <c r="AD201" s="107" t="n">
        <f aca="false">X201*$D201</f>
        <v>18.7692307692308</v>
      </c>
      <c r="AE201" s="107" t="n">
        <f aca="false">SUM(Y201:AD201)</f>
        <v>112.615384615385</v>
      </c>
    </row>
    <row r="202" customFormat="false" ht="15" hidden="false" customHeight="false" outlineLevel="0" collapsed="false">
      <c r="A202" s="103" t="s">
        <v>648</v>
      </c>
      <c r="B202" s="104" t="n">
        <v>0</v>
      </c>
      <c r="C202" s="105" t="n">
        <f aca="false">IF(K202=0,0,R202/K202)</f>
        <v>10.125</v>
      </c>
      <c r="D202" s="105" t="n">
        <f aca="false">C202+B202</f>
        <v>10.125</v>
      </c>
      <c r="E202" s="106" t="n">
        <v>0</v>
      </c>
      <c r="F202" s="106" t="n">
        <v>6</v>
      </c>
      <c r="G202" s="106" t="n">
        <v>0</v>
      </c>
      <c r="H202" s="106" t="n">
        <v>0</v>
      </c>
      <c r="I202" s="106" t="n">
        <v>0</v>
      </c>
      <c r="J202" s="106" t="n">
        <v>0</v>
      </c>
      <c r="K202" s="106" t="n">
        <f aca="false">SUM(E202:J202)</f>
        <v>6</v>
      </c>
      <c r="L202" s="107" t="n">
        <v>0</v>
      </c>
      <c r="M202" s="107" t="n">
        <v>60.75</v>
      </c>
      <c r="N202" s="107" t="n">
        <v>0</v>
      </c>
      <c r="O202" s="107" t="n">
        <v>0</v>
      </c>
      <c r="P202" s="107" t="n">
        <v>0</v>
      </c>
      <c r="Q202" s="107" t="n">
        <v>0</v>
      </c>
      <c r="R202" s="107" t="n">
        <f aca="false">SUM(L202:Q202)</f>
        <v>60.75</v>
      </c>
      <c r="S202" s="108" t="n">
        <v>0</v>
      </c>
      <c r="T202" s="108" t="n">
        <v>0</v>
      </c>
      <c r="U202" s="108" t="n">
        <v>0</v>
      </c>
      <c r="V202" s="108" t="n">
        <v>0</v>
      </c>
      <c r="W202" s="108" t="n">
        <v>0</v>
      </c>
      <c r="X202" s="108" t="n">
        <v>0</v>
      </c>
      <c r="Y202" s="107" t="n">
        <f aca="false">S202*$D202</f>
        <v>0</v>
      </c>
      <c r="Z202" s="107" t="n">
        <f aca="false">T202*$D202</f>
        <v>0</v>
      </c>
      <c r="AA202" s="107" t="n">
        <f aca="false">U202*$D202</f>
        <v>0</v>
      </c>
      <c r="AB202" s="107" t="n">
        <f aca="false">V202*$D202</f>
        <v>0</v>
      </c>
      <c r="AC202" s="107" t="n">
        <f aca="false">W202*$D202</f>
        <v>0</v>
      </c>
      <c r="AD202" s="107" t="n">
        <f aca="false">X202*$D202</f>
        <v>0</v>
      </c>
      <c r="AE202" s="107" t="n">
        <f aca="false">SUM(Y202:AD202)</f>
        <v>0</v>
      </c>
    </row>
    <row r="203" customFormat="false" ht="15" hidden="false" customHeight="false" outlineLevel="0" collapsed="false">
      <c r="A203" s="103" t="s">
        <v>649</v>
      </c>
      <c r="B203" s="104" t="n">
        <v>0</v>
      </c>
      <c r="C203" s="105" t="n">
        <f aca="false">IF(K203=0,0,R203/K203)</f>
        <v>5.50454545454545</v>
      </c>
      <c r="D203" s="105" t="n">
        <f aca="false">C203+B203</f>
        <v>5.50454545454545</v>
      </c>
      <c r="E203" s="106" t="n">
        <v>0</v>
      </c>
      <c r="F203" s="106" t="n">
        <v>11</v>
      </c>
      <c r="G203" s="106" t="n">
        <v>0</v>
      </c>
      <c r="H203" s="106" t="n">
        <v>0</v>
      </c>
      <c r="I203" s="106" t="n">
        <v>0</v>
      </c>
      <c r="J203" s="106" t="n">
        <v>0</v>
      </c>
      <c r="K203" s="106" t="n">
        <f aca="false">SUM(E203:J203)</f>
        <v>11</v>
      </c>
      <c r="L203" s="107" t="n">
        <v>0</v>
      </c>
      <c r="M203" s="107" t="n">
        <v>60.55</v>
      </c>
      <c r="N203" s="107" t="n">
        <v>0</v>
      </c>
      <c r="O203" s="107" t="n">
        <v>0</v>
      </c>
      <c r="P203" s="107" t="n">
        <v>0</v>
      </c>
      <c r="Q203" s="107" t="n">
        <v>0</v>
      </c>
      <c r="R203" s="107" t="n">
        <f aca="false">SUM(L203:Q203)</f>
        <v>60.55</v>
      </c>
      <c r="S203" s="108" t="n">
        <v>0</v>
      </c>
      <c r="T203" s="108" t="n">
        <v>0</v>
      </c>
      <c r="U203" s="108" t="n">
        <v>0</v>
      </c>
      <c r="V203" s="108" t="n">
        <v>0</v>
      </c>
      <c r="W203" s="108" t="n">
        <v>0</v>
      </c>
      <c r="X203" s="108" t="n">
        <v>0</v>
      </c>
      <c r="Y203" s="107" t="n">
        <f aca="false">S203*$D203</f>
        <v>0</v>
      </c>
      <c r="Z203" s="107" t="n">
        <f aca="false">T203*$D203</f>
        <v>0</v>
      </c>
      <c r="AA203" s="107" t="n">
        <f aca="false">U203*$D203</f>
        <v>0</v>
      </c>
      <c r="AB203" s="107" t="n">
        <f aca="false">V203*$D203</f>
        <v>0</v>
      </c>
      <c r="AC203" s="107" t="n">
        <f aca="false">W203*$D203</f>
        <v>0</v>
      </c>
      <c r="AD203" s="107" t="n">
        <f aca="false">X203*$D203</f>
        <v>0</v>
      </c>
      <c r="AE203" s="107" t="n">
        <f aca="false">SUM(Y203:AD203)</f>
        <v>0</v>
      </c>
    </row>
    <row r="204" customFormat="false" ht="15" hidden="false" customHeight="false" outlineLevel="0" collapsed="false">
      <c r="A204" s="103" t="s">
        <v>650</v>
      </c>
      <c r="B204" s="104" t="n">
        <v>0</v>
      </c>
      <c r="C204" s="105" t="n">
        <f aca="false">IF(K204=0,0,R204/K204)</f>
        <v>5</v>
      </c>
      <c r="D204" s="105" t="n">
        <f aca="false">C204+B204</f>
        <v>5</v>
      </c>
      <c r="E204" s="106" t="n">
        <v>12</v>
      </c>
      <c r="F204" s="106" t="n">
        <v>0</v>
      </c>
      <c r="G204" s="106" t="n">
        <v>0</v>
      </c>
      <c r="H204" s="106" t="n">
        <v>0</v>
      </c>
      <c r="I204" s="106" t="n">
        <v>0</v>
      </c>
      <c r="J204" s="106" t="n">
        <v>0</v>
      </c>
      <c r="K204" s="106" t="n">
        <f aca="false">SUM(E204:J204)</f>
        <v>12</v>
      </c>
      <c r="L204" s="107" t="n">
        <v>60</v>
      </c>
      <c r="M204" s="107" t="n">
        <v>0</v>
      </c>
      <c r="N204" s="107" t="n">
        <v>0</v>
      </c>
      <c r="O204" s="107" t="n">
        <v>0</v>
      </c>
      <c r="P204" s="107" t="n">
        <v>0</v>
      </c>
      <c r="Q204" s="107" t="n">
        <v>0</v>
      </c>
      <c r="R204" s="107" t="n">
        <f aca="false">SUM(L204:Q204)</f>
        <v>60</v>
      </c>
      <c r="S204" s="108" t="n">
        <v>0</v>
      </c>
      <c r="T204" s="108" t="n">
        <v>0</v>
      </c>
      <c r="U204" s="108" t="n">
        <v>0</v>
      </c>
      <c r="V204" s="108" t="n">
        <v>0</v>
      </c>
      <c r="W204" s="108" t="n">
        <v>0</v>
      </c>
      <c r="X204" s="108" t="n">
        <v>0</v>
      </c>
      <c r="Y204" s="107" t="n">
        <f aca="false">S204*$D204</f>
        <v>0</v>
      </c>
      <c r="Z204" s="107" t="n">
        <f aca="false">T204*$D204</f>
        <v>0</v>
      </c>
      <c r="AA204" s="107" t="n">
        <f aca="false">U204*$D204</f>
        <v>0</v>
      </c>
      <c r="AB204" s="107" t="n">
        <f aca="false">V204*$D204</f>
        <v>0</v>
      </c>
      <c r="AC204" s="107" t="n">
        <f aca="false">W204*$D204</f>
        <v>0</v>
      </c>
      <c r="AD204" s="107" t="n">
        <f aca="false">X204*$D204</f>
        <v>0</v>
      </c>
      <c r="AE204" s="107" t="n">
        <f aca="false">SUM(Y204:AD204)</f>
        <v>0</v>
      </c>
    </row>
    <row r="205" customFormat="false" ht="15" hidden="false" customHeight="false" outlineLevel="0" collapsed="false">
      <c r="A205" s="103" t="s">
        <v>651</v>
      </c>
      <c r="B205" s="104" t="n">
        <v>0</v>
      </c>
      <c r="C205" s="105" t="n">
        <f aca="false">IF(K205=0,0,R205/K205)</f>
        <v>20</v>
      </c>
      <c r="D205" s="105" t="n">
        <f aca="false">C205+B205</f>
        <v>20</v>
      </c>
      <c r="E205" s="106" t="n">
        <v>3</v>
      </c>
      <c r="F205" s="106" t="n">
        <v>0</v>
      </c>
      <c r="G205" s="106" t="n">
        <v>0</v>
      </c>
      <c r="H205" s="106" t="n">
        <v>0</v>
      </c>
      <c r="I205" s="106" t="n">
        <v>0</v>
      </c>
      <c r="J205" s="106" t="n">
        <v>0</v>
      </c>
      <c r="K205" s="106" t="n">
        <f aca="false">SUM(E205:J205)</f>
        <v>3</v>
      </c>
      <c r="L205" s="107" t="n">
        <v>60</v>
      </c>
      <c r="M205" s="107" t="n">
        <v>0</v>
      </c>
      <c r="N205" s="107" t="n">
        <v>0</v>
      </c>
      <c r="O205" s="107" t="n">
        <v>0</v>
      </c>
      <c r="P205" s="107" t="n">
        <v>0</v>
      </c>
      <c r="Q205" s="107" t="n">
        <v>0</v>
      </c>
      <c r="R205" s="107" t="n">
        <f aca="false">SUM(L205:Q205)</f>
        <v>60</v>
      </c>
      <c r="S205" s="108" t="n">
        <v>0</v>
      </c>
      <c r="T205" s="108" t="n">
        <v>0</v>
      </c>
      <c r="U205" s="108" t="n">
        <v>0</v>
      </c>
      <c r="V205" s="108" t="n">
        <v>0</v>
      </c>
      <c r="W205" s="108" t="n">
        <v>0</v>
      </c>
      <c r="X205" s="108" t="n">
        <v>0</v>
      </c>
      <c r="Y205" s="107" t="n">
        <f aca="false">S205*$D205</f>
        <v>0</v>
      </c>
      <c r="Z205" s="107" t="n">
        <f aca="false">T205*$D205</f>
        <v>0</v>
      </c>
      <c r="AA205" s="107" t="n">
        <f aca="false">U205*$D205</f>
        <v>0</v>
      </c>
      <c r="AB205" s="107" t="n">
        <f aca="false">V205*$D205</f>
        <v>0</v>
      </c>
      <c r="AC205" s="107" t="n">
        <f aca="false">W205*$D205</f>
        <v>0</v>
      </c>
      <c r="AD205" s="107" t="n">
        <f aca="false">X205*$D205</f>
        <v>0</v>
      </c>
      <c r="AE205" s="107" t="n">
        <f aca="false">SUM(Y205:AD205)</f>
        <v>0</v>
      </c>
    </row>
    <row r="206" customFormat="false" ht="15" hidden="false" customHeight="false" outlineLevel="0" collapsed="false">
      <c r="A206" s="103" t="s">
        <v>652</v>
      </c>
      <c r="B206" s="104" t="n">
        <v>0</v>
      </c>
      <c r="C206" s="105" t="n">
        <f aca="false">IF(K206=0,0,R206/K206)</f>
        <v>5.42545454545455</v>
      </c>
      <c r="D206" s="105" t="n">
        <f aca="false">C206+B206</f>
        <v>5.42545454545455</v>
      </c>
      <c r="E206" s="106" t="n">
        <v>0</v>
      </c>
      <c r="F206" s="106" t="n">
        <v>2</v>
      </c>
      <c r="G206" s="106" t="n">
        <v>9</v>
      </c>
      <c r="H206" s="106" t="n">
        <v>0</v>
      </c>
      <c r="I206" s="106" t="n">
        <v>0</v>
      </c>
      <c r="J206" s="106" t="n">
        <v>0</v>
      </c>
      <c r="K206" s="106" t="n">
        <f aca="false">SUM(E206:J206)</f>
        <v>11</v>
      </c>
      <c r="L206" s="107" t="n">
        <v>0</v>
      </c>
      <c r="M206" s="107" t="n">
        <v>10.18</v>
      </c>
      <c r="N206" s="107" t="n">
        <v>49.5</v>
      </c>
      <c r="O206" s="107" t="n">
        <v>0</v>
      </c>
      <c r="P206" s="107" t="n">
        <v>0</v>
      </c>
      <c r="Q206" s="107" t="n">
        <v>0</v>
      </c>
      <c r="R206" s="107" t="n">
        <f aca="false">SUM(L206:Q206)</f>
        <v>59.68</v>
      </c>
      <c r="S206" s="108" t="n">
        <v>0</v>
      </c>
      <c r="T206" s="108" t="n">
        <v>0</v>
      </c>
      <c r="U206" s="108" t="n">
        <v>0</v>
      </c>
      <c r="V206" s="108" t="n">
        <v>0</v>
      </c>
      <c r="W206" s="108" t="n">
        <v>0</v>
      </c>
      <c r="X206" s="108" t="n">
        <v>0</v>
      </c>
      <c r="Y206" s="107" t="n">
        <f aca="false">S206*$D206</f>
        <v>0</v>
      </c>
      <c r="Z206" s="107" t="n">
        <f aca="false">T206*$D206</f>
        <v>0</v>
      </c>
      <c r="AA206" s="107" t="n">
        <f aca="false">U206*$D206</f>
        <v>0</v>
      </c>
      <c r="AB206" s="107" t="n">
        <f aca="false">V206*$D206</f>
        <v>0</v>
      </c>
      <c r="AC206" s="107" t="n">
        <f aca="false">W206*$D206</f>
        <v>0</v>
      </c>
      <c r="AD206" s="107" t="n">
        <f aca="false">X206*$D206</f>
        <v>0</v>
      </c>
      <c r="AE206" s="107" t="n">
        <f aca="false">SUM(Y206:AD206)</f>
        <v>0</v>
      </c>
    </row>
    <row r="207" customFormat="false" ht="15" hidden="false" customHeight="false" outlineLevel="0" collapsed="false">
      <c r="A207" s="103" t="s">
        <v>653</v>
      </c>
      <c r="B207" s="104" t="n">
        <v>0</v>
      </c>
      <c r="C207" s="105" t="n">
        <f aca="false">IF(K207=0,0,R207/K207)</f>
        <v>3.7</v>
      </c>
      <c r="D207" s="105" t="n">
        <f aca="false">C207+B207</f>
        <v>3.7</v>
      </c>
      <c r="E207" s="106" t="n">
        <v>8</v>
      </c>
      <c r="F207" s="106" t="n">
        <v>6</v>
      </c>
      <c r="G207" s="106" t="n">
        <v>2</v>
      </c>
      <c r="H207" s="106" t="n">
        <v>0</v>
      </c>
      <c r="I207" s="106" t="n">
        <v>0</v>
      </c>
      <c r="J207" s="106" t="n">
        <v>0</v>
      </c>
      <c r="K207" s="106" t="n">
        <f aca="false">SUM(E207:J207)</f>
        <v>16</v>
      </c>
      <c r="L207" s="107" t="n">
        <v>29.2</v>
      </c>
      <c r="M207" s="107" t="n">
        <v>22</v>
      </c>
      <c r="N207" s="107" t="n">
        <v>8</v>
      </c>
      <c r="O207" s="107" t="n">
        <v>0</v>
      </c>
      <c r="P207" s="107" t="n">
        <v>0</v>
      </c>
      <c r="Q207" s="107" t="n">
        <v>0</v>
      </c>
      <c r="R207" s="107" t="n">
        <f aca="false">SUM(L207:Q207)</f>
        <v>59.2</v>
      </c>
      <c r="S207" s="108" t="n">
        <v>0</v>
      </c>
      <c r="T207" s="108" t="n">
        <v>0</v>
      </c>
      <c r="U207" s="108" t="n">
        <v>0</v>
      </c>
      <c r="V207" s="108" t="n">
        <v>0</v>
      </c>
      <c r="W207" s="108" t="n">
        <v>0</v>
      </c>
      <c r="X207" s="108" t="n">
        <v>0</v>
      </c>
      <c r="Y207" s="107" t="n">
        <f aca="false">S207*$D207</f>
        <v>0</v>
      </c>
      <c r="Z207" s="107" t="n">
        <f aca="false">T207*$D207</f>
        <v>0</v>
      </c>
      <c r="AA207" s="107" t="n">
        <f aca="false">U207*$D207</f>
        <v>0</v>
      </c>
      <c r="AB207" s="107" t="n">
        <f aca="false">V207*$D207</f>
        <v>0</v>
      </c>
      <c r="AC207" s="107" t="n">
        <f aca="false">W207*$D207</f>
        <v>0</v>
      </c>
      <c r="AD207" s="107" t="n">
        <f aca="false">X207*$D207</f>
        <v>0</v>
      </c>
      <c r="AE207" s="107" t="n">
        <f aca="false">SUM(Y207:AD207)</f>
        <v>0</v>
      </c>
    </row>
    <row r="208" customFormat="false" ht="15" hidden="false" customHeight="false" outlineLevel="0" collapsed="false">
      <c r="A208" s="103" t="s">
        <v>654</v>
      </c>
      <c r="B208" s="104" t="n">
        <v>0</v>
      </c>
      <c r="C208" s="105" t="n">
        <f aca="false">IF(K208=0,0,R208/K208)</f>
        <v>3.94666666666667</v>
      </c>
      <c r="D208" s="105" t="n">
        <f aca="false">C208+B208</f>
        <v>3.94666666666667</v>
      </c>
      <c r="E208" s="106" t="n">
        <v>0</v>
      </c>
      <c r="F208" s="106" t="n">
        <v>0</v>
      </c>
      <c r="G208" s="106" t="n">
        <v>1</v>
      </c>
      <c r="H208" s="106" t="n">
        <v>1</v>
      </c>
      <c r="I208" s="106" t="n">
        <v>9</v>
      </c>
      <c r="J208" s="106" t="n">
        <v>4</v>
      </c>
      <c r="K208" s="106" t="n">
        <f aca="false">SUM(E208:J208)</f>
        <v>15</v>
      </c>
      <c r="L208" s="107" t="n">
        <v>0</v>
      </c>
      <c r="M208" s="107" t="n">
        <v>0</v>
      </c>
      <c r="N208" s="107" t="n">
        <v>4</v>
      </c>
      <c r="O208" s="107" t="n">
        <v>4</v>
      </c>
      <c r="P208" s="107" t="n">
        <v>35.2</v>
      </c>
      <c r="Q208" s="107" t="n">
        <v>16</v>
      </c>
      <c r="R208" s="107" t="n">
        <f aca="false">SUM(L208:Q208)</f>
        <v>59.2</v>
      </c>
      <c r="S208" s="108" t="n">
        <v>5</v>
      </c>
      <c r="T208" s="108" t="n">
        <v>5</v>
      </c>
      <c r="U208" s="108" t="n">
        <v>5</v>
      </c>
      <c r="V208" s="108" t="n">
        <v>5</v>
      </c>
      <c r="W208" s="108" t="n">
        <v>5</v>
      </c>
      <c r="X208" s="108" t="n">
        <v>5</v>
      </c>
      <c r="Y208" s="107" t="n">
        <f aca="false">S208*$D208</f>
        <v>19.7333333333333</v>
      </c>
      <c r="Z208" s="107" t="n">
        <f aca="false">T208*$D208</f>
        <v>19.7333333333333</v>
      </c>
      <c r="AA208" s="107" t="n">
        <f aca="false">U208*$D208</f>
        <v>19.7333333333333</v>
      </c>
      <c r="AB208" s="107" t="n">
        <f aca="false">V208*$D208</f>
        <v>19.7333333333333</v>
      </c>
      <c r="AC208" s="107" t="n">
        <f aca="false">W208*$D208</f>
        <v>19.7333333333333</v>
      </c>
      <c r="AD208" s="107" t="n">
        <f aca="false">X208*$D208</f>
        <v>19.7333333333333</v>
      </c>
      <c r="AE208" s="107" t="n">
        <f aca="false">SUM(Y208:AD208)</f>
        <v>118.4</v>
      </c>
    </row>
    <row r="209" customFormat="false" ht="15" hidden="false" customHeight="false" outlineLevel="0" collapsed="false">
      <c r="A209" s="103" t="s">
        <v>655</v>
      </c>
      <c r="B209" s="104" t="n">
        <v>0</v>
      </c>
      <c r="C209" s="105" t="n">
        <f aca="false">IF(K209=0,0,R209/K209)</f>
        <v>5.9</v>
      </c>
      <c r="D209" s="105" t="n">
        <f aca="false">C209+B209</f>
        <v>5.9</v>
      </c>
      <c r="E209" s="106" t="n">
        <v>10</v>
      </c>
      <c r="F209" s="106" t="n">
        <v>0</v>
      </c>
      <c r="G209" s="106" t="n">
        <v>0</v>
      </c>
      <c r="H209" s="106" t="n">
        <v>0</v>
      </c>
      <c r="I209" s="106" t="n">
        <v>0</v>
      </c>
      <c r="J209" s="106" t="n">
        <v>0</v>
      </c>
      <c r="K209" s="106" t="n">
        <f aca="false">SUM(E209:J209)</f>
        <v>10</v>
      </c>
      <c r="L209" s="107" t="n">
        <v>59</v>
      </c>
      <c r="M209" s="107" t="n">
        <v>0</v>
      </c>
      <c r="N209" s="107" t="n">
        <v>0</v>
      </c>
      <c r="O209" s="107" t="n">
        <v>0</v>
      </c>
      <c r="P209" s="107" t="n">
        <v>0</v>
      </c>
      <c r="Q209" s="107" t="n">
        <v>0</v>
      </c>
      <c r="R209" s="107" t="n">
        <f aca="false">SUM(L209:Q209)</f>
        <v>59</v>
      </c>
      <c r="S209" s="108" t="n">
        <v>0</v>
      </c>
      <c r="T209" s="108" t="n">
        <v>0</v>
      </c>
      <c r="U209" s="108" t="n">
        <v>0</v>
      </c>
      <c r="V209" s="108" t="n">
        <v>0</v>
      </c>
      <c r="W209" s="108" t="n">
        <v>0</v>
      </c>
      <c r="X209" s="108" t="n">
        <v>0</v>
      </c>
      <c r="Y209" s="107" t="n">
        <f aca="false">S209*$D209</f>
        <v>0</v>
      </c>
      <c r="Z209" s="107" t="n">
        <f aca="false">T209*$D209</f>
        <v>0</v>
      </c>
      <c r="AA209" s="107" t="n">
        <f aca="false">U209*$D209</f>
        <v>0</v>
      </c>
      <c r="AB209" s="107" t="n">
        <f aca="false">V209*$D209</f>
        <v>0</v>
      </c>
      <c r="AC209" s="107" t="n">
        <f aca="false">W209*$D209</f>
        <v>0</v>
      </c>
      <c r="AD209" s="107" t="n">
        <f aca="false">X209*$D209</f>
        <v>0</v>
      </c>
      <c r="AE209" s="107" t="n">
        <f aca="false">SUM(Y209:AD209)</f>
        <v>0</v>
      </c>
    </row>
    <row r="210" customFormat="false" ht="15" hidden="false" customHeight="false" outlineLevel="0" collapsed="false">
      <c r="A210" s="103" t="s">
        <v>656</v>
      </c>
      <c r="B210" s="104" t="n">
        <v>0</v>
      </c>
      <c r="C210" s="105" t="n">
        <f aca="false">IF(K210=0,0,R210/K210)</f>
        <v>11.75</v>
      </c>
      <c r="D210" s="105" t="n">
        <f aca="false">C210+B210</f>
        <v>11.75</v>
      </c>
      <c r="E210" s="106" t="n">
        <v>0</v>
      </c>
      <c r="F210" s="106" t="n">
        <v>5</v>
      </c>
      <c r="G210" s="106" t="n">
        <v>0</v>
      </c>
      <c r="H210" s="106" t="n">
        <v>0</v>
      </c>
      <c r="I210" s="106" t="n">
        <v>0</v>
      </c>
      <c r="J210" s="106" t="n">
        <v>0</v>
      </c>
      <c r="K210" s="106" t="n">
        <f aca="false">SUM(E210:J210)</f>
        <v>5</v>
      </c>
      <c r="L210" s="107" t="n">
        <v>0</v>
      </c>
      <c r="M210" s="107" t="n">
        <v>58.75</v>
      </c>
      <c r="N210" s="107" t="n">
        <v>0</v>
      </c>
      <c r="O210" s="107" t="n">
        <v>0</v>
      </c>
      <c r="P210" s="107" t="n">
        <v>0</v>
      </c>
      <c r="Q210" s="107" t="n">
        <v>0</v>
      </c>
      <c r="R210" s="107" t="n">
        <f aca="false">SUM(L210:Q210)</f>
        <v>58.75</v>
      </c>
      <c r="S210" s="108" t="n">
        <v>0</v>
      </c>
      <c r="T210" s="108" t="n">
        <v>0</v>
      </c>
      <c r="U210" s="108" t="n">
        <v>0</v>
      </c>
      <c r="V210" s="108" t="n">
        <v>0</v>
      </c>
      <c r="W210" s="108" t="n">
        <v>0</v>
      </c>
      <c r="X210" s="108" t="n">
        <v>0</v>
      </c>
      <c r="Y210" s="107" t="n">
        <f aca="false">S210*$D210</f>
        <v>0</v>
      </c>
      <c r="Z210" s="107" t="n">
        <f aca="false">T210*$D210</f>
        <v>0</v>
      </c>
      <c r="AA210" s="107" t="n">
        <f aca="false">U210*$D210</f>
        <v>0</v>
      </c>
      <c r="AB210" s="107" t="n">
        <f aca="false">V210*$D210</f>
        <v>0</v>
      </c>
      <c r="AC210" s="107" t="n">
        <f aca="false">W210*$D210</f>
        <v>0</v>
      </c>
      <c r="AD210" s="107" t="n">
        <f aca="false">X210*$D210</f>
        <v>0</v>
      </c>
      <c r="AE210" s="107" t="n">
        <f aca="false">SUM(Y210:AD210)</f>
        <v>0</v>
      </c>
    </row>
    <row r="211" customFormat="false" ht="15" hidden="false" customHeight="false" outlineLevel="0" collapsed="false">
      <c r="A211" s="103" t="s">
        <v>657</v>
      </c>
      <c r="B211" s="104" t="n">
        <v>0</v>
      </c>
      <c r="C211" s="105" t="n">
        <f aca="false">IF(K211=0,0,R211/K211)</f>
        <v>3.85333333333333</v>
      </c>
      <c r="D211" s="105" t="n">
        <f aca="false">C211+B211</f>
        <v>3.85333333333333</v>
      </c>
      <c r="E211" s="106" t="n">
        <v>0</v>
      </c>
      <c r="F211" s="106" t="n">
        <v>0</v>
      </c>
      <c r="G211" s="106" t="n">
        <v>0</v>
      </c>
      <c r="H211" s="106" t="n">
        <v>0</v>
      </c>
      <c r="I211" s="106" t="n">
        <v>0</v>
      </c>
      <c r="J211" s="106" t="n">
        <v>15</v>
      </c>
      <c r="K211" s="106" t="n">
        <f aca="false">SUM(E211:J211)</f>
        <v>15</v>
      </c>
      <c r="L211" s="107" t="n">
        <v>0</v>
      </c>
      <c r="M211" s="107" t="n">
        <v>0</v>
      </c>
      <c r="N211" s="107" t="n">
        <v>0</v>
      </c>
      <c r="O211" s="107" t="n">
        <v>0</v>
      </c>
      <c r="P211" s="107" t="n">
        <v>0</v>
      </c>
      <c r="Q211" s="107" t="n">
        <v>57.8</v>
      </c>
      <c r="R211" s="107" t="n">
        <f aca="false">SUM(L211:Q211)</f>
        <v>57.8</v>
      </c>
      <c r="S211" s="108" t="n">
        <v>5</v>
      </c>
      <c r="T211" s="108" t="n">
        <v>5</v>
      </c>
      <c r="U211" s="108" t="n">
        <v>5</v>
      </c>
      <c r="V211" s="108" t="n">
        <v>5</v>
      </c>
      <c r="W211" s="108" t="n">
        <v>5</v>
      </c>
      <c r="X211" s="108" t="n">
        <v>5</v>
      </c>
      <c r="Y211" s="107" t="n">
        <f aca="false">S211*$D211</f>
        <v>19.2666666666667</v>
      </c>
      <c r="Z211" s="107" t="n">
        <f aca="false">T211*$D211</f>
        <v>19.2666666666667</v>
      </c>
      <c r="AA211" s="107" t="n">
        <f aca="false">U211*$D211</f>
        <v>19.2666666666667</v>
      </c>
      <c r="AB211" s="107" t="n">
        <f aca="false">V211*$D211</f>
        <v>19.2666666666667</v>
      </c>
      <c r="AC211" s="107" t="n">
        <f aca="false">W211*$D211</f>
        <v>19.2666666666667</v>
      </c>
      <c r="AD211" s="107" t="n">
        <f aca="false">X211*$D211</f>
        <v>19.2666666666667</v>
      </c>
      <c r="AE211" s="107" t="n">
        <f aca="false">SUM(Y211:AD211)</f>
        <v>115.6</v>
      </c>
    </row>
    <row r="212" customFormat="false" ht="15" hidden="false" customHeight="false" outlineLevel="0" collapsed="false">
      <c r="A212" s="103" t="s">
        <v>658</v>
      </c>
      <c r="B212" s="104" t="n">
        <v>0</v>
      </c>
      <c r="C212" s="105" t="n">
        <f aca="false">IF(K212=0,0,R212/K212)</f>
        <v>6.37777777777778</v>
      </c>
      <c r="D212" s="105" t="n">
        <f aca="false">C212+B212</f>
        <v>6.37777777777778</v>
      </c>
      <c r="E212" s="106" t="n">
        <v>0</v>
      </c>
      <c r="F212" s="106" t="n">
        <v>0</v>
      </c>
      <c r="G212" s="106" t="n">
        <v>9</v>
      </c>
      <c r="H212" s="106" t="n">
        <v>0</v>
      </c>
      <c r="I212" s="106" t="n">
        <v>0</v>
      </c>
      <c r="J212" s="106" t="n">
        <v>0</v>
      </c>
      <c r="K212" s="106" t="n">
        <f aca="false">SUM(E212:J212)</f>
        <v>9</v>
      </c>
      <c r="L212" s="107" t="n">
        <v>0</v>
      </c>
      <c r="M212" s="107" t="n">
        <v>0</v>
      </c>
      <c r="N212" s="107" t="n">
        <v>57.4</v>
      </c>
      <c r="O212" s="107" t="n">
        <v>0</v>
      </c>
      <c r="P212" s="107" t="n">
        <v>0</v>
      </c>
      <c r="Q212" s="107" t="n">
        <v>0</v>
      </c>
      <c r="R212" s="107" t="n">
        <f aca="false">SUM(L212:Q212)</f>
        <v>57.4</v>
      </c>
      <c r="S212" s="108" t="n">
        <v>0</v>
      </c>
      <c r="T212" s="108" t="n">
        <v>0</v>
      </c>
      <c r="U212" s="108" t="n">
        <v>0</v>
      </c>
      <c r="V212" s="108" t="n">
        <v>0</v>
      </c>
      <c r="W212" s="108" t="n">
        <v>0</v>
      </c>
      <c r="X212" s="108" t="n">
        <v>0</v>
      </c>
      <c r="Y212" s="107" t="n">
        <f aca="false">S212*$D212</f>
        <v>0</v>
      </c>
      <c r="Z212" s="107" t="n">
        <f aca="false">T212*$D212</f>
        <v>0</v>
      </c>
      <c r="AA212" s="107" t="n">
        <f aca="false">U212*$D212</f>
        <v>0</v>
      </c>
      <c r="AB212" s="107" t="n">
        <f aca="false">V212*$D212</f>
        <v>0</v>
      </c>
      <c r="AC212" s="107" t="n">
        <f aca="false">W212*$D212</f>
        <v>0</v>
      </c>
      <c r="AD212" s="107" t="n">
        <f aca="false">X212*$D212</f>
        <v>0</v>
      </c>
      <c r="AE212" s="107" t="n">
        <f aca="false">SUM(Y212:AD212)</f>
        <v>0</v>
      </c>
    </row>
    <row r="213" customFormat="false" ht="15" hidden="false" customHeight="false" outlineLevel="0" collapsed="false">
      <c r="A213" s="103" t="s">
        <v>659</v>
      </c>
      <c r="B213" s="104" t="n">
        <v>0</v>
      </c>
      <c r="C213" s="105" t="n">
        <f aca="false">IF(K213=0,0,R213/K213)</f>
        <v>5.20090909090909</v>
      </c>
      <c r="D213" s="105" t="n">
        <f aca="false">C213+B213</f>
        <v>5.20090909090909</v>
      </c>
      <c r="E213" s="106" t="n">
        <v>10</v>
      </c>
      <c r="F213" s="106" t="n">
        <v>1</v>
      </c>
      <c r="G213" s="106" t="n">
        <v>0</v>
      </c>
      <c r="H213" s="106" t="n">
        <v>0</v>
      </c>
      <c r="I213" s="106" t="n">
        <v>0</v>
      </c>
      <c r="J213" s="106" t="n">
        <v>0</v>
      </c>
      <c r="K213" s="106" t="n">
        <f aca="false">SUM(E213:J213)</f>
        <v>11</v>
      </c>
      <c r="L213" s="107" t="n">
        <v>51.71</v>
      </c>
      <c r="M213" s="107" t="n">
        <v>5.5</v>
      </c>
      <c r="N213" s="107" t="n">
        <v>0</v>
      </c>
      <c r="O213" s="107" t="n">
        <v>0</v>
      </c>
      <c r="P213" s="107" t="n">
        <v>0</v>
      </c>
      <c r="Q213" s="107" t="n">
        <v>0</v>
      </c>
      <c r="R213" s="107" t="n">
        <f aca="false">SUM(L213:Q213)</f>
        <v>57.21</v>
      </c>
      <c r="S213" s="108" t="n">
        <v>0</v>
      </c>
      <c r="T213" s="108" t="n">
        <v>0</v>
      </c>
      <c r="U213" s="108" t="n">
        <v>0</v>
      </c>
      <c r="V213" s="108" t="n">
        <v>0</v>
      </c>
      <c r="W213" s="108" t="n">
        <v>0</v>
      </c>
      <c r="X213" s="108" t="n">
        <v>0</v>
      </c>
      <c r="Y213" s="107" t="n">
        <f aca="false">S213*$D213</f>
        <v>0</v>
      </c>
      <c r="Z213" s="107" t="n">
        <f aca="false">T213*$D213</f>
        <v>0</v>
      </c>
      <c r="AA213" s="107" t="n">
        <f aca="false">U213*$D213</f>
        <v>0</v>
      </c>
      <c r="AB213" s="107" t="n">
        <f aca="false">V213*$D213</f>
        <v>0</v>
      </c>
      <c r="AC213" s="107" t="n">
        <f aca="false">W213*$D213</f>
        <v>0</v>
      </c>
      <c r="AD213" s="107" t="n">
        <f aca="false">X213*$D213</f>
        <v>0</v>
      </c>
      <c r="AE213" s="107" t="n">
        <f aca="false">SUM(Y213:AD213)</f>
        <v>0</v>
      </c>
    </row>
    <row r="214" customFormat="false" ht="15" hidden="false" customHeight="false" outlineLevel="0" collapsed="false">
      <c r="A214" s="103" t="s">
        <v>660</v>
      </c>
      <c r="B214" s="104" t="n">
        <v>0</v>
      </c>
      <c r="C214" s="105" t="n">
        <f aca="false">IF(K214=0,0,R214/K214)</f>
        <v>8</v>
      </c>
      <c r="D214" s="105" t="n">
        <f aca="false">C214+B214</f>
        <v>8</v>
      </c>
      <c r="E214" s="106" t="n">
        <v>0</v>
      </c>
      <c r="F214" s="106" t="n">
        <v>0</v>
      </c>
      <c r="G214" s="106" t="n">
        <v>0</v>
      </c>
      <c r="H214" s="106" t="n">
        <v>1</v>
      </c>
      <c r="I214" s="106" t="n">
        <v>5</v>
      </c>
      <c r="J214" s="106" t="n">
        <v>1</v>
      </c>
      <c r="K214" s="106" t="n">
        <f aca="false">SUM(E214:J214)</f>
        <v>7</v>
      </c>
      <c r="L214" s="107" t="n">
        <v>0</v>
      </c>
      <c r="M214" s="107" t="n">
        <v>0</v>
      </c>
      <c r="N214" s="107" t="n">
        <v>0</v>
      </c>
      <c r="O214" s="107" t="n">
        <v>8</v>
      </c>
      <c r="P214" s="107" t="n">
        <v>40</v>
      </c>
      <c r="Q214" s="107" t="n">
        <v>8</v>
      </c>
      <c r="R214" s="107" t="n">
        <f aca="false">SUM(L214:Q214)</f>
        <v>56</v>
      </c>
      <c r="S214" s="108" t="n">
        <v>2</v>
      </c>
      <c r="T214" s="108" t="n">
        <v>2</v>
      </c>
      <c r="U214" s="108" t="n">
        <v>2</v>
      </c>
      <c r="V214" s="108" t="n">
        <v>2</v>
      </c>
      <c r="W214" s="108" t="n">
        <v>2</v>
      </c>
      <c r="X214" s="108" t="n">
        <v>2</v>
      </c>
      <c r="Y214" s="107" t="n">
        <f aca="false">S214*$D214</f>
        <v>16</v>
      </c>
      <c r="Z214" s="107" t="n">
        <f aca="false">T214*$D214</f>
        <v>16</v>
      </c>
      <c r="AA214" s="107" t="n">
        <f aca="false">U214*$D214</f>
        <v>16</v>
      </c>
      <c r="AB214" s="107" t="n">
        <f aca="false">V214*$D214</f>
        <v>16</v>
      </c>
      <c r="AC214" s="107" t="n">
        <f aca="false">W214*$D214</f>
        <v>16</v>
      </c>
      <c r="AD214" s="107" t="n">
        <f aca="false">X214*$D214</f>
        <v>16</v>
      </c>
      <c r="AE214" s="107" t="n">
        <f aca="false">SUM(Y214:AD214)</f>
        <v>96</v>
      </c>
    </row>
    <row r="215" customFormat="false" ht="15" hidden="false" customHeight="false" outlineLevel="0" collapsed="false">
      <c r="A215" s="103" t="s">
        <v>661</v>
      </c>
      <c r="B215" s="104" t="n">
        <v>0</v>
      </c>
      <c r="C215" s="105" t="n">
        <f aca="false">IF(K215=0,0,R215/K215)</f>
        <v>11.16</v>
      </c>
      <c r="D215" s="105" t="n">
        <f aca="false">C215+B215</f>
        <v>11.16</v>
      </c>
      <c r="E215" s="106" t="n">
        <v>0</v>
      </c>
      <c r="F215" s="106" t="n">
        <v>0</v>
      </c>
      <c r="G215" s="106" t="n">
        <v>0</v>
      </c>
      <c r="H215" s="106" t="n">
        <v>0</v>
      </c>
      <c r="I215" s="106" t="n">
        <v>5</v>
      </c>
      <c r="J215" s="106" t="n">
        <v>0</v>
      </c>
      <c r="K215" s="106" t="n">
        <f aca="false">SUM(E215:J215)</f>
        <v>5</v>
      </c>
      <c r="L215" s="107" t="n">
        <v>0</v>
      </c>
      <c r="M215" s="107" t="n">
        <v>0</v>
      </c>
      <c r="N215" s="107" t="n">
        <v>0</v>
      </c>
      <c r="O215" s="107" t="n">
        <v>0</v>
      </c>
      <c r="P215" s="107" t="n">
        <v>55.8</v>
      </c>
      <c r="Q215" s="107" t="n">
        <v>0</v>
      </c>
      <c r="R215" s="107" t="n">
        <f aca="false">SUM(L215:Q215)</f>
        <v>55.8</v>
      </c>
      <c r="S215" s="108" t="n">
        <v>2</v>
      </c>
      <c r="T215" s="108" t="n">
        <v>2</v>
      </c>
      <c r="U215" s="108" t="n">
        <v>2</v>
      </c>
      <c r="V215" s="108" t="n">
        <v>2</v>
      </c>
      <c r="W215" s="108" t="n">
        <v>2</v>
      </c>
      <c r="X215" s="108" t="n">
        <v>2</v>
      </c>
      <c r="Y215" s="107" t="n">
        <f aca="false">S215*$D215</f>
        <v>22.32</v>
      </c>
      <c r="Z215" s="107" t="n">
        <f aca="false">T215*$D215</f>
        <v>22.32</v>
      </c>
      <c r="AA215" s="107" t="n">
        <f aca="false">U215*$D215</f>
        <v>22.32</v>
      </c>
      <c r="AB215" s="107" t="n">
        <f aca="false">V215*$D215</f>
        <v>22.32</v>
      </c>
      <c r="AC215" s="107" t="n">
        <f aca="false">W215*$D215</f>
        <v>22.32</v>
      </c>
      <c r="AD215" s="107" t="n">
        <f aca="false">X215*$D215</f>
        <v>22.32</v>
      </c>
      <c r="AE215" s="107" t="n">
        <f aca="false">SUM(Y215:AD215)</f>
        <v>133.92</v>
      </c>
    </row>
    <row r="216" customFormat="false" ht="15" hidden="false" customHeight="false" outlineLevel="0" collapsed="false">
      <c r="A216" s="103" t="s">
        <v>662</v>
      </c>
      <c r="B216" s="104" t="n">
        <v>0</v>
      </c>
      <c r="C216" s="105" t="n">
        <f aca="false">IF(K216=0,0,R216/K216)</f>
        <v>11</v>
      </c>
      <c r="D216" s="105" t="n">
        <f aca="false">C216+B216</f>
        <v>11</v>
      </c>
      <c r="E216" s="106" t="n">
        <v>0</v>
      </c>
      <c r="F216" s="106" t="n">
        <v>0</v>
      </c>
      <c r="G216" s="106" t="n">
        <v>0</v>
      </c>
      <c r="H216" s="106" t="n">
        <v>0</v>
      </c>
      <c r="I216" s="106" t="n">
        <v>0</v>
      </c>
      <c r="J216" s="106" t="n">
        <v>5</v>
      </c>
      <c r="K216" s="106" t="n">
        <f aca="false">SUM(E216:J216)</f>
        <v>5</v>
      </c>
      <c r="L216" s="107" t="n">
        <v>0</v>
      </c>
      <c r="M216" s="107" t="n">
        <v>0</v>
      </c>
      <c r="N216" s="107" t="n">
        <v>0</v>
      </c>
      <c r="O216" s="107" t="n">
        <v>0</v>
      </c>
      <c r="P216" s="107" t="n">
        <v>0</v>
      </c>
      <c r="Q216" s="107" t="n">
        <v>55</v>
      </c>
      <c r="R216" s="107" t="n">
        <f aca="false">SUM(L216:Q216)</f>
        <v>55</v>
      </c>
      <c r="S216" s="108" t="n">
        <v>2</v>
      </c>
      <c r="T216" s="108" t="n">
        <v>2</v>
      </c>
      <c r="U216" s="108" t="n">
        <v>2</v>
      </c>
      <c r="V216" s="108" t="n">
        <v>2</v>
      </c>
      <c r="W216" s="108" t="n">
        <v>2</v>
      </c>
      <c r="X216" s="108" t="n">
        <v>2</v>
      </c>
      <c r="Y216" s="107" t="n">
        <f aca="false">S216*$D216</f>
        <v>22</v>
      </c>
      <c r="Z216" s="107" t="n">
        <f aca="false">T216*$D216</f>
        <v>22</v>
      </c>
      <c r="AA216" s="107" t="n">
        <f aca="false">U216*$D216</f>
        <v>22</v>
      </c>
      <c r="AB216" s="107" t="n">
        <f aca="false">V216*$D216</f>
        <v>22</v>
      </c>
      <c r="AC216" s="107" t="n">
        <f aca="false">W216*$D216</f>
        <v>22</v>
      </c>
      <c r="AD216" s="107" t="n">
        <f aca="false">X216*$D216</f>
        <v>22</v>
      </c>
      <c r="AE216" s="107" t="n">
        <f aca="false">SUM(Y216:AD216)</f>
        <v>132</v>
      </c>
    </row>
    <row r="217" customFormat="false" ht="15" hidden="false" customHeight="false" outlineLevel="0" collapsed="false">
      <c r="A217" s="103" t="s">
        <v>663</v>
      </c>
      <c r="B217" s="104" t="n">
        <v>0</v>
      </c>
      <c r="C217" s="105" t="n">
        <f aca="false">IF(K217=0,0,R217/K217)</f>
        <v>6</v>
      </c>
      <c r="D217" s="105" t="n">
        <f aca="false">C217+B217</f>
        <v>6</v>
      </c>
      <c r="E217" s="106" t="n">
        <v>1</v>
      </c>
      <c r="F217" s="106" t="n">
        <v>0</v>
      </c>
      <c r="G217" s="106" t="n">
        <v>3</v>
      </c>
      <c r="H217" s="106" t="n">
        <v>2</v>
      </c>
      <c r="I217" s="106" t="n">
        <v>3</v>
      </c>
      <c r="J217" s="106" t="n">
        <v>0</v>
      </c>
      <c r="K217" s="106" t="n">
        <f aca="false">SUM(E217:J217)</f>
        <v>9</v>
      </c>
      <c r="L217" s="107" t="n">
        <v>6</v>
      </c>
      <c r="M217" s="107" t="n">
        <v>0</v>
      </c>
      <c r="N217" s="107" t="n">
        <v>18</v>
      </c>
      <c r="O217" s="107" t="n">
        <v>12</v>
      </c>
      <c r="P217" s="107" t="n">
        <v>18</v>
      </c>
      <c r="Q217" s="107" t="n">
        <v>0</v>
      </c>
      <c r="R217" s="107" t="n">
        <f aca="false">SUM(L217:Q217)</f>
        <v>54</v>
      </c>
      <c r="S217" s="108" t="n">
        <v>2</v>
      </c>
      <c r="T217" s="108" t="n">
        <v>2</v>
      </c>
      <c r="U217" s="108" t="n">
        <v>2</v>
      </c>
      <c r="V217" s="108" t="n">
        <v>2</v>
      </c>
      <c r="W217" s="108" t="n">
        <v>2</v>
      </c>
      <c r="X217" s="108" t="n">
        <v>2</v>
      </c>
      <c r="Y217" s="107" t="n">
        <f aca="false">S217*$D217</f>
        <v>12</v>
      </c>
      <c r="Z217" s="107" t="n">
        <f aca="false">T217*$D217</f>
        <v>12</v>
      </c>
      <c r="AA217" s="107" t="n">
        <f aca="false">U217*$D217</f>
        <v>12</v>
      </c>
      <c r="AB217" s="107" t="n">
        <f aca="false">V217*$D217</f>
        <v>12</v>
      </c>
      <c r="AC217" s="107" t="n">
        <f aca="false">W217*$D217</f>
        <v>12</v>
      </c>
      <c r="AD217" s="107" t="n">
        <f aca="false">X217*$D217</f>
        <v>12</v>
      </c>
      <c r="AE217" s="107" t="n">
        <f aca="false">SUM(Y217:AD217)</f>
        <v>72</v>
      </c>
    </row>
    <row r="218" customFormat="false" ht="15" hidden="false" customHeight="false" outlineLevel="0" collapsed="false">
      <c r="A218" s="103" t="s">
        <v>664</v>
      </c>
      <c r="B218" s="104" t="n">
        <v>0</v>
      </c>
      <c r="C218" s="105" t="n">
        <f aca="false">IF(K218=0,0,R218/K218)</f>
        <v>4.47916666666667</v>
      </c>
      <c r="D218" s="105" t="n">
        <f aca="false">C218+B218</f>
        <v>4.47916666666667</v>
      </c>
      <c r="E218" s="106" t="n">
        <v>0</v>
      </c>
      <c r="F218" s="106" t="n">
        <v>0</v>
      </c>
      <c r="G218" s="106" t="n">
        <v>5</v>
      </c>
      <c r="H218" s="106" t="n">
        <v>7</v>
      </c>
      <c r="I218" s="106" t="n">
        <v>0</v>
      </c>
      <c r="J218" s="106" t="n">
        <v>0</v>
      </c>
      <c r="K218" s="106" t="n">
        <f aca="false">SUM(E218:J218)</f>
        <v>12</v>
      </c>
      <c r="L218" s="107" t="n">
        <v>0</v>
      </c>
      <c r="M218" s="107" t="n">
        <v>0</v>
      </c>
      <c r="N218" s="107" t="n">
        <v>22.75</v>
      </c>
      <c r="O218" s="107" t="n">
        <v>31</v>
      </c>
      <c r="P218" s="107" t="n">
        <v>0</v>
      </c>
      <c r="Q218" s="107" t="n">
        <v>0</v>
      </c>
      <c r="R218" s="107" t="n">
        <f aca="false">SUM(L218:Q218)</f>
        <v>53.75</v>
      </c>
      <c r="S218" s="108" t="n">
        <v>2</v>
      </c>
      <c r="T218" s="108" t="n">
        <v>2</v>
      </c>
      <c r="U218" s="108" t="n">
        <v>2</v>
      </c>
      <c r="V218" s="108" t="n">
        <v>2</v>
      </c>
      <c r="W218" s="108" t="n">
        <v>2</v>
      </c>
      <c r="X218" s="108" t="n">
        <v>2</v>
      </c>
      <c r="Y218" s="107" t="n">
        <f aca="false">S218*$D218</f>
        <v>8.95833333333333</v>
      </c>
      <c r="Z218" s="107" t="n">
        <f aca="false">T218*$D218</f>
        <v>8.95833333333333</v>
      </c>
      <c r="AA218" s="107" t="n">
        <f aca="false">U218*$D218</f>
        <v>8.95833333333333</v>
      </c>
      <c r="AB218" s="107" t="n">
        <f aca="false">V218*$D218</f>
        <v>8.95833333333333</v>
      </c>
      <c r="AC218" s="107" t="n">
        <f aca="false">W218*$D218</f>
        <v>8.95833333333333</v>
      </c>
      <c r="AD218" s="107" t="n">
        <f aca="false">X218*$D218</f>
        <v>8.95833333333333</v>
      </c>
      <c r="AE218" s="107" t="n">
        <f aca="false">SUM(Y218:AD218)</f>
        <v>53.75</v>
      </c>
    </row>
    <row r="219" customFormat="false" ht="15" hidden="false" customHeight="false" outlineLevel="0" collapsed="false">
      <c r="A219" s="103" t="s">
        <v>665</v>
      </c>
      <c r="B219" s="104" t="n">
        <v>0</v>
      </c>
      <c r="C219" s="105" t="n">
        <f aca="false">IF(K219=0,0,R219/K219)</f>
        <v>5.92333333333333</v>
      </c>
      <c r="D219" s="105" t="n">
        <f aca="false">C219+B219</f>
        <v>5.92333333333333</v>
      </c>
      <c r="E219" s="106" t="n">
        <v>0</v>
      </c>
      <c r="F219" s="106" t="n">
        <v>0</v>
      </c>
      <c r="G219" s="106" t="n">
        <v>0</v>
      </c>
      <c r="H219" s="106" t="n">
        <v>9</v>
      </c>
      <c r="I219" s="106" t="n">
        <v>0</v>
      </c>
      <c r="J219" s="106" t="n">
        <v>0</v>
      </c>
      <c r="K219" s="106" t="n">
        <f aca="false">SUM(E219:J219)</f>
        <v>9</v>
      </c>
      <c r="L219" s="107" t="n">
        <v>0</v>
      </c>
      <c r="M219" s="107" t="n">
        <v>0</v>
      </c>
      <c r="N219" s="107" t="n">
        <v>0</v>
      </c>
      <c r="O219" s="107" t="n">
        <v>53.31</v>
      </c>
      <c r="P219" s="107" t="n">
        <v>0</v>
      </c>
      <c r="Q219" s="107" t="n">
        <v>0</v>
      </c>
      <c r="R219" s="107" t="n">
        <f aca="false">SUM(L219:Q219)</f>
        <v>53.31</v>
      </c>
      <c r="S219" s="108" t="n">
        <v>3</v>
      </c>
      <c r="T219" s="108" t="n">
        <v>3</v>
      </c>
      <c r="U219" s="108" t="n">
        <v>3</v>
      </c>
      <c r="V219" s="108" t="n">
        <v>3</v>
      </c>
      <c r="W219" s="108" t="n">
        <v>3</v>
      </c>
      <c r="X219" s="108" t="n">
        <v>3</v>
      </c>
      <c r="Y219" s="107" t="n">
        <f aca="false">S219*$D219</f>
        <v>17.77</v>
      </c>
      <c r="Z219" s="107" t="n">
        <f aca="false">T219*$D219</f>
        <v>17.77</v>
      </c>
      <c r="AA219" s="107" t="n">
        <f aca="false">U219*$D219</f>
        <v>17.77</v>
      </c>
      <c r="AB219" s="107" t="n">
        <f aca="false">V219*$D219</f>
        <v>17.77</v>
      </c>
      <c r="AC219" s="107" t="n">
        <f aca="false">W219*$D219</f>
        <v>17.77</v>
      </c>
      <c r="AD219" s="107" t="n">
        <f aca="false">X219*$D219</f>
        <v>17.77</v>
      </c>
      <c r="AE219" s="107" t="n">
        <f aca="false">SUM(Y219:AD219)</f>
        <v>106.62</v>
      </c>
    </row>
    <row r="220" customFormat="false" ht="15" hidden="false" customHeight="false" outlineLevel="0" collapsed="false">
      <c r="A220" s="103" t="s">
        <v>666</v>
      </c>
      <c r="B220" s="104" t="n">
        <v>0</v>
      </c>
      <c r="C220" s="105" t="n">
        <f aca="false">IF(K220=0,0,R220/K220)</f>
        <v>6.63</v>
      </c>
      <c r="D220" s="105" t="n">
        <f aca="false">C220+B220</f>
        <v>6.63</v>
      </c>
      <c r="E220" s="106" t="n">
        <v>0</v>
      </c>
      <c r="F220" s="106" t="n">
        <v>0</v>
      </c>
      <c r="G220" s="106" t="n">
        <v>8</v>
      </c>
      <c r="H220" s="106" t="n">
        <v>0</v>
      </c>
      <c r="I220" s="106" t="n">
        <v>0</v>
      </c>
      <c r="J220" s="106" t="n">
        <v>0</v>
      </c>
      <c r="K220" s="106" t="n">
        <f aca="false">SUM(E220:J220)</f>
        <v>8</v>
      </c>
      <c r="L220" s="107" t="n">
        <v>0</v>
      </c>
      <c r="M220" s="107" t="n">
        <v>0</v>
      </c>
      <c r="N220" s="107" t="n">
        <v>53.04</v>
      </c>
      <c r="O220" s="107" t="n">
        <v>0</v>
      </c>
      <c r="P220" s="107" t="n">
        <v>0</v>
      </c>
      <c r="Q220" s="107" t="n">
        <v>0</v>
      </c>
      <c r="R220" s="107" t="n">
        <f aca="false">SUM(L220:Q220)</f>
        <v>53.04</v>
      </c>
      <c r="S220" s="108" t="n">
        <v>0</v>
      </c>
      <c r="T220" s="108" t="n">
        <v>0</v>
      </c>
      <c r="U220" s="108" t="n">
        <v>0</v>
      </c>
      <c r="V220" s="108" t="n">
        <v>0</v>
      </c>
      <c r="W220" s="108" t="n">
        <v>0</v>
      </c>
      <c r="X220" s="108" t="n">
        <v>0</v>
      </c>
      <c r="Y220" s="107" t="n">
        <f aca="false">S220*$D220</f>
        <v>0</v>
      </c>
      <c r="Z220" s="107" t="n">
        <f aca="false">T220*$D220</f>
        <v>0</v>
      </c>
      <c r="AA220" s="107" t="n">
        <f aca="false">U220*$D220</f>
        <v>0</v>
      </c>
      <c r="AB220" s="107" t="n">
        <f aca="false">V220*$D220</f>
        <v>0</v>
      </c>
      <c r="AC220" s="107" t="n">
        <f aca="false">W220*$D220</f>
        <v>0</v>
      </c>
      <c r="AD220" s="107" t="n">
        <f aca="false">X220*$D220</f>
        <v>0</v>
      </c>
      <c r="AE220" s="107" t="n">
        <f aca="false">SUM(Y220:AD220)</f>
        <v>0</v>
      </c>
    </row>
    <row r="221" customFormat="false" ht="15" hidden="false" customHeight="false" outlineLevel="0" collapsed="false">
      <c r="A221" s="103" t="s">
        <v>667</v>
      </c>
      <c r="B221" s="104" t="n">
        <v>0</v>
      </c>
      <c r="C221" s="105" t="n">
        <f aca="false">IF(K221=0,0,R221/K221)</f>
        <v>12.995</v>
      </c>
      <c r="D221" s="105" t="n">
        <f aca="false">C221+B221</f>
        <v>12.995</v>
      </c>
      <c r="E221" s="106" t="n">
        <v>0</v>
      </c>
      <c r="F221" s="106" t="n">
        <v>0</v>
      </c>
      <c r="G221" s="106" t="n">
        <v>0</v>
      </c>
      <c r="H221" s="106" t="n">
        <v>0</v>
      </c>
      <c r="I221" s="106" t="n">
        <v>0</v>
      </c>
      <c r="J221" s="106" t="n">
        <v>4</v>
      </c>
      <c r="K221" s="106" t="n">
        <f aca="false">SUM(E221:J221)</f>
        <v>4</v>
      </c>
      <c r="L221" s="107" t="n">
        <v>0</v>
      </c>
      <c r="M221" s="107" t="n">
        <v>0</v>
      </c>
      <c r="N221" s="107" t="n">
        <v>0</v>
      </c>
      <c r="O221" s="107" t="n">
        <v>0</v>
      </c>
      <c r="P221" s="107" t="n">
        <v>0</v>
      </c>
      <c r="Q221" s="107" t="n">
        <v>51.98</v>
      </c>
      <c r="R221" s="107" t="n">
        <f aca="false">SUM(L221:Q221)</f>
        <v>51.98</v>
      </c>
      <c r="S221" s="108" t="n">
        <v>1</v>
      </c>
      <c r="T221" s="108" t="n">
        <v>1</v>
      </c>
      <c r="U221" s="108" t="n">
        <v>1</v>
      </c>
      <c r="V221" s="108" t="n">
        <v>1</v>
      </c>
      <c r="W221" s="108" t="n">
        <v>1</v>
      </c>
      <c r="X221" s="108" t="n">
        <v>1</v>
      </c>
      <c r="Y221" s="107" t="n">
        <f aca="false">S221*$D221</f>
        <v>12.995</v>
      </c>
      <c r="Z221" s="107" t="n">
        <f aca="false">T221*$D221</f>
        <v>12.995</v>
      </c>
      <c r="AA221" s="107" t="n">
        <f aca="false">U221*$D221</f>
        <v>12.995</v>
      </c>
      <c r="AB221" s="107" t="n">
        <f aca="false">V221*$D221</f>
        <v>12.995</v>
      </c>
      <c r="AC221" s="107" t="n">
        <f aca="false">W221*$D221</f>
        <v>12.995</v>
      </c>
      <c r="AD221" s="107" t="n">
        <f aca="false">X221*$D221</f>
        <v>12.995</v>
      </c>
      <c r="AE221" s="107" t="n">
        <f aca="false">SUM(Y221:AD221)</f>
        <v>77.97</v>
      </c>
    </row>
    <row r="222" customFormat="false" ht="15" hidden="false" customHeight="false" outlineLevel="0" collapsed="false">
      <c r="A222" s="103" t="s">
        <v>668</v>
      </c>
      <c r="B222" s="104" t="n">
        <v>0</v>
      </c>
      <c r="C222" s="105" t="n">
        <f aca="false">IF(K222=0,0,R222/K222)</f>
        <v>5.56666666666667</v>
      </c>
      <c r="D222" s="105" t="n">
        <f aca="false">C222+B222</f>
        <v>5.56666666666667</v>
      </c>
      <c r="E222" s="106" t="n">
        <v>0</v>
      </c>
      <c r="F222" s="106" t="n">
        <v>9</v>
      </c>
      <c r="G222" s="106" t="n">
        <v>0</v>
      </c>
      <c r="H222" s="106" t="n">
        <v>0</v>
      </c>
      <c r="I222" s="106" t="n">
        <v>0</v>
      </c>
      <c r="J222" s="106" t="n">
        <v>0</v>
      </c>
      <c r="K222" s="106" t="n">
        <f aca="false">SUM(E222:J222)</f>
        <v>9</v>
      </c>
      <c r="L222" s="107" t="n">
        <v>0</v>
      </c>
      <c r="M222" s="107" t="n">
        <v>50.1</v>
      </c>
      <c r="N222" s="107" t="n">
        <v>0</v>
      </c>
      <c r="O222" s="107" t="n">
        <v>0</v>
      </c>
      <c r="P222" s="107" t="n">
        <v>0</v>
      </c>
      <c r="Q222" s="107" t="n">
        <v>0</v>
      </c>
      <c r="R222" s="107" t="n">
        <f aca="false">SUM(L222:Q222)</f>
        <v>50.1</v>
      </c>
      <c r="S222" s="108" t="n">
        <v>0</v>
      </c>
      <c r="T222" s="108" t="n">
        <v>0</v>
      </c>
      <c r="U222" s="108" t="n">
        <v>0</v>
      </c>
      <c r="V222" s="108" t="n">
        <v>0</v>
      </c>
      <c r="W222" s="108" t="n">
        <v>0</v>
      </c>
      <c r="X222" s="108" t="n">
        <v>0</v>
      </c>
      <c r="Y222" s="107" t="n">
        <f aca="false">S222*$D222</f>
        <v>0</v>
      </c>
      <c r="Z222" s="107" t="n">
        <f aca="false">T222*$D222</f>
        <v>0</v>
      </c>
      <c r="AA222" s="107" t="n">
        <f aca="false">U222*$D222</f>
        <v>0</v>
      </c>
      <c r="AB222" s="107" t="n">
        <f aca="false">V222*$D222</f>
        <v>0</v>
      </c>
      <c r="AC222" s="107" t="n">
        <f aca="false">W222*$D222</f>
        <v>0</v>
      </c>
      <c r="AD222" s="107" t="n">
        <f aca="false">X222*$D222</f>
        <v>0</v>
      </c>
      <c r="AE222" s="107" t="n">
        <f aca="false">SUM(Y222:AD222)</f>
        <v>0</v>
      </c>
    </row>
    <row r="223" customFormat="false" ht="15" hidden="false" customHeight="false" outlineLevel="0" collapsed="false">
      <c r="A223" s="103" t="s">
        <v>669</v>
      </c>
      <c r="B223" s="104" t="n">
        <v>0</v>
      </c>
      <c r="C223" s="105" t="n">
        <f aca="false">IF(K223=0,0,R223/K223)</f>
        <v>9.7</v>
      </c>
      <c r="D223" s="105" t="n">
        <f aca="false">C223+B223</f>
        <v>9.7</v>
      </c>
      <c r="E223" s="106" t="n">
        <v>0</v>
      </c>
      <c r="F223" s="106" t="n">
        <v>0</v>
      </c>
      <c r="G223" s="106" t="n">
        <v>5</v>
      </c>
      <c r="H223" s="106" t="n">
        <v>0</v>
      </c>
      <c r="I223" s="106" t="n">
        <v>0</v>
      </c>
      <c r="J223" s="106" t="n">
        <v>0</v>
      </c>
      <c r="K223" s="106" t="n">
        <f aca="false">SUM(E223:J223)</f>
        <v>5</v>
      </c>
      <c r="L223" s="107" t="n">
        <v>0</v>
      </c>
      <c r="M223" s="107" t="n">
        <v>0</v>
      </c>
      <c r="N223" s="107" t="n">
        <v>48.5</v>
      </c>
      <c r="O223" s="107" t="n">
        <v>0</v>
      </c>
      <c r="P223" s="107" t="n">
        <v>0</v>
      </c>
      <c r="Q223" s="107" t="n">
        <v>0</v>
      </c>
      <c r="R223" s="107" t="n">
        <f aca="false">SUM(L223:Q223)</f>
        <v>48.5</v>
      </c>
      <c r="S223" s="108" t="n">
        <v>0</v>
      </c>
      <c r="T223" s="108" t="n">
        <v>0</v>
      </c>
      <c r="U223" s="108" t="n">
        <v>0</v>
      </c>
      <c r="V223" s="108" t="n">
        <v>0</v>
      </c>
      <c r="W223" s="108" t="n">
        <v>0</v>
      </c>
      <c r="X223" s="108" t="n">
        <v>0</v>
      </c>
      <c r="Y223" s="107" t="n">
        <f aca="false">S223*$D223</f>
        <v>0</v>
      </c>
      <c r="Z223" s="107" t="n">
        <f aca="false">T223*$D223</f>
        <v>0</v>
      </c>
      <c r="AA223" s="107" t="n">
        <f aca="false">U223*$D223</f>
        <v>0</v>
      </c>
      <c r="AB223" s="107" t="n">
        <f aca="false">V223*$D223</f>
        <v>0</v>
      </c>
      <c r="AC223" s="107" t="n">
        <f aca="false">W223*$D223</f>
        <v>0</v>
      </c>
      <c r="AD223" s="107" t="n">
        <f aca="false">X223*$D223</f>
        <v>0</v>
      </c>
      <c r="AE223" s="107" t="n">
        <f aca="false">SUM(Y223:AD223)</f>
        <v>0</v>
      </c>
    </row>
    <row r="224" customFormat="false" ht="15" hidden="false" customHeight="false" outlineLevel="0" collapsed="false">
      <c r="A224" s="103" t="s">
        <v>670</v>
      </c>
      <c r="B224" s="104" t="n">
        <v>0</v>
      </c>
      <c r="C224" s="105" t="n">
        <f aca="false">IF(K224=0,0,R224/K224)</f>
        <v>9.7</v>
      </c>
      <c r="D224" s="105" t="n">
        <f aca="false">C224+B224</f>
        <v>9.7</v>
      </c>
      <c r="E224" s="106" t="n">
        <v>0</v>
      </c>
      <c r="F224" s="106" t="n">
        <v>0</v>
      </c>
      <c r="G224" s="106" t="n">
        <v>0</v>
      </c>
      <c r="H224" s="106" t="n">
        <v>0</v>
      </c>
      <c r="I224" s="106" t="n">
        <v>0</v>
      </c>
      <c r="J224" s="106" t="n">
        <v>5</v>
      </c>
      <c r="K224" s="106" t="n">
        <f aca="false">SUM(E224:J224)</f>
        <v>5</v>
      </c>
      <c r="L224" s="107" t="n">
        <v>0</v>
      </c>
      <c r="M224" s="107" t="n">
        <v>0</v>
      </c>
      <c r="N224" s="107" t="n">
        <v>0</v>
      </c>
      <c r="O224" s="107" t="n">
        <v>0</v>
      </c>
      <c r="P224" s="107" t="n">
        <v>0</v>
      </c>
      <c r="Q224" s="107" t="n">
        <v>48.5</v>
      </c>
      <c r="R224" s="107" t="n">
        <f aca="false">SUM(L224:Q224)</f>
        <v>48.5</v>
      </c>
      <c r="S224" s="108" t="n">
        <v>2</v>
      </c>
      <c r="T224" s="108" t="n">
        <v>2</v>
      </c>
      <c r="U224" s="108" t="n">
        <v>2</v>
      </c>
      <c r="V224" s="108" t="n">
        <v>2</v>
      </c>
      <c r="W224" s="108" t="n">
        <v>2</v>
      </c>
      <c r="X224" s="108" t="n">
        <v>2</v>
      </c>
      <c r="Y224" s="107" t="n">
        <f aca="false">S224*$D224</f>
        <v>19.4</v>
      </c>
      <c r="Z224" s="107" t="n">
        <f aca="false">T224*$D224</f>
        <v>19.4</v>
      </c>
      <c r="AA224" s="107" t="n">
        <f aca="false">U224*$D224</f>
        <v>19.4</v>
      </c>
      <c r="AB224" s="107" t="n">
        <f aca="false">V224*$D224</f>
        <v>19.4</v>
      </c>
      <c r="AC224" s="107" t="n">
        <f aca="false">W224*$D224</f>
        <v>19.4</v>
      </c>
      <c r="AD224" s="107" t="n">
        <f aca="false">X224*$D224</f>
        <v>19.4</v>
      </c>
      <c r="AE224" s="107" t="n">
        <f aca="false">SUM(Y224:AD224)</f>
        <v>116.4</v>
      </c>
    </row>
    <row r="225" customFormat="false" ht="15" hidden="false" customHeight="false" outlineLevel="0" collapsed="false">
      <c r="A225" s="103" t="s">
        <v>671</v>
      </c>
      <c r="B225" s="104" t="n">
        <v>0</v>
      </c>
      <c r="C225" s="105" t="n">
        <f aca="false">IF(K225=0,0,R225/K225)</f>
        <v>12.025</v>
      </c>
      <c r="D225" s="105" t="n">
        <f aca="false">C225+B225</f>
        <v>12.025</v>
      </c>
      <c r="E225" s="106" t="n">
        <v>0</v>
      </c>
      <c r="F225" s="106" t="n">
        <v>0</v>
      </c>
      <c r="G225" s="106" t="n">
        <v>0</v>
      </c>
      <c r="H225" s="106" t="n">
        <v>0</v>
      </c>
      <c r="I225" s="106" t="n">
        <v>0</v>
      </c>
      <c r="J225" s="106" t="n">
        <v>4</v>
      </c>
      <c r="K225" s="106" t="n">
        <f aca="false">SUM(E225:J225)</f>
        <v>4</v>
      </c>
      <c r="L225" s="107" t="n">
        <v>0</v>
      </c>
      <c r="M225" s="107" t="n">
        <v>0</v>
      </c>
      <c r="N225" s="107" t="n">
        <v>0</v>
      </c>
      <c r="O225" s="107" t="n">
        <v>0</v>
      </c>
      <c r="P225" s="107" t="n">
        <v>0</v>
      </c>
      <c r="Q225" s="107" t="n">
        <v>48.1</v>
      </c>
      <c r="R225" s="107" t="n">
        <f aca="false">SUM(L225:Q225)</f>
        <v>48.1</v>
      </c>
      <c r="S225" s="108" t="n">
        <v>1</v>
      </c>
      <c r="T225" s="108" t="n">
        <v>1</v>
      </c>
      <c r="U225" s="108" t="n">
        <v>1</v>
      </c>
      <c r="V225" s="108" t="n">
        <v>1</v>
      </c>
      <c r="W225" s="108" t="n">
        <v>1</v>
      </c>
      <c r="X225" s="108" t="n">
        <v>1</v>
      </c>
      <c r="Y225" s="107" t="n">
        <f aca="false">S225*$D225</f>
        <v>12.025</v>
      </c>
      <c r="Z225" s="107" t="n">
        <f aca="false">T225*$D225</f>
        <v>12.025</v>
      </c>
      <c r="AA225" s="107" t="n">
        <f aca="false">U225*$D225</f>
        <v>12.025</v>
      </c>
      <c r="AB225" s="107" t="n">
        <f aca="false">V225*$D225</f>
        <v>12.025</v>
      </c>
      <c r="AC225" s="107" t="n">
        <f aca="false">W225*$D225</f>
        <v>12.025</v>
      </c>
      <c r="AD225" s="107" t="n">
        <f aca="false">X225*$D225</f>
        <v>12.025</v>
      </c>
      <c r="AE225" s="107" t="n">
        <f aca="false">SUM(Y225:AD225)</f>
        <v>72.15</v>
      </c>
    </row>
    <row r="226" customFormat="false" ht="15" hidden="false" customHeight="false" outlineLevel="0" collapsed="false">
      <c r="A226" s="103" t="s">
        <v>672</v>
      </c>
      <c r="B226" s="104" t="n">
        <v>0</v>
      </c>
      <c r="C226" s="105" t="n">
        <f aca="false">IF(K226=0,0,R226/K226)</f>
        <v>4</v>
      </c>
      <c r="D226" s="105" t="n">
        <f aca="false">C226+B226</f>
        <v>4</v>
      </c>
      <c r="E226" s="106" t="n">
        <v>0</v>
      </c>
      <c r="F226" s="106" t="n">
        <v>0</v>
      </c>
      <c r="G226" s="106" t="n">
        <v>0</v>
      </c>
      <c r="H226" s="106" t="n">
        <v>0</v>
      </c>
      <c r="I226" s="106" t="n">
        <v>0</v>
      </c>
      <c r="J226" s="106" t="n">
        <v>12</v>
      </c>
      <c r="K226" s="106" t="n">
        <f aca="false">SUM(E226:J226)</f>
        <v>12</v>
      </c>
      <c r="L226" s="107" t="n">
        <v>0</v>
      </c>
      <c r="M226" s="107" t="n">
        <v>0</v>
      </c>
      <c r="N226" s="107" t="n">
        <v>0</v>
      </c>
      <c r="O226" s="107" t="n">
        <v>0</v>
      </c>
      <c r="P226" s="107" t="n">
        <v>0</v>
      </c>
      <c r="Q226" s="107" t="n">
        <v>48</v>
      </c>
      <c r="R226" s="107" t="n">
        <f aca="false">SUM(L226:Q226)</f>
        <v>48</v>
      </c>
      <c r="S226" s="108" t="n">
        <v>4</v>
      </c>
      <c r="T226" s="108" t="n">
        <v>4</v>
      </c>
      <c r="U226" s="108" t="n">
        <v>4</v>
      </c>
      <c r="V226" s="108" t="n">
        <v>4</v>
      </c>
      <c r="W226" s="108" t="n">
        <v>4</v>
      </c>
      <c r="X226" s="108" t="n">
        <v>4</v>
      </c>
      <c r="Y226" s="107" t="n">
        <f aca="false">S226*$D226</f>
        <v>16</v>
      </c>
      <c r="Z226" s="107" t="n">
        <f aca="false">T226*$D226</f>
        <v>16</v>
      </c>
      <c r="AA226" s="107" t="n">
        <f aca="false">U226*$D226</f>
        <v>16</v>
      </c>
      <c r="AB226" s="107" t="n">
        <f aca="false">V226*$D226</f>
        <v>16</v>
      </c>
      <c r="AC226" s="107" t="n">
        <f aca="false">W226*$D226</f>
        <v>16</v>
      </c>
      <c r="AD226" s="107" t="n">
        <f aca="false">X226*$D226</f>
        <v>16</v>
      </c>
      <c r="AE226" s="107" t="n">
        <f aca="false">SUM(Y226:AD226)</f>
        <v>96</v>
      </c>
    </row>
    <row r="227" customFormat="false" ht="15" hidden="false" customHeight="false" outlineLevel="0" collapsed="false">
      <c r="A227" s="103" t="s">
        <v>673</v>
      </c>
      <c r="B227" s="104" t="n">
        <v>0</v>
      </c>
      <c r="C227" s="105" t="n">
        <f aca="false">IF(K227=0,0,R227/K227)</f>
        <v>15</v>
      </c>
      <c r="D227" s="105" t="n">
        <f aca="false">C227+B227</f>
        <v>15</v>
      </c>
      <c r="E227" s="106" t="n">
        <v>3</v>
      </c>
      <c r="F227" s="106" t="n">
        <v>0</v>
      </c>
      <c r="G227" s="106" t="n">
        <v>0</v>
      </c>
      <c r="H227" s="106" t="n">
        <v>0</v>
      </c>
      <c r="I227" s="106" t="n">
        <v>0</v>
      </c>
      <c r="J227" s="106" t="n">
        <v>0</v>
      </c>
      <c r="K227" s="106" t="n">
        <f aca="false">SUM(E227:J227)</f>
        <v>3</v>
      </c>
      <c r="L227" s="107" t="n">
        <v>45</v>
      </c>
      <c r="M227" s="107" t="n">
        <v>0</v>
      </c>
      <c r="N227" s="107" t="n">
        <v>0</v>
      </c>
      <c r="O227" s="107" t="n">
        <v>0</v>
      </c>
      <c r="P227" s="107" t="n">
        <v>0</v>
      </c>
      <c r="Q227" s="107" t="n">
        <v>0</v>
      </c>
      <c r="R227" s="107" t="n">
        <f aca="false">SUM(L227:Q227)</f>
        <v>45</v>
      </c>
      <c r="S227" s="108" t="n">
        <v>0</v>
      </c>
      <c r="T227" s="108" t="n">
        <v>0</v>
      </c>
      <c r="U227" s="108" t="n">
        <v>0</v>
      </c>
      <c r="V227" s="108" t="n">
        <v>0</v>
      </c>
      <c r="W227" s="108" t="n">
        <v>0</v>
      </c>
      <c r="X227" s="108" t="n">
        <v>0</v>
      </c>
      <c r="Y227" s="107" t="n">
        <f aca="false">S227*$D227</f>
        <v>0</v>
      </c>
      <c r="Z227" s="107" t="n">
        <f aca="false">T227*$D227</f>
        <v>0</v>
      </c>
      <c r="AA227" s="107" t="n">
        <f aca="false">U227*$D227</f>
        <v>0</v>
      </c>
      <c r="AB227" s="107" t="n">
        <f aca="false">V227*$D227</f>
        <v>0</v>
      </c>
      <c r="AC227" s="107" t="n">
        <f aca="false">W227*$D227</f>
        <v>0</v>
      </c>
      <c r="AD227" s="107" t="n">
        <f aca="false">X227*$D227</f>
        <v>0</v>
      </c>
      <c r="AE227" s="107" t="n">
        <f aca="false">SUM(Y227:AD227)</f>
        <v>0</v>
      </c>
    </row>
    <row r="228" customFormat="false" ht="15" hidden="false" customHeight="false" outlineLevel="0" collapsed="false">
      <c r="A228" s="103" t="s">
        <v>674</v>
      </c>
      <c r="B228" s="104" t="n">
        <v>0</v>
      </c>
      <c r="C228" s="105" t="n">
        <f aca="false">IF(K228=0,0,R228/K228)</f>
        <v>4.483</v>
      </c>
      <c r="D228" s="105" t="n">
        <f aca="false">C228+B228</f>
        <v>4.483</v>
      </c>
      <c r="E228" s="106" t="n">
        <v>0</v>
      </c>
      <c r="F228" s="106" t="n">
        <v>0</v>
      </c>
      <c r="G228" s="106" t="n">
        <v>0</v>
      </c>
      <c r="H228" s="106" t="n">
        <v>0</v>
      </c>
      <c r="I228" s="106" t="n">
        <v>0</v>
      </c>
      <c r="J228" s="106" t="n">
        <v>10</v>
      </c>
      <c r="K228" s="106" t="n">
        <f aca="false">SUM(E228:J228)</f>
        <v>10</v>
      </c>
      <c r="L228" s="107" t="n">
        <v>0</v>
      </c>
      <c r="M228" s="107" t="n">
        <v>0</v>
      </c>
      <c r="N228" s="107" t="n">
        <v>0</v>
      </c>
      <c r="O228" s="107" t="n">
        <v>0</v>
      </c>
      <c r="P228" s="107" t="n">
        <v>0</v>
      </c>
      <c r="Q228" s="107" t="n">
        <v>44.83</v>
      </c>
      <c r="R228" s="107" t="n">
        <f aca="false">SUM(L228:Q228)</f>
        <v>44.83</v>
      </c>
      <c r="S228" s="108" t="n">
        <v>3</v>
      </c>
      <c r="T228" s="108" t="n">
        <v>3</v>
      </c>
      <c r="U228" s="108" t="n">
        <v>3</v>
      </c>
      <c r="V228" s="108" t="n">
        <v>3</v>
      </c>
      <c r="W228" s="108" t="n">
        <v>3</v>
      </c>
      <c r="X228" s="108" t="n">
        <v>3</v>
      </c>
      <c r="Y228" s="107" t="n">
        <f aca="false">S228*$D228</f>
        <v>13.449</v>
      </c>
      <c r="Z228" s="107" t="n">
        <f aca="false">T228*$D228</f>
        <v>13.449</v>
      </c>
      <c r="AA228" s="107" t="n">
        <f aca="false">U228*$D228</f>
        <v>13.449</v>
      </c>
      <c r="AB228" s="107" t="n">
        <f aca="false">V228*$D228</f>
        <v>13.449</v>
      </c>
      <c r="AC228" s="107" t="n">
        <f aca="false">W228*$D228</f>
        <v>13.449</v>
      </c>
      <c r="AD228" s="107" t="n">
        <f aca="false">X228*$D228</f>
        <v>13.449</v>
      </c>
      <c r="AE228" s="107" t="n">
        <f aca="false">SUM(Y228:AD228)</f>
        <v>80.694</v>
      </c>
    </row>
    <row r="229" customFormat="false" ht="15" hidden="false" customHeight="false" outlineLevel="0" collapsed="false">
      <c r="A229" s="103" t="s">
        <v>675</v>
      </c>
      <c r="B229" s="104" t="n">
        <v>0</v>
      </c>
      <c r="C229" s="105" t="n">
        <f aca="false">IF(K229=0,0,R229/K229)</f>
        <v>5.295</v>
      </c>
      <c r="D229" s="105" t="n">
        <f aca="false">C229+B229</f>
        <v>5.295</v>
      </c>
      <c r="E229" s="106" t="n">
        <v>0</v>
      </c>
      <c r="F229" s="106" t="n">
        <v>0</v>
      </c>
      <c r="G229" s="106" t="n">
        <v>8</v>
      </c>
      <c r="H229" s="106" t="n">
        <v>0</v>
      </c>
      <c r="I229" s="106" t="n">
        <v>0</v>
      </c>
      <c r="J229" s="106" t="n">
        <v>0</v>
      </c>
      <c r="K229" s="106" t="n">
        <f aca="false">SUM(E229:J229)</f>
        <v>8</v>
      </c>
      <c r="L229" s="107" t="n">
        <v>0</v>
      </c>
      <c r="M229" s="107" t="n">
        <v>0</v>
      </c>
      <c r="N229" s="107" t="n">
        <v>42.36</v>
      </c>
      <c r="O229" s="107" t="n">
        <v>0</v>
      </c>
      <c r="P229" s="107" t="n">
        <v>0</v>
      </c>
      <c r="Q229" s="107" t="n">
        <v>0</v>
      </c>
      <c r="R229" s="107" t="n">
        <f aca="false">SUM(L229:Q229)</f>
        <v>42.36</v>
      </c>
      <c r="S229" s="108" t="n">
        <v>0</v>
      </c>
      <c r="T229" s="108" t="n">
        <v>0</v>
      </c>
      <c r="U229" s="108" t="n">
        <v>0</v>
      </c>
      <c r="V229" s="108" t="n">
        <v>0</v>
      </c>
      <c r="W229" s="108" t="n">
        <v>0</v>
      </c>
      <c r="X229" s="108" t="n">
        <v>0</v>
      </c>
      <c r="Y229" s="107" t="n">
        <f aca="false">S229*$D229</f>
        <v>0</v>
      </c>
      <c r="Z229" s="107" t="n">
        <f aca="false">T229*$D229</f>
        <v>0</v>
      </c>
      <c r="AA229" s="107" t="n">
        <f aca="false">U229*$D229</f>
        <v>0</v>
      </c>
      <c r="AB229" s="107" t="n">
        <f aca="false">V229*$D229</f>
        <v>0</v>
      </c>
      <c r="AC229" s="107" t="n">
        <f aca="false">W229*$D229</f>
        <v>0</v>
      </c>
      <c r="AD229" s="107" t="n">
        <f aca="false">X229*$D229</f>
        <v>0</v>
      </c>
      <c r="AE229" s="107" t="n">
        <f aca="false">SUM(Y229:AD229)</f>
        <v>0</v>
      </c>
    </row>
    <row r="230" customFormat="false" ht="15" hidden="false" customHeight="false" outlineLevel="0" collapsed="false">
      <c r="A230" s="103" t="s">
        <v>676</v>
      </c>
      <c r="B230" s="104" t="n">
        <v>0</v>
      </c>
      <c r="C230" s="105" t="n">
        <f aca="false">IF(K230=0,0,R230/K230)</f>
        <v>5.87142857142857</v>
      </c>
      <c r="D230" s="105" t="n">
        <f aca="false">C230+B230</f>
        <v>5.87142857142857</v>
      </c>
      <c r="E230" s="106" t="n">
        <v>0</v>
      </c>
      <c r="F230" s="106" t="n">
        <v>0</v>
      </c>
      <c r="G230" s="106" t="n">
        <v>0</v>
      </c>
      <c r="H230" s="106" t="n">
        <v>0</v>
      </c>
      <c r="I230" s="106" t="n">
        <v>0</v>
      </c>
      <c r="J230" s="106" t="n">
        <v>7</v>
      </c>
      <c r="K230" s="106" t="n">
        <f aca="false">SUM(E230:J230)</f>
        <v>7</v>
      </c>
      <c r="L230" s="107" t="n">
        <v>0</v>
      </c>
      <c r="M230" s="107" t="n">
        <v>0</v>
      </c>
      <c r="N230" s="107" t="n">
        <v>0</v>
      </c>
      <c r="O230" s="107" t="n">
        <v>0</v>
      </c>
      <c r="P230" s="107" t="n">
        <v>0</v>
      </c>
      <c r="Q230" s="107" t="n">
        <v>41.1</v>
      </c>
      <c r="R230" s="107" t="n">
        <f aca="false">SUM(L230:Q230)</f>
        <v>41.1</v>
      </c>
      <c r="S230" s="108" t="n">
        <v>2</v>
      </c>
      <c r="T230" s="108" t="n">
        <v>2</v>
      </c>
      <c r="U230" s="108" t="n">
        <v>2</v>
      </c>
      <c r="V230" s="108" t="n">
        <v>2</v>
      </c>
      <c r="W230" s="108" t="n">
        <v>2</v>
      </c>
      <c r="X230" s="108" t="n">
        <v>2</v>
      </c>
      <c r="Y230" s="107" t="n">
        <f aca="false">S230*$D230</f>
        <v>11.7428571428571</v>
      </c>
      <c r="Z230" s="107" t="n">
        <f aca="false">T230*$D230</f>
        <v>11.7428571428571</v>
      </c>
      <c r="AA230" s="107" t="n">
        <f aca="false">U230*$D230</f>
        <v>11.7428571428571</v>
      </c>
      <c r="AB230" s="107" t="n">
        <f aca="false">V230*$D230</f>
        <v>11.7428571428571</v>
      </c>
      <c r="AC230" s="107" t="n">
        <f aca="false">W230*$D230</f>
        <v>11.7428571428571</v>
      </c>
      <c r="AD230" s="107" t="n">
        <f aca="false">X230*$D230</f>
        <v>11.7428571428571</v>
      </c>
      <c r="AE230" s="107" t="n">
        <f aca="false">SUM(Y230:AD230)</f>
        <v>70.4571428571429</v>
      </c>
    </row>
    <row r="231" customFormat="false" ht="15" hidden="false" customHeight="false" outlineLevel="0" collapsed="false">
      <c r="A231" s="103" t="s">
        <v>677</v>
      </c>
      <c r="B231" s="104" t="n">
        <v>0</v>
      </c>
      <c r="C231" s="105" t="n">
        <f aca="false">IF(K231=0,0,R231/K231)</f>
        <v>13.5</v>
      </c>
      <c r="D231" s="105" t="n">
        <f aca="false">C231+B231</f>
        <v>13.5</v>
      </c>
      <c r="E231" s="106" t="n">
        <v>0</v>
      </c>
      <c r="F231" s="106" t="n">
        <v>0</v>
      </c>
      <c r="G231" s="106" t="n">
        <v>0</v>
      </c>
      <c r="H231" s="106" t="n">
        <v>3</v>
      </c>
      <c r="I231" s="106" t="n">
        <v>0</v>
      </c>
      <c r="J231" s="106" t="n">
        <v>0</v>
      </c>
      <c r="K231" s="106" t="n">
        <f aca="false">SUM(E231:J231)</f>
        <v>3</v>
      </c>
      <c r="L231" s="107" t="n">
        <v>0</v>
      </c>
      <c r="M231" s="107" t="n">
        <v>0</v>
      </c>
      <c r="N231" s="107" t="n">
        <v>0</v>
      </c>
      <c r="O231" s="107" t="n">
        <v>40.5</v>
      </c>
      <c r="P231" s="107" t="n">
        <v>0</v>
      </c>
      <c r="Q231" s="107" t="n">
        <v>0</v>
      </c>
      <c r="R231" s="107" t="n">
        <f aca="false">SUM(L231:Q231)</f>
        <v>40.5</v>
      </c>
      <c r="S231" s="108" t="n">
        <v>1</v>
      </c>
      <c r="T231" s="108" t="n">
        <v>1</v>
      </c>
      <c r="U231" s="108" t="n">
        <v>1</v>
      </c>
      <c r="V231" s="108" t="n">
        <v>1</v>
      </c>
      <c r="W231" s="108" t="n">
        <v>1</v>
      </c>
      <c r="X231" s="108" t="n">
        <v>1</v>
      </c>
      <c r="Y231" s="107" t="n">
        <f aca="false">S231*$D231</f>
        <v>13.5</v>
      </c>
      <c r="Z231" s="107" t="n">
        <f aca="false">T231*$D231</f>
        <v>13.5</v>
      </c>
      <c r="AA231" s="107" t="n">
        <f aca="false">U231*$D231</f>
        <v>13.5</v>
      </c>
      <c r="AB231" s="107" t="n">
        <f aca="false">V231*$D231</f>
        <v>13.5</v>
      </c>
      <c r="AC231" s="107" t="n">
        <f aca="false">W231*$D231</f>
        <v>13.5</v>
      </c>
      <c r="AD231" s="107" t="n">
        <f aca="false">X231*$D231</f>
        <v>13.5</v>
      </c>
      <c r="AE231" s="107" t="n">
        <f aca="false">SUM(Y231:AD231)</f>
        <v>81</v>
      </c>
    </row>
    <row r="232" customFormat="false" ht="15" hidden="false" customHeight="false" outlineLevel="0" collapsed="false">
      <c r="A232" s="103" t="s">
        <v>678</v>
      </c>
      <c r="B232" s="104" t="n">
        <v>0</v>
      </c>
      <c r="C232" s="105" t="n">
        <f aca="false">IF(K232=0,0,R232/K232)</f>
        <v>10.125</v>
      </c>
      <c r="D232" s="105" t="n">
        <f aca="false">C232+B232</f>
        <v>10.125</v>
      </c>
      <c r="E232" s="106" t="n">
        <v>0</v>
      </c>
      <c r="F232" s="106" t="n">
        <v>0</v>
      </c>
      <c r="G232" s="106" t="n">
        <v>0</v>
      </c>
      <c r="H232" s="106" t="n">
        <v>0</v>
      </c>
      <c r="I232" s="106" t="n">
        <v>4</v>
      </c>
      <c r="J232" s="106" t="n">
        <v>0</v>
      </c>
      <c r="K232" s="106" t="n">
        <f aca="false">SUM(E232:J232)</f>
        <v>4</v>
      </c>
      <c r="L232" s="107" t="n">
        <v>0</v>
      </c>
      <c r="M232" s="107" t="n">
        <v>0</v>
      </c>
      <c r="N232" s="107" t="n">
        <v>0</v>
      </c>
      <c r="O232" s="107" t="n">
        <v>0</v>
      </c>
      <c r="P232" s="107" t="n">
        <v>40.5</v>
      </c>
      <c r="Q232" s="107" t="n">
        <v>0</v>
      </c>
      <c r="R232" s="107" t="n">
        <f aca="false">SUM(L232:Q232)</f>
        <v>40.5</v>
      </c>
      <c r="S232" s="108" t="n">
        <v>1</v>
      </c>
      <c r="T232" s="108" t="n">
        <v>1</v>
      </c>
      <c r="U232" s="108" t="n">
        <v>1</v>
      </c>
      <c r="V232" s="108" t="n">
        <v>1</v>
      </c>
      <c r="W232" s="108" t="n">
        <v>1</v>
      </c>
      <c r="X232" s="108" t="n">
        <v>1</v>
      </c>
      <c r="Y232" s="107" t="n">
        <f aca="false">S232*$D232</f>
        <v>10.125</v>
      </c>
      <c r="Z232" s="107" t="n">
        <f aca="false">T232*$D232</f>
        <v>10.125</v>
      </c>
      <c r="AA232" s="107" t="n">
        <f aca="false">U232*$D232</f>
        <v>10.125</v>
      </c>
      <c r="AB232" s="107" t="n">
        <f aca="false">V232*$D232</f>
        <v>10.125</v>
      </c>
      <c r="AC232" s="107" t="n">
        <f aca="false">W232*$D232</f>
        <v>10.125</v>
      </c>
      <c r="AD232" s="107" t="n">
        <f aca="false">X232*$D232</f>
        <v>10.125</v>
      </c>
      <c r="AE232" s="107" t="n">
        <f aca="false">SUM(Y232:AD232)</f>
        <v>60.75</v>
      </c>
    </row>
    <row r="233" customFormat="false" ht="15" hidden="false" customHeight="false" outlineLevel="0" collapsed="false">
      <c r="A233" s="103" t="s">
        <v>679</v>
      </c>
      <c r="B233" s="104" t="n">
        <v>0</v>
      </c>
      <c r="C233" s="105" t="n">
        <f aca="false">IF(K233=0,0,R233/K233)</f>
        <v>6.5</v>
      </c>
      <c r="D233" s="105" t="n">
        <f aca="false">C233+B233</f>
        <v>6.5</v>
      </c>
      <c r="E233" s="106" t="n">
        <v>1</v>
      </c>
      <c r="F233" s="106" t="n">
        <v>3</v>
      </c>
      <c r="G233" s="106" t="n">
        <v>2</v>
      </c>
      <c r="H233" s="106" t="n">
        <v>0</v>
      </c>
      <c r="I233" s="106" t="n">
        <v>0</v>
      </c>
      <c r="J233" s="106" t="n">
        <v>0</v>
      </c>
      <c r="K233" s="106" t="n">
        <f aca="false">SUM(E233:J233)</f>
        <v>6</v>
      </c>
      <c r="L233" s="107" t="n">
        <v>6.5</v>
      </c>
      <c r="M233" s="107" t="n">
        <v>19.5</v>
      </c>
      <c r="N233" s="107" t="n">
        <v>13</v>
      </c>
      <c r="O233" s="107" t="n">
        <v>0</v>
      </c>
      <c r="P233" s="107" t="n">
        <v>0</v>
      </c>
      <c r="Q233" s="107" t="n">
        <v>0</v>
      </c>
      <c r="R233" s="107" t="n">
        <f aca="false">SUM(L233:Q233)</f>
        <v>39</v>
      </c>
      <c r="S233" s="108" t="n">
        <v>0</v>
      </c>
      <c r="T233" s="108" t="n">
        <v>0</v>
      </c>
      <c r="U233" s="108" t="n">
        <v>0</v>
      </c>
      <c r="V233" s="108" t="n">
        <v>0</v>
      </c>
      <c r="W233" s="108" t="n">
        <v>0</v>
      </c>
      <c r="X233" s="108" t="n">
        <v>0</v>
      </c>
      <c r="Y233" s="107" t="n">
        <f aca="false">S233*$D233</f>
        <v>0</v>
      </c>
      <c r="Z233" s="107" t="n">
        <f aca="false">T233*$D233</f>
        <v>0</v>
      </c>
      <c r="AA233" s="107" t="n">
        <f aca="false">U233*$D233</f>
        <v>0</v>
      </c>
      <c r="AB233" s="107" t="n">
        <f aca="false">V233*$D233</f>
        <v>0</v>
      </c>
      <c r="AC233" s="107" t="n">
        <f aca="false">W233*$D233</f>
        <v>0</v>
      </c>
      <c r="AD233" s="107" t="n">
        <f aca="false">X233*$D233</f>
        <v>0</v>
      </c>
      <c r="AE233" s="107" t="n">
        <f aca="false">SUM(Y233:AD233)</f>
        <v>0</v>
      </c>
    </row>
    <row r="234" customFormat="false" ht="15" hidden="false" customHeight="false" outlineLevel="0" collapsed="false">
      <c r="A234" s="103" t="s">
        <v>680</v>
      </c>
      <c r="B234" s="104" t="n">
        <v>0</v>
      </c>
      <c r="C234" s="105" t="n">
        <f aca="false">IF(K234=0,0,R234/K234)</f>
        <v>4.875</v>
      </c>
      <c r="D234" s="105" t="n">
        <f aca="false">C234+B234</f>
        <v>4.875</v>
      </c>
      <c r="E234" s="106" t="n">
        <v>0</v>
      </c>
      <c r="F234" s="106" t="n">
        <v>8</v>
      </c>
      <c r="G234" s="106" t="n">
        <v>0</v>
      </c>
      <c r="H234" s="106" t="n">
        <v>0</v>
      </c>
      <c r="I234" s="106" t="n">
        <v>0</v>
      </c>
      <c r="J234" s="106" t="n">
        <v>0</v>
      </c>
      <c r="K234" s="106" t="n">
        <f aca="false">SUM(E234:J234)</f>
        <v>8</v>
      </c>
      <c r="L234" s="107" t="n">
        <v>0</v>
      </c>
      <c r="M234" s="107" t="n">
        <v>39</v>
      </c>
      <c r="N234" s="107" t="n">
        <v>0</v>
      </c>
      <c r="O234" s="107" t="n">
        <v>0</v>
      </c>
      <c r="P234" s="107" t="n">
        <v>0</v>
      </c>
      <c r="Q234" s="107" t="n">
        <v>0</v>
      </c>
      <c r="R234" s="107" t="n">
        <f aca="false">SUM(L234:Q234)</f>
        <v>39</v>
      </c>
      <c r="S234" s="108" t="n">
        <v>0</v>
      </c>
      <c r="T234" s="108" t="n">
        <v>0</v>
      </c>
      <c r="U234" s="108" t="n">
        <v>0</v>
      </c>
      <c r="V234" s="108" t="n">
        <v>0</v>
      </c>
      <c r="W234" s="108" t="n">
        <v>0</v>
      </c>
      <c r="X234" s="108" t="n">
        <v>0</v>
      </c>
      <c r="Y234" s="107" t="n">
        <f aca="false">S234*$D234</f>
        <v>0</v>
      </c>
      <c r="Z234" s="107" t="n">
        <f aca="false">T234*$D234</f>
        <v>0</v>
      </c>
      <c r="AA234" s="107" t="n">
        <f aca="false">U234*$D234</f>
        <v>0</v>
      </c>
      <c r="AB234" s="107" t="n">
        <f aca="false">V234*$D234</f>
        <v>0</v>
      </c>
      <c r="AC234" s="107" t="n">
        <f aca="false">W234*$D234</f>
        <v>0</v>
      </c>
      <c r="AD234" s="107" t="n">
        <f aca="false">X234*$D234</f>
        <v>0</v>
      </c>
      <c r="AE234" s="107" t="n">
        <f aca="false">SUM(Y234:AD234)</f>
        <v>0</v>
      </c>
    </row>
    <row r="235" customFormat="false" ht="15" hidden="false" customHeight="false" outlineLevel="0" collapsed="false">
      <c r="A235" s="103" t="s">
        <v>681</v>
      </c>
      <c r="B235" s="104" t="n">
        <v>0</v>
      </c>
      <c r="C235" s="105" t="n">
        <f aca="false">IF(K235=0,0,R235/K235)</f>
        <v>12.8066666666667</v>
      </c>
      <c r="D235" s="105" t="n">
        <f aca="false">C235+B235</f>
        <v>12.8066666666667</v>
      </c>
      <c r="E235" s="106" t="n">
        <v>0</v>
      </c>
      <c r="F235" s="106" t="n">
        <v>0</v>
      </c>
      <c r="G235" s="106" t="n">
        <v>0</v>
      </c>
      <c r="H235" s="106" t="n">
        <v>0</v>
      </c>
      <c r="I235" s="106" t="n">
        <v>0</v>
      </c>
      <c r="J235" s="106" t="n">
        <v>3</v>
      </c>
      <c r="K235" s="106" t="n">
        <f aca="false">SUM(E235:J235)</f>
        <v>3</v>
      </c>
      <c r="L235" s="107" t="n">
        <v>0</v>
      </c>
      <c r="M235" s="107" t="n">
        <v>0</v>
      </c>
      <c r="N235" s="107" t="n">
        <v>0</v>
      </c>
      <c r="O235" s="107" t="n">
        <v>0</v>
      </c>
      <c r="P235" s="107" t="n">
        <v>0</v>
      </c>
      <c r="Q235" s="107" t="n">
        <v>38.42</v>
      </c>
      <c r="R235" s="107" t="n">
        <f aca="false">SUM(L235:Q235)</f>
        <v>38.42</v>
      </c>
      <c r="S235" s="108" t="n">
        <v>1</v>
      </c>
      <c r="T235" s="108" t="n">
        <v>1</v>
      </c>
      <c r="U235" s="108" t="n">
        <v>1</v>
      </c>
      <c r="V235" s="108" t="n">
        <v>1</v>
      </c>
      <c r="W235" s="108" t="n">
        <v>1</v>
      </c>
      <c r="X235" s="108" t="n">
        <v>1</v>
      </c>
      <c r="Y235" s="107" t="n">
        <f aca="false">S235*$D235</f>
        <v>12.8066666666667</v>
      </c>
      <c r="Z235" s="107" t="n">
        <f aca="false">T235*$D235</f>
        <v>12.8066666666667</v>
      </c>
      <c r="AA235" s="107" t="n">
        <f aca="false">U235*$D235</f>
        <v>12.8066666666667</v>
      </c>
      <c r="AB235" s="107" t="n">
        <f aca="false">V235*$D235</f>
        <v>12.8066666666667</v>
      </c>
      <c r="AC235" s="107" t="n">
        <f aca="false">W235*$D235</f>
        <v>12.8066666666667</v>
      </c>
      <c r="AD235" s="107" t="n">
        <f aca="false">X235*$D235</f>
        <v>12.8066666666667</v>
      </c>
      <c r="AE235" s="107" t="n">
        <f aca="false">SUM(Y235:AD235)</f>
        <v>76.84</v>
      </c>
    </row>
    <row r="236" customFormat="false" ht="15" hidden="false" customHeight="false" outlineLevel="0" collapsed="false">
      <c r="A236" s="103" t="s">
        <v>682</v>
      </c>
      <c r="B236" s="104" t="n">
        <v>0</v>
      </c>
      <c r="C236" s="105" t="n">
        <f aca="false">IF(K236=0,0,R236/K236)</f>
        <v>9.5</v>
      </c>
      <c r="D236" s="105" t="n">
        <f aca="false">C236+B236</f>
        <v>9.5</v>
      </c>
      <c r="E236" s="106" t="n">
        <v>0</v>
      </c>
      <c r="F236" s="106" t="n">
        <v>0</v>
      </c>
      <c r="G236" s="106" t="n">
        <v>0</v>
      </c>
      <c r="H236" s="106" t="n">
        <v>2</v>
      </c>
      <c r="I236" s="106" t="n">
        <v>1</v>
      </c>
      <c r="J236" s="106" t="n">
        <v>1</v>
      </c>
      <c r="K236" s="106" t="n">
        <f aca="false">SUM(E236:J236)</f>
        <v>4</v>
      </c>
      <c r="L236" s="107" t="n">
        <v>0</v>
      </c>
      <c r="M236" s="107" t="n">
        <v>0</v>
      </c>
      <c r="N236" s="107" t="n">
        <v>0</v>
      </c>
      <c r="O236" s="107" t="n">
        <v>20</v>
      </c>
      <c r="P236" s="107" t="n">
        <v>10</v>
      </c>
      <c r="Q236" s="107" t="n">
        <v>8</v>
      </c>
      <c r="R236" s="107" t="n">
        <f aca="false">SUM(L236:Q236)</f>
        <v>38</v>
      </c>
      <c r="S236" s="108" t="n">
        <v>1</v>
      </c>
      <c r="T236" s="108" t="n">
        <v>1</v>
      </c>
      <c r="U236" s="108" t="n">
        <v>1</v>
      </c>
      <c r="V236" s="108" t="n">
        <v>1</v>
      </c>
      <c r="W236" s="108" t="n">
        <v>1</v>
      </c>
      <c r="X236" s="108" t="n">
        <v>1</v>
      </c>
      <c r="Y236" s="107" t="n">
        <f aca="false">S236*$D236</f>
        <v>9.5</v>
      </c>
      <c r="Z236" s="107" t="n">
        <f aca="false">T236*$D236</f>
        <v>9.5</v>
      </c>
      <c r="AA236" s="107" t="n">
        <f aca="false">U236*$D236</f>
        <v>9.5</v>
      </c>
      <c r="AB236" s="107" t="n">
        <f aca="false">V236*$D236</f>
        <v>9.5</v>
      </c>
      <c r="AC236" s="107" t="n">
        <f aca="false">W236*$D236</f>
        <v>9.5</v>
      </c>
      <c r="AD236" s="107" t="n">
        <f aca="false">X236*$D236</f>
        <v>9.5</v>
      </c>
      <c r="AE236" s="107" t="n">
        <f aca="false">SUM(Y236:AD236)</f>
        <v>57</v>
      </c>
    </row>
    <row r="237" customFormat="false" ht="15" hidden="false" customHeight="false" outlineLevel="0" collapsed="false">
      <c r="A237" s="103" t="s">
        <v>683</v>
      </c>
      <c r="B237" s="104" t="n">
        <v>0</v>
      </c>
      <c r="C237" s="105" t="n">
        <f aca="false">IF(K237=0,0,R237/K237)</f>
        <v>7.52</v>
      </c>
      <c r="D237" s="105" t="n">
        <f aca="false">C237+B237</f>
        <v>7.52</v>
      </c>
      <c r="E237" s="106" t="n">
        <v>0</v>
      </c>
      <c r="F237" s="106" t="n">
        <v>0</v>
      </c>
      <c r="G237" s="106" t="n">
        <v>0</v>
      </c>
      <c r="H237" s="106" t="n">
        <v>4</v>
      </c>
      <c r="I237" s="106" t="n">
        <v>1</v>
      </c>
      <c r="J237" s="106" t="n">
        <v>0</v>
      </c>
      <c r="K237" s="106" t="n">
        <f aca="false">SUM(E237:J237)</f>
        <v>5</v>
      </c>
      <c r="L237" s="107" t="n">
        <v>0</v>
      </c>
      <c r="M237" s="107" t="n">
        <v>0</v>
      </c>
      <c r="N237" s="107" t="n">
        <v>0</v>
      </c>
      <c r="O237" s="107" t="n">
        <v>30.8</v>
      </c>
      <c r="P237" s="107" t="n">
        <v>6.8</v>
      </c>
      <c r="Q237" s="107" t="n">
        <v>0</v>
      </c>
      <c r="R237" s="107" t="n">
        <f aca="false">SUM(L237:Q237)</f>
        <v>37.6</v>
      </c>
      <c r="S237" s="108" t="n">
        <v>2</v>
      </c>
      <c r="T237" s="108" t="n">
        <v>2</v>
      </c>
      <c r="U237" s="108" t="n">
        <v>2</v>
      </c>
      <c r="V237" s="108" t="n">
        <v>2</v>
      </c>
      <c r="W237" s="108" t="n">
        <v>2</v>
      </c>
      <c r="X237" s="108" t="n">
        <v>2</v>
      </c>
      <c r="Y237" s="107" t="n">
        <f aca="false">S237*$D237</f>
        <v>15.04</v>
      </c>
      <c r="Z237" s="107" t="n">
        <f aca="false">T237*$D237</f>
        <v>15.04</v>
      </c>
      <c r="AA237" s="107" t="n">
        <f aca="false">U237*$D237</f>
        <v>15.04</v>
      </c>
      <c r="AB237" s="107" t="n">
        <f aca="false">V237*$D237</f>
        <v>15.04</v>
      </c>
      <c r="AC237" s="107" t="n">
        <f aca="false">W237*$D237</f>
        <v>15.04</v>
      </c>
      <c r="AD237" s="107" t="n">
        <f aca="false">X237*$D237</f>
        <v>15.04</v>
      </c>
      <c r="AE237" s="107" t="n">
        <f aca="false">SUM(Y237:AD237)</f>
        <v>90.24</v>
      </c>
    </row>
    <row r="238" customFormat="false" ht="15" hidden="false" customHeight="false" outlineLevel="0" collapsed="false">
      <c r="A238" s="103" t="s">
        <v>684</v>
      </c>
      <c r="B238" s="104" t="n">
        <v>0</v>
      </c>
      <c r="C238" s="105" t="n">
        <f aca="false">IF(K238=0,0,R238/K238)</f>
        <v>12.5</v>
      </c>
      <c r="D238" s="105" t="n">
        <f aca="false">C238+B238</f>
        <v>12.5</v>
      </c>
      <c r="E238" s="106" t="n">
        <v>0</v>
      </c>
      <c r="F238" s="106" t="n">
        <v>3</v>
      </c>
      <c r="G238" s="106" t="n">
        <v>0</v>
      </c>
      <c r="H238" s="106" t="n">
        <v>0</v>
      </c>
      <c r="I238" s="106" t="n">
        <v>0</v>
      </c>
      <c r="J238" s="106" t="n">
        <v>0</v>
      </c>
      <c r="K238" s="106" t="n">
        <f aca="false">SUM(E238:J238)</f>
        <v>3</v>
      </c>
      <c r="L238" s="107" t="n">
        <v>0</v>
      </c>
      <c r="M238" s="107" t="n">
        <v>37.5</v>
      </c>
      <c r="N238" s="107" t="n">
        <v>0</v>
      </c>
      <c r="O238" s="107" t="n">
        <v>0</v>
      </c>
      <c r="P238" s="107" t="n">
        <v>0</v>
      </c>
      <c r="Q238" s="107" t="n">
        <v>0</v>
      </c>
      <c r="R238" s="107" t="n">
        <f aca="false">SUM(L238:Q238)</f>
        <v>37.5</v>
      </c>
      <c r="S238" s="108" t="n">
        <v>0</v>
      </c>
      <c r="T238" s="108" t="n">
        <v>0</v>
      </c>
      <c r="U238" s="108" t="n">
        <v>0</v>
      </c>
      <c r="V238" s="108" t="n">
        <v>0</v>
      </c>
      <c r="W238" s="108" t="n">
        <v>0</v>
      </c>
      <c r="X238" s="108" t="n">
        <v>0</v>
      </c>
      <c r="Y238" s="107" t="n">
        <f aca="false">S238*$D238</f>
        <v>0</v>
      </c>
      <c r="Z238" s="107" t="n">
        <f aca="false">T238*$D238</f>
        <v>0</v>
      </c>
      <c r="AA238" s="107" t="n">
        <f aca="false">U238*$D238</f>
        <v>0</v>
      </c>
      <c r="AB238" s="107" t="n">
        <f aca="false">V238*$D238</f>
        <v>0</v>
      </c>
      <c r="AC238" s="107" t="n">
        <f aca="false">W238*$D238</f>
        <v>0</v>
      </c>
      <c r="AD238" s="107" t="n">
        <f aca="false">X238*$D238</f>
        <v>0</v>
      </c>
      <c r="AE238" s="107" t="n">
        <f aca="false">SUM(Y238:AD238)</f>
        <v>0</v>
      </c>
    </row>
    <row r="239" customFormat="false" ht="15" hidden="false" customHeight="false" outlineLevel="0" collapsed="false">
      <c r="A239" s="103" t="s">
        <v>685</v>
      </c>
      <c r="B239" s="104" t="n">
        <v>0</v>
      </c>
      <c r="C239" s="105" t="n">
        <f aca="false">IF(K239=0,0,R239/K239)</f>
        <v>9.25</v>
      </c>
      <c r="D239" s="105" t="n">
        <f aca="false">C239+B239</f>
        <v>9.25</v>
      </c>
      <c r="E239" s="106" t="n">
        <v>0</v>
      </c>
      <c r="F239" s="106" t="n">
        <v>0</v>
      </c>
      <c r="G239" s="106" t="n">
        <v>0</v>
      </c>
      <c r="H239" s="106" t="n">
        <v>2</v>
      </c>
      <c r="I239" s="106" t="n">
        <v>2</v>
      </c>
      <c r="J239" s="106" t="n">
        <v>0</v>
      </c>
      <c r="K239" s="106" t="n">
        <f aca="false">SUM(E239:J239)</f>
        <v>4</v>
      </c>
      <c r="L239" s="107" t="n">
        <v>0</v>
      </c>
      <c r="M239" s="107" t="n">
        <v>0</v>
      </c>
      <c r="N239" s="107" t="n">
        <v>0</v>
      </c>
      <c r="O239" s="107" t="n">
        <v>18.5</v>
      </c>
      <c r="P239" s="107" t="n">
        <v>18.5</v>
      </c>
      <c r="Q239" s="107" t="n">
        <v>0</v>
      </c>
      <c r="R239" s="107" t="n">
        <f aca="false">SUM(L239:Q239)</f>
        <v>37</v>
      </c>
      <c r="S239" s="108" t="n">
        <v>1</v>
      </c>
      <c r="T239" s="108" t="n">
        <v>1</v>
      </c>
      <c r="U239" s="108" t="n">
        <v>1</v>
      </c>
      <c r="V239" s="108" t="n">
        <v>1</v>
      </c>
      <c r="W239" s="108" t="n">
        <v>1</v>
      </c>
      <c r="X239" s="108" t="n">
        <v>1</v>
      </c>
      <c r="Y239" s="107" t="n">
        <f aca="false">S239*$D239</f>
        <v>9.25</v>
      </c>
      <c r="Z239" s="107" t="n">
        <f aca="false">T239*$D239</f>
        <v>9.25</v>
      </c>
      <c r="AA239" s="107" t="n">
        <f aca="false">U239*$D239</f>
        <v>9.25</v>
      </c>
      <c r="AB239" s="107" t="n">
        <f aca="false">V239*$D239</f>
        <v>9.25</v>
      </c>
      <c r="AC239" s="107" t="n">
        <f aca="false">W239*$D239</f>
        <v>9.25</v>
      </c>
      <c r="AD239" s="107" t="n">
        <f aca="false">X239*$D239</f>
        <v>9.25</v>
      </c>
      <c r="AE239" s="107" t="n">
        <f aca="false">SUM(Y239:AD239)</f>
        <v>55.5</v>
      </c>
    </row>
    <row r="240" customFormat="false" ht="15" hidden="false" customHeight="false" outlineLevel="0" collapsed="false">
      <c r="A240" s="103" t="s">
        <v>686</v>
      </c>
      <c r="B240" s="104" t="n">
        <v>0</v>
      </c>
      <c r="C240" s="105" t="n">
        <f aca="false">IF(K240=0,0,R240/K240)</f>
        <v>3.64</v>
      </c>
      <c r="D240" s="105" t="n">
        <f aca="false">C240+B240</f>
        <v>3.64</v>
      </c>
      <c r="E240" s="106" t="n">
        <v>0</v>
      </c>
      <c r="F240" s="106" t="n">
        <v>10</v>
      </c>
      <c r="G240" s="106" t="n">
        <v>0</v>
      </c>
      <c r="H240" s="106" t="n">
        <v>0</v>
      </c>
      <c r="I240" s="106" t="n">
        <v>0</v>
      </c>
      <c r="J240" s="106" t="n">
        <v>0</v>
      </c>
      <c r="K240" s="106" t="n">
        <f aca="false">SUM(E240:J240)</f>
        <v>10</v>
      </c>
      <c r="L240" s="107" t="n">
        <v>0</v>
      </c>
      <c r="M240" s="107" t="n">
        <v>36.4</v>
      </c>
      <c r="N240" s="107" t="n">
        <v>0</v>
      </c>
      <c r="O240" s="107" t="n">
        <v>0</v>
      </c>
      <c r="P240" s="107" t="n">
        <v>0</v>
      </c>
      <c r="Q240" s="107" t="n">
        <v>0</v>
      </c>
      <c r="R240" s="107" t="n">
        <f aca="false">SUM(L240:Q240)</f>
        <v>36.4</v>
      </c>
      <c r="S240" s="108" t="n">
        <v>0</v>
      </c>
      <c r="T240" s="108" t="n">
        <v>0</v>
      </c>
      <c r="U240" s="108" t="n">
        <v>0</v>
      </c>
      <c r="V240" s="108" t="n">
        <v>0</v>
      </c>
      <c r="W240" s="108" t="n">
        <v>0</v>
      </c>
      <c r="X240" s="108" t="n">
        <v>0</v>
      </c>
      <c r="Y240" s="107" t="n">
        <f aca="false">S240*$D240</f>
        <v>0</v>
      </c>
      <c r="Z240" s="107" t="n">
        <f aca="false">T240*$D240</f>
        <v>0</v>
      </c>
      <c r="AA240" s="107" t="n">
        <f aca="false">U240*$D240</f>
        <v>0</v>
      </c>
      <c r="AB240" s="107" t="n">
        <f aca="false">V240*$D240</f>
        <v>0</v>
      </c>
      <c r="AC240" s="107" t="n">
        <f aca="false">W240*$D240</f>
        <v>0</v>
      </c>
      <c r="AD240" s="107" t="n">
        <f aca="false">X240*$D240</f>
        <v>0</v>
      </c>
      <c r="AE240" s="107" t="n">
        <f aca="false">SUM(Y240:AD240)</f>
        <v>0</v>
      </c>
    </row>
    <row r="241" customFormat="false" ht="15" hidden="false" customHeight="false" outlineLevel="0" collapsed="false">
      <c r="A241" s="103" t="s">
        <v>687</v>
      </c>
      <c r="B241" s="104" t="n">
        <v>0</v>
      </c>
      <c r="C241" s="105" t="n">
        <f aca="false">IF(K241=0,0,R241/K241)</f>
        <v>9</v>
      </c>
      <c r="D241" s="105" t="n">
        <f aca="false">C241+B241</f>
        <v>9</v>
      </c>
      <c r="E241" s="106" t="n">
        <v>0</v>
      </c>
      <c r="F241" s="106" t="n">
        <v>0</v>
      </c>
      <c r="G241" s="106" t="n">
        <v>0</v>
      </c>
      <c r="H241" s="106" t="n">
        <v>0</v>
      </c>
      <c r="I241" s="106" t="n">
        <v>0</v>
      </c>
      <c r="J241" s="106" t="n">
        <v>4</v>
      </c>
      <c r="K241" s="106" t="n">
        <f aca="false">SUM(E241:J241)</f>
        <v>4</v>
      </c>
      <c r="L241" s="107" t="n">
        <v>0</v>
      </c>
      <c r="M241" s="107" t="n">
        <v>0</v>
      </c>
      <c r="N241" s="107" t="n">
        <v>0</v>
      </c>
      <c r="O241" s="107" t="n">
        <v>0</v>
      </c>
      <c r="P241" s="107" t="n">
        <v>0</v>
      </c>
      <c r="Q241" s="107" t="n">
        <v>36</v>
      </c>
      <c r="R241" s="107" t="n">
        <f aca="false">SUM(L241:Q241)</f>
        <v>36</v>
      </c>
      <c r="S241" s="108" t="n">
        <v>1</v>
      </c>
      <c r="T241" s="108" t="n">
        <v>1</v>
      </c>
      <c r="U241" s="108" t="n">
        <v>1</v>
      </c>
      <c r="V241" s="108" t="n">
        <v>1</v>
      </c>
      <c r="W241" s="108" t="n">
        <v>1</v>
      </c>
      <c r="X241" s="108" t="n">
        <v>1</v>
      </c>
      <c r="Y241" s="107" t="n">
        <f aca="false">S241*$D241</f>
        <v>9</v>
      </c>
      <c r="Z241" s="107" t="n">
        <f aca="false">T241*$D241</f>
        <v>9</v>
      </c>
      <c r="AA241" s="107" t="n">
        <f aca="false">U241*$D241</f>
        <v>9</v>
      </c>
      <c r="AB241" s="107" t="n">
        <f aca="false">V241*$D241</f>
        <v>9</v>
      </c>
      <c r="AC241" s="107" t="n">
        <f aca="false">W241*$D241</f>
        <v>9</v>
      </c>
      <c r="AD241" s="107" t="n">
        <f aca="false">X241*$D241</f>
        <v>9</v>
      </c>
      <c r="AE241" s="107" t="n">
        <f aca="false">SUM(Y241:AD241)</f>
        <v>54</v>
      </c>
    </row>
    <row r="242" customFormat="false" ht="15" hidden="false" customHeight="false" outlineLevel="0" collapsed="false">
      <c r="A242" s="103" t="s">
        <v>688</v>
      </c>
      <c r="B242" s="104" t="n">
        <v>0</v>
      </c>
      <c r="C242" s="105" t="n">
        <f aca="false">IF(K242=0,0,R242/K242)</f>
        <v>6</v>
      </c>
      <c r="D242" s="105" t="n">
        <f aca="false">C242+B242</f>
        <v>6</v>
      </c>
      <c r="E242" s="106" t="n">
        <v>0</v>
      </c>
      <c r="F242" s="106" t="n">
        <v>0</v>
      </c>
      <c r="G242" s="106" t="n">
        <v>0</v>
      </c>
      <c r="H242" s="106" t="n">
        <v>0</v>
      </c>
      <c r="I242" s="106" t="n">
        <v>0</v>
      </c>
      <c r="J242" s="106" t="n">
        <v>6</v>
      </c>
      <c r="K242" s="106" t="n">
        <f aca="false">SUM(E242:J242)</f>
        <v>6</v>
      </c>
      <c r="L242" s="107" t="n">
        <v>0</v>
      </c>
      <c r="M242" s="107" t="n">
        <v>0</v>
      </c>
      <c r="N242" s="107" t="n">
        <v>0</v>
      </c>
      <c r="O242" s="107" t="n">
        <v>0</v>
      </c>
      <c r="P242" s="107" t="n">
        <v>0</v>
      </c>
      <c r="Q242" s="107" t="n">
        <v>36</v>
      </c>
      <c r="R242" s="107" t="n">
        <f aca="false">SUM(L242:Q242)</f>
        <v>36</v>
      </c>
      <c r="S242" s="108" t="n">
        <v>2</v>
      </c>
      <c r="T242" s="108" t="n">
        <v>2</v>
      </c>
      <c r="U242" s="108" t="n">
        <v>2</v>
      </c>
      <c r="V242" s="108" t="n">
        <v>2</v>
      </c>
      <c r="W242" s="108" t="n">
        <v>2</v>
      </c>
      <c r="X242" s="108" t="n">
        <v>2</v>
      </c>
      <c r="Y242" s="107" t="n">
        <f aca="false">S242*$D242</f>
        <v>12</v>
      </c>
      <c r="Z242" s="107" t="n">
        <f aca="false">T242*$D242</f>
        <v>12</v>
      </c>
      <c r="AA242" s="107" t="n">
        <f aca="false">U242*$D242</f>
        <v>12</v>
      </c>
      <c r="AB242" s="107" t="n">
        <f aca="false">V242*$D242</f>
        <v>12</v>
      </c>
      <c r="AC242" s="107" t="n">
        <f aca="false">W242*$D242</f>
        <v>12</v>
      </c>
      <c r="AD242" s="107" t="n">
        <f aca="false">X242*$D242</f>
        <v>12</v>
      </c>
      <c r="AE242" s="107" t="n">
        <f aca="false">SUM(Y242:AD242)</f>
        <v>72</v>
      </c>
    </row>
    <row r="243" customFormat="false" ht="15" hidden="false" customHeight="false" outlineLevel="0" collapsed="false">
      <c r="A243" s="103" t="s">
        <v>689</v>
      </c>
      <c r="B243" s="104" t="n">
        <v>0</v>
      </c>
      <c r="C243" s="105" t="n">
        <f aca="false">IF(K243=0,0,R243/K243)</f>
        <v>6.96</v>
      </c>
      <c r="D243" s="105" t="n">
        <f aca="false">C243+B243</f>
        <v>6.96</v>
      </c>
      <c r="E243" s="106" t="n">
        <v>0</v>
      </c>
      <c r="F243" s="106" t="n">
        <v>5</v>
      </c>
      <c r="G243" s="106" t="n">
        <v>0</v>
      </c>
      <c r="H243" s="106" t="n">
        <v>0</v>
      </c>
      <c r="I243" s="106" t="n">
        <v>0</v>
      </c>
      <c r="J243" s="106" t="n">
        <v>0</v>
      </c>
      <c r="K243" s="106" t="n">
        <f aca="false">SUM(E243:J243)</f>
        <v>5</v>
      </c>
      <c r="L243" s="107" t="n">
        <v>0</v>
      </c>
      <c r="M243" s="107" t="n">
        <v>34.8</v>
      </c>
      <c r="N243" s="107" t="n">
        <v>0</v>
      </c>
      <c r="O243" s="107" t="n">
        <v>0</v>
      </c>
      <c r="P243" s="107" t="n">
        <v>0</v>
      </c>
      <c r="Q243" s="107" t="n">
        <v>0</v>
      </c>
      <c r="R243" s="107" t="n">
        <f aca="false">SUM(L243:Q243)</f>
        <v>34.8</v>
      </c>
      <c r="S243" s="108" t="n">
        <v>0</v>
      </c>
      <c r="T243" s="108" t="n">
        <v>0</v>
      </c>
      <c r="U243" s="108" t="n">
        <v>0</v>
      </c>
      <c r="V243" s="108" t="n">
        <v>0</v>
      </c>
      <c r="W243" s="108" t="n">
        <v>0</v>
      </c>
      <c r="X243" s="108" t="n">
        <v>0</v>
      </c>
      <c r="Y243" s="107" t="n">
        <f aca="false">S243*$D243</f>
        <v>0</v>
      </c>
      <c r="Z243" s="107" t="n">
        <f aca="false">T243*$D243</f>
        <v>0</v>
      </c>
      <c r="AA243" s="107" t="n">
        <f aca="false">U243*$D243</f>
        <v>0</v>
      </c>
      <c r="AB243" s="107" t="n">
        <f aca="false">V243*$D243</f>
        <v>0</v>
      </c>
      <c r="AC243" s="107" t="n">
        <f aca="false">W243*$D243</f>
        <v>0</v>
      </c>
      <c r="AD243" s="107" t="n">
        <f aca="false">X243*$D243</f>
        <v>0</v>
      </c>
      <c r="AE243" s="107" t="n">
        <f aca="false">SUM(Y243:AD243)</f>
        <v>0</v>
      </c>
    </row>
    <row r="244" customFormat="false" ht="15" hidden="false" customHeight="false" outlineLevel="0" collapsed="false">
      <c r="A244" s="103" t="s">
        <v>690</v>
      </c>
      <c r="B244" s="104" t="n">
        <v>0</v>
      </c>
      <c r="C244" s="105" t="n">
        <f aca="false">IF(K244=0,0,R244/K244)</f>
        <v>11.4833333333333</v>
      </c>
      <c r="D244" s="105" t="n">
        <f aca="false">C244+B244</f>
        <v>11.4833333333333</v>
      </c>
      <c r="E244" s="106" t="n">
        <v>0</v>
      </c>
      <c r="F244" s="106" t="n">
        <v>0</v>
      </c>
      <c r="G244" s="106" t="n">
        <v>0</v>
      </c>
      <c r="H244" s="106" t="n">
        <v>0</v>
      </c>
      <c r="I244" s="106" t="n">
        <v>0</v>
      </c>
      <c r="J244" s="106" t="n">
        <v>3</v>
      </c>
      <c r="K244" s="106" t="n">
        <f aca="false">SUM(E244:J244)</f>
        <v>3</v>
      </c>
      <c r="L244" s="107" t="n">
        <v>0</v>
      </c>
      <c r="M244" s="107" t="n">
        <v>0</v>
      </c>
      <c r="N244" s="107" t="n">
        <v>0</v>
      </c>
      <c r="O244" s="107" t="n">
        <v>0</v>
      </c>
      <c r="P244" s="107" t="n">
        <v>0</v>
      </c>
      <c r="Q244" s="107" t="n">
        <v>34.45</v>
      </c>
      <c r="R244" s="107" t="n">
        <f aca="false">SUM(L244:Q244)</f>
        <v>34.45</v>
      </c>
      <c r="S244" s="108" t="n">
        <v>1</v>
      </c>
      <c r="T244" s="108" t="n">
        <v>1</v>
      </c>
      <c r="U244" s="108" t="n">
        <v>1</v>
      </c>
      <c r="V244" s="108" t="n">
        <v>1</v>
      </c>
      <c r="W244" s="108" t="n">
        <v>1</v>
      </c>
      <c r="X244" s="108" t="n">
        <v>1</v>
      </c>
      <c r="Y244" s="107" t="n">
        <f aca="false">S244*$D244</f>
        <v>11.4833333333333</v>
      </c>
      <c r="Z244" s="107" t="n">
        <f aca="false">T244*$D244</f>
        <v>11.4833333333333</v>
      </c>
      <c r="AA244" s="107" t="n">
        <f aca="false">U244*$D244</f>
        <v>11.4833333333333</v>
      </c>
      <c r="AB244" s="107" t="n">
        <f aca="false">V244*$D244</f>
        <v>11.4833333333333</v>
      </c>
      <c r="AC244" s="107" t="n">
        <f aca="false">W244*$D244</f>
        <v>11.4833333333333</v>
      </c>
      <c r="AD244" s="107" t="n">
        <f aca="false">X244*$D244</f>
        <v>11.4833333333333</v>
      </c>
      <c r="AE244" s="107" t="n">
        <f aca="false">SUM(Y244:AD244)</f>
        <v>68.9</v>
      </c>
    </row>
    <row r="245" customFormat="false" ht="15" hidden="false" customHeight="false" outlineLevel="0" collapsed="false">
      <c r="A245" s="103" t="s">
        <v>691</v>
      </c>
      <c r="B245" s="104" t="n">
        <v>0</v>
      </c>
      <c r="C245" s="105" t="n">
        <f aca="false">IF(K245=0,0,R245/K245)</f>
        <v>8</v>
      </c>
      <c r="D245" s="105" t="n">
        <f aca="false">C245+B245</f>
        <v>8</v>
      </c>
      <c r="E245" s="106" t="n">
        <v>0</v>
      </c>
      <c r="F245" s="106" t="n">
        <v>0</v>
      </c>
      <c r="G245" s="106" t="n">
        <v>4</v>
      </c>
      <c r="H245" s="106" t="n">
        <v>0</v>
      </c>
      <c r="I245" s="106" t="n">
        <v>0</v>
      </c>
      <c r="J245" s="106" t="n">
        <v>0</v>
      </c>
      <c r="K245" s="106" t="n">
        <f aca="false">SUM(E245:J245)</f>
        <v>4</v>
      </c>
      <c r="L245" s="107" t="n">
        <v>0</v>
      </c>
      <c r="M245" s="107" t="n">
        <v>0</v>
      </c>
      <c r="N245" s="107" t="n">
        <v>32</v>
      </c>
      <c r="O245" s="107" t="n">
        <v>0</v>
      </c>
      <c r="P245" s="107" t="n">
        <v>0</v>
      </c>
      <c r="Q245" s="107" t="n">
        <v>0</v>
      </c>
      <c r="R245" s="107" t="n">
        <f aca="false">SUM(L245:Q245)</f>
        <v>32</v>
      </c>
      <c r="S245" s="108" t="n">
        <v>0</v>
      </c>
      <c r="T245" s="108" t="n">
        <v>0</v>
      </c>
      <c r="U245" s="108" t="n">
        <v>0</v>
      </c>
      <c r="V245" s="108" t="n">
        <v>0</v>
      </c>
      <c r="W245" s="108" t="n">
        <v>0</v>
      </c>
      <c r="X245" s="108" t="n">
        <v>0</v>
      </c>
      <c r="Y245" s="107" t="n">
        <f aca="false">S245*$D245</f>
        <v>0</v>
      </c>
      <c r="Z245" s="107" t="n">
        <f aca="false">T245*$D245</f>
        <v>0</v>
      </c>
      <c r="AA245" s="107" t="n">
        <f aca="false">U245*$D245</f>
        <v>0</v>
      </c>
      <c r="AB245" s="107" t="n">
        <f aca="false">V245*$D245</f>
        <v>0</v>
      </c>
      <c r="AC245" s="107" t="n">
        <f aca="false">W245*$D245</f>
        <v>0</v>
      </c>
      <c r="AD245" s="107" t="n">
        <f aca="false">X245*$D245</f>
        <v>0</v>
      </c>
      <c r="AE245" s="107" t="n">
        <f aca="false">SUM(Y245:AD245)</f>
        <v>0</v>
      </c>
    </row>
    <row r="246" customFormat="false" ht="15" hidden="false" customHeight="false" outlineLevel="0" collapsed="false">
      <c r="A246" s="103" t="s">
        <v>692</v>
      </c>
      <c r="B246" s="104" t="n">
        <v>0</v>
      </c>
      <c r="C246" s="105" t="n">
        <f aca="false">IF(K246=0,0,R246/K246)</f>
        <v>16</v>
      </c>
      <c r="D246" s="105" t="n">
        <f aca="false">C246+B246</f>
        <v>16</v>
      </c>
      <c r="E246" s="106" t="n">
        <v>0</v>
      </c>
      <c r="F246" s="106" t="n">
        <v>0</v>
      </c>
      <c r="G246" s="106" t="n">
        <v>0</v>
      </c>
      <c r="H246" s="106" t="n">
        <v>0</v>
      </c>
      <c r="I246" s="106" t="n">
        <v>0</v>
      </c>
      <c r="J246" s="106" t="n">
        <v>2</v>
      </c>
      <c r="K246" s="106" t="n">
        <f aca="false">SUM(E246:J246)</f>
        <v>2</v>
      </c>
      <c r="L246" s="107" t="n">
        <v>0</v>
      </c>
      <c r="M246" s="107" t="n">
        <v>0</v>
      </c>
      <c r="N246" s="107" t="n">
        <v>0</v>
      </c>
      <c r="O246" s="107" t="n">
        <v>0</v>
      </c>
      <c r="P246" s="107" t="n">
        <v>0</v>
      </c>
      <c r="Q246" s="107" t="n">
        <v>32</v>
      </c>
      <c r="R246" s="107" t="n">
        <f aca="false">SUM(L246:Q246)</f>
        <v>32</v>
      </c>
      <c r="S246" s="108" t="n">
        <v>1</v>
      </c>
      <c r="T246" s="108" t="n">
        <v>1</v>
      </c>
      <c r="U246" s="108" t="n">
        <v>1</v>
      </c>
      <c r="V246" s="108" t="n">
        <v>1</v>
      </c>
      <c r="W246" s="108" t="n">
        <v>1</v>
      </c>
      <c r="X246" s="108" t="n">
        <v>1</v>
      </c>
      <c r="Y246" s="107" t="n">
        <f aca="false">S246*$D246</f>
        <v>16</v>
      </c>
      <c r="Z246" s="107" t="n">
        <f aca="false">T246*$D246</f>
        <v>16</v>
      </c>
      <c r="AA246" s="107" t="n">
        <f aca="false">U246*$D246</f>
        <v>16</v>
      </c>
      <c r="AB246" s="107" t="n">
        <f aca="false">V246*$D246</f>
        <v>16</v>
      </c>
      <c r="AC246" s="107" t="n">
        <f aca="false">W246*$D246</f>
        <v>16</v>
      </c>
      <c r="AD246" s="107" t="n">
        <f aca="false">X246*$D246</f>
        <v>16</v>
      </c>
      <c r="AE246" s="107" t="n">
        <f aca="false">SUM(Y246:AD246)</f>
        <v>96</v>
      </c>
    </row>
    <row r="247" customFormat="false" ht="15" hidden="false" customHeight="false" outlineLevel="0" collapsed="false">
      <c r="A247" s="103" t="s">
        <v>693</v>
      </c>
      <c r="B247" s="104" t="n">
        <v>0</v>
      </c>
      <c r="C247" s="105" t="n">
        <f aca="false">IF(K247=0,0,R247/K247)</f>
        <v>3.925</v>
      </c>
      <c r="D247" s="105" t="n">
        <f aca="false">C247+B247</f>
        <v>3.925</v>
      </c>
      <c r="E247" s="106" t="n">
        <v>3</v>
      </c>
      <c r="F247" s="106" t="n">
        <v>0</v>
      </c>
      <c r="G247" s="106" t="n">
        <v>0</v>
      </c>
      <c r="H247" s="106" t="n">
        <v>0</v>
      </c>
      <c r="I247" s="106" t="n">
        <v>0</v>
      </c>
      <c r="J247" s="106" t="n">
        <v>5</v>
      </c>
      <c r="K247" s="106" t="n">
        <f aca="false">SUM(E247:J247)</f>
        <v>8</v>
      </c>
      <c r="L247" s="107" t="n">
        <v>12</v>
      </c>
      <c r="M247" s="107" t="n">
        <v>0</v>
      </c>
      <c r="N247" s="107" t="n">
        <v>0</v>
      </c>
      <c r="O247" s="107" t="n">
        <v>0</v>
      </c>
      <c r="P247" s="107" t="n">
        <v>0</v>
      </c>
      <c r="Q247" s="107" t="n">
        <v>19.4</v>
      </c>
      <c r="R247" s="107" t="n">
        <f aca="false">SUM(L247:Q247)</f>
        <v>31.4</v>
      </c>
      <c r="S247" s="108" t="n">
        <v>2</v>
      </c>
      <c r="T247" s="108" t="n">
        <v>2</v>
      </c>
      <c r="U247" s="108" t="n">
        <v>2</v>
      </c>
      <c r="V247" s="108" t="n">
        <v>2</v>
      </c>
      <c r="W247" s="108" t="n">
        <v>2</v>
      </c>
      <c r="X247" s="108" t="n">
        <v>2</v>
      </c>
      <c r="Y247" s="107" t="n">
        <f aca="false">S247*$D247</f>
        <v>7.85</v>
      </c>
      <c r="Z247" s="107" t="n">
        <f aca="false">T247*$D247</f>
        <v>7.85</v>
      </c>
      <c r="AA247" s="107" t="n">
        <f aca="false">U247*$D247</f>
        <v>7.85</v>
      </c>
      <c r="AB247" s="107" t="n">
        <f aca="false">V247*$D247</f>
        <v>7.85</v>
      </c>
      <c r="AC247" s="107" t="n">
        <f aca="false">W247*$D247</f>
        <v>7.85</v>
      </c>
      <c r="AD247" s="107" t="n">
        <f aca="false">X247*$D247</f>
        <v>7.85</v>
      </c>
      <c r="AE247" s="107" t="n">
        <f aca="false">SUM(Y247:AD247)</f>
        <v>47.1</v>
      </c>
    </row>
    <row r="248" customFormat="false" ht="15" hidden="false" customHeight="false" outlineLevel="0" collapsed="false">
      <c r="A248" s="103" t="s">
        <v>694</v>
      </c>
      <c r="B248" s="104" t="n">
        <v>0</v>
      </c>
      <c r="C248" s="105" t="n">
        <f aca="false">IF(K248=0,0,R248/K248)</f>
        <v>5.18</v>
      </c>
      <c r="D248" s="105" t="n">
        <f aca="false">C248+B248</f>
        <v>5.18</v>
      </c>
      <c r="E248" s="106" t="n">
        <v>3</v>
      </c>
      <c r="F248" s="106" t="n">
        <v>2</v>
      </c>
      <c r="G248" s="106" t="n">
        <v>0</v>
      </c>
      <c r="H248" s="106" t="n">
        <v>1</v>
      </c>
      <c r="I248" s="106" t="n">
        <v>0</v>
      </c>
      <c r="J248" s="106" t="n">
        <v>0</v>
      </c>
      <c r="K248" s="106" t="n">
        <f aca="false">SUM(E248:J248)</f>
        <v>6</v>
      </c>
      <c r="L248" s="107" t="n">
        <v>15.68</v>
      </c>
      <c r="M248" s="107" t="n">
        <v>11</v>
      </c>
      <c r="N248" s="107" t="n">
        <v>0</v>
      </c>
      <c r="O248" s="107" t="n">
        <v>4.4</v>
      </c>
      <c r="P248" s="107" t="n">
        <v>0</v>
      </c>
      <c r="Q248" s="107" t="n">
        <v>0</v>
      </c>
      <c r="R248" s="107" t="n">
        <f aca="false">SUM(L248:Q248)</f>
        <v>31.08</v>
      </c>
      <c r="S248" s="108" t="n">
        <v>0</v>
      </c>
      <c r="T248" s="108" t="n">
        <v>0</v>
      </c>
      <c r="U248" s="108" t="n">
        <v>0</v>
      </c>
      <c r="V248" s="108" t="n">
        <v>0</v>
      </c>
      <c r="W248" s="108" t="n">
        <v>0</v>
      </c>
      <c r="X248" s="108" t="n">
        <v>0</v>
      </c>
      <c r="Y248" s="107" t="n">
        <f aca="false">S248*$D248</f>
        <v>0</v>
      </c>
      <c r="Z248" s="107" t="n">
        <f aca="false">T248*$D248</f>
        <v>0</v>
      </c>
      <c r="AA248" s="107" t="n">
        <f aca="false">U248*$D248</f>
        <v>0</v>
      </c>
      <c r="AB248" s="107" t="n">
        <f aca="false">V248*$D248</f>
        <v>0</v>
      </c>
      <c r="AC248" s="107" t="n">
        <f aca="false">W248*$D248</f>
        <v>0</v>
      </c>
      <c r="AD248" s="107" t="n">
        <f aca="false">X248*$D248</f>
        <v>0</v>
      </c>
      <c r="AE248" s="107" t="n">
        <f aca="false">SUM(Y248:AD248)</f>
        <v>0</v>
      </c>
    </row>
    <row r="249" customFormat="false" ht="15" hidden="false" customHeight="false" outlineLevel="0" collapsed="false">
      <c r="A249" s="103" t="s">
        <v>695</v>
      </c>
      <c r="B249" s="104" t="n">
        <v>0</v>
      </c>
      <c r="C249" s="105" t="n">
        <f aca="false">IF(K249=0,0,R249/K249)</f>
        <v>10</v>
      </c>
      <c r="D249" s="105" t="n">
        <f aca="false">C249+B249</f>
        <v>10</v>
      </c>
      <c r="E249" s="106" t="n">
        <v>3</v>
      </c>
      <c r="F249" s="106" t="n">
        <v>0</v>
      </c>
      <c r="G249" s="106" t="n">
        <v>0</v>
      </c>
      <c r="H249" s="106" t="n">
        <v>0</v>
      </c>
      <c r="I249" s="106" t="n">
        <v>0</v>
      </c>
      <c r="J249" s="106" t="n">
        <v>0</v>
      </c>
      <c r="K249" s="106" t="n">
        <f aca="false">SUM(E249:J249)</f>
        <v>3</v>
      </c>
      <c r="L249" s="107" t="n">
        <v>30</v>
      </c>
      <c r="M249" s="107" t="n">
        <v>0</v>
      </c>
      <c r="N249" s="107" t="n">
        <v>0</v>
      </c>
      <c r="O249" s="107" t="n">
        <v>0</v>
      </c>
      <c r="P249" s="107" t="n">
        <v>0</v>
      </c>
      <c r="Q249" s="107" t="n">
        <v>0</v>
      </c>
      <c r="R249" s="107" t="n">
        <f aca="false">SUM(L249:Q249)</f>
        <v>30</v>
      </c>
      <c r="S249" s="108" t="n">
        <v>0</v>
      </c>
      <c r="T249" s="108" t="n">
        <v>0</v>
      </c>
      <c r="U249" s="108" t="n">
        <v>0</v>
      </c>
      <c r="V249" s="108" t="n">
        <v>0</v>
      </c>
      <c r="W249" s="108" t="n">
        <v>0</v>
      </c>
      <c r="X249" s="108" t="n">
        <v>0</v>
      </c>
      <c r="Y249" s="107" t="n">
        <f aca="false">S249*$D249</f>
        <v>0</v>
      </c>
      <c r="Z249" s="107" t="n">
        <f aca="false">T249*$D249</f>
        <v>0</v>
      </c>
      <c r="AA249" s="107" t="n">
        <f aca="false">U249*$D249</f>
        <v>0</v>
      </c>
      <c r="AB249" s="107" t="n">
        <f aca="false">V249*$D249</f>
        <v>0</v>
      </c>
      <c r="AC249" s="107" t="n">
        <f aca="false">W249*$D249</f>
        <v>0</v>
      </c>
      <c r="AD249" s="107" t="n">
        <f aca="false">X249*$D249</f>
        <v>0</v>
      </c>
      <c r="AE249" s="107" t="n">
        <f aca="false">SUM(Y249:AD249)</f>
        <v>0</v>
      </c>
    </row>
    <row r="250" customFormat="false" ht="15" hidden="false" customHeight="false" outlineLevel="0" collapsed="false">
      <c r="A250" s="103" t="s">
        <v>696</v>
      </c>
      <c r="B250" s="104" t="n">
        <v>0</v>
      </c>
      <c r="C250" s="105" t="n">
        <f aca="false">IF(K250=0,0,R250/K250)</f>
        <v>3</v>
      </c>
      <c r="D250" s="105" t="n">
        <f aca="false">C250+B250</f>
        <v>3</v>
      </c>
      <c r="E250" s="106" t="n">
        <v>1</v>
      </c>
      <c r="F250" s="106" t="n">
        <v>3</v>
      </c>
      <c r="G250" s="106" t="n">
        <v>2</v>
      </c>
      <c r="H250" s="106" t="n">
        <v>2</v>
      </c>
      <c r="I250" s="106" t="n">
        <v>2</v>
      </c>
      <c r="J250" s="106" t="n">
        <v>0</v>
      </c>
      <c r="K250" s="106" t="n">
        <f aca="false">SUM(E250:J250)</f>
        <v>10</v>
      </c>
      <c r="L250" s="107" t="n">
        <v>3</v>
      </c>
      <c r="M250" s="107" t="n">
        <v>9</v>
      </c>
      <c r="N250" s="107" t="n">
        <v>6</v>
      </c>
      <c r="O250" s="107" t="n">
        <v>6</v>
      </c>
      <c r="P250" s="107" t="n">
        <v>6</v>
      </c>
      <c r="Q250" s="107" t="n">
        <v>0</v>
      </c>
      <c r="R250" s="107" t="n">
        <f aca="false">SUM(L250:Q250)</f>
        <v>30</v>
      </c>
      <c r="S250" s="108" t="n">
        <v>1</v>
      </c>
      <c r="T250" s="108" t="n">
        <v>1</v>
      </c>
      <c r="U250" s="108" t="n">
        <v>1</v>
      </c>
      <c r="V250" s="108" t="n">
        <v>1</v>
      </c>
      <c r="W250" s="108" t="n">
        <v>1</v>
      </c>
      <c r="X250" s="108" t="n">
        <v>1</v>
      </c>
      <c r="Y250" s="107" t="n">
        <f aca="false">S250*$D250</f>
        <v>3</v>
      </c>
      <c r="Z250" s="107" t="n">
        <f aca="false">T250*$D250</f>
        <v>3</v>
      </c>
      <c r="AA250" s="107" t="n">
        <f aca="false">U250*$D250</f>
        <v>3</v>
      </c>
      <c r="AB250" s="107" t="n">
        <f aca="false">V250*$D250</f>
        <v>3</v>
      </c>
      <c r="AC250" s="107" t="n">
        <f aca="false">W250*$D250</f>
        <v>3</v>
      </c>
      <c r="AD250" s="107" t="n">
        <f aca="false">X250*$D250</f>
        <v>3</v>
      </c>
      <c r="AE250" s="107" t="n">
        <f aca="false">SUM(Y250:AD250)</f>
        <v>18</v>
      </c>
    </row>
    <row r="251" customFormat="false" ht="15" hidden="false" customHeight="false" outlineLevel="0" collapsed="false">
      <c r="A251" s="103" t="s">
        <v>697</v>
      </c>
      <c r="B251" s="104" t="n">
        <v>0</v>
      </c>
      <c r="C251" s="105" t="n">
        <f aca="false">IF(K251=0,0,R251/K251)</f>
        <v>6</v>
      </c>
      <c r="D251" s="105" t="n">
        <f aca="false">C251+B251</f>
        <v>6</v>
      </c>
      <c r="E251" s="106" t="n">
        <v>0</v>
      </c>
      <c r="F251" s="106" t="n">
        <v>5</v>
      </c>
      <c r="G251" s="106" t="n">
        <v>0</v>
      </c>
      <c r="H251" s="106" t="n">
        <v>0</v>
      </c>
      <c r="I251" s="106" t="n">
        <v>0</v>
      </c>
      <c r="J251" s="106" t="n">
        <v>0</v>
      </c>
      <c r="K251" s="106" t="n">
        <f aca="false">SUM(E251:J251)</f>
        <v>5</v>
      </c>
      <c r="L251" s="107" t="n">
        <v>0</v>
      </c>
      <c r="M251" s="107" t="n">
        <v>30</v>
      </c>
      <c r="N251" s="107" t="n">
        <v>0</v>
      </c>
      <c r="O251" s="107" t="n">
        <v>0</v>
      </c>
      <c r="P251" s="107" t="n">
        <v>0</v>
      </c>
      <c r="Q251" s="107" t="n">
        <v>0</v>
      </c>
      <c r="R251" s="107" t="n">
        <f aca="false">SUM(L251:Q251)</f>
        <v>30</v>
      </c>
      <c r="S251" s="108" t="n">
        <v>0</v>
      </c>
      <c r="T251" s="108" t="n">
        <v>0</v>
      </c>
      <c r="U251" s="108" t="n">
        <v>0</v>
      </c>
      <c r="V251" s="108" t="n">
        <v>0</v>
      </c>
      <c r="W251" s="108" t="n">
        <v>0</v>
      </c>
      <c r="X251" s="108" t="n">
        <v>0</v>
      </c>
      <c r="Y251" s="107" t="n">
        <f aca="false">S251*$D251</f>
        <v>0</v>
      </c>
      <c r="Z251" s="107" t="n">
        <f aca="false">T251*$D251</f>
        <v>0</v>
      </c>
      <c r="AA251" s="107" t="n">
        <f aca="false">U251*$D251</f>
        <v>0</v>
      </c>
      <c r="AB251" s="107" t="n">
        <f aca="false">V251*$D251</f>
        <v>0</v>
      </c>
      <c r="AC251" s="107" t="n">
        <f aca="false">W251*$D251</f>
        <v>0</v>
      </c>
      <c r="AD251" s="107" t="n">
        <f aca="false">X251*$D251</f>
        <v>0</v>
      </c>
      <c r="AE251" s="107" t="n">
        <f aca="false">SUM(Y251:AD251)</f>
        <v>0</v>
      </c>
    </row>
    <row r="252" customFormat="false" ht="15" hidden="false" customHeight="false" outlineLevel="0" collapsed="false">
      <c r="A252" s="103" t="s">
        <v>698</v>
      </c>
      <c r="B252" s="104" t="n">
        <v>0</v>
      </c>
      <c r="C252" s="105" t="n">
        <f aca="false">IF(K252=0,0,R252/K252)</f>
        <v>6</v>
      </c>
      <c r="D252" s="105" t="n">
        <f aca="false">C252+B252</f>
        <v>6</v>
      </c>
      <c r="E252" s="106" t="n">
        <v>0</v>
      </c>
      <c r="F252" s="106" t="n">
        <v>3</v>
      </c>
      <c r="G252" s="106" t="n">
        <v>0</v>
      </c>
      <c r="H252" s="106" t="n">
        <v>0</v>
      </c>
      <c r="I252" s="106" t="n">
        <v>0</v>
      </c>
      <c r="J252" s="106" t="n">
        <v>2</v>
      </c>
      <c r="K252" s="106" t="n">
        <f aca="false">SUM(E252:J252)</f>
        <v>5</v>
      </c>
      <c r="L252" s="107" t="n">
        <v>0</v>
      </c>
      <c r="M252" s="107" t="n">
        <v>18.9</v>
      </c>
      <c r="N252" s="107" t="n">
        <v>0</v>
      </c>
      <c r="O252" s="107" t="n">
        <v>0</v>
      </c>
      <c r="P252" s="107" t="n">
        <v>0</v>
      </c>
      <c r="Q252" s="107" t="n">
        <v>11.1</v>
      </c>
      <c r="R252" s="107" t="n">
        <f aca="false">SUM(L252:Q252)</f>
        <v>30</v>
      </c>
      <c r="S252" s="108" t="n">
        <v>1</v>
      </c>
      <c r="T252" s="108" t="n">
        <v>1</v>
      </c>
      <c r="U252" s="108" t="n">
        <v>1</v>
      </c>
      <c r="V252" s="108" t="n">
        <v>1</v>
      </c>
      <c r="W252" s="108" t="n">
        <v>1</v>
      </c>
      <c r="X252" s="108" t="n">
        <v>1</v>
      </c>
      <c r="Y252" s="107" t="n">
        <f aca="false">S252*$D252</f>
        <v>6</v>
      </c>
      <c r="Z252" s="107" t="n">
        <f aca="false">T252*$D252</f>
        <v>6</v>
      </c>
      <c r="AA252" s="107" t="n">
        <f aca="false">U252*$D252</f>
        <v>6</v>
      </c>
      <c r="AB252" s="107" t="n">
        <f aca="false">V252*$D252</f>
        <v>6</v>
      </c>
      <c r="AC252" s="107" t="n">
        <f aca="false">W252*$D252</f>
        <v>6</v>
      </c>
      <c r="AD252" s="107" t="n">
        <f aca="false">X252*$D252</f>
        <v>6</v>
      </c>
      <c r="AE252" s="107" t="n">
        <f aca="false">SUM(Y252:AD252)</f>
        <v>36</v>
      </c>
    </row>
    <row r="253" customFormat="false" ht="15" hidden="false" customHeight="false" outlineLevel="0" collapsed="false">
      <c r="A253" s="103" t="s">
        <v>699</v>
      </c>
      <c r="B253" s="104" t="n">
        <v>0</v>
      </c>
      <c r="C253" s="105" t="n">
        <f aca="false">IF(K253=0,0,R253/K253)</f>
        <v>10</v>
      </c>
      <c r="D253" s="105" t="n">
        <f aca="false">C253+B253</f>
        <v>10</v>
      </c>
      <c r="E253" s="106" t="n">
        <v>0</v>
      </c>
      <c r="F253" s="106" t="n">
        <v>3</v>
      </c>
      <c r="G253" s="106" t="n">
        <v>0</v>
      </c>
      <c r="H253" s="106" t="n">
        <v>0</v>
      </c>
      <c r="I253" s="106" t="n">
        <v>0</v>
      </c>
      <c r="J253" s="106" t="n">
        <v>0</v>
      </c>
      <c r="K253" s="106" t="n">
        <f aca="false">SUM(E253:J253)</f>
        <v>3</v>
      </c>
      <c r="L253" s="107" t="n">
        <v>0</v>
      </c>
      <c r="M253" s="107" t="n">
        <v>30</v>
      </c>
      <c r="N253" s="107" t="n">
        <v>0</v>
      </c>
      <c r="O253" s="107" t="n">
        <v>0</v>
      </c>
      <c r="P253" s="107" t="n">
        <v>0</v>
      </c>
      <c r="Q253" s="107" t="n">
        <v>0</v>
      </c>
      <c r="R253" s="107" t="n">
        <f aca="false">SUM(L253:Q253)</f>
        <v>30</v>
      </c>
      <c r="S253" s="108" t="n">
        <v>0</v>
      </c>
      <c r="T253" s="108" t="n">
        <v>0</v>
      </c>
      <c r="U253" s="108" t="n">
        <v>0</v>
      </c>
      <c r="V253" s="108" t="n">
        <v>0</v>
      </c>
      <c r="W253" s="108" t="n">
        <v>0</v>
      </c>
      <c r="X253" s="108" t="n">
        <v>0</v>
      </c>
      <c r="Y253" s="107" t="n">
        <f aca="false">S253*$D253</f>
        <v>0</v>
      </c>
      <c r="Z253" s="107" t="n">
        <f aca="false">T253*$D253</f>
        <v>0</v>
      </c>
      <c r="AA253" s="107" t="n">
        <f aca="false">U253*$D253</f>
        <v>0</v>
      </c>
      <c r="AB253" s="107" t="n">
        <f aca="false">V253*$D253</f>
        <v>0</v>
      </c>
      <c r="AC253" s="107" t="n">
        <f aca="false">W253*$D253</f>
        <v>0</v>
      </c>
      <c r="AD253" s="107" t="n">
        <f aca="false">X253*$D253</f>
        <v>0</v>
      </c>
      <c r="AE253" s="107" t="n">
        <f aca="false">SUM(Y253:AD253)</f>
        <v>0</v>
      </c>
    </row>
    <row r="254" customFormat="false" ht="15" hidden="false" customHeight="false" outlineLevel="0" collapsed="false">
      <c r="A254" s="103" t="s">
        <v>700</v>
      </c>
      <c r="B254" s="104" t="n">
        <v>0</v>
      </c>
      <c r="C254" s="105" t="n">
        <f aca="false">IF(K254=0,0,R254/K254)</f>
        <v>4.20857142857143</v>
      </c>
      <c r="D254" s="105" t="n">
        <f aca="false">C254+B254</f>
        <v>4.20857142857143</v>
      </c>
      <c r="E254" s="106" t="n">
        <v>0</v>
      </c>
      <c r="F254" s="106" t="n">
        <v>7</v>
      </c>
      <c r="G254" s="106" t="n">
        <v>0</v>
      </c>
      <c r="H254" s="106" t="n">
        <v>0</v>
      </c>
      <c r="I254" s="106" t="n">
        <v>0</v>
      </c>
      <c r="J254" s="106" t="n">
        <v>0</v>
      </c>
      <c r="K254" s="106" t="n">
        <f aca="false">SUM(E254:J254)</f>
        <v>7</v>
      </c>
      <c r="L254" s="107" t="n">
        <v>0</v>
      </c>
      <c r="M254" s="107" t="n">
        <v>29.46</v>
      </c>
      <c r="N254" s="107" t="n">
        <v>0</v>
      </c>
      <c r="O254" s="107" t="n">
        <v>0</v>
      </c>
      <c r="P254" s="107" t="n">
        <v>0</v>
      </c>
      <c r="Q254" s="107" t="n">
        <v>0</v>
      </c>
      <c r="R254" s="107" t="n">
        <f aca="false">SUM(L254:Q254)</f>
        <v>29.46</v>
      </c>
      <c r="S254" s="108" t="n">
        <v>0</v>
      </c>
      <c r="T254" s="108" t="n">
        <v>0</v>
      </c>
      <c r="U254" s="108" t="n">
        <v>0</v>
      </c>
      <c r="V254" s="108" t="n">
        <v>0</v>
      </c>
      <c r="W254" s="108" t="n">
        <v>0</v>
      </c>
      <c r="X254" s="108" t="n">
        <v>0</v>
      </c>
      <c r="Y254" s="107" t="n">
        <f aca="false">S254*$D254</f>
        <v>0</v>
      </c>
      <c r="Z254" s="107" t="n">
        <f aca="false">T254*$D254</f>
        <v>0</v>
      </c>
      <c r="AA254" s="107" t="n">
        <f aca="false">U254*$D254</f>
        <v>0</v>
      </c>
      <c r="AB254" s="107" t="n">
        <f aca="false">V254*$D254</f>
        <v>0</v>
      </c>
      <c r="AC254" s="107" t="n">
        <f aca="false">W254*$D254</f>
        <v>0</v>
      </c>
      <c r="AD254" s="107" t="n">
        <f aca="false">X254*$D254</f>
        <v>0</v>
      </c>
      <c r="AE254" s="107" t="n">
        <f aca="false">SUM(Y254:AD254)</f>
        <v>0</v>
      </c>
    </row>
    <row r="255" customFormat="false" ht="15" hidden="false" customHeight="false" outlineLevel="0" collapsed="false">
      <c r="A255" s="103" t="s">
        <v>701</v>
      </c>
      <c r="B255" s="104" t="n">
        <v>0</v>
      </c>
      <c r="C255" s="105" t="n">
        <f aca="false">IF(K255=0,0,R255/K255)</f>
        <v>2.94</v>
      </c>
      <c r="D255" s="105" t="n">
        <f aca="false">C255+B255</f>
        <v>2.94</v>
      </c>
      <c r="E255" s="106" t="n">
        <v>0</v>
      </c>
      <c r="F255" s="106" t="n">
        <v>7</v>
      </c>
      <c r="G255" s="106" t="n">
        <v>3</v>
      </c>
      <c r="H255" s="106" t="n">
        <v>0</v>
      </c>
      <c r="I255" s="106" t="n">
        <v>0</v>
      </c>
      <c r="J255" s="106" t="n">
        <v>0</v>
      </c>
      <c r="K255" s="106" t="n">
        <f aca="false">SUM(E255:J255)</f>
        <v>10</v>
      </c>
      <c r="L255" s="107" t="n">
        <v>0</v>
      </c>
      <c r="M255" s="107" t="n">
        <v>20.4</v>
      </c>
      <c r="N255" s="107" t="n">
        <v>9</v>
      </c>
      <c r="O255" s="107" t="n">
        <v>0</v>
      </c>
      <c r="P255" s="107" t="n">
        <v>0</v>
      </c>
      <c r="Q255" s="107" t="n">
        <v>0</v>
      </c>
      <c r="R255" s="107" t="n">
        <f aca="false">SUM(L255:Q255)</f>
        <v>29.4</v>
      </c>
      <c r="S255" s="108" t="n">
        <v>0</v>
      </c>
      <c r="T255" s="108" t="n">
        <v>0</v>
      </c>
      <c r="U255" s="108" t="n">
        <v>0</v>
      </c>
      <c r="V255" s="108" t="n">
        <v>0</v>
      </c>
      <c r="W255" s="108" t="n">
        <v>0</v>
      </c>
      <c r="X255" s="108" t="n">
        <v>0</v>
      </c>
      <c r="Y255" s="107" t="n">
        <f aca="false">S255*$D255</f>
        <v>0</v>
      </c>
      <c r="Z255" s="107" t="n">
        <f aca="false">T255*$D255</f>
        <v>0</v>
      </c>
      <c r="AA255" s="107" t="n">
        <f aca="false">U255*$D255</f>
        <v>0</v>
      </c>
      <c r="AB255" s="107" t="n">
        <f aca="false">V255*$D255</f>
        <v>0</v>
      </c>
      <c r="AC255" s="107" t="n">
        <f aca="false">W255*$D255</f>
        <v>0</v>
      </c>
      <c r="AD255" s="107" t="n">
        <f aca="false">X255*$D255</f>
        <v>0</v>
      </c>
      <c r="AE255" s="107" t="n">
        <f aca="false">SUM(Y255:AD255)</f>
        <v>0</v>
      </c>
    </row>
    <row r="256" customFormat="false" ht="15" hidden="false" customHeight="false" outlineLevel="0" collapsed="false">
      <c r="A256" s="103" t="s">
        <v>702</v>
      </c>
      <c r="B256" s="104" t="n">
        <v>0</v>
      </c>
      <c r="C256" s="105" t="n">
        <f aca="false">IF(K256=0,0,R256/K256)</f>
        <v>4.85</v>
      </c>
      <c r="D256" s="105" t="n">
        <f aca="false">C256+B256</f>
        <v>4.85</v>
      </c>
      <c r="E256" s="106" t="n">
        <v>0</v>
      </c>
      <c r="F256" s="106" t="n">
        <v>0</v>
      </c>
      <c r="G256" s="106" t="n">
        <v>4</v>
      </c>
      <c r="H256" s="106" t="n">
        <v>2</v>
      </c>
      <c r="I256" s="106" t="n">
        <v>0</v>
      </c>
      <c r="J256" s="106" t="n">
        <v>0</v>
      </c>
      <c r="K256" s="106" t="n">
        <f aca="false">SUM(E256:J256)</f>
        <v>6</v>
      </c>
      <c r="L256" s="107" t="n">
        <v>0</v>
      </c>
      <c r="M256" s="107" t="n">
        <v>0</v>
      </c>
      <c r="N256" s="107" t="n">
        <v>20.1</v>
      </c>
      <c r="O256" s="107" t="n">
        <v>9</v>
      </c>
      <c r="P256" s="107" t="n">
        <v>0</v>
      </c>
      <c r="Q256" s="107" t="n">
        <v>0</v>
      </c>
      <c r="R256" s="107" t="n">
        <f aca="false">SUM(L256:Q256)</f>
        <v>29.1</v>
      </c>
      <c r="S256" s="108" t="n">
        <v>1</v>
      </c>
      <c r="T256" s="108" t="n">
        <v>1</v>
      </c>
      <c r="U256" s="108" t="n">
        <v>1</v>
      </c>
      <c r="V256" s="108" t="n">
        <v>1</v>
      </c>
      <c r="W256" s="108" t="n">
        <v>1</v>
      </c>
      <c r="X256" s="108" t="n">
        <v>1</v>
      </c>
      <c r="Y256" s="107" t="n">
        <f aca="false">S256*$D256</f>
        <v>4.85</v>
      </c>
      <c r="Z256" s="107" t="n">
        <f aca="false">T256*$D256</f>
        <v>4.85</v>
      </c>
      <c r="AA256" s="107" t="n">
        <f aca="false">U256*$D256</f>
        <v>4.85</v>
      </c>
      <c r="AB256" s="107" t="n">
        <f aca="false">V256*$D256</f>
        <v>4.85</v>
      </c>
      <c r="AC256" s="107" t="n">
        <f aca="false">W256*$D256</f>
        <v>4.85</v>
      </c>
      <c r="AD256" s="107" t="n">
        <f aca="false">X256*$D256</f>
        <v>4.85</v>
      </c>
      <c r="AE256" s="107" t="n">
        <f aca="false">SUM(Y256:AD256)</f>
        <v>29.1</v>
      </c>
    </row>
    <row r="257" customFormat="false" ht="15" hidden="false" customHeight="false" outlineLevel="0" collapsed="false">
      <c r="A257" s="103" t="s">
        <v>703</v>
      </c>
      <c r="B257" s="104" t="n">
        <v>0</v>
      </c>
      <c r="C257" s="105" t="n">
        <f aca="false">IF(K257=0,0,R257/K257)</f>
        <v>14.4</v>
      </c>
      <c r="D257" s="105" t="n">
        <f aca="false">C257+B257</f>
        <v>14.4</v>
      </c>
      <c r="E257" s="106" t="n">
        <v>0</v>
      </c>
      <c r="F257" s="106" t="n">
        <v>0</v>
      </c>
      <c r="G257" s="106" t="n">
        <v>0</v>
      </c>
      <c r="H257" s="106" t="n">
        <v>0</v>
      </c>
      <c r="I257" s="106" t="n">
        <v>0</v>
      </c>
      <c r="J257" s="106" t="n">
        <v>2</v>
      </c>
      <c r="K257" s="106" t="n">
        <f aca="false">SUM(E257:J257)</f>
        <v>2</v>
      </c>
      <c r="L257" s="107" t="n">
        <v>0</v>
      </c>
      <c r="M257" s="107" t="n">
        <v>0</v>
      </c>
      <c r="N257" s="107" t="n">
        <v>0</v>
      </c>
      <c r="O257" s="107" t="n">
        <v>0</v>
      </c>
      <c r="P257" s="107" t="n">
        <v>0</v>
      </c>
      <c r="Q257" s="107" t="n">
        <v>28.8</v>
      </c>
      <c r="R257" s="107" t="n">
        <f aca="false">SUM(L257:Q257)</f>
        <v>28.8</v>
      </c>
      <c r="S257" s="108" t="n">
        <v>1</v>
      </c>
      <c r="T257" s="108" t="n">
        <v>1</v>
      </c>
      <c r="U257" s="108" t="n">
        <v>1</v>
      </c>
      <c r="V257" s="108" t="n">
        <v>1</v>
      </c>
      <c r="W257" s="108" t="n">
        <v>1</v>
      </c>
      <c r="X257" s="108" t="n">
        <v>1</v>
      </c>
      <c r="Y257" s="107" t="n">
        <f aca="false">S257*$D257</f>
        <v>14.4</v>
      </c>
      <c r="Z257" s="107" t="n">
        <f aca="false">T257*$D257</f>
        <v>14.4</v>
      </c>
      <c r="AA257" s="107" t="n">
        <f aca="false">U257*$D257</f>
        <v>14.4</v>
      </c>
      <c r="AB257" s="107" t="n">
        <f aca="false">V257*$D257</f>
        <v>14.4</v>
      </c>
      <c r="AC257" s="107" t="n">
        <f aca="false">W257*$D257</f>
        <v>14.4</v>
      </c>
      <c r="AD257" s="107" t="n">
        <f aca="false">X257*$D257</f>
        <v>14.4</v>
      </c>
      <c r="AE257" s="107" t="n">
        <f aca="false">SUM(Y257:AD257)</f>
        <v>86.4</v>
      </c>
    </row>
    <row r="258" customFormat="false" ht="15" hidden="false" customHeight="false" outlineLevel="0" collapsed="false">
      <c r="A258" s="103" t="s">
        <v>704</v>
      </c>
      <c r="B258" s="104" t="n">
        <v>0</v>
      </c>
      <c r="C258" s="105" t="n">
        <f aca="false">IF(K258=0,0,R258/K258)</f>
        <v>5.58</v>
      </c>
      <c r="D258" s="105" t="n">
        <f aca="false">C258+B258</f>
        <v>5.58</v>
      </c>
      <c r="E258" s="106" t="n">
        <v>0</v>
      </c>
      <c r="F258" s="106" t="n">
        <v>0</v>
      </c>
      <c r="G258" s="106" t="n">
        <v>0</v>
      </c>
      <c r="H258" s="106" t="n">
        <v>0</v>
      </c>
      <c r="I258" s="106" t="n">
        <v>0</v>
      </c>
      <c r="J258" s="106" t="n">
        <v>5</v>
      </c>
      <c r="K258" s="106" t="n">
        <f aca="false">SUM(E258:J258)</f>
        <v>5</v>
      </c>
      <c r="L258" s="107" t="n">
        <v>0</v>
      </c>
      <c r="M258" s="107" t="n">
        <v>0</v>
      </c>
      <c r="N258" s="107" t="n">
        <v>0</v>
      </c>
      <c r="O258" s="107" t="n">
        <v>0</v>
      </c>
      <c r="P258" s="107" t="n">
        <v>0</v>
      </c>
      <c r="Q258" s="107" t="n">
        <v>27.9</v>
      </c>
      <c r="R258" s="107" t="n">
        <f aca="false">SUM(L258:Q258)</f>
        <v>27.9</v>
      </c>
      <c r="S258" s="108" t="n">
        <v>2</v>
      </c>
      <c r="T258" s="108" t="n">
        <v>2</v>
      </c>
      <c r="U258" s="108" t="n">
        <v>2</v>
      </c>
      <c r="V258" s="108" t="n">
        <v>2</v>
      </c>
      <c r="W258" s="108" t="n">
        <v>2</v>
      </c>
      <c r="X258" s="108" t="n">
        <v>2</v>
      </c>
      <c r="Y258" s="107" t="n">
        <f aca="false">S258*$D258</f>
        <v>11.16</v>
      </c>
      <c r="Z258" s="107" t="n">
        <f aca="false">T258*$D258</f>
        <v>11.16</v>
      </c>
      <c r="AA258" s="107" t="n">
        <f aca="false">U258*$D258</f>
        <v>11.16</v>
      </c>
      <c r="AB258" s="107" t="n">
        <f aca="false">V258*$D258</f>
        <v>11.16</v>
      </c>
      <c r="AC258" s="107" t="n">
        <f aca="false">W258*$D258</f>
        <v>11.16</v>
      </c>
      <c r="AD258" s="107" t="n">
        <f aca="false">X258*$D258</f>
        <v>11.16</v>
      </c>
      <c r="AE258" s="107" t="n">
        <f aca="false">SUM(Y258:AD258)</f>
        <v>66.96</v>
      </c>
    </row>
    <row r="259" customFormat="false" ht="15" hidden="false" customHeight="false" outlineLevel="0" collapsed="false">
      <c r="A259" s="103" t="s">
        <v>705</v>
      </c>
      <c r="B259" s="104" t="n">
        <v>0</v>
      </c>
      <c r="C259" s="105" t="n">
        <f aca="false">IF(K259=0,0,R259/K259)</f>
        <v>4.58333333333333</v>
      </c>
      <c r="D259" s="105" t="n">
        <f aca="false">C259+B259</f>
        <v>4.58333333333333</v>
      </c>
      <c r="E259" s="106" t="n">
        <v>0</v>
      </c>
      <c r="F259" s="106" t="n">
        <v>6</v>
      </c>
      <c r="G259" s="106" t="n">
        <v>0</v>
      </c>
      <c r="H259" s="106" t="n">
        <v>0</v>
      </c>
      <c r="I259" s="106" t="n">
        <v>0</v>
      </c>
      <c r="J259" s="106" t="n">
        <v>0</v>
      </c>
      <c r="K259" s="106" t="n">
        <f aca="false">SUM(E259:J259)</f>
        <v>6</v>
      </c>
      <c r="L259" s="107" t="n">
        <v>0</v>
      </c>
      <c r="M259" s="107" t="n">
        <v>27.5</v>
      </c>
      <c r="N259" s="107" t="n">
        <v>0</v>
      </c>
      <c r="O259" s="107" t="n">
        <v>0</v>
      </c>
      <c r="P259" s="107" t="n">
        <v>0</v>
      </c>
      <c r="Q259" s="107" t="n">
        <v>0</v>
      </c>
      <c r="R259" s="107" t="n">
        <f aca="false">SUM(L259:Q259)</f>
        <v>27.5</v>
      </c>
      <c r="S259" s="108" t="n">
        <v>0</v>
      </c>
      <c r="T259" s="108" t="n">
        <v>0</v>
      </c>
      <c r="U259" s="108" t="n">
        <v>0</v>
      </c>
      <c r="V259" s="108" t="n">
        <v>0</v>
      </c>
      <c r="W259" s="108" t="n">
        <v>0</v>
      </c>
      <c r="X259" s="108" t="n">
        <v>0</v>
      </c>
      <c r="Y259" s="107" t="n">
        <f aca="false">S259*$D259</f>
        <v>0</v>
      </c>
      <c r="Z259" s="107" t="n">
        <f aca="false">T259*$D259</f>
        <v>0</v>
      </c>
      <c r="AA259" s="107" t="n">
        <f aca="false">U259*$D259</f>
        <v>0</v>
      </c>
      <c r="AB259" s="107" t="n">
        <f aca="false">V259*$D259</f>
        <v>0</v>
      </c>
      <c r="AC259" s="107" t="n">
        <f aca="false">W259*$D259</f>
        <v>0</v>
      </c>
      <c r="AD259" s="107" t="n">
        <f aca="false">X259*$D259</f>
        <v>0</v>
      </c>
      <c r="AE259" s="107" t="n">
        <f aca="false">SUM(Y259:AD259)</f>
        <v>0</v>
      </c>
    </row>
    <row r="260" customFormat="false" ht="15" hidden="false" customHeight="false" outlineLevel="0" collapsed="false">
      <c r="A260" s="103" t="s">
        <v>706</v>
      </c>
      <c r="B260" s="104" t="n">
        <v>0</v>
      </c>
      <c r="C260" s="105" t="n">
        <f aca="false">IF(K260=0,0,R260/K260)</f>
        <v>4.5</v>
      </c>
      <c r="D260" s="105" t="n">
        <f aca="false">C260+B260</f>
        <v>4.5</v>
      </c>
      <c r="E260" s="106" t="n">
        <v>0</v>
      </c>
      <c r="F260" s="106" t="n">
        <v>6</v>
      </c>
      <c r="G260" s="106" t="n">
        <v>0</v>
      </c>
      <c r="H260" s="106" t="n">
        <v>0</v>
      </c>
      <c r="I260" s="106" t="n">
        <v>0</v>
      </c>
      <c r="J260" s="106" t="n">
        <v>0</v>
      </c>
      <c r="K260" s="106" t="n">
        <f aca="false">SUM(E260:J260)</f>
        <v>6</v>
      </c>
      <c r="L260" s="107" t="n">
        <v>0</v>
      </c>
      <c r="M260" s="107" t="n">
        <v>27</v>
      </c>
      <c r="N260" s="107" t="n">
        <v>0</v>
      </c>
      <c r="O260" s="107" t="n">
        <v>0</v>
      </c>
      <c r="P260" s="107" t="n">
        <v>0</v>
      </c>
      <c r="Q260" s="107" t="n">
        <v>0</v>
      </c>
      <c r="R260" s="107" t="n">
        <f aca="false">SUM(L260:Q260)</f>
        <v>27</v>
      </c>
      <c r="S260" s="108" t="n">
        <v>0</v>
      </c>
      <c r="T260" s="108" t="n">
        <v>0</v>
      </c>
      <c r="U260" s="108" t="n">
        <v>0</v>
      </c>
      <c r="V260" s="108" t="n">
        <v>0</v>
      </c>
      <c r="W260" s="108" t="n">
        <v>0</v>
      </c>
      <c r="X260" s="108" t="n">
        <v>0</v>
      </c>
      <c r="Y260" s="107" t="n">
        <f aca="false">S260*$D260</f>
        <v>0</v>
      </c>
      <c r="Z260" s="107" t="n">
        <f aca="false">T260*$D260</f>
        <v>0</v>
      </c>
      <c r="AA260" s="107" t="n">
        <f aca="false">U260*$D260</f>
        <v>0</v>
      </c>
      <c r="AB260" s="107" t="n">
        <f aca="false">V260*$D260</f>
        <v>0</v>
      </c>
      <c r="AC260" s="107" t="n">
        <f aca="false">W260*$D260</f>
        <v>0</v>
      </c>
      <c r="AD260" s="107" t="n">
        <f aca="false">X260*$D260</f>
        <v>0</v>
      </c>
      <c r="AE260" s="107" t="n">
        <f aca="false">SUM(Y260:AD260)</f>
        <v>0</v>
      </c>
    </row>
    <row r="261" customFormat="false" ht="15" hidden="false" customHeight="false" outlineLevel="0" collapsed="false">
      <c r="A261" s="103" t="s">
        <v>707</v>
      </c>
      <c r="B261" s="104" t="n">
        <v>0</v>
      </c>
      <c r="C261" s="105" t="n">
        <f aca="false">IF(K261=0,0,R261/K261)</f>
        <v>5.4</v>
      </c>
      <c r="D261" s="105" t="n">
        <f aca="false">C261+B261</f>
        <v>5.4</v>
      </c>
      <c r="E261" s="106" t="n">
        <v>0</v>
      </c>
      <c r="F261" s="106" t="n">
        <v>0</v>
      </c>
      <c r="G261" s="106" t="n">
        <v>0</v>
      </c>
      <c r="H261" s="106" t="n">
        <v>0</v>
      </c>
      <c r="I261" s="106" t="n">
        <v>0</v>
      </c>
      <c r="J261" s="106" t="n">
        <v>5</v>
      </c>
      <c r="K261" s="106" t="n">
        <f aca="false">SUM(E261:J261)</f>
        <v>5</v>
      </c>
      <c r="L261" s="107" t="n">
        <v>0</v>
      </c>
      <c r="M261" s="107" t="n">
        <v>0</v>
      </c>
      <c r="N261" s="107" t="n">
        <v>0</v>
      </c>
      <c r="O261" s="107" t="n">
        <v>0</v>
      </c>
      <c r="P261" s="107" t="n">
        <v>0</v>
      </c>
      <c r="Q261" s="107" t="n">
        <v>27</v>
      </c>
      <c r="R261" s="107" t="n">
        <f aca="false">SUM(L261:Q261)</f>
        <v>27</v>
      </c>
      <c r="S261" s="108" t="n">
        <v>2</v>
      </c>
      <c r="T261" s="108" t="n">
        <v>2</v>
      </c>
      <c r="U261" s="108" t="n">
        <v>2</v>
      </c>
      <c r="V261" s="108" t="n">
        <v>2</v>
      </c>
      <c r="W261" s="108" t="n">
        <v>2</v>
      </c>
      <c r="X261" s="108" t="n">
        <v>2</v>
      </c>
      <c r="Y261" s="107" t="n">
        <f aca="false">S261*$D261</f>
        <v>10.8</v>
      </c>
      <c r="Z261" s="107" t="n">
        <f aca="false">T261*$D261</f>
        <v>10.8</v>
      </c>
      <c r="AA261" s="107" t="n">
        <f aca="false">U261*$D261</f>
        <v>10.8</v>
      </c>
      <c r="AB261" s="107" t="n">
        <f aca="false">V261*$D261</f>
        <v>10.8</v>
      </c>
      <c r="AC261" s="107" t="n">
        <f aca="false">W261*$D261</f>
        <v>10.8</v>
      </c>
      <c r="AD261" s="107" t="n">
        <f aca="false">X261*$D261</f>
        <v>10.8</v>
      </c>
      <c r="AE261" s="107" t="n">
        <f aca="false">SUM(Y261:AD261)</f>
        <v>64.8</v>
      </c>
    </row>
    <row r="262" customFormat="false" ht="15" hidden="false" customHeight="false" outlineLevel="0" collapsed="false">
      <c r="A262" s="103" t="s">
        <v>708</v>
      </c>
      <c r="B262" s="104" t="n">
        <v>0</v>
      </c>
      <c r="C262" s="105" t="n">
        <f aca="false">IF(K262=0,0,R262/K262)</f>
        <v>3.3475</v>
      </c>
      <c r="D262" s="105" t="n">
        <f aca="false">C262+B262</f>
        <v>3.3475</v>
      </c>
      <c r="E262" s="106" t="n">
        <v>0</v>
      </c>
      <c r="F262" s="106" t="n">
        <v>0</v>
      </c>
      <c r="G262" s="106" t="n">
        <v>0</v>
      </c>
      <c r="H262" s="106" t="n">
        <v>0</v>
      </c>
      <c r="I262" s="106" t="n">
        <v>0</v>
      </c>
      <c r="J262" s="106" t="n">
        <v>8</v>
      </c>
      <c r="K262" s="106" t="n">
        <f aca="false">SUM(E262:J262)</f>
        <v>8</v>
      </c>
      <c r="L262" s="107" t="n">
        <v>0</v>
      </c>
      <c r="M262" s="107" t="n">
        <v>0</v>
      </c>
      <c r="N262" s="107" t="n">
        <v>0</v>
      </c>
      <c r="O262" s="107" t="n">
        <v>0</v>
      </c>
      <c r="P262" s="107" t="n">
        <v>0</v>
      </c>
      <c r="Q262" s="107" t="n">
        <v>26.78</v>
      </c>
      <c r="R262" s="107" t="n">
        <f aca="false">SUM(L262:Q262)</f>
        <v>26.78</v>
      </c>
      <c r="S262" s="108" t="n">
        <v>3</v>
      </c>
      <c r="T262" s="108" t="n">
        <v>3</v>
      </c>
      <c r="U262" s="108" t="n">
        <v>3</v>
      </c>
      <c r="V262" s="108" t="n">
        <v>3</v>
      </c>
      <c r="W262" s="108" t="n">
        <v>3</v>
      </c>
      <c r="X262" s="108" t="n">
        <v>3</v>
      </c>
      <c r="Y262" s="107" t="n">
        <f aca="false">S262*$D262</f>
        <v>10.0425</v>
      </c>
      <c r="Z262" s="107" t="n">
        <f aca="false">T262*$D262</f>
        <v>10.0425</v>
      </c>
      <c r="AA262" s="107" t="n">
        <f aca="false">U262*$D262</f>
        <v>10.0425</v>
      </c>
      <c r="AB262" s="107" t="n">
        <f aca="false">V262*$D262</f>
        <v>10.0425</v>
      </c>
      <c r="AC262" s="107" t="n">
        <f aca="false">W262*$D262</f>
        <v>10.0425</v>
      </c>
      <c r="AD262" s="107" t="n">
        <f aca="false">X262*$D262</f>
        <v>10.0425</v>
      </c>
      <c r="AE262" s="107" t="n">
        <f aca="false">SUM(Y262:AD262)</f>
        <v>60.255</v>
      </c>
    </row>
    <row r="263" customFormat="false" ht="15" hidden="false" customHeight="false" outlineLevel="0" collapsed="false">
      <c r="A263" s="103" t="s">
        <v>709</v>
      </c>
      <c r="B263" s="104" t="n">
        <v>0</v>
      </c>
      <c r="C263" s="105" t="n">
        <f aca="false">IF(K263=0,0,R263/K263)</f>
        <v>5.22</v>
      </c>
      <c r="D263" s="105" t="n">
        <f aca="false">C263+B263</f>
        <v>5.22</v>
      </c>
      <c r="E263" s="106" t="n">
        <v>0</v>
      </c>
      <c r="F263" s="106" t="n">
        <v>5</v>
      </c>
      <c r="G263" s="106" t="n">
        <v>0</v>
      </c>
      <c r="H263" s="106" t="n">
        <v>0</v>
      </c>
      <c r="I263" s="106" t="n">
        <v>0</v>
      </c>
      <c r="J263" s="106" t="n">
        <v>0</v>
      </c>
      <c r="K263" s="106" t="n">
        <f aca="false">SUM(E263:J263)</f>
        <v>5</v>
      </c>
      <c r="L263" s="107" t="n">
        <v>0</v>
      </c>
      <c r="M263" s="107" t="n">
        <v>26.1</v>
      </c>
      <c r="N263" s="107" t="n">
        <v>0</v>
      </c>
      <c r="O263" s="107" t="n">
        <v>0</v>
      </c>
      <c r="P263" s="107" t="n">
        <v>0</v>
      </c>
      <c r="Q263" s="107" t="n">
        <v>0</v>
      </c>
      <c r="R263" s="107" t="n">
        <f aca="false">SUM(L263:Q263)</f>
        <v>26.1</v>
      </c>
      <c r="S263" s="108" t="n">
        <v>0</v>
      </c>
      <c r="T263" s="108" t="n">
        <v>0</v>
      </c>
      <c r="U263" s="108" t="n">
        <v>0</v>
      </c>
      <c r="V263" s="108" t="n">
        <v>0</v>
      </c>
      <c r="W263" s="108" t="n">
        <v>0</v>
      </c>
      <c r="X263" s="108" t="n">
        <v>0</v>
      </c>
      <c r="Y263" s="107" t="n">
        <f aca="false">S263*$D263</f>
        <v>0</v>
      </c>
      <c r="Z263" s="107" t="n">
        <f aca="false">T263*$D263</f>
        <v>0</v>
      </c>
      <c r="AA263" s="107" t="n">
        <f aca="false">U263*$D263</f>
        <v>0</v>
      </c>
      <c r="AB263" s="107" t="n">
        <f aca="false">V263*$D263</f>
        <v>0</v>
      </c>
      <c r="AC263" s="107" t="n">
        <f aca="false">W263*$D263</f>
        <v>0</v>
      </c>
      <c r="AD263" s="107" t="n">
        <f aca="false">X263*$D263</f>
        <v>0</v>
      </c>
      <c r="AE263" s="107" t="n">
        <f aca="false">SUM(Y263:AD263)</f>
        <v>0</v>
      </c>
    </row>
    <row r="264" customFormat="false" ht="15" hidden="false" customHeight="false" outlineLevel="0" collapsed="false">
      <c r="A264" s="103" t="s">
        <v>710</v>
      </c>
      <c r="B264" s="104" t="n">
        <v>0</v>
      </c>
      <c r="C264" s="105" t="n">
        <f aca="false">IF(K264=0,0,R264/K264)</f>
        <v>13</v>
      </c>
      <c r="D264" s="105" t="n">
        <f aca="false">C264+B264</f>
        <v>13</v>
      </c>
      <c r="E264" s="106" t="n">
        <v>0</v>
      </c>
      <c r="F264" s="106" t="n">
        <v>0</v>
      </c>
      <c r="G264" s="106" t="n">
        <v>0</v>
      </c>
      <c r="H264" s="106" t="n">
        <v>0</v>
      </c>
      <c r="I264" s="106" t="n">
        <v>2</v>
      </c>
      <c r="J264" s="106" t="n">
        <v>0</v>
      </c>
      <c r="K264" s="106" t="n">
        <f aca="false">SUM(E264:J264)</f>
        <v>2</v>
      </c>
      <c r="L264" s="107" t="n">
        <v>0</v>
      </c>
      <c r="M264" s="107" t="n">
        <v>0</v>
      </c>
      <c r="N264" s="107" t="n">
        <v>0</v>
      </c>
      <c r="O264" s="107" t="n">
        <v>0</v>
      </c>
      <c r="P264" s="107" t="n">
        <v>26</v>
      </c>
      <c r="Q264" s="107" t="n">
        <v>0</v>
      </c>
      <c r="R264" s="107" t="n">
        <f aca="false">SUM(L264:Q264)</f>
        <v>26</v>
      </c>
      <c r="S264" s="108" t="n">
        <v>1</v>
      </c>
      <c r="T264" s="108" t="n">
        <v>1</v>
      </c>
      <c r="U264" s="108" t="n">
        <v>1</v>
      </c>
      <c r="V264" s="108" t="n">
        <v>1</v>
      </c>
      <c r="W264" s="108" t="n">
        <v>1</v>
      </c>
      <c r="X264" s="108" t="n">
        <v>1</v>
      </c>
      <c r="Y264" s="107" t="n">
        <f aca="false">S264*$D264</f>
        <v>13</v>
      </c>
      <c r="Z264" s="107" t="n">
        <f aca="false">T264*$D264</f>
        <v>13</v>
      </c>
      <c r="AA264" s="107" t="n">
        <f aca="false">U264*$D264</f>
        <v>13</v>
      </c>
      <c r="AB264" s="107" t="n">
        <f aca="false">V264*$D264</f>
        <v>13</v>
      </c>
      <c r="AC264" s="107" t="n">
        <f aca="false">W264*$D264</f>
        <v>13</v>
      </c>
      <c r="AD264" s="107" t="n">
        <f aca="false">X264*$D264</f>
        <v>13</v>
      </c>
      <c r="AE264" s="107" t="n">
        <f aca="false">SUM(Y264:AD264)</f>
        <v>78</v>
      </c>
    </row>
    <row r="265" customFormat="false" ht="15" hidden="false" customHeight="false" outlineLevel="0" collapsed="false">
      <c r="A265" s="103" t="s">
        <v>711</v>
      </c>
      <c r="B265" s="104" t="n">
        <v>0</v>
      </c>
      <c r="C265" s="105" t="n">
        <f aca="false">IF(K265=0,0,R265/K265)</f>
        <v>8.63333333333333</v>
      </c>
      <c r="D265" s="105" t="n">
        <f aca="false">C265+B265</f>
        <v>8.63333333333333</v>
      </c>
      <c r="E265" s="106" t="n">
        <v>0</v>
      </c>
      <c r="F265" s="106" t="n">
        <v>1</v>
      </c>
      <c r="G265" s="106" t="n">
        <v>1</v>
      </c>
      <c r="H265" s="106" t="n">
        <v>0</v>
      </c>
      <c r="I265" s="106" t="n">
        <v>0</v>
      </c>
      <c r="J265" s="106" t="n">
        <v>1</v>
      </c>
      <c r="K265" s="106" t="n">
        <f aca="false">SUM(E265:J265)</f>
        <v>3</v>
      </c>
      <c r="L265" s="107" t="n">
        <v>0</v>
      </c>
      <c r="M265" s="107" t="n">
        <v>14</v>
      </c>
      <c r="N265" s="107" t="n">
        <v>11.9</v>
      </c>
      <c r="O265" s="107" t="n">
        <v>0</v>
      </c>
      <c r="P265" s="107" t="n">
        <v>0</v>
      </c>
      <c r="Q265" s="107" t="n">
        <v>0</v>
      </c>
      <c r="R265" s="107" t="n">
        <f aca="false">SUM(L265:Q265)</f>
        <v>25.9</v>
      </c>
      <c r="S265" s="108" t="n">
        <v>0</v>
      </c>
      <c r="T265" s="108" t="n">
        <v>0</v>
      </c>
      <c r="U265" s="108" t="n">
        <v>0</v>
      </c>
      <c r="V265" s="108" t="n">
        <v>0</v>
      </c>
      <c r="W265" s="108" t="n">
        <v>0</v>
      </c>
      <c r="X265" s="108" t="n">
        <v>0</v>
      </c>
      <c r="Y265" s="107" t="n">
        <f aca="false">S265*$D265</f>
        <v>0</v>
      </c>
      <c r="Z265" s="107" t="n">
        <f aca="false">T265*$D265</f>
        <v>0</v>
      </c>
      <c r="AA265" s="107" t="n">
        <f aca="false">U265*$D265</f>
        <v>0</v>
      </c>
      <c r="AB265" s="107" t="n">
        <f aca="false">V265*$D265</f>
        <v>0</v>
      </c>
      <c r="AC265" s="107" t="n">
        <f aca="false">W265*$D265</f>
        <v>0</v>
      </c>
      <c r="AD265" s="107" t="n">
        <f aca="false">X265*$D265</f>
        <v>0</v>
      </c>
      <c r="AE265" s="107" t="n">
        <f aca="false">SUM(Y265:AD265)</f>
        <v>0</v>
      </c>
    </row>
    <row r="266" customFormat="false" ht="15" hidden="false" customHeight="false" outlineLevel="0" collapsed="false">
      <c r="A266" s="103" t="s">
        <v>712</v>
      </c>
      <c r="B266" s="104" t="n">
        <v>0</v>
      </c>
      <c r="C266" s="105" t="n">
        <f aca="false">IF(K266=0,0,R266/K266)</f>
        <v>4.16333333333333</v>
      </c>
      <c r="D266" s="105" t="n">
        <f aca="false">C266+B266</f>
        <v>4.16333333333333</v>
      </c>
      <c r="E266" s="106" t="n">
        <v>0</v>
      </c>
      <c r="F266" s="106" t="n">
        <v>0</v>
      </c>
      <c r="G266" s="106" t="n">
        <v>6</v>
      </c>
      <c r="H266" s="106" t="n">
        <v>0</v>
      </c>
      <c r="I266" s="106" t="n">
        <v>0</v>
      </c>
      <c r="J266" s="106" t="n">
        <v>0</v>
      </c>
      <c r="K266" s="106" t="n">
        <f aca="false">SUM(E266:J266)</f>
        <v>6</v>
      </c>
      <c r="L266" s="107" t="n">
        <v>0</v>
      </c>
      <c r="M266" s="107" t="n">
        <v>0</v>
      </c>
      <c r="N266" s="107" t="n">
        <v>24.98</v>
      </c>
      <c r="O266" s="107" t="n">
        <v>0</v>
      </c>
      <c r="P266" s="107" t="n">
        <v>0</v>
      </c>
      <c r="Q266" s="107" t="n">
        <v>0</v>
      </c>
      <c r="R266" s="107" t="n">
        <f aca="false">SUM(L266:Q266)</f>
        <v>24.98</v>
      </c>
      <c r="S266" s="108" t="n">
        <v>0</v>
      </c>
      <c r="T266" s="108" t="n">
        <v>0</v>
      </c>
      <c r="U266" s="108" t="n">
        <v>0</v>
      </c>
      <c r="V266" s="108" t="n">
        <v>0</v>
      </c>
      <c r="W266" s="108" t="n">
        <v>0</v>
      </c>
      <c r="X266" s="108" t="n">
        <v>0</v>
      </c>
      <c r="Y266" s="107" t="n">
        <f aca="false">S266*$D266</f>
        <v>0</v>
      </c>
      <c r="Z266" s="107" t="n">
        <f aca="false">T266*$D266</f>
        <v>0</v>
      </c>
      <c r="AA266" s="107" t="n">
        <f aca="false">U266*$D266</f>
        <v>0</v>
      </c>
      <c r="AB266" s="107" t="n">
        <f aca="false">V266*$D266</f>
        <v>0</v>
      </c>
      <c r="AC266" s="107" t="n">
        <f aca="false">W266*$D266</f>
        <v>0</v>
      </c>
      <c r="AD266" s="107" t="n">
        <f aca="false">X266*$D266</f>
        <v>0</v>
      </c>
      <c r="AE266" s="107" t="n">
        <f aca="false">SUM(Y266:AD266)</f>
        <v>0</v>
      </c>
    </row>
    <row r="267" customFormat="false" ht="15" hidden="false" customHeight="false" outlineLevel="0" collapsed="false">
      <c r="A267" s="103" t="s">
        <v>713</v>
      </c>
      <c r="B267" s="104" t="n">
        <v>0</v>
      </c>
      <c r="C267" s="105" t="n">
        <f aca="false">IF(K267=0,0,R267/K267)</f>
        <v>4.85</v>
      </c>
      <c r="D267" s="105" t="n">
        <f aca="false">C267+B267</f>
        <v>4.85</v>
      </c>
      <c r="E267" s="106" t="n">
        <v>0</v>
      </c>
      <c r="F267" s="106" t="n">
        <v>0</v>
      </c>
      <c r="G267" s="106" t="n">
        <v>0</v>
      </c>
      <c r="H267" s="106" t="n">
        <v>0</v>
      </c>
      <c r="I267" s="106" t="n">
        <v>0</v>
      </c>
      <c r="J267" s="106" t="n">
        <v>5</v>
      </c>
      <c r="K267" s="106" t="n">
        <f aca="false">SUM(E267:J267)</f>
        <v>5</v>
      </c>
      <c r="L267" s="107" t="n">
        <v>0</v>
      </c>
      <c r="M267" s="107" t="n">
        <v>0</v>
      </c>
      <c r="N267" s="107" t="n">
        <v>0</v>
      </c>
      <c r="O267" s="107" t="n">
        <v>0</v>
      </c>
      <c r="P267" s="107" t="n">
        <v>0</v>
      </c>
      <c r="Q267" s="107" t="n">
        <v>24.25</v>
      </c>
      <c r="R267" s="107" t="n">
        <f aca="false">SUM(L267:Q267)</f>
        <v>24.25</v>
      </c>
      <c r="S267" s="108" t="n">
        <v>2</v>
      </c>
      <c r="T267" s="108" t="n">
        <v>2</v>
      </c>
      <c r="U267" s="108" t="n">
        <v>2</v>
      </c>
      <c r="V267" s="108" t="n">
        <v>2</v>
      </c>
      <c r="W267" s="108" t="n">
        <v>2</v>
      </c>
      <c r="X267" s="108" t="n">
        <v>2</v>
      </c>
      <c r="Y267" s="107" t="n">
        <f aca="false">S267*$D267</f>
        <v>9.7</v>
      </c>
      <c r="Z267" s="107" t="n">
        <f aca="false">T267*$D267</f>
        <v>9.7</v>
      </c>
      <c r="AA267" s="107" t="n">
        <f aca="false">U267*$D267</f>
        <v>9.7</v>
      </c>
      <c r="AB267" s="107" t="n">
        <f aca="false">V267*$D267</f>
        <v>9.7</v>
      </c>
      <c r="AC267" s="107" t="n">
        <f aca="false">W267*$D267</f>
        <v>9.7</v>
      </c>
      <c r="AD267" s="107" t="n">
        <f aca="false">X267*$D267</f>
        <v>9.7</v>
      </c>
      <c r="AE267" s="107" t="n">
        <f aca="false">SUM(Y267:AD267)</f>
        <v>58.2</v>
      </c>
    </row>
    <row r="268" customFormat="false" ht="15" hidden="false" customHeight="false" outlineLevel="0" collapsed="false">
      <c r="A268" s="103" t="s">
        <v>714</v>
      </c>
      <c r="B268" s="104" t="n">
        <v>0</v>
      </c>
      <c r="C268" s="105" t="n">
        <f aca="false">IF(K268=0,0,R268/K268)</f>
        <v>6</v>
      </c>
      <c r="D268" s="105" t="n">
        <f aca="false">C268+B268</f>
        <v>6</v>
      </c>
      <c r="E268" s="106" t="n">
        <v>0</v>
      </c>
      <c r="F268" s="106" t="n">
        <v>0</v>
      </c>
      <c r="G268" s="106" t="n">
        <v>4</v>
      </c>
      <c r="H268" s="106" t="n">
        <v>0</v>
      </c>
      <c r="I268" s="106" t="n">
        <v>0</v>
      </c>
      <c r="J268" s="106" t="n">
        <v>0</v>
      </c>
      <c r="K268" s="106" t="n">
        <f aca="false">SUM(E268:J268)</f>
        <v>4</v>
      </c>
      <c r="L268" s="107" t="n">
        <v>0</v>
      </c>
      <c r="M268" s="107" t="n">
        <v>0</v>
      </c>
      <c r="N268" s="107" t="n">
        <v>24</v>
      </c>
      <c r="O268" s="107" t="n">
        <v>0</v>
      </c>
      <c r="P268" s="107" t="n">
        <v>0</v>
      </c>
      <c r="Q268" s="107" t="n">
        <v>0</v>
      </c>
      <c r="R268" s="107" t="n">
        <f aca="false">SUM(L268:Q268)</f>
        <v>24</v>
      </c>
      <c r="S268" s="108" t="n">
        <v>0</v>
      </c>
      <c r="T268" s="108" t="n">
        <v>0</v>
      </c>
      <c r="U268" s="108" t="n">
        <v>0</v>
      </c>
      <c r="V268" s="108" t="n">
        <v>0</v>
      </c>
      <c r="W268" s="108" t="n">
        <v>0</v>
      </c>
      <c r="X268" s="108" t="n">
        <v>0</v>
      </c>
      <c r="Y268" s="107" t="n">
        <f aca="false">S268*$D268</f>
        <v>0</v>
      </c>
      <c r="Z268" s="107" t="n">
        <f aca="false">T268*$D268</f>
        <v>0</v>
      </c>
      <c r="AA268" s="107" t="n">
        <f aca="false">U268*$D268</f>
        <v>0</v>
      </c>
      <c r="AB268" s="107" t="n">
        <f aca="false">V268*$D268</f>
        <v>0</v>
      </c>
      <c r="AC268" s="107" t="n">
        <f aca="false">W268*$D268</f>
        <v>0</v>
      </c>
      <c r="AD268" s="107" t="n">
        <f aca="false">X268*$D268</f>
        <v>0</v>
      </c>
      <c r="AE268" s="107" t="n">
        <f aca="false">SUM(Y268:AD268)</f>
        <v>0</v>
      </c>
    </row>
    <row r="269" customFormat="false" ht="15" hidden="false" customHeight="false" outlineLevel="0" collapsed="false">
      <c r="A269" s="103" t="s">
        <v>715</v>
      </c>
      <c r="B269" s="104" t="n">
        <v>0</v>
      </c>
      <c r="C269" s="105" t="n">
        <f aca="false">IF(K269=0,0,R269/K269)</f>
        <v>6</v>
      </c>
      <c r="D269" s="105" t="n">
        <f aca="false">C269+B269</f>
        <v>6</v>
      </c>
      <c r="E269" s="106" t="n">
        <v>0</v>
      </c>
      <c r="F269" s="106" t="n">
        <v>0</v>
      </c>
      <c r="G269" s="106" t="n">
        <v>0</v>
      </c>
      <c r="H269" s="106" t="n">
        <v>0</v>
      </c>
      <c r="I269" s="106" t="n">
        <v>3</v>
      </c>
      <c r="J269" s="106" t="n">
        <v>1</v>
      </c>
      <c r="K269" s="106" t="n">
        <f aca="false">SUM(E269:J269)</f>
        <v>4</v>
      </c>
      <c r="L269" s="107" t="n">
        <v>0</v>
      </c>
      <c r="M269" s="107" t="n">
        <v>0</v>
      </c>
      <c r="N269" s="107" t="n">
        <v>0</v>
      </c>
      <c r="O269" s="107" t="n">
        <v>0</v>
      </c>
      <c r="P269" s="107" t="n">
        <v>18</v>
      </c>
      <c r="Q269" s="107" t="n">
        <v>6</v>
      </c>
      <c r="R269" s="107" t="n">
        <f aca="false">SUM(L269:Q269)</f>
        <v>24</v>
      </c>
      <c r="S269" s="108" t="n">
        <v>1</v>
      </c>
      <c r="T269" s="108" t="n">
        <v>1</v>
      </c>
      <c r="U269" s="108" t="n">
        <v>1</v>
      </c>
      <c r="V269" s="108" t="n">
        <v>1</v>
      </c>
      <c r="W269" s="108" t="n">
        <v>1</v>
      </c>
      <c r="X269" s="108" t="n">
        <v>1</v>
      </c>
      <c r="Y269" s="107" t="n">
        <f aca="false">S269*$D269</f>
        <v>6</v>
      </c>
      <c r="Z269" s="107" t="n">
        <f aca="false">T269*$D269</f>
        <v>6</v>
      </c>
      <c r="AA269" s="107" t="n">
        <f aca="false">U269*$D269</f>
        <v>6</v>
      </c>
      <c r="AB269" s="107" t="n">
        <f aca="false">V269*$D269</f>
        <v>6</v>
      </c>
      <c r="AC269" s="107" t="n">
        <f aca="false">W269*$D269</f>
        <v>6</v>
      </c>
      <c r="AD269" s="107" t="n">
        <f aca="false">X269*$D269</f>
        <v>6</v>
      </c>
      <c r="AE269" s="107" t="n">
        <f aca="false">SUM(Y269:AD269)</f>
        <v>36</v>
      </c>
    </row>
    <row r="270" customFormat="false" ht="15" hidden="false" customHeight="false" outlineLevel="0" collapsed="false">
      <c r="A270" s="103" t="s">
        <v>716</v>
      </c>
      <c r="B270" s="104" t="n">
        <v>0</v>
      </c>
      <c r="C270" s="105" t="n">
        <f aca="false">IF(K270=0,0,R270/K270)</f>
        <v>6</v>
      </c>
      <c r="D270" s="105" t="n">
        <f aca="false">C270+B270</f>
        <v>6</v>
      </c>
      <c r="E270" s="106" t="n">
        <v>0</v>
      </c>
      <c r="F270" s="106" t="n">
        <v>0</v>
      </c>
      <c r="G270" s="106" t="n">
        <v>0</v>
      </c>
      <c r="H270" s="106" t="n">
        <v>0</v>
      </c>
      <c r="I270" s="106" t="n">
        <v>0</v>
      </c>
      <c r="J270" s="106" t="n">
        <v>4</v>
      </c>
      <c r="K270" s="106" t="n">
        <f aca="false">SUM(E270:J270)</f>
        <v>4</v>
      </c>
      <c r="L270" s="107" t="n">
        <v>0</v>
      </c>
      <c r="M270" s="107" t="n">
        <v>0</v>
      </c>
      <c r="N270" s="107" t="n">
        <v>0</v>
      </c>
      <c r="O270" s="107" t="n">
        <v>0</v>
      </c>
      <c r="P270" s="107" t="n">
        <v>0</v>
      </c>
      <c r="Q270" s="107" t="n">
        <v>24</v>
      </c>
      <c r="R270" s="107" t="n">
        <f aca="false">SUM(L270:Q270)</f>
        <v>24</v>
      </c>
      <c r="S270" s="108" t="n">
        <v>1</v>
      </c>
      <c r="T270" s="108" t="n">
        <v>1</v>
      </c>
      <c r="U270" s="108" t="n">
        <v>1</v>
      </c>
      <c r="V270" s="108" t="n">
        <v>1</v>
      </c>
      <c r="W270" s="108" t="n">
        <v>1</v>
      </c>
      <c r="X270" s="108" t="n">
        <v>1</v>
      </c>
      <c r="Y270" s="107" t="n">
        <f aca="false">S270*$D270</f>
        <v>6</v>
      </c>
      <c r="Z270" s="107" t="n">
        <f aca="false">T270*$D270</f>
        <v>6</v>
      </c>
      <c r="AA270" s="107" t="n">
        <f aca="false">U270*$D270</f>
        <v>6</v>
      </c>
      <c r="AB270" s="107" t="n">
        <f aca="false">V270*$D270</f>
        <v>6</v>
      </c>
      <c r="AC270" s="107" t="n">
        <f aca="false">W270*$D270</f>
        <v>6</v>
      </c>
      <c r="AD270" s="107" t="n">
        <f aca="false">X270*$D270</f>
        <v>6</v>
      </c>
      <c r="AE270" s="107" t="n">
        <f aca="false">SUM(Y270:AD270)</f>
        <v>36</v>
      </c>
    </row>
    <row r="271" customFormat="false" ht="15" hidden="false" customHeight="false" outlineLevel="0" collapsed="false">
      <c r="A271" s="103" t="s">
        <v>717</v>
      </c>
      <c r="B271" s="104" t="n">
        <v>0</v>
      </c>
      <c r="C271" s="105" t="n">
        <f aca="false">IF(K271=0,0,R271/K271)</f>
        <v>8</v>
      </c>
      <c r="D271" s="105" t="n">
        <f aca="false">C271+B271</f>
        <v>8</v>
      </c>
      <c r="E271" s="106" t="n">
        <v>0</v>
      </c>
      <c r="F271" s="106" t="n">
        <v>0</v>
      </c>
      <c r="G271" s="106" t="n">
        <v>0</v>
      </c>
      <c r="H271" s="106" t="n">
        <v>0</v>
      </c>
      <c r="I271" s="106" t="n">
        <v>0</v>
      </c>
      <c r="J271" s="106" t="n">
        <v>3</v>
      </c>
      <c r="K271" s="106" t="n">
        <f aca="false">SUM(E271:J271)</f>
        <v>3</v>
      </c>
      <c r="L271" s="107" t="n">
        <v>0</v>
      </c>
      <c r="M271" s="107" t="n">
        <v>0</v>
      </c>
      <c r="N271" s="107" t="n">
        <v>0</v>
      </c>
      <c r="O271" s="107" t="n">
        <v>0</v>
      </c>
      <c r="P271" s="107" t="n">
        <v>0</v>
      </c>
      <c r="Q271" s="107" t="n">
        <v>24</v>
      </c>
      <c r="R271" s="107" t="n">
        <f aca="false">SUM(L271:Q271)</f>
        <v>24</v>
      </c>
      <c r="S271" s="108" t="n">
        <v>1</v>
      </c>
      <c r="T271" s="108" t="n">
        <v>1</v>
      </c>
      <c r="U271" s="108" t="n">
        <v>1</v>
      </c>
      <c r="V271" s="108" t="n">
        <v>1</v>
      </c>
      <c r="W271" s="108" t="n">
        <v>1</v>
      </c>
      <c r="X271" s="108" t="n">
        <v>1</v>
      </c>
      <c r="Y271" s="107" t="n">
        <f aca="false">S271*$D271</f>
        <v>8</v>
      </c>
      <c r="Z271" s="107" t="n">
        <f aca="false">T271*$D271</f>
        <v>8</v>
      </c>
      <c r="AA271" s="107" t="n">
        <f aca="false">U271*$D271</f>
        <v>8</v>
      </c>
      <c r="AB271" s="107" t="n">
        <f aca="false">V271*$D271</f>
        <v>8</v>
      </c>
      <c r="AC271" s="107" t="n">
        <f aca="false">W271*$D271</f>
        <v>8</v>
      </c>
      <c r="AD271" s="107" t="n">
        <f aca="false">X271*$D271</f>
        <v>8</v>
      </c>
      <c r="AE271" s="107" t="n">
        <f aca="false">SUM(Y271:AD271)</f>
        <v>48</v>
      </c>
    </row>
    <row r="272" customFormat="false" ht="15" hidden="false" customHeight="false" outlineLevel="0" collapsed="false">
      <c r="A272" s="103" t="s">
        <v>718</v>
      </c>
      <c r="B272" s="104" t="n">
        <v>0</v>
      </c>
      <c r="C272" s="105" t="n">
        <f aca="false">IF(K272=0,0,R272/K272)</f>
        <v>6</v>
      </c>
      <c r="D272" s="105" t="n">
        <f aca="false">C272+B272</f>
        <v>6</v>
      </c>
      <c r="E272" s="106" t="n">
        <v>0</v>
      </c>
      <c r="F272" s="106" t="n">
        <v>0</v>
      </c>
      <c r="G272" s="106" t="n">
        <v>0</v>
      </c>
      <c r="H272" s="106" t="n">
        <v>0</v>
      </c>
      <c r="I272" s="106" t="n">
        <v>0</v>
      </c>
      <c r="J272" s="106" t="n">
        <v>4</v>
      </c>
      <c r="K272" s="106" t="n">
        <f aca="false">SUM(E272:J272)</f>
        <v>4</v>
      </c>
      <c r="L272" s="107" t="n">
        <v>0</v>
      </c>
      <c r="M272" s="107" t="n">
        <v>0</v>
      </c>
      <c r="N272" s="107" t="n">
        <v>0</v>
      </c>
      <c r="O272" s="107" t="n">
        <v>0</v>
      </c>
      <c r="P272" s="107" t="n">
        <v>0</v>
      </c>
      <c r="Q272" s="107" t="n">
        <v>24</v>
      </c>
      <c r="R272" s="107" t="n">
        <f aca="false">SUM(L272:Q272)</f>
        <v>24</v>
      </c>
      <c r="S272" s="108" t="n">
        <v>1</v>
      </c>
      <c r="T272" s="108" t="n">
        <v>1</v>
      </c>
      <c r="U272" s="108" t="n">
        <v>1</v>
      </c>
      <c r="V272" s="108" t="n">
        <v>1</v>
      </c>
      <c r="W272" s="108" t="n">
        <v>1</v>
      </c>
      <c r="X272" s="108" t="n">
        <v>1</v>
      </c>
      <c r="Y272" s="107" t="n">
        <f aca="false">S272*$D272</f>
        <v>6</v>
      </c>
      <c r="Z272" s="107" t="n">
        <f aca="false">T272*$D272</f>
        <v>6</v>
      </c>
      <c r="AA272" s="107" t="n">
        <f aca="false">U272*$D272</f>
        <v>6</v>
      </c>
      <c r="AB272" s="107" t="n">
        <f aca="false">V272*$D272</f>
        <v>6</v>
      </c>
      <c r="AC272" s="107" t="n">
        <f aca="false">W272*$D272</f>
        <v>6</v>
      </c>
      <c r="AD272" s="107" t="n">
        <f aca="false">X272*$D272</f>
        <v>6</v>
      </c>
      <c r="AE272" s="107" t="n">
        <f aca="false">SUM(Y272:AD272)</f>
        <v>36</v>
      </c>
    </row>
    <row r="273" customFormat="false" ht="15" hidden="false" customHeight="false" outlineLevel="0" collapsed="false">
      <c r="A273" s="103" t="s">
        <v>719</v>
      </c>
      <c r="B273" s="104" t="n">
        <v>0</v>
      </c>
      <c r="C273" s="105" t="n">
        <f aca="false">IF(K273=0,0,R273/K273)</f>
        <v>3.75</v>
      </c>
      <c r="D273" s="105" t="n">
        <f aca="false">C273+B273</f>
        <v>3.75</v>
      </c>
      <c r="E273" s="106" t="n">
        <v>6</v>
      </c>
      <c r="F273" s="106" t="n">
        <v>0</v>
      </c>
      <c r="G273" s="106" t="n">
        <v>0</v>
      </c>
      <c r="H273" s="106" t="n">
        <v>0</v>
      </c>
      <c r="I273" s="106" t="n">
        <v>0</v>
      </c>
      <c r="J273" s="106" t="n">
        <v>0</v>
      </c>
      <c r="K273" s="106" t="n">
        <f aca="false">SUM(E273:J273)</f>
        <v>6</v>
      </c>
      <c r="L273" s="107" t="n">
        <v>22.5</v>
      </c>
      <c r="M273" s="107" t="n">
        <v>0</v>
      </c>
      <c r="N273" s="107" t="n">
        <v>0</v>
      </c>
      <c r="O273" s="107" t="n">
        <v>0</v>
      </c>
      <c r="P273" s="107" t="n">
        <v>0</v>
      </c>
      <c r="Q273" s="107" t="n">
        <v>0</v>
      </c>
      <c r="R273" s="107" t="n">
        <f aca="false">SUM(L273:Q273)</f>
        <v>22.5</v>
      </c>
      <c r="S273" s="108" t="n">
        <v>0</v>
      </c>
      <c r="T273" s="108" t="n">
        <v>0</v>
      </c>
      <c r="U273" s="108" t="n">
        <v>0</v>
      </c>
      <c r="V273" s="108" t="n">
        <v>0</v>
      </c>
      <c r="W273" s="108" t="n">
        <v>0</v>
      </c>
      <c r="X273" s="108" t="n">
        <v>0</v>
      </c>
      <c r="Y273" s="107" t="n">
        <f aca="false">S273*$D273</f>
        <v>0</v>
      </c>
      <c r="Z273" s="107" t="n">
        <f aca="false">T273*$D273</f>
        <v>0</v>
      </c>
      <c r="AA273" s="107" t="n">
        <f aca="false">U273*$D273</f>
        <v>0</v>
      </c>
      <c r="AB273" s="107" t="n">
        <f aca="false">V273*$D273</f>
        <v>0</v>
      </c>
      <c r="AC273" s="107" t="n">
        <f aca="false">W273*$D273</f>
        <v>0</v>
      </c>
      <c r="AD273" s="107" t="n">
        <f aca="false">X273*$D273</f>
        <v>0</v>
      </c>
      <c r="AE273" s="107" t="n">
        <f aca="false">SUM(Y273:AD273)</f>
        <v>0</v>
      </c>
    </row>
    <row r="274" customFormat="false" ht="15" hidden="false" customHeight="false" outlineLevel="0" collapsed="false">
      <c r="A274" s="103" t="s">
        <v>720</v>
      </c>
      <c r="B274" s="104" t="n">
        <v>0</v>
      </c>
      <c r="C274" s="105" t="n">
        <f aca="false">IF(K274=0,0,R274/K274)</f>
        <v>10.5</v>
      </c>
      <c r="D274" s="105" t="n">
        <f aca="false">C274+B274</f>
        <v>10.5</v>
      </c>
      <c r="E274" s="106" t="n">
        <v>0</v>
      </c>
      <c r="F274" s="106" t="n">
        <v>0</v>
      </c>
      <c r="G274" s="106" t="n">
        <v>2</v>
      </c>
      <c r="H274" s="106" t="n">
        <v>0</v>
      </c>
      <c r="I274" s="106" t="n">
        <v>0</v>
      </c>
      <c r="J274" s="106" t="n">
        <v>0</v>
      </c>
      <c r="K274" s="106" t="n">
        <f aca="false">SUM(E274:J274)</f>
        <v>2</v>
      </c>
      <c r="L274" s="107" t="n">
        <v>0</v>
      </c>
      <c r="M274" s="107" t="n">
        <v>0</v>
      </c>
      <c r="N274" s="107" t="n">
        <v>21</v>
      </c>
      <c r="O274" s="107" t="n">
        <v>0</v>
      </c>
      <c r="P274" s="107" t="n">
        <v>0</v>
      </c>
      <c r="Q274" s="107" t="n">
        <v>0</v>
      </c>
      <c r="R274" s="107" t="n">
        <f aca="false">SUM(L274:Q274)</f>
        <v>21</v>
      </c>
      <c r="S274" s="108" t="n">
        <v>0</v>
      </c>
      <c r="T274" s="108" t="n">
        <v>0</v>
      </c>
      <c r="U274" s="108" t="n">
        <v>0</v>
      </c>
      <c r="V274" s="108" t="n">
        <v>0</v>
      </c>
      <c r="W274" s="108" t="n">
        <v>0</v>
      </c>
      <c r="X274" s="108" t="n">
        <v>0</v>
      </c>
      <c r="Y274" s="107" t="n">
        <f aca="false">S274*$D274</f>
        <v>0</v>
      </c>
      <c r="Z274" s="107" t="n">
        <f aca="false">T274*$D274</f>
        <v>0</v>
      </c>
      <c r="AA274" s="107" t="n">
        <f aca="false">U274*$D274</f>
        <v>0</v>
      </c>
      <c r="AB274" s="107" t="n">
        <f aca="false">V274*$D274</f>
        <v>0</v>
      </c>
      <c r="AC274" s="107" t="n">
        <f aca="false">W274*$D274</f>
        <v>0</v>
      </c>
      <c r="AD274" s="107" t="n">
        <f aca="false">X274*$D274</f>
        <v>0</v>
      </c>
      <c r="AE274" s="107" t="n">
        <f aca="false">SUM(Y274:AD274)</f>
        <v>0</v>
      </c>
    </row>
    <row r="275" customFormat="false" ht="15" hidden="false" customHeight="false" outlineLevel="0" collapsed="false">
      <c r="A275" s="103" t="s">
        <v>721</v>
      </c>
      <c r="B275" s="104" t="n">
        <v>0</v>
      </c>
      <c r="C275" s="105" t="n">
        <f aca="false">IF(K275=0,0,R275/K275)</f>
        <v>10.125</v>
      </c>
      <c r="D275" s="105" t="n">
        <f aca="false">C275+B275</f>
        <v>10.125</v>
      </c>
      <c r="E275" s="106" t="n">
        <v>0</v>
      </c>
      <c r="F275" s="106" t="n">
        <v>0</v>
      </c>
      <c r="G275" s="106" t="n">
        <v>2</v>
      </c>
      <c r="H275" s="106" t="n">
        <v>0</v>
      </c>
      <c r="I275" s="106" t="n">
        <v>0</v>
      </c>
      <c r="J275" s="106" t="n">
        <v>0</v>
      </c>
      <c r="K275" s="106" t="n">
        <f aca="false">SUM(E275:J275)</f>
        <v>2</v>
      </c>
      <c r="L275" s="107" t="n">
        <v>0</v>
      </c>
      <c r="M275" s="107" t="n">
        <v>0</v>
      </c>
      <c r="N275" s="107" t="n">
        <v>20.25</v>
      </c>
      <c r="O275" s="107" t="n">
        <v>0</v>
      </c>
      <c r="P275" s="107" t="n">
        <v>0</v>
      </c>
      <c r="Q275" s="107" t="n">
        <v>0</v>
      </c>
      <c r="R275" s="107" t="n">
        <f aca="false">SUM(L275:Q275)</f>
        <v>20.25</v>
      </c>
      <c r="S275" s="108" t="n">
        <v>0</v>
      </c>
      <c r="T275" s="108" t="n">
        <v>0</v>
      </c>
      <c r="U275" s="108" t="n">
        <v>0</v>
      </c>
      <c r="V275" s="108" t="n">
        <v>0</v>
      </c>
      <c r="W275" s="108" t="n">
        <v>0</v>
      </c>
      <c r="X275" s="108" t="n">
        <v>0</v>
      </c>
      <c r="Y275" s="107" t="n">
        <f aca="false">S275*$D275</f>
        <v>0</v>
      </c>
      <c r="Z275" s="107" t="n">
        <f aca="false">T275*$D275</f>
        <v>0</v>
      </c>
      <c r="AA275" s="107" t="n">
        <f aca="false">U275*$D275</f>
        <v>0</v>
      </c>
      <c r="AB275" s="107" t="n">
        <f aca="false">V275*$D275</f>
        <v>0</v>
      </c>
      <c r="AC275" s="107" t="n">
        <f aca="false">W275*$D275</f>
        <v>0</v>
      </c>
      <c r="AD275" s="107" t="n">
        <f aca="false">X275*$D275</f>
        <v>0</v>
      </c>
      <c r="AE275" s="107" t="n">
        <f aca="false">SUM(Y275:AD275)</f>
        <v>0</v>
      </c>
    </row>
    <row r="276" customFormat="false" ht="15" hidden="false" customHeight="false" outlineLevel="0" collapsed="false">
      <c r="A276" s="103" t="s">
        <v>722</v>
      </c>
      <c r="B276" s="104" t="n">
        <v>0</v>
      </c>
      <c r="C276" s="105" t="n">
        <f aca="false">IF(K276=0,0,R276/K276)</f>
        <v>10</v>
      </c>
      <c r="D276" s="105" t="n">
        <f aca="false">C276+B276</f>
        <v>10</v>
      </c>
      <c r="E276" s="106" t="n">
        <v>2</v>
      </c>
      <c r="F276" s="106" t="n">
        <v>0</v>
      </c>
      <c r="G276" s="106" t="n">
        <v>0</v>
      </c>
      <c r="H276" s="106" t="n">
        <v>0</v>
      </c>
      <c r="I276" s="106" t="n">
        <v>0</v>
      </c>
      <c r="J276" s="106" t="n">
        <v>0</v>
      </c>
      <c r="K276" s="106" t="n">
        <f aca="false">SUM(E276:J276)</f>
        <v>2</v>
      </c>
      <c r="L276" s="107" t="n">
        <v>20</v>
      </c>
      <c r="M276" s="107" t="n">
        <v>0</v>
      </c>
      <c r="N276" s="107" t="n">
        <v>0</v>
      </c>
      <c r="O276" s="107" t="n">
        <v>0</v>
      </c>
      <c r="P276" s="107" t="n">
        <v>0</v>
      </c>
      <c r="Q276" s="107" t="n">
        <v>0</v>
      </c>
      <c r="R276" s="107" t="n">
        <f aca="false">SUM(L276:Q276)</f>
        <v>20</v>
      </c>
      <c r="S276" s="108" t="n">
        <v>0</v>
      </c>
      <c r="T276" s="108" t="n">
        <v>0</v>
      </c>
      <c r="U276" s="108" t="n">
        <v>0</v>
      </c>
      <c r="V276" s="108" t="n">
        <v>0</v>
      </c>
      <c r="W276" s="108" t="n">
        <v>0</v>
      </c>
      <c r="X276" s="108" t="n">
        <v>0</v>
      </c>
      <c r="Y276" s="107" t="n">
        <f aca="false">S276*$D276</f>
        <v>0</v>
      </c>
      <c r="Z276" s="107" t="n">
        <f aca="false">T276*$D276</f>
        <v>0</v>
      </c>
      <c r="AA276" s="107" t="n">
        <f aca="false">U276*$D276</f>
        <v>0</v>
      </c>
      <c r="AB276" s="107" t="n">
        <f aca="false">V276*$D276</f>
        <v>0</v>
      </c>
      <c r="AC276" s="107" t="n">
        <f aca="false">W276*$D276</f>
        <v>0</v>
      </c>
      <c r="AD276" s="107" t="n">
        <f aca="false">X276*$D276</f>
        <v>0</v>
      </c>
      <c r="AE276" s="107" t="n">
        <f aca="false">SUM(Y276:AD276)</f>
        <v>0</v>
      </c>
    </row>
    <row r="277" customFormat="false" ht="15" hidden="false" customHeight="false" outlineLevel="0" collapsed="false">
      <c r="A277" s="103" t="s">
        <v>723</v>
      </c>
      <c r="B277" s="104" t="n">
        <v>0</v>
      </c>
      <c r="C277" s="105" t="n">
        <f aca="false">IF(K277=0,0,R277/K277)</f>
        <v>5</v>
      </c>
      <c r="D277" s="105" t="n">
        <f aca="false">C277+B277</f>
        <v>5</v>
      </c>
      <c r="E277" s="106" t="n">
        <v>4</v>
      </c>
      <c r="F277" s="106" t="n">
        <v>0</v>
      </c>
      <c r="G277" s="106" t="n">
        <v>0</v>
      </c>
      <c r="H277" s="106" t="n">
        <v>0</v>
      </c>
      <c r="I277" s="106" t="n">
        <v>0</v>
      </c>
      <c r="J277" s="106" t="n">
        <v>0</v>
      </c>
      <c r="K277" s="106" t="n">
        <f aca="false">SUM(E277:J277)</f>
        <v>4</v>
      </c>
      <c r="L277" s="107" t="n">
        <v>20</v>
      </c>
      <c r="M277" s="107" t="n">
        <v>0</v>
      </c>
      <c r="N277" s="107" t="n">
        <v>0</v>
      </c>
      <c r="O277" s="107" t="n">
        <v>0</v>
      </c>
      <c r="P277" s="107" t="n">
        <v>0</v>
      </c>
      <c r="Q277" s="107" t="n">
        <v>0</v>
      </c>
      <c r="R277" s="107" t="n">
        <f aca="false">SUM(L277:Q277)</f>
        <v>20</v>
      </c>
      <c r="S277" s="108" t="n">
        <v>0</v>
      </c>
      <c r="T277" s="108" t="n">
        <v>0</v>
      </c>
      <c r="U277" s="108" t="n">
        <v>0</v>
      </c>
      <c r="V277" s="108" t="n">
        <v>0</v>
      </c>
      <c r="W277" s="108" t="n">
        <v>0</v>
      </c>
      <c r="X277" s="108" t="n">
        <v>0</v>
      </c>
      <c r="Y277" s="107" t="n">
        <f aca="false">S277*$D277</f>
        <v>0</v>
      </c>
      <c r="Z277" s="107" t="n">
        <f aca="false">T277*$D277</f>
        <v>0</v>
      </c>
      <c r="AA277" s="107" t="n">
        <f aca="false">U277*$D277</f>
        <v>0</v>
      </c>
      <c r="AB277" s="107" t="n">
        <f aca="false">V277*$D277</f>
        <v>0</v>
      </c>
      <c r="AC277" s="107" t="n">
        <f aca="false">W277*$D277</f>
        <v>0</v>
      </c>
      <c r="AD277" s="107" t="n">
        <f aca="false">X277*$D277</f>
        <v>0</v>
      </c>
      <c r="AE277" s="107" t="n">
        <f aca="false">SUM(Y277:AD277)</f>
        <v>0</v>
      </c>
    </row>
    <row r="278" customFormat="false" ht="15" hidden="false" customHeight="false" outlineLevel="0" collapsed="false">
      <c r="A278" s="103" t="s">
        <v>724</v>
      </c>
      <c r="B278" s="104" t="n">
        <v>0</v>
      </c>
      <c r="C278" s="105" t="n">
        <f aca="false">IF(K278=0,0,R278/K278)</f>
        <v>6.66666666666667</v>
      </c>
      <c r="D278" s="105" t="n">
        <f aca="false">C278+B278</f>
        <v>6.66666666666667</v>
      </c>
      <c r="E278" s="106" t="n">
        <v>0</v>
      </c>
      <c r="F278" s="106" t="n">
        <v>2</v>
      </c>
      <c r="G278" s="106" t="n">
        <v>1</v>
      </c>
      <c r="H278" s="106" t="n">
        <v>0</v>
      </c>
      <c r="I278" s="106" t="n">
        <v>0</v>
      </c>
      <c r="J278" s="106" t="n">
        <v>0</v>
      </c>
      <c r="K278" s="106" t="n">
        <f aca="false">SUM(E278:J278)</f>
        <v>3</v>
      </c>
      <c r="L278" s="107" t="n">
        <v>0</v>
      </c>
      <c r="M278" s="107" t="n">
        <v>12</v>
      </c>
      <c r="N278" s="107" t="n">
        <v>8</v>
      </c>
      <c r="O278" s="107" t="n">
        <v>0</v>
      </c>
      <c r="P278" s="107" t="n">
        <v>0</v>
      </c>
      <c r="Q278" s="107" t="n">
        <v>0</v>
      </c>
      <c r="R278" s="107" t="n">
        <f aca="false">SUM(L278:Q278)</f>
        <v>20</v>
      </c>
      <c r="S278" s="108" t="n">
        <v>0</v>
      </c>
      <c r="T278" s="108" t="n">
        <v>0</v>
      </c>
      <c r="U278" s="108" t="n">
        <v>0</v>
      </c>
      <c r="V278" s="108" t="n">
        <v>0</v>
      </c>
      <c r="W278" s="108" t="n">
        <v>0</v>
      </c>
      <c r="X278" s="108" t="n">
        <v>0</v>
      </c>
      <c r="Y278" s="107" t="n">
        <f aca="false">S278*$D278</f>
        <v>0</v>
      </c>
      <c r="Z278" s="107" t="n">
        <f aca="false">T278*$D278</f>
        <v>0</v>
      </c>
      <c r="AA278" s="107" t="n">
        <f aca="false">U278*$D278</f>
        <v>0</v>
      </c>
      <c r="AB278" s="107" t="n">
        <f aca="false">V278*$D278</f>
        <v>0</v>
      </c>
      <c r="AC278" s="107" t="n">
        <f aca="false">W278*$D278</f>
        <v>0</v>
      </c>
      <c r="AD278" s="107" t="n">
        <f aca="false">X278*$D278</f>
        <v>0</v>
      </c>
      <c r="AE278" s="107" t="n">
        <f aca="false">SUM(Y278:AD278)</f>
        <v>0</v>
      </c>
    </row>
    <row r="279" customFormat="false" ht="15" hidden="false" customHeight="false" outlineLevel="0" collapsed="false">
      <c r="A279" s="103" t="s">
        <v>725</v>
      </c>
      <c r="B279" s="104" t="n">
        <v>0</v>
      </c>
      <c r="C279" s="105" t="n">
        <f aca="false">IF(K279=0,0,R279/K279)</f>
        <v>6.3</v>
      </c>
      <c r="D279" s="105" t="n">
        <f aca="false">C279+B279</f>
        <v>6.3</v>
      </c>
      <c r="E279" s="106" t="n">
        <v>0</v>
      </c>
      <c r="F279" s="106" t="n">
        <v>0</v>
      </c>
      <c r="G279" s="106" t="n">
        <v>0</v>
      </c>
      <c r="H279" s="106" t="n">
        <v>0</v>
      </c>
      <c r="I279" s="106" t="n">
        <v>0</v>
      </c>
      <c r="J279" s="106" t="n">
        <v>3</v>
      </c>
      <c r="K279" s="106" t="n">
        <f aca="false">SUM(E279:J279)</f>
        <v>3</v>
      </c>
      <c r="L279" s="107" t="n">
        <v>0</v>
      </c>
      <c r="M279" s="107" t="n">
        <v>0</v>
      </c>
      <c r="N279" s="107" t="n">
        <v>0</v>
      </c>
      <c r="O279" s="107" t="n">
        <v>0</v>
      </c>
      <c r="P279" s="107" t="n">
        <v>0</v>
      </c>
      <c r="Q279" s="107" t="n">
        <v>18.9</v>
      </c>
      <c r="R279" s="107" t="n">
        <f aca="false">SUM(L279:Q279)</f>
        <v>18.9</v>
      </c>
      <c r="S279" s="108" t="n">
        <v>1</v>
      </c>
      <c r="T279" s="108" t="n">
        <v>1</v>
      </c>
      <c r="U279" s="108" t="n">
        <v>1</v>
      </c>
      <c r="V279" s="108" t="n">
        <v>1</v>
      </c>
      <c r="W279" s="108" t="n">
        <v>1</v>
      </c>
      <c r="X279" s="108" t="n">
        <v>1</v>
      </c>
      <c r="Y279" s="107" t="n">
        <f aca="false">S279*$D279</f>
        <v>6.3</v>
      </c>
      <c r="Z279" s="107" t="n">
        <f aca="false">T279*$D279</f>
        <v>6.3</v>
      </c>
      <c r="AA279" s="107" t="n">
        <f aca="false">U279*$D279</f>
        <v>6.3</v>
      </c>
      <c r="AB279" s="107" t="n">
        <f aca="false">V279*$D279</f>
        <v>6.3</v>
      </c>
      <c r="AC279" s="107" t="n">
        <f aca="false">W279*$D279</f>
        <v>6.3</v>
      </c>
      <c r="AD279" s="107" t="n">
        <f aca="false">X279*$D279</f>
        <v>6.3</v>
      </c>
      <c r="AE279" s="107" t="n">
        <f aca="false">SUM(Y279:AD279)</f>
        <v>37.8</v>
      </c>
    </row>
    <row r="280" customFormat="false" ht="15" hidden="false" customHeight="false" outlineLevel="0" collapsed="false">
      <c r="A280" s="103" t="s">
        <v>726</v>
      </c>
      <c r="B280" s="104" t="n">
        <v>0</v>
      </c>
      <c r="C280" s="105" t="n">
        <f aca="false">IF(K280=0,0,R280/K280)</f>
        <v>0.840909090909091</v>
      </c>
      <c r="D280" s="105" t="n">
        <f aca="false">C280+B280</f>
        <v>0.840909090909091</v>
      </c>
      <c r="E280" s="106" t="n">
        <v>11</v>
      </c>
      <c r="F280" s="106" t="n">
        <v>10</v>
      </c>
      <c r="G280" s="106" t="n">
        <v>1</v>
      </c>
      <c r="H280" s="106" t="n">
        <v>0</v>
      </c>
      <c r="I280" s="106" t="n">
        <v>0</v>
      </c>
      <c r="J280" s="106" t="n">
        <v>0</v>
      </c>
      <c r="K280" s="106" t="n">
        <f aca="false">SUM(E280:J280)</f>
        <v>22</v>
      </c>
      <c r="L280" s="107" t="n">
        <v>10.5</v>
      </c>
      <c r="M280" s="107" t="n">
        <v>7</v>
      </c>
      <c r="N280" s="107" t="n">
        <v>1</v>
      </c>
      <c r="O280" s="107" t="n">
        <v>0</v>
      </c>
      <c r="P280" s="107" t="n">
        <v>0</v>
      </c>
      <c r="Q280" s="107" t="n">
        <v>0</v>
      </c>
      <c r="R280" s="107" t="n">
        <f aca="false">SUM(L280:Q280)</f>
        <v>18.5</v>
      </c>
      <c r="S280" s="108" t="n">
        <v>0</v>
      </c>
      <c r="T280" s="108" t="n">
        <v>0</v>
      </c>
      <c r="U280" s="108" t="n">
        <v>0</v>
      </c>
      <c r="V280" s="108" t="n">
        <v>0</v>
      </c>
      <c r="W280" s="108" t="n">
        <v>0</v>
      </c>
      <c r="X280" s="108" t="n">
        <v>0</v>
      </c>
      <c r="Y280" s="107" t="n">
        <f aca="false">S280*$D280</f>
        <v>0</v>
      </c>
      <c r="Z280" s="107" t="n">
        <f aca="false">T280*$D280</f>
        <v>0</v>
      </c>
      <c r="AA280" s="107" t="n">
        <f aca="false">U280*$D280</f>
        <v>0</v>
      </c>
      <c r="AB280" s="107" t="n">
        <f aca="false">V280*$D280</f>
        <v>0</v>
      </c>
      <c r="AC280" s="107" t="n">
        <f aca="false">W280*$D280</f>
        <v>0</v>
      </c>
      <c r="AD280" s="107" t="n">
        <f aca="false">X280*$D280</f>
        <v>0</v>
      </c>
      <c r="AE280" s="107" t="n">
        <f aca="false">SUM(Y280:AD280)</f>
        <v>0</v>
      </c>
    </row>
    <row r="281" customFormat="false" ht="15" hidden="false" customHeight="false" outlineLevel="0" collapsed="false">
      <c r="A281" s="103" t="s">
        <v>727</v>
      </c>
      <c r="B281" s="104" t="n">
        <v>0</v>
      </c>
      <c r="C281" s="105" t="n">
        <f aca="false">IF(K281=0,0,R281/K281)</f>
        <v>9.25</v>
      </c>
      <c r="D281" s="105" t="n">
        <f aca="false">C281+B281</f>
        <v>9.25</v>
      </c>
      <c r="E281" s="106" t="n">
        <v>0</v>
      </c>
      <c r="F281" s="106" t="n">
        <v>0</v>
      </c>
      <c r="G281" s="106" t="n">
        <v>0</v>
      </c>
      <c r="H281" s="106" t="n">
        <v>0</v>
      </c>
      <c r="I281" s="106" t="n">
        <v>0</v>
      </c>
      <c r="J281" s="106" t="n">
        <v>2</v>
      </c>
      <c r="K281" s="106" t="n">
        <f aca="false">SUM(E281:J281)</f>
        <v>2</v>
      </c>
      <c r="L281" s="107" t="n">
        <v>0</v>
      </c>
      <c r="M281" s="107" t="n">
        <v>0</v>
      </c>
      <c r="N281" s="107" t="n">
        <v>0</v>
      </c>
      <c r="O281" s="107" t="n">
        <v>0</v>
      </c>
      <c r="P281" s="107" t="n">
        <v>0</v>
      </c>
      <c r="Q281" s="107" t="n">
        <v>18.5</v>
      </c>
      <c r="R281" s="107" t="n">
        <f aca="false">SUM(L281:Q281)</f>
        <v>18.5</v>
      </c>
      <c r="S281" s="108" t="n">
        <v>1</v>
      </c>
      <c r="T281" s="108" t="n">
        <v>1</v>
      </c>
      <c r="U281" s="108" t="n">
        <v>1</v>
      </c>
      <c r="V281" s="108" t="n">
        <v>1</v>
      </c>
      <c r="W281" s="108" t="n">
        <v>1</v>
      </c>
      <c r="X281" s="108" t="n">
        <v>1</v>
      </c>
      <c r="Y281" s="107" t="n">
        <f aca="false">S281*$D281</f>
        <v>9.25</v>
      </c>
      <c r="Z281" s="107" t="n">
        <f aca="false">T281*$D281</f>
        <v>9.25</v>
      </c>
      <c r="AA281" s="107" t="n">
        <f aca="false">U281*$D281</f>
        <v>9.25</v>
      </c>
      <c r="AB281" s="107" t="n">
        <f aca="false">V281*$D281</f>
        <v>9.25</v>
      </c>
      <c r="AC281" s="107" t="n">
        <f aca="false">W281*$D281</f>
        <v>9.25</v>
      </c>
      <c r="AD281" s="107" t="n">
        <f aca="false">X281*$D281</f>
        <v>9.25</v>
      </c>
      <c r="AE281" s="107" t="n">
        <f aca="false">SUM(Y281:AD281)</f>
        <v>55.5</v>
      </c>
    </row>
    <row r="282" customFormat="false" ht="15" hidden="false" customHeight="false" outlineLevel="0" collapsed="false">
      <c r="A282" s="103" t="s">
        <v>728</v>
      </c>
      <c r="B282" s="104" t="n">
        <v>0</v>
      </c>
      <c r="C282" s="105" t="n">
        <f aca="false">IF(K282=0,0,R282/K282)</f>
        <v>6</v>
      </c>
      <c r="D282" s="105" t="n">
        <f aca="false">C282+B282</f>
        <v>6</v>
      </c>
      <c r="E282" s="106" t="n">
        <v>0</v>
      </c>
      <c r="F282" s="106" t="n">
        <v>3</v>
      </c>
      <c r="G282" s="106" t="n">
        <v>0</v>
      </c>
      <c r="H282" s="106" t="n">
        <v>0</v>
      </c>
      <c r="I282" s="106" t="n">
        <v>0</v>
      </c>
      <c r="J282" s="106" t="n">
        <v>0</v>
      </c>
      <c r="K282" s="106" t="n">
        <f aca="false">SUM(E282:J282)</f>
        <v>3</v>
      </c>
      <c r="L282" s="107" t="n">
        <v>0</v>
      </c>
      <c r="M282" s="107" t="n">
        <v>18</v>
      </c>
      <c r="N282" s="107" t="n">
        <v>0</v>
      </c>
      <c r="O282" s="107" t="n">
        <v>0</v>
      </c>
      <c r="P282" s="107" t="n">
        <v>0</v>
      </c>
      <c r="Q282" s="107" t="n">
        <v>0</v>
      </c>
      <c r="R282" s="107" t="n">
        <f aca="false">SUM(L282:Q282)</f>
        <v>18</v>
      </c>
      <c r="S282" s="108" t="n">
        <v>0</v>
      </c>
      <c r="T282" s="108" t="n">
        <v>0</v>
      </c>
      <c r="U282" s="108" t="n">
        <v>0</v>
      </c>
      <c r="V282" s="108" t="n">
        <v>0</v>
      </c>
      <c r="W282" s="108" t="n">
        <v>0</v>
      </c>
      <c r="X282" s="108" t="n">
        <v>0</v>
      </c>
      <c r="Y282" s="107" t="n">
        <f aca="false">S282*$D282</f>
        <v>0</v>
      </c>
      <c r="Z282" s="107" t="n">
        <f aca="false">T282*$D282</f>
        <v>0</v>
      </c>
      <c r="AA282" s="107" t="n">
        <f aca="false">U282*$D282</f>
        <v>0</v>
      </c>
      <c r="AB282" s="107" t="n">
        <f aca="false">V282*$D282</f>
        <v>0</v>
      </c>
      <c r="AC282" s="107" t="n">
        <f aca="false">W282*$D282</f>
        <v>0</v>
      </c>
      <c r="AD282" s="107" t="n">
        <f aca="false">X282*$D282</f>
        <v>0</v>
      </c>
      <c r="AE282" s="107" t="n">
        <f aca="false">SUM(Y282:AD282)</f>
        <v>0</v>
      </c>
    </row>
    <row r="283" customFormat="false" ht="15" hidden="false" customHeight="false" outlineLevel="0" collapsed="false">
      <c r="A283" s="103" t="s">
        <v>729</v>
      </c>
      <c r="B283" s="104" t="n">
        <v>0</v>
      </c>
      <c r="C283" s="105" t="n">
        <f aca="false">IF(K283=0,0,R283/K283)</f>
        <v>6</v>
      </c>
      <c r="D283" s="105" t="n">
        <f aca="false">C283+B283</f>
        <v>6</v>
      </c>
      <c r="E283" s="106" t="n">
        <v>0</v>
      </c>
      <c r="F283" s="106" t="n">
        <v>0</v>
      </c>
      <c r="G283" s="106" t="n">
        <v>0</v>
      </c>
      <c r="H283" s="106" t="n">
        <v>3</v>
      </c>
      <c r="I283" s="106" t="n">
        <v>0</v>
      </c>
      <c r="J283" s="106" t="n">
        <v>0</v>
      </c>
      <c r="K283" s="106" t="n">
        <f aca="false">SUM(E283:J283)</f>
        <v>3</v>
      </c>
      <c r="L283" s="107" t="n">
        <v>0</v>
      </c>
      <c r="M283" s="107" t="n">
        <v>0</v>
      </c>
      <c r="N283" s="107" t="n">
        <v>0</v>
      </c>
      <c r="O283" s="107" t="n">
        <v>18</v>
      </c>
      <c r="P283" s="107" t="n">
        <v>0</v>
      </c>
      <c r="Q283" s="107" t="n">
        <v>0</v>
      </c>
      <c r="R283" s="107" t="n">
        <f aca="false">SUM(L283:Q283)</f>
        <v>18</v>
      </c>
      <c r="S283" s="108" t="n">
        <v>1</v>
      </c>
      <c r="T283" s="108" t="n">
        <v>1</v>
      </c>
      <c r="U283" s="108" t="n">
        <v>1</v>
      </c>
      <c r="V283" s="108" t="n">
        <v>1</v>
      </c>
      <c r="W283" s="108" t="n">
        <v>1</v>
      </c>
      <c r="X283" s="108" t="n">
        <v>1</v>
      </c>
      <c r="Y283" s="107" t="n">
        <f aca="false">S283*$D283</f>
        <v>6</v>
      </c>
      <c r="Z283" s="107" t="n">
        <f aca="false">T283*$D283</f>
        <v>6</v>
      </c>
      <c r="AA283" s="107" t="n">
        <f aca="false">U283*$D283</f>
        <v>6</v>
      </c>
      <c r="AB283" s="107" t="n">
        <f aca="false">V283*$D283</f>
        <v>6</v>
      </c>
      <c r="AC283" s="107" t="n">
        <f aca="false">W283*$D283</f>
        <v>6</v>
      </c>
      <c r="AD283" s="107" t="n">
        <f aca="false">X283*$D283</f>
        <v>6</v>
      </c>
      <c r="AE283" s="107" t="n">
        <f aca="false">SUM(Y283:AD283)</f>
        <v>36</v>
      </c>
    </row>
    <row r="284" customFormat="false" ht="15" hidden="false" customHeight="false" outlineLevel="0" collapsed="false">
      <c r="A284" s="103" t="s">
        <v>730</v>
      </c>
      <c r="B284" s="104" t="n">
        <v>0</v>
      </c>
      <c r="C284" s="105" t="n">
        <f aca="false">IF(K284=0,0,R284/K284)</f>
        <v>6</v>
      </c>
      <c r="D284" s="105" t="n">
        <f aca="false">C284+B284</f>
        <v>6</v>
      </c>
      <c r="E284" s="106" t="n">
        <v>0</v>
      </c>
      <c r="F284" s="106" t="n">
        <v>0</v>
      </c>
      <c r="G284" s="106" t="n">
        <v>0</v>
      </c>
      <c r="H284" s="106" t="n">
        <v>0</v>
      </c>
      <c r="I284" s="106" t="n">
        <v>3</v>
      </c>
      <c r="J284" s="106" t="n">
        <v>0</v>
      </c>
      <c r="K284" s="106" t="n">
        <f aca="false">SUM(E284:J284)</f>
        <v>3</v>
      </c>
      <c r="L284" s="107" t="n">
        <v>0</v>
      </c>
      <c r="M284" s="107" t="n">
        <v>0</v>
      </c>
      <c r="N284" s="107" t="n">
        <v>0</v>
      </c>
      <c r="O284" s="107" t="n">
        <v>0</v>
      </c>
      <c r="P284" s="107" t="n">
        <v>18</v>
      </c>
      <c r="Q284" s="107" t="n">
        <v>0</v>
      </c>
      <c r="R284" s="107" t="n">
        <f aca="false">SUM(L284:Q284)</f>
        <v>18</v>
      </c>
      <c r="S284" s="108" t="n">
        <v>1</v>
      </c>
      <c r="T284" s="108" t="n">
        <v>1</v>
      </c>
      <c r="U284" s="108" t="n">
        <v>1</v>
      </c>
      <c r="V284" s="108" t="n">
        <v>1</v>
      </c>
      <c r="W284" s="108" t="n">
        <v>1</v>
      </c>
      <c r="X284" s="108" t="n">
        <v>1</v>
      </c>
      <c r="Y284" s="107" t="n">
        <f aca="false">S284*$D284</f>
        <v>6</v>
      </c>
      <c r="Z284" s="107" t="n">
        <f aca="false">T284*$D284</f>
        <v>6</v>
      </c>
      <c r="AA284" s="107" t="n">
        <f aca="false">U284*$D284</f>
        <v>6</v>
      </c>
      <c r="AB284" s="107" t="n">
        <f aca="false">V284*$D284</f>
        <v>6</v>
      </c>
      <c r="AC284" s="107" t="n">
        <f aca="false">W284*$D284</f>
        <v>6</v>
      </c>
      <c r="AD284" s="107" t="n">
        <f aca="false">X284*$D284</f>
        <v>6</v>
      </c>
      <c r="AE284" s="107" t="n">
        <f aca="false">SUM(Y284:AD284)</f>
        <v>36</v>
      </c>
    </row>
    <row r="285" customFormat="false" ht="15" hidden="false" customHeight="false" outlineLevel="0" collapsed="false">
      <c r="A285" s="103" t="s">
        <v>731</v>
      </c>
      <c r="B285" s="104" t="n">
        <v>0</v>
      </c>
      <c r="C285" s="105" t="n">
        <f aca="false">IF(K285=0,0,R285/K285)</f>
        <v>9</v>
      </c>
      <c r="D285" s="105" t="n">
        <f aca="false">C285+B285</f>
        <v>9</v>
      </c>
      <c r="E285" s="106" t="n">
        <v>0</v>
      </c>
      <c r="F285" s="106" t="n">
        <v>0</v>
      </c>
      <c r="G285" s="106" t="n">
        <v>0</v>
      </c>
      <c r="H285" s="106" t="n">
        <v>0</v>
      </c>
      <c r="I285" s="106" t="n">
        <v>0</v>
      </c>
      <c r="J285" s="106" t="n">
        <v>2</v>
      </c>
      <c r="K285" s="106" t="n">
        <f aca="false">SUM(E285:J285)</f>
        <v>2</v>
      </c>
      <c r="L285" s="107" t="n">
        <v>0</v>
      </c>
      <c r="M285" s="107" t="n">
        <v>0</v>
      </c>
      <c r="N285" s="107" t="n">
        <v>0</v>
      </c>
      <c r="O285" s="107" t="n">
        <v>0</v>
      </c>
      <c r="P285" s="107" t="n">
        <v>0</v>
      </c>
      <c r="Q285" s="107" t="n">
        <v>18</v>
      </c>
      <c r="R285" s="107" t="n">
        <f aca="false">SUM(L285:Q285)</f>
        <v>18</v>
      </c>
      <c r="S285" s="108" t="n">
        <v>1</v>
      </c>
      <c r="T285" s="108" t="n">
        <v>1</v>
      </c>
      <c r="U285" s="108" t="n">
        <v>1</v>
      </c>
      <c r="V285" s="108" t="n">
        <v>1</v>
      </c>
      <c r="W285" s="108" t="n">
        <v>1</v>
      </c>
      <c r="X285" s="108" t="n">
        <v>1</v>
      </c>
      <c r="Y285" s="107" t="n">
        <f aca="false">S285*$D285</f>
        <v>9</v>
      </c>
      <c r="Z285" s="107" t="n">
        <f aca="false">T285*$D285</f>
        <v>9</v>
      </c>
      <c r="AA285" s="107" t="n">
        <f aca="false">U285*$D285</f>
        <v>9</v>
      </c>
      <c r="AB285" s="107" t="n">
        <f aca="false">V285*$D285</f>
        <v>9</v>
      </c>
      <c r="AC285" s="107" t="n">
        <f aca="false">W285*$D285</f>
        <v>9</v>
      </c>
      <c r="AD285" s="107" t="n">
        <f aca="false">X285*$D285</f>
        <v>9</v>
      </c>
      <c r="AE285" s="107" t="n">
        <f aca="false">SUM(Y285:AD285)</f>
        <v>54</v>
      </c>
    </row>
    <row r="286" customFormat="false" ht="15" hidden="false" customHeight="false" outlineLevel="0" collapsed="false">
      <c r="A286" s="103" t="s">
        <v>732</v>
      </c>
      <c r="B286" s="104" t="n">
        <v>0</v>
      </c>
      <c r="C286" s="105" t="n">
        <f aca="false">IF(K286=0,0,R286/K286)</f>
        <v>2.98</v>
      </c>
      <c r="D286" s="105" t="n">
        <f aca="false">C286+B286</f>
        <v>2.98</v>
      </c>
      <c r="E286" s="106" t="n">
        <v>0</v>
      </c>
      <c r="F286" s="106" t="n">
        <v>0</v>
      </c>
      <c r="G286" s="106" t="n">
        <v>0</v>
      </c>
      <c r="H286" s="106" t="n">
        <v>0</v>
      </c>
      <c r="I286" s="106" t="n">
        <v>0</v>
      </c>
      <c r="J286" s="106" t="n">
        <v>6</v>
      </c>
      <c r="K286" s="106" t="n">
        <f aca="false">SUM(E286:J286)</f>
        <v>6</v>
      </c>
      <c r="L286" s="107" t="n">
        <v>0</v>
      </c>
      <c r="M286" s="107" t="n">
        <v>0</v>
      </c>
      <c r="N286" s="107" t="n">
        <v>0</v>
      </c>
      <c r="O286" s="107" t="n">
        <v>0</v>
      </c>
      <c r="P286" s="107" t="n">
        <v>0</v>
      </c>
      <c r="Q286" s="107" t="n">
        <v>17.88</v>
      </c>
      <c r="R286" s="107" t="n">
        <f aca="false">SUM(L286:Q286)</f>
        <v>17.88</v>
      </c>
      <c r="S286" s="108" t="n">
        <v>2</v>
      </c>
      <c r="T286" s="108" t="n">
        <v>2</v>
      </c>
      <c r="U286" s="108" t="n">
        <v>2</v>
      </c>
      <c r="V286" s="108" t="n">
        <v>2</v>
      </c>
      <c r="W286" s="108" t="n">
        <v>2</v>
      </c>
      <c r="X286" s="108" t="n">
        <v>2</v>
      </c>
      <c r="Y286" s="107" t="n">
        <f aca="false">S286*$D286</f>
        <v>5.96</v>
      </c>
      <c r="Z286" s="107" t="n">
        <f aca="false">T286*$D286</f>
        <v>5.96</v>
      </c>
      <c r="AA286" s="107" t="n">
        <f aca="false">U286*$D286</f>
        <v>5.96</v>
      </c>
      <c r="AB286" s="107" t="n">
        <f aca="false">V286*$D286</f>
        <v>5.96</v>
      </c>
      <c r="AC286" s="107" t="n">
        <f aca="false">W286*$D286</f>
        <v>5.96</v>
      </c>
      <c r="AD286" s="107" t="n">
        <f aca="false">X286*$D286</f>
        <v>5.96</v>
      </c>
      <c r="AE286" s="107" t="n">
        <f aca="false">SUM(Y286:AD286)</f>
        <v>35.76</v>
      </c>
    </row>
    <row r="287" customFormat="false" ht="15" hidden="false" customHeight="false" outlineLevel="0" collapsed="false">
      <c r="A287" s="103" t="s">
        <v>733</v>
      </c>
      <c r="B287" s="104" t="n">
        <v>0</v>
      </c>
      <c r="C287" s="105" t="n">
        <f aca="false">IF(K287=0,0,R287/K287)</f>
        <v>2.86666666666667</v>
      </c>
      <c r="D287" s="105" t="n">
        <f aca="false">C287+B287</f>
        <v>2.86666666666667</v>
      </c>
      <c r="E287" s="106" t="n">
        <v>3</v>
      </c>
      <c r="F287" s="106" t="n">
        <v>3</v>
      </c>
      <c r="G287" s="106" t="n">
        <v>0</v>
      </c>
      <c r="H287" s="106" t="n">
        <v>0</v>
      </c>
      <c r="I287" s="106" t="n">
        <v>0</v>
      </c>
      <c r="J287" s="106" t="n">
        <v>0</v>
      </c>
      <c r="K287" s="106" t="n">
        <f aca="false">SUM(E287:J287)</f>
        <v>6</v>
      </c>
      <c r="L287" s="107" t="n">
        <v>9.2</v>
      </c>
      <c r="M287" s="107" t="n">
        <v>8</v>
      </c>
      <c r="N287" s="107" t="n">
        <v>0</v>
      </c>
      <c r="O287" s="107" t="n">
        <v>0</v>
      </c>
      <c r="P287" s="107" t="n">
        <v>0</v>
      </c>
      <c r="Q287" s="107" t="n">
        <v>0</v>
      </c>
      <c r="R287" s="107" t="n">
        <f aca="false">SUM(L287:Q287)</f>
        <v>17.2</v>
      </c>
      <c r="S287" s="108" t="n">
        <v>0</v>
      </c>
      <c r="T287" s="108" t="n">
        <v>0</v>
      </c>
      <c r="U287" s="108" t="n">
        <v>0</v>
      </c>
      <c r="V287" s="108" t="n">
        <v>0</v>
      </c>
      <c r="W287" s="108" t="n">
        <v>0</v>
      </c>
      <c r="X287" s="108" t="n">
        <v>0</v>
      </c>
      <c r="Y287" s="107" t="n">
        <f aca="false">S287*$D287</f>
        <v>0</v>
      </c>
      <c r="Z287" s="107" t="n">
        <f aca="false">T287*$D287</f>
        <v>0</v>
      </c>
      <c r="AA287" s="107" t="n">
        <f aca="false">U287*$D287</f>
        <v>0</v>
      </c>
      <c r="AB287" s="107" t="n">
        <f aca="false">V287*$D287</f>
        <v>0</v>
      </c>
      <c r="AC287" s="107" t="n">
        <f aca="false">W287*$D287</f>
        <v>0</v>
      </c>
      <c r="AD287" s="107" t="n">
        <f aca="false">X287*$D287</f>
        <v>0</v>
      </c>
      <c r="AE287" s="107" t="n">
        <f aca="false">SUM(Y287:AD287)</f>
        <v>0</v>
      </c>
    </row>
    <row r="288" customFormat="false" ht="15" hidden="false" customHeight="false" outlineLevel="0" collapsed="false">
      <c r="A288" s="103" t="s">
        <v>734</v>
      </c>
      <c r="B288" s="104" t="n">
        <v>0</v>
      </c>
      <c r="C288" s="105" t="n">
        <f aca="false">IF(K288=0,0,R288/K288)</f>
        <v>5.7</v>
      </c>
      <c r="D288" s="105" t="n">
        <f aca="false">C288+B288</f>
        <v>5.7</v>
      </c>
      <c r="E288" s="106" t="n">
        <v>0</v>
      </c>
      <c r="F288" s="106" t="n">
        <v>0</v>
      </c>
      <c r="G288" s="106" t="n">
        <v>0</v>
      </c>
      <c r="H288" s="106" t="n">
        <v>0</v>
      </c>
      <c r="I288" s="106" t="n">
        <v>0</v>
      </c>
      <c r="J288" s="106" t="n">
        <v>3</v>
      </c>
      <c r="K288" s="106" t="n">
        <f aca="false">SUM(E288:J288)</f>
        <v>3</v>
      </c>
      <c r="L288" s="107" t="n">
        <v>0</v>
      </c>
      <c r="M288" s="107" t="n">
        <v>0</v>
      </c>
      <c r="N288" s="107" t="n">
        <v>0</v>
      </c>
      <c r="O288" s="107" t="n">
        <v>0</v>
      </c>
      <c r="P288" s="107" t="n">
        <v>0</v>
      </c>
      <c r="Q288" s="107" t="n">
        <v>17.1</v>
      </c>
      <c r="R288" s="107" t="n">
        <f aca="false">SUM(L288:Q288)</f>
        <v>17.1</v>
      </c>
      <c r="S288" s="108" t="n">
        <v>1</v>
      </c>
      <c r="T288" s="108" t="n">
        <v>1</v>
      </c>
      <c r="U288" s="108" t="n">
        <v>1</v>
      </c>
      <c r="V288" s="108" t="n">
        <v>1</v>
      </c>
      <c r="W288" s="108" t="n">
        <v>1</v>
      </c>
      <c r="X288" s="108" t="n">
        <v>1</v>
      </c>
      <c r="Y288" s="107" t="n">
        <f aca="false">S288*$D288</f>
        <v>5.7</v>
      </c>
      <c r="Z288" s="107" t="n">
        <f aca="false">T288*$D288</f>
        <v>5.7</v>
      </c>
      <c r="AA288" s="107" t="n">
        <f aca="false">U288*$D288</f>
        <v>5.7</v>
      </c>
      <c r="AB288" s="107" t="n">
        <f aca="false">V288*$D288</f>
        <v>5.7</v>
      </c>
      <c r="AC288" s="107" t="n">
        <f aca="false">W288*$D288</f>
        <v>5.7</v>
      </c>
      <c r="AD288" s="107" t="n">
        <f aca="false">X288*$D288</f>
        <v>5.7</v>
      </c>
      <c r="AE288" s="107" t="n">
        <f aca="false">SUM(Y288:AD288)</f>
        <v>34.2</v>
      </c>
    </row>
    <row r="289" customFormat="false" ht="15" hidden="false" customHeight="false" outlineLevel="0" collapsed="false">
      <c r="A289" s="103" t="s">
        <v>735</v>
      </c>
      <c r="B289" s="104" t="n">
        <v>0</v>
      </c>
      <c r="C289" s="105" t="n">
        <f aca="false">IF(K289=0,0,R289/K289)</f>
        <v>17</v>
      </c>
      <c r="D289" s="105" t="n">
        <f aca="false">C289+B289</f>
        <v>17</v>
      </c>
      <c r="E289" s="106" t="n">
        <v>0</v>
      </c>
      <c r="F289" s="106" t="n">
        <v>1</v>
      </c>
      <c r="G289" s="106" t="n">
        <v>0</v>
      </c>
      <c r="H289" s="106" t="n">
        <v>0</v>
      </c>
      <c r="I289" s="106" t="n">
        <v>0</v>
      </c>
      <c r="J289" s="106" t="n">
        <v>0</v>
      </c>
      <c r="K289" s="106" t="n">
        <f aca="false">SUM(E289:J289)</f>
        <v>1</v>
      </c>
      <c r="L289" s="107" t="n">
        <v>0</v>
      </c>
      <c r="M289" s="107" t="n">
        <v>17</v>
      </c>
      <c r="N289" s="107" t="n">
        <v>0</v>
      </c>
      <c r="O289" s="107" t="n">
        <v>0</v>
      </c>
      <c r="P289" s="107" t="n">
        <v>0</v>
      </c>
      <c r="Q289" s="107" t="n">
        <v>0</v>
      </c>
      <c r="R289" s="107" t="n">
        <f aca="false">SUM(L289:Q289)</f>
        <v>17</v>
      </c>
      <c r="S289" s="108" t="n">
        <v>0</v>
      </c>
      <c r="T289" s="108" t="n">
        <v>0</v>
      </c>
      <c r="U289" s="108" t="n">
        <v>0</v>
      </c>
      <c r="V289" s="108" t="n">
        <v>0</v>
      </c>
      <c r="W289" s="108" t="n">
        <v>0</v>
      </c>
      <c r="X289" s="108" t="n">
        <v>0</v>
      </c>
      <c r="Y289" s="107" t="n">
        <f aca="false">S289*$D289</f>
        <v>0</v>
      </c>
      <c r="Z289" s="107" t="n">
        <f aca="false">T289*$D289</f>
        <v>0</v>
      </c>
      <c r="AA289" s="107" t="n">
        <f aca="false">U289*$D289</f>
        <v>0</v>
      </c>
      <c r="AB289" s="107" t="n">
        <f aca="false">V289*$D289</f>
        <v>0</v>
      </c>
      <c r="AC289" s="107" t="n">
        <f aca="false">W289*$D289</f>
        <v>0</v>
      </c>
      <c r="AD289" s="107" t="n">
        <f aca="false">X289*$D289</f>
        <v>0</v>
      </c>
      <c r="AE289" s="107" t="n">
        <f aca="false">SUM(Y289:AD289)</f>
        <v>0</v>
      </c>
    </row>
    <row r="290" customFormat="false" ht="15" hidden="false" customHeight="false" outlineLevel="0" collapsed="false">
      <c r="A290" s="103" t="s">
        <v>736</v>
      </c>
      <c r="B290" s="104" t="n">
        <v>0</v>
      </c>
      <c r="C290" s="105" t="n">
        <f aca="false">IF(K290=0,0,R290/K290)</f>
        <v>3.77</v>
      </c>
      <c r="D290" s="105" t="n">
        <f aca="false">C290+B290</f>
        <v>3.77</v>
      </c>
      <c r="E290" s="106" t="n">
        <v>0</v>
      </c>
      <c r="F290" s="106" t="n">
        <v>0</v>
      </c>
      <c r="G290" s="106" t="n">
        <v>4</v>
      </c>
      <c r="H290" s="106" t="n">
        <v>0</v>
      </c>
      <c r="I290" s="106" t="n">
        <v>0</v>
      </c>
      <c r="J290" s="106" t="n">
        <v>0</v>
      </c>
      <c r="K290" s="106" t="n">
        <f aca="false">SUM(E290:J290)</f>
        <v>4</v>
      </c>
      <c r="L290" s="107" t="n">
        <v>0</v>
      </c>
      <c r="M290" s="107" t="n">
        <v>0</v>
      </c>
      <c r="N290" s="107" t="n">
        <v>15.08</v>
      </c>
      <c r="O290" s="107" t="n">
        <v>0</v>
      </c>
      <c r="P290" s="107" t="n">
        <v>0</v>
      </c>
      <c r="Q290" s="107" t="n">
        <v>0</v>
      </c>
      <c r="R290" s="107" t="n">
        <f aca="false">SUM(L290:Q290)</f>
        <v>15.08</v>
      </c>
      <c r="S290" s="108" t="n">
        <v>0</v>
      </c>
      <c r="T290" s="108" t="n">
        <v>0</v>
      </c>
      <c r="U290" s="108" t="n">
        <v>0</v>
      </c>
      <c r="V290" s="108" t="n">
        <v>0</v>
      </c>
      <c r="W290" s="108" t="n">
        <v>0</v>
      </c>
      <c r="X290" s="108" t="n">
        <v>0</v>
      </c>
      <c r="Y290" s="107" t="n">
        <f aca="false">S290*$D290</f>
        <v>0</v>
      </c>
      <c r="Z290" s="107" t="n">
        <f aca="false">T290*$D290</f>
        <v>0</v>
      </c>
      <c r="AA290" s="107" t="n">
        <f aca="false">U290*$D290</f>
        <v>0</v>
      </c>
      <c r="AB290" s="107" t="n">
        <f aca="false">V290*$D290</f>
        <v>0</v>
      </c>
      <c r="AC290" s="107" t="n">
        <f aca="false">W290*$D290</f>
        <v>0</v>
      </c>
      <c r="AD290" s="107" t="n">
        <f aca="false">X290*$D290</f>
        <v>0</v>
      </c>
      <c r="AE290" s="107" t="n">
        <f aca="false">SUM(Y290:AD290)</f>
        <v>0</v>
      </c>
    </row>
    <row r="291" customFormat="false" ht="15" hidden="false" customHeight="false" outlineLevel="0" collapsed="false">
      <c r="A291" s="103" t="s">
        <v>737</v>
      </c>
      <c r="B291" s="104" t="n">
        <v>0</v>
      </c>
      <c r="C291" s="105" t="n">
        <f aca="false">IF(K291=0,0,R291/K291)</f>
        <v>5</v>
      </c>
      <c r="D291" s="105" t="n">
        <f aca="false">C291+B291</f>
        <v>5</v>
      </c>
      <c r="E291" s="106" t="n">
        <v>0</v>
      </c>
      <c r="F291" s="106" t="n">
        <v>1</v>
      </c>
      <c r="G291" s="106" t="n">
        <v>2</v>
      </c>
      <c r="H291" s="106" t="n">
        <v>0</v>
      </c>
      <c r="I291" s="106" t="n">
        <v>0</v>
      </c>
      <c r="J291" s="106" t="n">
        <v>0</v>
      </c>
      <c r="K291" s="106" t="n">
        <f aca="false">SUM(E291:J291)</f>
        <v>3</v>
      </c>
      <c r="L291" s="107" t="n">
        <v>0</v>
      </c>
      <c r="M291" s="107" t="n">
        <v>6</v>
      </c>
      <c r="N291" s="107" t="n">
        <v>9</v>
      </c>
      <c r="O291" s="107" t="n">
        <v>0</v>
      </c>
      <c r="P291" s="107" t="n">
        <v>0</v>
      </c>
      <c r="Q291" s="107" t="n">
        <v>0</v>
      </c>
      <c r="R291" s="107" t="n">
        <f aca="false">SUM(L291:Q291)</f>
        <v>15</v>
      </c>
      <c r="S291" s="108" t="n">
        <v>0</v>
      </c>
      <c r="T291" s="108" t="n">
        <v>0</v>
      </c>
      <c r="U291" s="108" t="n">
        <v>0</v>
      </c>
      <c r="V291" s="108" t="n">
        <v>0</v>
      </c>
      <c r="W291" s="108" t="n">
        <v>0</v>
      </c>
      <c r="X291" s="108" t="n">
        <v>0</v>
      </c>
      <c r="Y291" s="107" t="n">
        <f aca="false">S291*$D291</f>
        <v>0</v>
      </c>
      <c r="Z291" s="107" t="n">
        <f aca="false">T291*$D291</f>
        <v>0</v>
      </c>
      <c r="AA291" s="107" t="n">
        <f aca="false">U291*$D291</f>
        <v>0</v>
      </c>
      <c r="AB291" s="107" t="n">
        <f aca="false">V291*$D291</f>
        <v>0</v>
      </c>
      <c r="AC291" s="107" t="n">
        <f aca="false">W291*$D291</f>
        <v>0</v>
      </c>
      <c r="AD291" s="107" t="n">
        <f aca="false">X291*$D291</f>
        <v>0</v>
      </c>
      <c r="AE291" s="107" t="n">
        <f aca="false">SUM(Y291:AD291)</f>
        <v>0</v>
      </c>
    </row>
    <row r="292" customFormat="false" ht="15" hidden="false" customHeight="false" outlineLevel="0" collapsed="false">
      <c r="A292" s="103" t="s">
        <v>738</v>
      </c>
      <c r="B292" s="104" t="n">
        <v>0</v>
      </c>
      <c r="C292" s="105" t="n">
        <f aca="false">IF(K292=0,0,R292/K292)</f>
        <v>7.5</v>
      </c>
      <c r="D292" s="105" t="n">
        <f aca="false">C292+B292</f>
        <v>7.5</v>
      </c>
      <c r="E292" s="106" t="n">
        <v>0</v>
      </c>
      <c r="F292" s="106" t="n">
        <v>0</v>
      </c>
      <c r="G292" s="106" t="n">
        <v>0</v>
      </c>
      <c r="H292" s="106" t="n">
        <v>1</v>
      </c>
      <c r="I292" s="106" t="n">
        <v>1</v>
      </c>
      <c r="J292" s="106" t="n">
        <v>0</v>
      </c>
      <c r="K292" s="106" t="n">
        <f aca="false">SUM(E292:J292)</f>
        <v>2</v>
      </c>
      <c r="L292" s="107" t="n">
        <v>0</v>
      </c>
      <c r="M292" s="107" t="n">
        <v>0</v>
      </c>
      <c r="N292" s="107" t="n">
        <v>0</v>
      </c>
      <c r="O292" s="107" t="n">
        <v>5</v>
      </c>
      <c r="P292" s="107" t="n">
        <v>10</v>
      </c>
      <c r="Q292" s="107" t="n">
        <v>0</v>
      </c>
      <c r="R292" s="107" t="n">
        <f aca="false">SUM(L292:Q292)</f>
        <v>15</v>
      </c>
      <c r="S292" s="108" t="n">
        <v>1</v>
      </c>
      <c r="T292" s="108" t="n">
        <v>1</v>
      </c>
      <c r="U292" s="108" t="n">
        <v>1</v>
      </c>
      <c r="V292" s="108" t="n">
        <v>1</v>
      </c>
      <c r="W292" s="108" t="n">
        <v>1</v>
      </c>
      <c r="X292" s="108" t="n">
        <v>1</v>
      </c>
      <c r="Y292" s="107" t="n">
        <f aca="false">S292*$D292</f>
        <v>7.5</v>
      </c>
      <c r="Z292" s="107" t="n">
        <f aca="false">T292*$D292</f>
        <v>7.5</v>
      </c>
      <c r="AA292" s="107" t="n">
        <f aca="false">U292*$D292</f>
        <v>7.5</v>
      </c>
      <c r="AB292" s="107" t="n">
        <f aca="false">V292*$D292</f>
        <v>7.5</v>
      </c>
      <c r="AC292" s="107" t="n">
        <f aca="false">W292*$D292</f>
        <v>7.5</v>
      </c>
      <c r="AD292" s="107" t="n">
        <f aca="false">X292*$D292</f>
        <v>7.5</v>
      </c>
      <c r="AE292" s="107" t="n">
        <f aca="false">SUM(Y292:AD292)</f>
        <v>45</v>
      </c>
    </row>
    <row r="293" customFormat="false" ht="15" hidden="false" customHeight="false" outlineLevel="0" collapsed="false">
      <c r="A293" s="103" t="s">
        <v>739</v>
      </c>
      <c r="B293" s="104" t="n">
        <v>0</v>
      </c>
      <c r="C293" s="105" t="n">
        <f aca="false">IF(K293=0,0,R293/K293)</f>
        <v>7.5</v>
      </c>
      <c r="D293" s="105" t="n">
        <f aca="false">C293+B293</f>
        <v>7.5</v>
      </c>
      <c r="E293" s="106" t="n">
        <v>0</v>
      </c>
      <c r="F293" s="106" t="n">
        <v>0</v>
      </c>
      <c r="G293" s="106" t="n">
        <v>0</v>
      </c>
      <c r="H293" s="106" t="n">
        <v>0</v>
      </c>
      <c r="I293" s="106" t="n">
        <v>2</v>
      </c>
      <c r="J293" s="106" t="n">
        <v>0</v>
      </c>
      <c r="K293" s="106" t="n">
        <f aca="false">SUM(E293:J293)</f>
        <v>2</v>
      </c>
      <c r="L293" s="107" t="n">
        <v>0</v>
      </c>
      <c r="M293" s="107" t="n">
        <v>0</v>
      </c>
      <c r="N293" s="107" t="n">
        <v>0</v>
      </c>
      <c r="O293" s="107" t="n">
        <v>0</v>
      </c>
      <c r="P293" s="107" t="n">
        <v>15</v>
      </c>
      <c r="Q293" s="107" t="n">
        <v>0</v>
      </c>
      <c r="R293" s="107" t="n">
        <f aca="false">SUM(L293:Q293)</f>
        <v>15</v>
      </c>
      <c r="S293" s="108" t="n">
        <v>1</v>
      </c>
      <c r="T293" s="108" t="n">
        <v>1</v>
      </c>
      <c r="U293" s="108" t="n">
        <v>1</v>
      </c>
      <c r="V293" s="108" t="n">
        <v>1</v>
      </c>
      <c r="W293" s="108" t="n">
        <v>1</v>
      </c>
      <c r="X293" s="108" t="n">
        <v>1</v>
      </c>
      <c r="Y293" s="107" t="n">
        <f aca="false">S293*$D293</f>
        <v>7.5</v>
      </c>
      <c r="Z293" s="107" t="n">
        <f aca="false">T293*$D293</f>
        <v>7.5</v>
      </c>
      <c r="AA293" s="107" t="n">
        <f aca="false">U293*$D293</f>
        <v>7.5</v>
      </c>
      <c r="AB293" s="107" t="n">
        <f aca="false">V293*$D293</f>
        <v>7.5</v>
      </c>
      <c r="AC293" s="107" t="n">
        <f aca="false">W293*$D293</f>
        <v>7.5</v>
      </c>
      <c r="AD293" s="107" t="n">
        <f aca="false">X293*$D293</f>
        <v>7.5</v>
      </c>
      <c r="AE293" s="107" t="n">
        <f aca="false">SUM(Y293:AD293)</f>
        <v>45</v>
      </c>
    </row>
    <row r="294" customFormat="false" ht="15" hidden="false" customHeight="false" outlineLevel="0" collapsed="false">
      <c r="A294" s="103" t="s">
        <v>511</v>
      </c>
      <c r="B294" s="104" t="n">
        <v>0</v>
      </c>
      <c r="C294" s="105" t="n">
        <f aca="false">IF(K294=0,0,R294/K294)</f>
        <v>5</v>
      </c>
      <c r="D294" s="105" t="n">
        <f aca="false">C294+B294</f>
        <v>5</v>
      </c>
      <c r="E294" s="106" t="n">
        <v>0</v>
      </c>
      <c r="F294" s="106" t="n">
        <v>0</v>
      </c>
      <c r="G294" s="106" t="n">
        <v>0</v>
      </c>
      <c r="H294" s="106" t="n">
        <v>0</v>
      </c>
      <c r="I294" s="106" t="n">
        <v>3</v>
      </c>
      <c r="J294" s="106" t="n">
        <v>0</v>
      </c>
      <c r="K294" s="106" t="n">
        <f aca="false">SUM(E294:J294)</f>
        <v>3</v>
      </c>
      <c r="L294" s="107" t="n">
        <v>0</v>
      </c>
      <c r="M294" s="107" t="n">
        <v>0</v>
      </c>
      <c r="N294" s="107" t="n">
        <v>0</v>
      </c>
      <c r="O294" s="107" t="n">
        <v>0</v>
      </c>
      <c r="P294" s="107" t="n">
        <v>15</v>
      </c>
      <c r="Q294" s="107" t="n">
        <v>0</v>
      </c>
      <c r="R294" s="107" t="n">
        <f aca="false">SUM(L294:Q294)</f>
        <v>15</v>
      </c>
      <c r="S294" s="108" t="n">
        <v>1</v>
      </c>
      <c r="T294" s="108" t="n">
        <v>1</v>
      </c>
      <c r="U294" s="108" t="n">
        <v>1</v>
      </c>
      <c r="V294" s="108" t="n">
        <v>1</v>
      </c>
      <c r="W294" s="108" t="n">
        <v>1</v>
      </c>
      <c r="X294" s="108" t="n">
        <v>1</v>
      </c>
      <c r="Y294" s="107" t="n">
        <f aca="false">S294*$D294</f>
        <v>5</v>
      </c>
      <c r="Z294" s="107" t="n">
        <f aca="false">T294*$D294</f>
        <v>5</v>
      </c>
      <c r="AA294" s="107" t="n">
        <f aca="false">U294*$D294</f>
        <v>5</v>
      </c>
      <c r="AB294" s="107" t="n">
        <f aca="false">V294*$D294</f>
        <v>5</v>
      </c>
      <c r="AC294" s="107" t="n">
        <f aca="false">W294*$D294</f>
        <v>5</v>
      </c>
      <c r="AD294" s="107" t="n">
        <f aca="false">X294*$D294</f>
        <v>5</v>
      </c>
      <c r="AE294" s="107" t="n">
        <f aca="false">SUM(Y294:AD294)</f>
        <v>30</v>
      </c>
    </row>
    <row r="295" customFormat="false" ht="15" hidden="false" customHeight="false" outlineLevel="0" collapsed="false">
      <c r="A295" s="103" t="s">
        <v>740</v>
      </c>
      <c r="B295" s="104" t="n">
        <v>0</v>
      </c>
      <c r="C295" s="105" t="n">
        <f aca="false">IF(K295=0,0,R295/K295)</f>
        <v>4.7</v>
      </c>
      <c r="D295" s="105" t="n">
        <f aca="false">C295+B295</f>
        <v>4.7</v>
      </c>
      <c r="E295" s="106" t="n">
        <v>0</v>
      </c>
      <c r="F295" s="106" t="n">
        <v>3</v>
      </c>
      <c r="G295" s="106" t="n">
        <v>0</v>
      </c>
      <c r="H295" s="106" t="n">
        <v>0</v>
      </c>
      <c r="I295" s="106" t="n">
        <v>0</v>
      </c>
      <c r="J295" s="106" t="n">
        <v>0</v>
      </c>
      <c r="K295" s="106" t="n">
        <f aca="false">SUM(E295:J295)</f>
        <v>3</v>
      </c>
      <c r="L295" s="107" t="n">
        <v>0</v>
      </c>
      <c r="M295" s="107" t="n">
        <v>14.1</v>
      </c>
      <c r="N295" s="107" t="n">
        <v>0</v>
      </c>
      <c r="O295" s="107" t="n">
        <v>0</v>
      </c>
      <c r="P295" s="107" t="n">
        <v>0</v>
      </c>
      <c r="Q295" s="107" t="n">
        <v>0</v>
      </c>
      <c r="R295" s="107" t="n">
        <f aca="false">SUM(L295:Q295)</f>
        <v>14.1</v>
      </c>
      <c r="S295" s="108" t="n">
        <v>0</v>
      </c>
      <c r="T295" s="108" t="n">
        <v>0</v>
      </c>
      <c r="U295" s="108" t="n">
        <v>0</v>
      </c>
      <c r="V295" s="108" t="n">
        <v>0</v>
      </c>
      <c r="W295" s="108" t="n">
        <v>0</v>
      </c>
      <c r="X295" s="108" t="n">
        <v>0</v>
      </c>
      <c r="Y295" s="107" t="n">
        <f aca="false">S295*$D295</f>
        <v>0</v>
      </c>
      <c r="Z295" s="107" t="n">
        <f aca="false">T295*$D295</f>
        <v>0</v>
      </c>
      <c r="AA295" s="107" t="n">
        <f aca="false">U295*$D295</f>
        <v>0</v>
      </c>
      <c r="AB295" s="107" t="n">
        <f aca="false">V295*$D295</f>
        <v>0</v>
      </c>
      <c r="AC295" s="107" t="n">
        <f aca="false">W295*$D295</f>
        <v>0</v>
      </c>
      <c r="AD295" s="107" t="n">
        <f aca="false">X295*$D295</f>
        <v>0</v>
      </c>
      <c r="AE295" s="107" t="n">
        <f aca="false">SUM(Y295:AD295)</f>
        <v>0</v>
      </c>
    </row>
    <row r="296" customFormat="false" ht="15" hidden="false" customHeight="false" outlineLevel="0" collapsed="false">
      <c r="A296" s="103" t="s">
        <v>741</v>
      </c>
      <c r="B296" s="104" t="n">
        <v>0</v>
      </c>
      <c r="C296" s="105" t="n">
        <f aca="false">IF(K296=0,0,R296/K296)</f>
        <v>4.7</v>
      </c>
      <c r="D296" s="105" t="n">
        <f aca="false">C296+B296</f>
        <v>4.7</v>
      </c>
      <c r="E296" s="106" t="n">
        <v>0</v>
      </c>
      <c r="F296" s="106" t="n">
        <v>0</v>
      </c>
      <c r="G296" s="106" t="n">
        <v>0</v>
      </c>
      <c r="H296" s="106" t="n">
        <v>1</v>
      </c>
      <c r="I296" s="106" t="n">
        <v>2</v>
      </c>
      <c r="J296" s="106" t="n">
        <v>0</v>
      </c>
      <c r="K296" s="106" t="n">
        <f aca="false">SUM(E296:J296)</f>
        <v>3</v>
      </c>
      <c r="L296" s="107" t="n">
        <v>0</v>
      </c>
      <c r="M296" s="107" t="n">
        <v>0</v>
      </c>
      <c r="N296" s="107" t="n">
        <v>0</v>
      </c>
      <c r="O296" s="107" t="n">
        <v>6</v>
      </c>
      <c r="P296" s="107" t="n">
        <v>8.1</v>
      </c>
      <c r="Q296" s="107" t="n">
        <v>0</v>
      </c>
      <c r="R296" s="107" t="n">
        <f aca="false">SUM(L296:Q296)</f>
        <v>14.1</v>
      </c>
      <c r="S296" s="108" t="n">
        <v>1</v>
      </c>
      <c r="T296" s="108" t="n">
        <v>1</v>
      </c>
      <c r="U296" s="108" t="n">
        <v>1</v>
      </c>
      <c r="V296" s="108" t="n">
        <v>1</v>
      </c>
      <c r="W296" s="108" t="n">
        <v>1</v>
      </c>
      <c r="X296" s="108" t="n">
        <v>1</v>
      </c>
      <c r="Y296" s="107" t="n">
        <f aca="false">S296*$D296</f>
        <v>4.7</v>
      </c>
      <c r="Z296" s="107" t="n">
        <f aca="false">T296*$D296</f>
        <v>4.7</v>
      </c>
      <c r="AA296" s="107" t="n">
        <f aca="false">U296*$D296</f>
        <v>4.7</v>
      </c>
      <c r="AB296" s="107" t="n">
        <f aca="false">V296*$D296</f>
        <v>4.7</v>
      </c>
      <c r="AC296" s="107" t="n">
        <f aca="false">W296*$D296</f>
        <v>4.7</v>
      </c>
      <c r="AD296" s="107" t="n">
        <f aca="false">X296*$D296</f>
        <v>4.7</v>
      </c>
      <c r="AE296" s="107" t="n">
        <f aca="false">SUM(Y296:AD296)</f>
        <v>28.2</v>
      </c>
    </row>
    <row r="297" customFormat="false" ht="15" hidden="false" customHeight="false" outlineLevel="0" collapsed="false">
      <c r="A297" s="103" t="s">
        <v>742</v>
      </c>
      <c r="B297" s="104" t="n">
        <v>0</v>
      </c>
      <c r="C297" s="105" t="n">
        <f aca="false">IF(K297=0,0,R297/K297)</f>
        <v>4.66666666666667</v>
      </c>
      <c r="D297" s="105" t="n">
        <f aca="false">C297+B297</f>
        <v>4.66666666666667</v>
      </c>
      <c r="E297" s="106" t="n">
        <v>1</v>
      </c>
      <c r="F297" s="106" t="n">
        <v>0</v>
      </c>
      <c r="G297" s="106" t="n">
        <v>1</v>
      </c>
      <c r="H297" s="106" t="n">
        <v>1</v>
      </c>
      <c r="I297" s="106" t="n">
        <v>0</v>
      </c>
      <c r="J297" s="106" t="n">
        <v>0</v>
      </c>
      <c r="K297" s="106" t="n">
        <f aca="false">SUM(E297:J297)</f>
        <v>3</v>
      </c>
      <c r="L297" s="107" t="n">
        <v>0</v>
      </c>
      <c r="M297" s="107" t="n">
        <v>0</v>
      </c>
      <c r="N297" s="107" t="n">
        <v>7</v>
      </c>
      <c r="O297" s="107" t="n">
        <v>7</v>
      </c>
      <c r="P297" s="107" t="n">
        <v>0</v>
      </c>
      <c r="Q297" s="107" t="n">
        <v>0</v>
      </c>
      <c r="R297" s="107" t="n">
        <f aca="false">SUM(L297:Q297)</f>
        <v>14</v>
      </c>
      <c r="S297" s="108" t="n">
        <v>0</v>
      </c>
      <c r="T297" s="108" t="n">
        <v>0</v>
      </c>
      <c r="U297" s="108" t="n">
        <v>0</v>
      </c>
      <c r="V297" s="108" t="n">
        <v>0</v>
      </c>
      <c r="W297" s="108" t="n">
        <v>0</v>
      </c>
      <c r="X297" s="108" t="n">
        <v>0</v>
      </c>
      <c r="Y297" s="107" t="n">
        <f aca="false">S297*$D297</f>
        <v>0</v>
      </c>
      <c r="Z297" s="107" t="n">
        <f aca="false">T297*$D297</f>
        <v>0</v>
      </c>
      <c r="AA297" s="107" t="n">
        <f aca="false">U297*$D297</f>
        <v>0</v>
      </c>
      <c r="AB297" s="107" t="n">
        <f aca="false">V297*$D297</f>
        <v>0</v>
      </c>
      <c r="AC297" s="107" t="n">
        <f aca="false">W297*$D297</f>
        <v>0</v>
      </c>
      <c r="AD297" s="107" t="n">
        <f aca="false">X297*$D297</f>
        <v>0</v>
      </c>
      <c r="AE297" s="107" t="n">
        <f aca="false">SUM(Y297:AD297)</f>
        <v>0</v>
      </c>
    </row>
    <row r="298" customFormat="false" ht="15" hidden="false" customHeight="false" outlineLevel="0" collapsed="false">
      <c r="A298" s="103" t="s">
        <v>743</v>
      </c>
      <c r="B298" s="104" t="n">
        <v>0</v>
      </c>
      <c r="C298" s="105" t="n">
        <f aca="false">IF(K298=0,0,R298/K298)</f>
        <v>7</v>
      </c>
      <c r="D298" s="105" t="n">
        <f aca="false">C298+B298</f>
        <v>7</v>
      </c>
      <c r="E298" s="106" t="n">
        <v>0</v>
      </c>
      <c r="F298" s="106" t="n">
        <v>2</v>
      </c>
      <c r="G298" s="106" t="n">
        <v>0</v>
      </c>
      <c r="H298" s="106" t="n">
        <v>0</v>
      </c>
      <c r="I298" s="106" t="n">
        <v>0</v>
      </c>
      <c r="J298" s="106" t="n">
        <v>0</v>
      </c>
      <c r="K298" s="106" t="n">
        <f aca="false">SUM(E298:J298)</f>
        <v>2</v>
      </c>
      <c r="L298" s="107" t="n">
        <v>0</v>
      </c>
      <c r="M298" s="107" t="n">
        <v>14</v>
      </c>
      <c r="N298" s="107" t="n">
        <v>0</v>
      </c>
      <c r="O298" s="107" t="n">
        <v>0</v>
      </c>
      <c r="P298" s="107" t="n">
        <v>0</v>
      </c>
      <c r="Q298" s="107" t="n">
        <v>0</v>
      </c>
      <c r="R298" s="107" t="n">
        <f aca="false">SUM(L298:Q298)</f>
        <v>14</v>
      </c>
      <c r="S298" s="108" t="n">
        <v>0</v>
      </c>
      <c r="T298" s="108" t="n">
        <v>0</v>
      </c>
      <c r="U298" s="108" t="n">
        <v>0</v>
      </c>
      <c r="V298" s="108" t="n">
        <v>0</v>
      </c>
      <c r="W298" s="108" t="n">
        <v>0</v>
      </c>
      <c r="X298" s="108" t="n">
        <v>0</v>
      </c>
      <c r="Y298" s="107" t="n">
        <f aca="false">S298*$D298</f>
        <v>0</v>
      </c>
      <c r="Z298" s="107" t="n">
        <f aca="false">T298*$D298</f>
        <v>0</v>
      </c>
      <c r="AA298" s="107" t="n">
        <f aca="false">U298*$D298</f>
        <v>0</v>
      </c>
      <c r="AB298" s="107" t="n">
        <f aca="false">V298*$D298</f>
        <v>0</v>
      </c>
      <c r="AC298" s="107" t="n">
        <f aca="false">W298*$D298</f>
        <v>0</v>
      </c>
      <c r="AD298" s="107" t="n">
        <f aca="false">X298*$D298</f>
        <v>0</v>
      </c>
      <c r="AE298" s="107" t="n">
        <f aca="false">SUM(Y298:AD298)</f>
        <v>0</v>
      </c>
    </row>
    <row r="299" customFormat="false" ht="15" hidden="false" customHeight="false" outlineLevel="0" collapsed="false">
      <c r="A299" s="103" t="s">
        <v>744</v>
      </c>
      <c r="B299" s="104" t="n">
        <v>0</v>
      </c>
      <c r="C299" s="105" t="n">
        <f aca="false">IF(K299=0,0,R299/K299)</f>
        <v>6.5</v>
      </c>
      <c r="D299" s="105" t="n">
        <f aca="false">C299+B299</f>
        <v>6.5</v>
      </c>
      <c r="E299" s="106" t="n">
        <v>0</v>
      </c>
      <c r="F299" s="106" t="n">
        <v>0</v>
      </c>
      <c r="G299" s="106" t="n">
        <v>0</v>
      </c>
      <c r="H299" s="106" t="n">
        <v>0</v>
      </c>
      <c r="I299" s="106" t="n">
        <v>2</v>
      </c>
      <c r="J299" s="106" t="n">
        <v>0</v>
      </c>
      <c r="K299" s="106" t="n">
        <f aca="false">SUM(E299:J299)</f>
        <v>2</v>
      </c>
      <c r="L299" s="107" t="n">
        <v>0</v>
      </c>
      <c r="M299" s="107" t="n">
        <v>0</v>
      </c>
      <c r="N299" s="107" t="n">
        <v>0</v>
      </c>
      <c r="O299" s="107" t="n">
        <v>0</v>
      </c>
      <c r="P299" s="107" t="n">
        <v>13</v>
      </c>
      <c r="Q299" s="107" t="n">
        <v>0</v>
      </c>
      <c r="R299" s="107" t="n">
        <f aca="false">SUM(L299:Q299)</f>
        <v>13</v>
      </c>
      <c r="S299" s="108" t="n">
        <v>1</v>
      </c>
      <c r="T299" s="108" t="n">
        <v>1</v>
      </c>
      <c r="U299" s="108" t="n">
        <v>1</v>
      </c>
      <c r="V299" s="108" t="n">
        <v>1</v>
      </c>
      <c r="W299" s="108" t="n">
        <v>1</v>
      </c>
      <c r="X299" s="108" t="n">
        <v>1</v>
      </c>
      <c r="Y299" s="107" t="n">
        <f aca="false">S299*$D299</f>
        <v>6.5</v>
      </c>
      <c r="Z299" s="107" t="n">
        <f aca="false">T299*$D299</f>
        <v>6.5</v>
      </c>
      <c r="AA299" s="107" t="n">
        <f aca="false">U299*$D299</f>
        <v>6.5</v>
      </c>
      <c r="AB299" s="107" t="n">
        <f aca="false">V299*$D299</f>
        <v>6.5</v>
      </c>
      <c r="AC299" s="107" t="n">
        <f aca="false">W299*$D299</f>
        <v>6.5</v>
      </c>
      <c r="AD299" s="107" t="n">
        <f aca="false">X299*$D299</f>
        <v>6.5</v>
      </c>
      <c r="AE299" s="107" t="n">
        <f aca="false">SUM(Y299:AD299)</f>
        <v>39</v>
      </c>
    </row>
    <row r="300" customFormat="false" ht="15" hidden="false" customHeight="false" outlineLevel="0" collapsed="false">
      <c r="A300" s="103" t="s">
        <v>745</v>
      </c>
      <c r="B300" s="104" t="n">
        <v>0</v>
      </c>
      <c r="C300" s="105" t="n">
        <f aca="false">IF(K300=0,0,R300/K300)</f>
        <v>6</v>
      </c>
      <c r="D300" s="105" t="n">
        <f aca="false">C300+B300</f>
        <v>6</v>
      </c>
      <c r="E300" s="106" t="n">
        <v>2</v>
      </c>
      <c r="F300" s="106" t="n">
        <v>0</v>
      </c>
      <c r="G300" s="106" t="n">
        <v>0</v>
      </c>
      <c r="H300" s="106" t="n">
        <v>0</v>
      </c>
      <c r="I300" s="106" t="n">
        <v>0</v>
      </c>
      <c r="J300" s="106" t="n">
        <v>0</v>
      </c>
      <c r="K300" s="106" t="n">
        <f aca="false">SUM(E300:J300)</f>
        <v>2</v>
      </c>
      <c r="L300" s="107" t="n">
        <v>12</v>
      </c>
      <c r="M300" s="107" t="n">
        <v>0</v>
      </c>
      <c r="N300" s="107" t="n">
        <v>0</v>
      </c>
      <c r="O300" s="107" t="n">
        <v>0</v>
      </c>
      <c r="P300" s="107" t="n">
        <v>0</v>
      </c>
      <c r="Q300" s="107" t="n">
        <v>0</v>
      </c>
      <c r="R300" s="107" t="n">
        <f aca="false">SUM(L300:Q300)</f>
        <v>12</v>
      </c>
      <c r="S300" s="108" t="n">
        <v>0</v>
      </c>
      <c r="T300" s="108" t="n">
        <v>0</v>
      </c>
      <c r="U300" s="108" t="n">
        <v>0</v>
      </c>
      <c r="V300" s="108" t="n">
        <v>0</v>
      </c>
      <c r="W300" s="108" t="n">
        <v>0</v>
      </c>
      <c r="X300" s="108" t="n">
        <v>0</v>
      </c>
      <c r="Y300" s="107" t="n">
        <f aca="false">S300*$D300</f>
        <v>0</v>
      </c>
      <c r="Z300" s="107" t="n">
        <f aca="false">T300*$D300</f>
        <v>0</v>
      </c>
      <c r="AA300" s="107" t="n">
        <f aca="false">U300*$D300</f>
        <v>0</v>
      </c>
      <c r="AB300" s="107" t="n">
        <f aca="false">V300*$D300</f>
        <v>0</v>
      </c>
      <c r="AC300" s="107" t="n">
        <f aca="false">W300*$D300</f>
        <v>0</v>
      </c>
      <c r="AD300" s="107" t="n">
        <f aca="false">X300*$D300</f>
        <v>0</v>
      </c>
      <c r="AE300" s="107" t="n">
        <f aca="false">SUM(Y300:AD300)</f>
        <v>0</v>
      </c>
    </row>
    <row r="301" customFormat="false" ht="15" hidden="false" customHeight="false" outlineLevel="0" collapsed="false">
      <c r="A301" s="103" t="s">
        <v>746</v>
      </c>
      <c r="B301" s="104" t="n">
        <v>0</v>
      </c>
      <c r="C301" s="105" t="n">
        <f aca="false">IF(K301=0,0,R301/K301)</f>
        <v>6</v>
      </c>
      <c r="D301" s="105" t="n">
        <f aca="false">C301+B301</f>
        <v>6</v>
      </c>
      <c r="E301" s="106" t="n">
        <v>2</v>
      </c>
      <c r="F301" s="106" t="n">
        <v>0</v>
      </c>
      <c r="G301" s="106" t="n">
        <v>0</v>
      </c>
      <c r="H301" s="106" t="n">
        <v>0</v>
      </c>
      <c r="I301" s="106" t="n">
        <v>0</v>
      </c>
      <c r="J301" s="106" t="n">
        <v>0</v>
      </c>
      <c r="K301" s="106" t="n">
        <f aca="false">SUM(E301:J301)</f>
        <v>2</v>
      </c>
      <c r="L301" s="107" t="n">
        <v>12</v>
      </c>
      <c r="M301" s="107" t="n">
        <v>0</v>
      </c>
      <c r="N301" s="107" t="n">
        <v>0</v>
      </c>
      <c r="O301" s="107" t="n">
        <v>0</v>
      </c>
      <c r="P301" s="107" t="n">
        <v>0</v>
      </c>
      <c r="Q301" s="107" t="n">
        <v>0</v>
      </c>
      <c r="R301" s="107" t="n">
        <f aca="false">SUM(L301:Q301)</f>
        <v>12</v>
      </c>
      <c r="S301" s="108" t="n">
        <v>0</v>
      </c>
      <c r="T301" s="108" t="n">
        <v>0</v>
      </c>
      <c r="U301" s="108" t="n">
        <v>0</v>
      </c>
      <c r="V301" s="108" t="n">
        <v>0</v>
      </c>
      <c r="W301" s="108" t="n">
        <v>0</v>
      </c>
      <c r="X301" s="108" t="n">
        <v>0</v>
      </c>
      <c r="Y301" s="107" t="n">
        <f aca="false">S301*$D301</f>
        <v>0</v>
      </c>
      <c r="Z301" s="107" t="n">
        <f aca="false">T301*$D301</f>
        <v>0</v>
      </c>
      <c r="AA301" s="107" t="n">
        <f aca="false">U301*$D301</f>
        <v>0</v>
      </c>
      <c r="AB301" s="107" t="n">
        <f aca="false">V301*$D301</f>
        <v>0</v>
      </c>
      <c r="AC301" s="107" t="n">
        <f aca="false">W301*$D301</f>
        <v>0</v>
      </c>
      <c r="AD301" s="107" t="n">
        <f aca="false">X301*$D301</f>
        <v>0</v>
      </c>
      <c r="AE301" s="107" t="n">
        <f aca="false">SUM(Y301:AD301)</f>
        <v>0</v>
      </c>
    </row>
    <row r="302" customFormat="false" ht="15" hidden="false" customHeight="false" outlineLevel="0" collapsed="false">
      <c r="A302" s="103" t="s">
        <v>747</v>
      </c>
      <c r="B302" s="104" t="n">
        <v>0</v>
      </c>
      <c r="C302" s="105" t="n">
        <f aca="false">IF(K302=0,0,R302/K302)</f>
        <v>6</v>
      </c>
      <c r="D302" s="105" t="n">
        <f aca="false">C302+B302</f>
        <v>6</v>
      </c>
      <c r="E302" s="106" t="n">
        <v>0</v>
      </c>
      <c r="F302" s="106" t="n">
        <v>0</v>
      </c>
      <c r="G302" s="106" t="n">
        <v>2</v>
      </c>
      <c r="H302" s="106" t="n">
        <v>0</v>
      </c>
      <c r="I302" s="106" t="n">
        <v>0</v>
      </c>
      <c r="J302" s="106" t="n">
        <v>0</v>
      </c>
      <c r="K302" s="106" t="n">
        <f aca="false">SUM(E302:J302)</f>
        <v>2</v>
      </c>
      <c r="L302" s="107" t="n">
        <v>0</v>
      </c>
      <c r="M302" s="107" t="n">
        <v>0</v>
      </c>
      <c r="N302" s="107" t="n">
        <v>12</v>
      </c>
      <c r="O302" s="107" t="n">
        <v>0</v>
      </c>
      <c r="P302" s="107" t="n">
        <v>0</v>
      </c>
      <c r="Q302" s="107" t="n">
        <v>0</v>
      </c>
      <c r="R302" s="107" t="n">
        <f aca="false">SUM(L302:Q302)</f>
        <v>12</v>
      </c>
      <c r="S302" s="108" t="n">
        <v>0</v>
      </c>
      <c r="T302" s="108" t="n">
        <v>0</v>
      </c>
      <c r="U302" s="108" t="n">
        <v>0</v>
      </c>
      <c r="V302" s="108" t="n">
        <v>0</v>
      </c>
      <c r="W302" s="108" t="n">
        <v>0</v>
      </c>
      <c r="X302" s="108" t="n">
        <v>0</v>
      </c>
      <c r="Y302" s="107" t="n">
        <f aca="false">S302*$D302</f>
        <v>0</v>
      </c>
      <c r="Z302" s="107" t="n">
        <f aca="false">T302*$D302</f>
        <v>0</v>
      </c>
      <c r="AA302" s="107" t="n">
        <f aca="false">U302*$D302</f>
        <v>0</v>
      </c>
      <c r="AB302" s="107" t="n">
        <f aca="false">V302*$D302</f>
        <v>0</v>
      </c>
      <c r="AC302" s="107" t="n">
        <f aca="false">W302*$D302</f>
        <v>0</v>
      </c>
      <c r="AD302" s="107" t="n">
        <f aca="false">X302*$D302</f>
        <v>0</v>
      </c>
      <c r="AE302" s="107" t="n">
        <f aca="false">SUM(Y302:AD302)</f>
        <v>0</v>
      </c>
    </row>
    <row r="303" customFormat="false" ht="15" hidden="false" customHeight="false" outlineLevel="0" collapsed="false">
      <c r="A303" s="103" t="s">
        <v>748</v>
      </c>
      <c r="B303" s="104" t="n">
        <v>0</v>
      </c>
      <c r="C303" s="105" t="n">
        <f aca="false">IF(K303=0,0,R303/K303)</f>
        <v>4</v>
      </c>
      <c r="D303" s="105" t="n">
        <f aca="false">C303+B303</f>
        <v>4</v>
      </c>
      <c r="E303" s="106" t="n">
        <v>0</v>
      </c>
      <c r="F303" s="106" t="n">
        <v>0</v>
      </c>
      <c r="G303" s="106" t="n">
        <v>1</v>
      </c>
      <c r="H303" s="106" t="n">
        <v>0</v>
      </c>
      <c r="I303" s="106" t="n">
        <v>0</v>
      </c>
      <c r="J303" s="106" t="n">
        <v>2</v>
      </c>
      <c r="K303" s="106" t="n">
        <f aca="false">SUM(E303:J303)</f>
        <v>3</v>
      </c>
      <c r="L303" s="107" t="n">
        <v>0</v>
      </c>
      <c r="M303" s="107" t="n">
        <v>0</v>
      </c>
      <c r="N303" s="107" t="n">
        <v>4</v>
      </c>
      <c r="O303" s="107" t="n">
        <v>0</v>
      </c>
      <c r="P303" s="107" t="n">
        <v>0</v>
      </c>
      <c r="Q303" s="107" t="n">
        <v>8</v>
      </c>
      <c r="R303" s="107" t="n">
        <f aca="false">SUM(L303:Q303)</f>
        <v>12</v>
      </c>
      <c r="S303" s="108" t="n">
        <v>1</v>
      </c>
      <c r="T303" s="108" t="n">
        <v>1</v>
      </c>
      <c r="U303" s="108" t="n">
        <v>1</v>
      </c>
      <c r="V303" s="108" t="n">
        <v>1</v>
      </c>
      <c r="W303" s="108" t="n">
        <v>1</v>
      </c>
      <c r="X303" s="108" t="n">
        <v>1</v>
      </c>
      <c r="Y303" s="107" t="n">
        <f aca="false">S303*$D303</f>
        <v>4</v>
      </c>
      <c r="Z303" s="107" t="n">
        <f aca="false">T303*$D303</f>
        <v>4</v>
      </c>
      <c r="AA303" s="107" t="n">
        <f aca="false">U303*$D303</f>
        <v>4</v>
      </c>
      <c r="AB303" s="107" t="n">
        <f aca="false">V303*$D303</f>
        <v>4</v>
      </c>
      <c r="AC303" s="107" t="n">
        <f aca="false">W303*$D303</f>
        <v>4</v>
      </c>
      <c r="AD303" s="107" t="n">
        <f aca="false">X303*$D303</f>
        <v>4</v>
      </c>
      <c r="AE303" s="107" t="n">
        <f aca="false">SUM(Y303:AD303)</f>
        <v>24</v>
      </c>
    </row>
    <row r="304" customFormat="false" ht="15" hidden="false" customHeight="false" outlineLevel="0" collapsed="false">
      <c r="A304" s="103" t="s">
        <v>749</v>
      </c>
      <c r="B304" s="104" t="n">
        <v>0</v>
      </c>
      <c r="C304" s="105" t="n">
        <f aca="false">IF(K304=0,0,R304/K304)</f>
        <v>6</v>
      </c>
      <c r="D304" s="105" t="n">
        <f aca="false">C304+B304</f>
        <v>6</v>
      </c>
      <c r="E304" s="106" t="n">
        <v>0</v>
      </c>
      <c r="F304" s="106" t="n">
        <v>0</v>
      </c>
      <c r="G304" s="106" t="n">
        <v>0</v>
      </c>
      <c r="H304" s="106" t="n">
        <v>0</v>
      </c>
      <c r="I304" s="106" t="n">
        <v>0</v>
      </c>
      <c r="J304" s="106" t="n">
        <v>2</v>
      </c>
      <c r="K304" s="106" t="n">
        <f aca="false">SUM(E304:J304)</f>
        <v>2</v>
      </c>
      <c r="L304" s="107" t="n">
        <v>0</v>
      </c>
      <c r="M304" s="107" t="n">
        <v>0</v>
      </c>
      <c r="N304" s="107" t="n">
        <v>0</v>
      </c>
      <c r="O304" s="107" t="n">
        <v>0</v>
      </c>
      <c r="P304" s="107" t="n">
        <v>0</v>
      </c>
      <c r="Q304" s="107" t="n">
        <v>12</v>
      </c>
      <c r="R304" s="107" t="n">
        <f aca="false">SUM(L304:Q304)</f>
        <v>12</v>
      </c>
      <c r="S304" s="108" t="n">
        <v>1</v>
      </c>
      <c r="T304" s="108" t="n">
        <v>1</v>
      </c>
      <c r="U304" s="108" t="n">
        <v>1</v>
      </c>
      <c r="V304" s="108" t="n">
        <v>1</v>
      </c>
      <c r="W304" s="108" t="n">
        <v>1</v>
      </c>
      <c r="X304" s="108" t="n">
        <v>1</v>
      </c>
      <c r="Y304" s="107" t="n">
        <f aca="false">S304*$D304</f>
        <v>6</v>
      </c>
      <c r="Z304" s="107" t="n">
        <f aca="false">T304*$D304</f>
        <v>6</v>
      </c>
      <c r="AA304" s="107" t="n">
        <f aca="false">U304*$D304</f>
        <v>6</v>
      </c>
      <c r="AB304" s="107" t="n">
        <f aca="false">V304*$D304</f>
        <v>6</v>
      </c>
      <c r="AC304" s="107" t="n">
        <f aca="false">W304*$D304</f>
        <v>6</v>
      </c>
      <c r="AD304" s="107" t="n">
        <f aca="false">X304*$D304</f>
        <v>6</v>
      </c>
      <c r="AE304" s="107" t="n">
        <f aca="false">SUM(Y304:AD304)</f>
        <v>36</v>
      </c>
    </row>
    <row r="305" customFormat="false" ht="15" hidden="false" customHeight="false" outlineLevel="0" collapsed="false">
      <c r="A305" s="103" t="s">
        <v>750</v>
      </c>
      <c r="B305" s="104" t="n">
        <v>0</v>
      </c>
      <c r="C305" s="105" t="n">
        <f aca="false">IF(K305=0,0,R305/K305)</f>
        <v>2.85</v>
      </c>
      <c r="D305" s="105" t="n">
        <f aca="false">C305+B305</f>
        <v>2.85</v>
      </c>
      <c r="E305" s="106" t="n">
        <v>0</v>
      </c>
      <c r="F305" s="106" t="n">
        <v>0</v>
      </c>
      <c r="G305" s="106" t="n">
        <v>0</v>
      </c>
      <c r="H305" s="106" t="n">
        <v>4</v>
      </c>
      <c r="I305" s="106" t="n">
        <v>0</v>
      </c>
      <c r="J305" s="106" t="n">
        <v>0</v>
      </c>
      <c r="K305" s="106" t="n">
        <f aca="false">SUM(E305:J305)</f>
        <v>4</v>
      </c>
      <c r="L305" s="107" t="n">
        <v>0</v>
      </c>
      <c r="M305" s="107" t="n">
        <v>0</v>
      </c>
      <c r="N305" s="107" t="n">
        <v>0</v>
      </c>
      <c r="O305" s="107" t="n">
        <v>11.4</v>
      </c>
      <c r="P305" s="107" t="n">
        <v>0</v>
      </c>
      <c r="Q305" s="107" t="n">
        <v>0</v>
      </c>
      <c r="R305" s="107" t="n">
        <f aca="false">SUM(L305:Q305)</f>
        <v>11.4</v>
      </c>
      <c r="S305" s="108" t="n">
        <v>1</v>
      </c>
      <c r="T305" s="108" t="n">
        <v>1</v>
      </c>
      <c r="U305" s="108" t="n">
        <v>1</v>
      </c>
      <c r="V305" s="108" t="n">
        <v>1</v>
      </c>
      <c r="W305" s="108" t="n">
        <v>1</v>
      </c>
      <c r="X305" s="108" t="n">
        <v>1</v>
      </c>
      <c r="Y305" s="107" t="n">
        <f aca="false">S305*$D305</f>
        <v>2.85</v>
      </c>
      <c r="Z305" s="107" t="n">
        <f aca="false">T305*$D305</f>
        <v>2.85</v>
      </c>
      <c r="AA305" s="107" t="n">
        <f aca="false">U305*$D305</f>
        <v>2.85</v>
      </c>
      <c r="AB305" s="107" t="n">
        <f aca="false">V305*$D305</f>
        <v>2.85</v>
      </c>
      <c r="AC305" s="107" t="n">
        <f aca="false">W305*$D305</f>
        <v>2.85</v>
      </c>
      <c r="AD305" s="107" t="n">
        <f aca="false">X305*$D305</f>
        <v>2.85</v>
      </c>
      <c r="AE305" s="107" t="n">
        <f aca="false">SUM(Y305:AD305)</f>
        <v>17.1</v>
      </c>
    </row>
    <row r="306" customFormat="false" ht="15" hidden="false" customHeight="false" outlineLevel="0" collapsed="false">
      <c r="A306" s="103" t="s">
        <v>751</v>
      </c>
      <c r="B306" s="104" t="n">
        <v>0</v>
      </c>
      <c r="C306" s="105" t="n">
        <f aca="false">IF(K306=0,0,R306/K306)</f>
        <v>11.2</v>
      </c>
      <c r="D306" s="105" t="n">
        <f aca="false">C306+B306</f>
        <v>11.2</v>
      </c>
      <c r="E306" s="106" t="n">
        <v>1</v>
      </c>
      <c r="F306" s="106" t="n">
        <v>0</v>
      </c>
      <c r="G306" s="106" t="n">
        <v>0</v>
      </c>
      <c r="H306" s="106" t="n">
        <v>0</v>
      </c>
      <c r="I306" s="106" t="n">
        <v>0</v>
      </c>
      <c r="J306" s="106" t="n">
        <v>0</v>
      </c>
      <c r="K306" s="106" t="n">
        <f aca="false">SUM(E306:J306)</f>
        <v>1</v>
      </c>
      <c r="L306" s="107" t="n">
        <v>11.2</v>
      </c>
      <c r="M306" s="107" t="n">
        <v>0</v>
      </c>
      <c r="N306" s="107" t="n">
        <v>0</v>
      </c>
      <c r="O306" s="107" t="n">
        <v>0</v>
      </c>
      <c r="P306" s="107" t="n">
        <v>0</v>
      </c>
      <c r="Q306" s="107" t="n">
        <v>0</v>
      </c>
      <c r="R306" s="107" t="n">
        <f aca="false">SUM(L306:Q306)</f>
        <v>11.2</v>
      </c>
      <c r="S306" s="108" t="n">
        <v>0</v>
      </c>
      <c r="T306" s="108" t="n">
        <v>0</v>
      </c>
      <c r="U306" s="108" t="n">
        <v>0</v>
      </c>
      <c r="V306" s="108" t="n">
        <v>0</v>
      </c>
      <c r="W306" s="108" t="n">
        <v>0</v>
      </c>
      <c r="X306" s="108" t="n">
        <v>0</v>
      </c>
      <c r="Y306" s="107" t="n">
        <f aca="false">S306*$D306</f>
        <v>0</v>
      </c>
      <c r="Z306" s="107" t="n">
        <f aca="false">T306*$D306</f>
        <v>0</v>
      </c>
      <c r="AA306" s="107" t="n">
        <f aca="false">U306*$D306</f>
        <v>0</v>
      </c>
      <c r="AB306" s="107" t="n">
        <f aca="false">V306*$D306</f>
        <v>0</v>
      </c>
      <c r="AC306" s="107" t="n">
        <f aca="false">W306*$D306</f>
        <v>0</v>
      </c>
      <c r="AD306" s="107" t="n">
        <f aca="false">X306*$D306</f>
        <v>0</v>
      </c>
      <c r="AE306" s="107" t="n">
        <f aca="false">SUM(Y306:AD306)</f>
        <v>0</v>
      </c>
    </row>
    <row r="307" customFormat="false" ht="15" hidden="false" customHeight="false" outlineLevel="0" collapsed="false">
      <c r="A307" s="103" t="s">
        <v>752</v>
      </c>
      <c r="B307" s="104" t="n">
        <v>0</v>
      </c>
      <c r="C307" s="105" t="n">
        <f aca="false">IF(K307=0,0,R307/K307)</f>
        <v>5</v>
      </c>
      <c r="D307" s="105" t="n">
        <f aca="false">C307+B307</f>
        <v>5</v>
      </c>
      <c r="E307" s="106" t="n">
        <v>2</v>
      </c>
      <c r="F307" s="106" t="n">
        <v>0</v>
      </c>
      <c r="G307" s="106" t="n">
        <v>0</v>
      </c>
      <c r="H307" s="106" t="n">
        <v>0</v>
      </c>
      <c r="I307" s="106" t="n">
        <v>0</v>
      </c>
      <c r="J307" s="106" t="n">
        <v>0</v>
      </c>
      <c r="K307" s="106" t="n">
        <f aca="false">SUM(E307:J307)</f>
        <v>2</v>
      </c>
      <c r="L307" s="107" t="n">
        <v>10</v>
      </c>
      <c r="M307" s="107" t="n">
        <v>0</v>
      </c>
      <c r="N307" s="107" t="n">
        <v>0</v>
      </c>
      <c r="O307" s="107" t="n">
        <v>0</v>
      </c>
      <c r="P307" s="107" t="n">
        <v>0</v>
      </c>
      <c r="Q307" s="107" t="n">
        <v>0</v>
      </c>
      <c r="R307" s="107" t="n">
        <f aca="false">SUM(L307:Q307)</f>
        <v>10</v>
      </c>
      <c r="S307" s="108" t="n">
        <v>0</v>
      </c>
      <c r="T307" s="108" t="n">
        <v>0</v>
      </c>
      <c r="U307" s="108" t="n">
        <v>0</v>
      </c>
      <c r="V307" s="108" t="n">
        <v>0</v>
      </c>
      <c r="W307" s="108" t="n">
        <v>0</v>
      </c>
      <c r="X307" s="108" t="n">
        <v>0</v>
      </c>
      <c r="Y307" s="107" t="n">
        <f aca="false">S307*$D307</f>
        <v>0</v>
      </c>
      <c r="Z307" s="107" t="n">
        <f aca="false">T307*$D307</f>
        <v>0</v>
      </c>
      <c r="AA307" s="107" t="n">
        <f aca="false">U307*$D307</f>
        <v>0</v>
      </c>
      <c r="AB307" s="107" t="n">
        <f aca="false">V307*$D307</f>
        <v>0</v>
      </c>
      <c r="AC307" s="107" t="n">
        <f aca="false">W307*$D307</f>
        <v>0</v>
      </c>
      <c r="AD307" s="107" t="n">
        <f aca="false">X307*$D307</f>
        <v>0</v>
      </c>
      <c r="AE307" s="107" t="n">
        <f aca="false">SUM(Y307:AD307)</f>
        <v>0</v>
      </c>
    </row>
    <row r="308" customFormat="false" ht="15" hidden="false" customHeight="false" outlineLevel="0" collapsed="false">
      <c r="A308" s="103" t="s">
        <v>753</v>
      </c>
      <c r="B308" s="104" t="n">
        <v>0</v>
      </c>
      <c r="C308" s="105" t="n">
        <f aca="false">IF(K308=0,0,R308/K308)</f>
        <v>10</v>
      </c>
      <c r="D308" s="105" t="n">
        <f aca="false">C308+B308</f>
        <v>10</v>
      </c>
      <c r="E308" s="106" t="n">
        <v>0</v>
      </c>
      <c r="F308" s="106" t="n">
        <v>1</v>
      </c>
      <c r="G308" s="106" t="n">
        <v>0</v>
      </c>
      <c r="H308" s="106" t="n">
        <v>0</v>
      </c>
      <c r="I308" s="106" t="n">
        <v>0</v>
      </c>
      <c r="J308" s="106" t="n">
        <v>0</v>
      </c>
      <c r="K308" s="106" t="n">
        <f aca="false">SUM(E308:J308)</f>
        <v>1</v>
      </c>
      <c r="L308" s="107" t="n">
        <v>0</v>
      </c>
      <c r="M308" s="107" t="n">
        <v>10</v>
      </c>
      <c r="N308" s="107" t="n">
        <v>0</v>
      </c>
      <c r="O308" s="107" t="n">
        <v>0</v>
      </c>
      <c r="P308" s="107" t="n">
        <v>0</v>
      </c>
      <c r="Q308" s="107" t="n">
        <v>0</v>
      </c>
      <c r="R308" s="107" t="n">
        <f aca="false">SUM(L308:Q308)</f>
        <v>10</v>
      </c>
      <c r="S308" s="108" t="n">
        <v>0</v>
      </c>
      <c r="T308" s="108" t="n">
        <v>0</v>
      </c>
      <c r="U308" s="108" t="n">
        <v>0</v>
      </c>
      <c r="V308" s="108" t="n">
        <v>0</v>
      </c>
      <c r="W308" s="108" t="n">
        <v>0</v>
      </c>
      <c r="X308" s="108" t="n">
        <v>0</v>
      </c>
      <c r="Y308" s="107" t="n">
        <f aca="false">S308*$D308</f>
        <v>0</v>
      </c>
      <c r="Z308" s="107" t="n">
        <f aca="false">T308*$D308</f>
        <v>0</v>
      </c>
      <c r="AA308" s="107" t="n">
        <f aca="false">U308*$D308</f>
        <v>0</v>
      </c>
      <c r="AB308" s="107" t="n">
        <f aca="false">V308*$D308</f>
        <v>0</v>
      </c>
      <c r="AC308" s="107" t="n">
        <f aca="false">W308*$D308</f>
        <v>0</v>
      </c>
      <c r="AD308" s="107" t="n">
        <f aca="false">X308*$D308</f>
        <v>0</v>
      </c>
      <c r="AE308" s="107" t="n">
        <f aca="false">SUM(Y308:AD308)</f>
        <v>0</v>
      </c>
    </row>
    <row r="309" customFormat="false" ht="15" hidden="false" customHeight="false" outlineLevel="0" collapsed="false">
      <c r="A309" s="103" t="s">
        <v>754</v>
      </c>
      <c r="B309" s="104" t="n">
        <v>0</v>
      </c>
      <c r="C309" s="105" t="n">
        <f aca="false">IF(K309=0,0,R309/K309)</f>
        <v>10</v>
      </c>
      <c r="D309" s="105" t="n">
        <f aca="false">C309+B309</f>
        <v>10</v>
      </c>
      <c r="E309" s="106" t="n">
        <v>0</v>
      </c>
      <c r="F309" s="106" t="n">
        <v>0</v>
      </c>
      <c r="G309" s="106" t="n">
        <v>1</v>
      </c>
      <c r="H309" s="106" t="n">
        <v>0</v>
      </c>
      <c r="I309" s="106" t="n">
        <v>0</v>
      </c>
      <c r="J309" s="106" t="n">
        <v>0</v>
      </c>
      <c r="K309" s="106" t="n">
        <f aca="false">SUM(E309:J309)</f>
        <v>1</v>
      </c>
      <c r="L309" s="107" t="n">
        <v>0</v>
      </c>
      <c r="M309" s="107" t="n">
        <v>0</v>
      </c>
      <c r="N309" s="107" t="n">
        <v>10</v>
      </c>
      <c r="O309" s="107" t="n">
        <v>0</v>
      </c>
      <c r="P309" s="107" t="n">
        <v>0</v>
      </c>
      <c r="Q309" s="107" t="n">
        <v>0</v>
      </c>
      <c r="R309" s="107" t="n">
        <f aca="false">SUM(L309:Q309)</f>
        <v>10</v>
      </c>
      <c r="S309" s="108" t="n">
        <v>0</v>
      </c>
      <c r="T309" s="108" t="n">
        <v>0</v>
      </c>
      <c r="U309" s="108" t="n">
        <v>0</v>
      </c>
      <c r="V309" s="108" t="n">
        <v>0</v>
      </c>
      <c r="W309" s="108" t="n">
        <v>0</v>
      </c>
      <c r="X309" s="108" t="n">
        <v>0</v>
      </c>
      <c r="Y309" s="107" t="n">
        <f aca="false">S309*$D309</f>
        <v>0</v>
      </c>
      <c r="Z309" s="107" t="n">
        <f aca="false">T309*$D309</f>
        <v>0</v>
      </c>
      <c r="AA309" s="107" t="n">
        <f aca="false">U309*$D309</f>
        <v>0</v>
      </c>
      <c r="AB309" s="107" t="n">
        <f aca="false">V309*$D309</f>
        <v>0</v>
      </c>
      <c r="AC309" s="107" t="n">
        <f aca="false">W309*$D309</f>
        <v>0</v>
      </c>
      <c r="AD309" s="107" t="n">
        <f aca="false">X309*$D309</f>
        <v>0</v>
      </c>
      <c r="AE309" s="107" t="n">
        <f aca="false">SUM(Y309:AD309)</f>
        <v>0</v>
      </c>
    </row>
    <row r="310" customFormat="false" ht="15" hidden="false" customHeight="false" outlineLevel="0" collapsed="false">
      <c r="A310" s="103" t="s">
        <v>755</v>
      </c>
      <c r="B310" s="104" t="n">
        <v>0</v>
      </c>
      <c r="C310" s="105" t="n">
        <f aca="false">IF(K310=0,0,R310/K310)</f>
        <v>10</v>
      </c>
      <c r="D310" s="105" t="n">
        <f aca="false">C310+B310</f>
        <v>10</v>
      </c>
      <c r="E310" s="106" t="n">
        <v>0</v>
      </c>
      <c r="F310" s="106" t="n">
        <v>0</v>
      </c>
      <c r="G310" s="106" t="n">
        <v>0</v>
      </c>
      <c r="H310" s="106" t="n">
        <v>1</v>
      </c>
      <c r="I310" s="106" t="n">
        <v>0</v>
      </c>
      <c r="J310" s="106" t="n">
        <v>0</v>
      </c>
      <c r="K310" s="106" t="n">
        <f aca="false">SUM(E310:J310)</f>
        <v>1</v>
      </c>
      <c r="L310" s="107" t="n">
        <v>0</v>
      </c>
      <c r="M310" s="107" t="n">
        <v>0</v>
      </c>
      <c r="N310" s="107" t="n">
        <v>0</v>
      </c>
      <c r="O310" s="107" t="n">
        <v>10</v>
      </c>
      <c r="P310" s="107" t="n">
        <v>0</v>
      </c>
      <c r="Q310" s="107" t="n">
        <v>0</v>
      </c>
      <c r="R310" s="107" t="n">
        <f aca="false">SUM(L310:Q310)</f>
        <v>10</v>
      </c>
      <c r="S310" s="108" t="n">
        <v>0</v>
      </c>
      <c r="T310" s="108" t="n">
        <v>0</v>
      </c>
      <c r="U310" s="108" t="n">
        <v>0</v>
      </c>
      <c r="V310" s="108" t="n">
        <v>0</v>
      </c>
      <c r="W310" s="108" t="n">
        <v>0</v>
      </c>
      <c r="X310" s="108" t="n">
        <v>0</v>
      </c>
      <c r="Y310" s="107" t="n">
        <f aca="false">S310*$D310</f>
        <v>0</v>
      </c>
      <c r="Z310" s="107" t="n">
        <f aca="false">T310*$D310</f>
        <v>0</v>
      </c>
      <c r="AA310" s="107" t="n">
        <f aca="false">U310*$D310</f>
        <v>0</v>
      </c>
      <c r="AB310" s="107" t="n">
        <f aca="false">V310*$D310</f>
        <v>0</v>
      </c>
      <c r="AC310" s="107" t="n">
        <f aca="false">W310*$D310</f>
        <v>0</v>
      </c>
      <c r="AD310" s="107" t="n">
        <f aca="false">X310*$D310</f>
        <v>0</v>
      </c>
      <c r="AE310" s="107" t="n">
        <f aca="false">SUM(Y310:AD310)</f>
        <v>0</v>
      </c>
    </row>
    <row r="311" customFormat="false" ht="15" hidden="false" customHeight="false" outlineLevel="0" collapsed="false">
      <c r="A311" s="103" t="s">
        <v>756</v>
      </c>
      <c r="B311" s="104" t="n">
        <v>0</v>
      </c>
      <c r="C311" s="105" t="n">
        <f aca="false">IF(K311=0,0,R311/K311)</f>
        <v>10</v>
      </c>
      <c r="D311" s="105" t="n">
        <f aca="false">C311+B311</f>
        <v>10</v>
      </c>
      <c r="E311" s="106" t="n">
        <v>0</v>
      </c>
      <c r="F311" s="106" t="n">
        <v>0</v>
      </c>
      <c r="G311" s="106" t="n">
        <v>0</v>
      </c>
      <c r="H311" s="106" t="n">
        <v>0</v>
      </c>
      <c r="I311" s="106" t="n">
        <v>1</v>
      </c>
      <c r="J311" s="106" t="n">
        <v>0</v>
      </c>
      <c r="K311" s="106" t="n">
        <f aca="false">SUM(E311:J311)</f>
        <v>1</v>
      </c>
      <c r="L311" s="107" t="n">
        <v>0</v>
      </c>
      <c r="M311" s="107" t="n">
        <v>0</v>
      </c>
      <c r="N311" s="107" t="n">
        <v>0</v>
      </c>
      <c r="O311" s="107" t="n">
        <v>0</v>
      </c>
      <c r="P311" s="107" t="n">
        <v>10</v>
      </c>
      <c r="Q311" s="107" t="n">
        <v>0</v>
      </c>
      <c r="R311" s="107" t="n">
        <f aca="false">SUM(L311:Q311)</f>
        <v>10</v>
      </c>
      <c r="S311" s="108" t="n">
        <v>0</v>
      </c>
      <c r="T311" s="108" t="n">
        <v>0</v>
      </c>
      <c r="U311" s="108" t="n">
        <v>0</v>
      </c>
      <c r="V311" s="108" t="n">
        <v>0</v>
      </c>
      <c r="W311" s="108" t="n">
        <v>0</v>
      </c>
      <c r="X311" s="108" t="n">
        <v>0</v>
      </c>
      <c r="Y311" s="107" t="n">
        <f aca="false">S311*$D311</f>
        <v>0</v>
      </c>
      <c r="Z311" s="107" t="n">
        <f aca="false">T311*$D311</f>
        <v>0</v>
      </c>
      <c r="AA311" s="107" t="n">
        <f aca="false">U311*$D311</f>
        <v>0</v>
      </c>
      <c r="AB311" s="107" t="n">
        <f aca="false">V311*$D311</f>
        <v>0</v>
      </c>
      <c r="AC311" s="107" t="n">
        <f aca="false">W311*$D311</f>
        <v>0</v>
      </c>
      <c r="AD311" s="107" t="n">
        <f aca="false">X311*$D311</f>
        <v>0</v>
      </c>
      <c r="AE311" s="107" t="n">
        <f aca="false">SUM(Y311:AD311)</f>
        <v>0</v>
      </c>
    </row>
    <row r="312" customFormat="false" ht="15" hidden="false" customHeight="false" outlineLevel="0" collapsed="false">
      <c r="A312" s="103" t="s">
        <v>757</v>
      </c>
      <c r="B312" s="104" t="n">
        <v>0</v>
      </c>
      <c r="C312" s="105" t="n">
        <f aca="false">IF(K312=0,0,R312/K312)</f>
        <v>10</v>
      </c>
      <c r="D312" s="105" t="n">
        <f aca="false">C312+B312</f>
        <v>10</v>
      </c>
      <c r="E312" s="106" t="n">
        <v>0</v>
      </c>
      <c r="F312" s="106" t="n">
        <v>0</v>
      </c>
      <c r="G312" s="106" t="n">
        <v>0</v>
      </c>
      <c r="H312" s="106" t="n">
        <v>0</v>
      </c>
      <c r="I312" s="106" t="n">
        <v>1</v>
      </c>
      <c r="J312" s="106" t="n">
        <v>0</v>
      </c>
      <c r="K312" s="106" t="n">
        <f aca="false">SUM(E312:J312)</f>
        <v>1</v>
      </c>
      <c r="L312" s="107" t="n">
        <v>0</v>
      </c>
      <c r="M312" s="107" t="n">
        <v>0</v>
      </c>
      <c r="N312" s="107" t="n">
        <v>0</v>
      </c>
      <c r="O312" s="107" t="n">
        <v>0</v>
      </c>
      <c r="P312" s="107" t="n">
        <v>10</v>
      </c>
      <c r="Q312" s="107" t="n">
        <v>0</v>
      </c>
      <c r="R312" s="107" t="n">
        <f aca="false">SUM(L312:Q312)</f>
        <v>10</v>
      </c>
      <c r="S312" s="108" t="n">
        <v>0</v>
      </c>
      <c r="T312" s="108" t="n">
        <v>0</v>
      </c>
      <c r="U312" s="108" t="n">
        <v>0</v>
      </c>
      <c r="V312" s="108" t="n">
        <v>0</v>
      </c>
      <c r="W312" s="108" t="n">
        <v>0</v>
      </c>
      <c r="X312" s="108" t="n">
        <v>0</v>
      </c>
      <c r="Y312" s="107" t="n">
        <f aca="false">S312*$D312</f>
        <v>0</v>
      </c>
      <c r="Z312" s="107" t="n">
        <f aca="false">T312*$D312</f>
        <v>0</v>
      </c>
      <c r="AA312" s="107" t="n">
        <f aca="false">U312*$D312</f>
        <v>0</v>
      </c>
      <c r="AB312" s="107" t="n">
        <f aca="false">V312*$D312</f>
        <v>0</v>
      </c>
      <c r="AC312" s="107" t="n">
        <f aca="false">W312*$D312</f>
        <v>0</v>
      </c>
      <c r="AD312" s="107" t="n">
        <f aca="false">X312*$D312</f>
        <v>0</v>
      </c>
      <c r="AE312" s="107" t="n">
        <f aca="false">SUM(Y312:AD312)</f>
        <v>0</v>
      </c>
    </row>
    <row r="313" customFormat="false" ht="15" hidden="false" customHeight="false" outlineLevel="0" collapsed="false">
      <c r="A313" s="103" t="s">
        <v>758</v>
      </c>
      <c r="B313" s="104" t="n">
        <v>0</v>
      </c>
      <c r="C313" s="105" t="n">
        <f aca="false">IF(K313=0,0,R313/K313)</f>
        <v>1.994</v>
      </c>
      <c r="D313" s="105" t="n">
        <f aca="false">C313+B313</f>
        <v>1.994</v>
      </c>
      <c r="E313" s="106" t="n">
        <v>0</v>
      </c>
      <c r="F313" s="106" t="n">
        <v>0</v>
      </c>
      <c r="G313" s="106" t="n">
        <v>0</v>
      </c>
      <c r="H313" s="106" t="n">
        <v>0</v>
      </c>
      <c r="I313" s="106" t="n">
        <v>0</v>
      </c>
      <c r="J313" s="106" t="n">
        <v>5</v>
      </c>
      <c r="K313" s="106" t="n">
        <f aca="false">SUM(E313:J313)</f>
        <v>5</v>
      </c>
      <c r="L313" s="107" t="n">
        <v>0</v>
      </c>
      <c r="M313" s="107" t="n">
        <v>0</v>
      </c>
      <c r="N313" s="107" t="n">
        <v>0</v>
      </c>
      <c r="O313" s="107" t="n">
        <v>0</v>
      </c>
      <c r="P313" s="107" t="n">
        <v>0</v>
      </c>
      <c r="Q313" s="107" t="n">
        <v>9.97</v>
      </c>
      <c r="R313" s="107" t="n">
        <f aca="false">SUM(L313:Q313)</f>
        <v>9.97</v>
      </c>
      <c r="S313" s="108" t="n">
        <v>2</v>
      </c>
      <c r="T313" s="108" t="n">
        <v>2</v>
      </c>
      <c r="U313" s="108" t="n">
        <v>2</v>
      </c>
      <c r="V313" s="108" t="n">
        <v>2</v>
      </c>
      <c r="W313" s="108" t="n">
        <v>2</v>
      </c>
      <c r="X313" s="108" t="n">
        <v>2</v>
      </c>
      <c r="Y313" s="107" t="n">
        <f aca="false">S313*$D313</f>
        <v>3.988</v>
      </c>
      <c r="Z313" s="107" t="n">
        <f aca="false">T313*$D313</f>
        <v>3.988</v>
      </c>
      <c r="AA313" s="107" t="n">
        <f aca="false">U313*$D313</f>
        <v>3.988</v>
      </c>
      <c r="AB313" s="107" t="n">
        <f aca="false">V313*$D313</f>
        <v>3.988</v>
      </c>
      <c r="AC313" s="107" t="n">
        <f aca="false">W313*$D313</f>
        <v>3.988</v>
      </c>
      <c r="AD313" s="107" t="n">
        <f aca="false">X313*$D313</f>
        <v>3.988</v>
      </c>
      <c r="AE313" s="107" t="n">
        <f aca="false">SUM(Y313:AD313)</f>
        <v>23.928</v>
      </c>
    </row>
    <row r="314" customFormat="false" ht="15" hidden="false" customHeight="false" outlineLevel="0" collapsed="false">
      <c r="A314" s="103" t="s">
        <v>759</v>
      </c>
      <c r="B314" s="104" t="n">
        <v>0</v>
      </c>
      <c r="C314" s="105" t="n">
        <f aca="false">IF(K314=0,0,R314/K314)</f>
        <v>4.675</v>
      </c>
      <c r="D314" s="105" t="n">
        <f aca="false">C314+B314</f>
        <v>4.675</v>
      </c>
      <c r="E314" s="106" t="n">
        <v>0</v>
      </c>
      <c r="F314" s="106" t="n">
        <v>0</v>
      </c>
      <c r="G314" s="106" t="n">
        <v>0</v>
      </c>
      <c r="H314" s="106" t="n">
        <v>1</v>
      </c>
      <c r="I314" s="106" t="n">
        <v>1</v>
      </c>
      <c r="J314" s="106" t="n">
        <v>0</v>
      </c>
      <c r="K314" s="106" t="n">
        <f aca="false">SUM(E314:J314)</f>
        <v>2</v>
      </c>
      <c r="L314" s="107" t="n">
        <v>0</v>
      </c>
      <c r="M314" s="107" t="n">
        <v>0</v>
      </c>
      <c r="N314" s="107" t="n">
        <v>0</v>
      </c>
      <c r="O314" s="107" t="n">
        <v>4.25</v>
      </c>
      <c r="P314" s="107" t="n">
        <v>5.1</v>
      </c>
      <c r="Q314" s="107" t="n">
        <v>0</v>
      </c>
      <c r="R314" s="107" t="n">
        <f aca="false">SUM(L314:Q314)</f>
        <v>9.35</v>
      </c>
      <c r="S314" s="108" t="n">
        <v>1</v>
      </c>
      <c r="T314" s="108" t="n">
        <v>1</v>
      </c>
      <c r="U314" s="108" t="n">
        <v>1</v>
      </c>
      <c r="V314" s="108" t="n">
        <v>1</v>
      </c>
      <c r="W314" s="108" t="n">
        <v>1</v>
      </c>
      <c r="X314" s="108" t="n">
        <v>1</v>
      </c>
      <c r="Y314" s="107" t="n">
        <f aca="false">S314*$D314</f>
        <v>4.675</v>
      </c>
      <c r="Z314" s="107" t="n">
        <f aca="false">T314*$D314</f>
        <v>4.675</v>
      </c>
      <c r="AA314" s="107" t="n">
        <f aca="false">U314*$D314</f>
        <v>4.675</v>
      </c>
      <c r="AB314" s="107" t="n">
        <f aca="false">V314*$D314</f>
        <v>4.675</v>
      </c>
      <c r="AC314" s="107" t="n">
        <f aca="false">W314*$D314</f>
        <v>4.675</v>
      </c>
      <c r="AD314" s="107" t="n">
        <f aca="false">X314*$D314</f>
        <v>4.675</v>
      </c>
      <c r="AE314" s="107" t="n">
        <f aca="false">SUM(Y314:AD314)</f>
        <v>28.05</v>
      </c>
    </row>
    <row r="315" customFormat="false" ht="15" hidden="false" customHeight="false" outlineLevel="0" collapsed="false">
      <c r="A315" s="103" t="s">
        <v>760</v>
      </c>
      <c r="B315" s="104" t="n">
        <v>0</v>
      </c>
      <c r="C315" s="105" t="n">
        <f aca="false">IF(K315=0,0,R315/K315)</f>
        <v>9</v>
      </c>
      <c r="D315" s="105" t="n">
        <f aca="false">C315+B315</f>
        <v>9</v>
      </c>
      <c r="E315" s="106" t="n">
        <v>1</v>
      </c>
      <c r="F315" s="106" t="n">
        <v>0</v>
      </c>
      <c r="G315" s="106" t="n">
        <v>0</v>
      </c>
      <c r="H315" s="106" t="n">
        <v>0</v>
      </c>
      <c r="I315" s="106" t="n">
        <v>0</v>
      </c>
      <c r="J315" s="106" t="n">
        <v>0</v>
      </c>
      <c r="K315" s="106" t="n">
        <f aca="false">SUM(E315:J315)</f>
        <v>1</v>
      </c>
      <c r="L315" s="107" t="n">
        <v>9</v>
      </c>
      <c r="M315" s="107" t="n">
        <v>0</v>
      </c>
      <c r="N315" s="107" t="n">
        <v>0</v>
      </c>
      <c r="O315" s="107" t="n">
        <v>0</v>
      </c>
      <c r="P315" s="107" t="n">
        <v>0</v>
      </c>
      <c r="Q315" s="107" t="n">
        <v>0</v>
      </c>
      <c r="R315" s="107" t="n">
        <f aca="false">SUM(L315:Q315)</f>
        <v>9</v>
      </c>
      <c r="S315" s="108" t="n">
        <v>0</v>
      </c>
      <c r="T315" s="108" t="n">
        <v>0</v>
      </c>
      <c r="U315" s="108" t="n">
        <v>0</v>
      </c>
      <c r="V315" s="108" t="n">
        <v>0</v>
      </c>
      <c r="W315" s="108" t="n">
        <v>0</v>
      </c>
      <c r="X315" s="108" t="n">
        <v>0</v>
      </c>
      <c r="Y315" s="107" t="n">
        <f aca="false">S315*$D315</f>
        <v>0</v>
      </c>
      <c r="Z315" s="107" t="n">
        <f aca="false">T315*$D315</f>
        <v>0</v>
      </c>
      <c r="AA315" s="107" t="n">
        <f aca="false">U315*$D315</f>
        <v>0</v>
      </c>
      <c r="AB315" s="107" t="n">
        <f aca="false">V315*$D315</f>
        <v>0</v>
      </c>
      <c r="AC315" s="107" t="n">
        <f aca="false">W315*$D315</f>
        <v>0</v>
      </c>
      <c r="AD315" s="107" t="n">
        <f aca="false">X315*$D315</f>
        <v>0</v>
      </c>
      <c r="AE315" s="107" t="n">
        <f aca="false">SUM(Y315:AD315)</f>
        <v>0</v>
      </c>
    </row>
    <row r="316" customFormat="false" ht="15" hidden="false" customHeight="false" outlineLevel="0" collapsed="false">
      <c r="A316" s="103" t="s">
        <v>761</v>
      </c>
      <c r="B316" s="104" t="n">
        <v>0</v>
      </c>
      <c r="C316" s="105" t="n">
        <f aca="false">IF(K316=0,0,R316/K316)</f>
        <v>4.5</v>
      </c>
      <c r="D316" s="105" t="n">
        <f aca="false">C316+B316</f>
        <v>4.5</v>
      </c>
      <c r="E316" s="106" t="n">
        <v>0</v>
      </c>
      <c r="F316" s="106" t="n">
        <v>2</v>
      </c>
      <c r="G316" s="106" t="n">
        <v>0</v>
      </c>
      <c r="H316" s="106" t="n">
        <v>0</v>
      </c>
      <c r="I316" s="106" t="n">
        <v>0</v>
      </c>
      <c r="J316" s="106" t="n">
        <v>0</v>
      </c>
      <c r="K316" s="106" t="n">
        <f aca="false">SUM(E316:J316)</f>
        <v>2</v>
      </c>
      <c r="L316" s="107" t="n">
        <v>0</v>
      </c>
      <c r="M316" s="107" t="n">
        <v>9</v>
      </c>
      <c r="N316" s="107" t="n">
        <v>0</v>
      </c>
      <c r="O316" s="107" t="n">
        <v>0</v>
      </c>
      <c r="P316" s="107" t="n">
        <v>0</v>
      </c>
      <c r="Q316" s="107" t="n">
        <v>0</v>
      </c>
      <c r="R316" s="107" t="n">
        <f aca="false">SUM(L316:Q316)</f>
        <v>9</v>
      </c>
      <c r="S316" s="108" t="n">
        <v>0</v>
      </c>
      <c r="T316" s="108" t="n">
        <v>0</v>
      </c>
      <c r="U316" s="108" t="n">
        <v>0</v>
      </c>
      <c r="V316" s="108" t="n">
        <v>0</v>
      </c>
      <c r="W316" s="108" t="n">
        <v>0</v>
      </c>
      <c r="X316" s="108" t="n">
        <v>0</v>
      </c>
      <c r="Y316" s="107" t="n">
        <f aca="false">S316*$D316</f>
        <v>0</v>
      </c>
      <c r="Z316" s="107" t="n">
        <f aca="false">T316*$D316</f>
        <v>0</v>
      </c>
      <c r="AA316" s="107" t="n">
        <f aca="false">U316*$D316</f>
        <v>0</v>
      </c>
      <c r="AB316" s="107" t="n">
        <f aca="false">V316*$D316</f>
        <v>0</v>
      </c>
      <c r="AC316" s="107" t="n">
        <f aca="false">W316*$D316</f>
        <v>0</v>
      </c>
      <c r="AD316" s="107" t="n">
        <f aca="false">X316*$D316</f>
        <v>0</v>
      </c>
      <c r="AE316" s="107" t="n">
        <f aca="false">SUM(Y316:AD316)</f>
        <v>0</v>
      </c>
    </row>
    <row r="317" customFormat="false" ht="15" hidden="false" customHeight="false" outlineLevel="0" collapsed="false">
      <c r="A317" s="103" t="s">
        <v>762</v>
      </c>
      <c r="B317" s="104" t="n">
        <v>0</v>
      </c>
      <c r="C317" s="105" t="n">
        <f aca="false">IF(K317=0,0,R317/K317)</f>
        <v>9</v>
      </c>
      <c r="D317" s="105" t="n">
        <f aca="false">C317+B317</f>
        <v>9</v>
      </c>
      <c r="E317" s="106" t="n">
        <v>0</v>
      </c>
      <c r="F317" s="106" t="n">
        <v>1</v>
      </c>
      <c r="G317" s="106" t="n">
        <v>0</v>
      </c>
      <c r="H317" s="106" t="n">
        <v>0</v>
      </c>
      <c r="I317" s="106" t="n">
        <v>0</v>
      </c>
      <c r="J317" s="106" t="n">
        <v>0</v>
      </c>
      <c r="K317" s="106" t="n">
        <f aca="false">SUM(E317:J317)</f>
        <v>1</v>
      </c>
      <c r="L317" s="107" t="n">
        <v>0</v>
      </c>
      <c r="M317" s="107" t="n">
        <v>9</v>
      </c>
      <c r="N317" s="107" t="n">
        <v>0</v>
      </c>
      <c r="O317" s="107" t="n">
        <v>0</v>
      </c>
      <c r="P317" s="107" t="n">
        <v>0</v>
      </c>
      <c r="Q317" s="107" t="n">
        <v>0</v>
      </c>
      <c r="R317" s="107" t="n">
        <f aca="false">SUM(L317:Q317)</f>
        <v>9</v>
      </c>
      <c r="S317" s="108" t="n">
        <v>0</v>
      </c>
      <c r="T317" s="108" t="n">
        <v>0</v>
      </c>
      <c r="U317" s="108" t="n">
        <v>0</v>
      </c>
      <c r="V317" s="108" t="n">
        <v>0</v>
      </c>
      <c r="W317" s="108" t="n">
        <v>0</v>
      </c>
      <c r="X317" s="108" t="n">
        <v>0</v>
      </c>
      <c r="Y317" s="107" t="n">
        <f aca="false">S317*$D317</f>
        <v>0</v>
      </c>
      <c r="Z317" s="107" t="n">
        <f aca="false">T317*$D317</f>
        <v>0</v>
      </c>
      <c r="AA317" s="107" t="n">
        <f aca="false">U317*$D317</f>
        <v>0</v>
      </c>
      <c r="AB317" s="107" t="n">
        <f aca="false">V317*$D317</f>
        <v>0</v>
      </c>
      <c r="AC317" s="107" t="n">
        <f aca="false">W317*$D317</f>
        <v>0</v>
      </c>
      <c r="AD317" s="107" t="n">
        <f aca="false">X317*$D317</f>
        <v>0</v>
      </c>
      <c r="AE317" s="107" t="n">
        <f aca="false">SUM(Y317:AD317)</f>
        <v>0</v>
      </c>
    </row>
    <row r="318" customFormat="false" ht="15" hidden="false" customHeight="false" outlineLevel="0" collapsed="false">
      <c r="A318" s="103" t="s">
        <v>763</v>
      </c>
      <c r="B318" s="104" t="n">
        <v>0</v>
      </c>
      <c r="C318" s="105" t="n">
        <f aca="false">IF(K318=0,0,R318/K318)</f>
        <v>9</v>
      </c>
      <c r="D318" s="105" t="n">
        <f aca="false">C318+B318</f>
        <v>9</v>
      </c>
      <c r="E318" s="106" t="n">
        <v>0</v>
      </c>
      <c r="F318" s="106" t="n">
        <v>0</v>
      </c>
      <c r="G318" s="106" t="n">
        <v>1</v>
      </c>
      <c r="H318" s="106" t="n">
        <v>0</v>
      </c>
      <c r="I318" s="106" t="n">
        <v>0</v>
      </c>
      <c r="J318" s="106" t="n">
        <v>0</v>
      </c>
      <c r="K318" s="106" t="n">
        <f aca="false">SUM(E318:J318)</f>
        <v>1</v>
      </c>
      <c r="L318" s="107" t="n">
        <v>0</v>
      </c>
      <c r="M318" s="107" t="n">
        <v>0</v>
      </c>
      <c r="N318" s="107" t="n">
        <v>9</v>
      </c>
      <c r="O318" s="107" t="n">
        <v>0</v>
      </c>
      <c r="P318" s="107" t="n">
        <v>0</v>
      </c>
      <c r="Q318" s="107" t="n">
        <v>0</v>
      </c>
      <c r="R318" s="107" t="n">
        <f aca="false">SUM(L318:Q318)</f>
        <v>9</v>
      </c>
      <c r="S318" s="108" t="n">
        <v>0</v>
      </c>
      <c r="T318" s="108" t="n">
        <v>0</v>
      </c>
      <c r="U318" s="108" t="n">
        <v>0</v>
      </c>
      <c r="V318" s="108" t="n">
        <v>0</v>
      </c>
      <c r="W318" s="108" t="n">
        <v>0</v>
      </c>
      <c r="X318" s="108" t="n">
        <v>0</v>
      </c>
      <c r="Y318" s="107" t="n">
        <f aca="false">S318*$D318</f>
        <v>0</v>
      </c>
      <c r="Z318" s="107" t="n">
        <f aca="false">T318*$D318</f>
        <v>0</v>
      </c>
      <c r="AA318" s="107" t="n">
        <f aca="false">U318*$D318</f>
        <v>0</v>
      </c>
      <c r="AB318" s="107" t="n">
        <f aca="false">V318*$D318</f>
        <v>0</v>
      </c>
      <c r="AC318" s="107" t="n">
        <f aca="false">W318*$D318</f>
        <v>0</v>
      </c>
      <c r="AD318" s="107" t="n">
        <f aca="false">X318*$D318</f>
        <v>0</v>
      </c>
      <c r="AE318" s="107" t="n">
        <f aca="false">SUM(Y318:AD318)</f>
        <v>0</v>
      </c>
    </row>
    <row r="319" customFormat="false" ht="15" hidden="false" customHeight="false" outlineLevel="0" collapsed="false">
      <c r="A319" s="103" t="s">
        <v>764</v>
      </c>
      <c r="B319" s="104" t="n">
        <v>0</v>
      </c>
      <c r="C319" s="105" t="n">
        <f aca="false">IF(K319=0,0,R319/K319)</f>
        <v>4.5</v>
      </c>
      <c r="D319" s="105" t="n">
        <f aca="false">C319+B319</f>
        <v>4.5</v>
      </c>
      <c r="E319" s="106" t="n">
        <v>0</v>
      </c>
      <c r="F319" s="106" t="n">
        <v>0</v>
      </c>
      <c r="G319" s="106" t="n">
        <v>0</v>
      </c>
      <c r="H319" s="106" t="n">
        <v>2</v>
      </c>
      <c r="I319" s="106" t="n">
        <v>0</v>
      </c>
      <c r="J319" s="106" t="n">
        <v>0</v>
      </c>
      <c r="K319" s="106" t="n">
        <f aca="false">SUM(E319:J319)</f>
        <v>2</v>
      </c>
      <c r="L319" s="107" t="n">
        <v>0</v>
      </c>
      <c r="M319" s="107" t="n">
        <v>0</v>
      </c>
      <c r="N319" s="107" t="n">
        <v>0</v>
      </c>
      <c r="O319" s="107" t="n">
        <v>9</v>
      </c>
      <c r="P319" s="107" t="n">
        <v>0</v>
      </c>
      <c r="Q319" s="107" t="n">
        <v>0</v>
      </c>
      <c r="R319" s="107" t="n">
        <f aca="false">SUM(L319:Q319)</f>
        <v>9</v>
      </c>
      <c r="S319" s="108" t="n">
        <v>1</v>
      </c>
      <c r="T319" s="108" t="n">
        <v>1</v>
      </c>
      <c r="U319" s="108" t="n">
        <v>1</v>
      </c>
      <c r="V319" s="108" t="n">
        <v>1</v>
      </c>
      <c r="W319" s="108" t="n">
        <v>1</v>
      </c>
      <c r="X319" s="108" t="n">
        <v>1</v>
      </c>
      <c r="Y319" s="107" t="n">
        <f aca="false">S319*$D319</f>
        <v>4.5</v>
      </c>
      <c r="Z319" s="107" t="n">
        <f aca="false">T319*$D319</f>
        <v>4.5</v>
      </c>
      <c r="AA319" s="107" t="n">
        <f aca="false">U319*$D319</f>
        <v>4.5</v>
      </c>
      <c r="AB319" s="107" t="n">
        <f aca="false">V319*$D319</f>
        <v>4.5</v>
      </c>
      <c r="AC319" s="107" t="n">
        <f aca="false">W319*$D319</f>
        <v>4.5</v>
      </c>
      <c r="AD319" s="107" t="n">
        <f aca="false">X319*$D319</f>
        <v>4.5</v>
      </c>
      <c r="AE319" s="107" t="n">
        <f aca="false">SUM(Y319:AD319)</f>
        <v>27</v>
      </c>
    </row>
    <row r="320" customFormat="false" ht="15" hidden="false" customHeight="false" outlineLevel="0" collapsed="false">
      <c r="A320" s="103" t="s">
        <v>765</v>
      </c>
      <c r="B320" s="104" t="n">
        <v>0</v>
      </c>
      <c r="C320" s="105" t="n">
        <f aca="false">IF(K320=0,0,R320/K320)</f>
        <v>2.85</v>
      </c>
      <c r="D320" s="105" t="n">
        <f aca="false">C320+B320</f>
        <v>2.85</v>
      </c>
      <c r="E320" s="106" t="n">
        <v>0</v>
      </c>
      <c r="F320" s="106" t="n">
        <v>3</v>
      </c>
      <c r="G320" s="106" t="n">
        <v>0</v>
      </c>
      <c r="H320" s="106" t="n">
        <v>0</v>
      </c>
      <c r="I320" s="106" t="n">
        <v>0</v>
      </c>
      <c r="J320" s="106" t="n">
        <v>0</v>
      </c>
      <c r="K320" s="106" t="n">
        <f aca="false">SUM(E320:J320)</f>
        <v>3</v>
      </c>
      <c r="L320" s="107" t="n">
        <v>0</v>
      </c>
      <c r="M320" s="107" t="n">
        <v>8.55</v>
      </c>
      <c r="N320" s="107" t="n">
        <v>0</v>
      </c>
      <c r="O320" s="107" t="n">
        <v>0</v>
      </c>
      <c r="P320" s="107" t="n">
        <v>0</v>
      </c>
      <c r="Q320" s="107" t="n">
        <v>0</v>
      </c>
      <c r="R320" s="107" t="n">
        <f aca="false">SUM(L320:Q320)</f>
        <v>8.55</v>
      </c>
      <c r="S320" s="108" t="n">
        <v>0</v>
      </c>
      <c r="T320" s="108" t="n">
        <v>0</v>
      </c>
      <c r="U320" s="108" t="n">
        <v>0</v>
      </c>
      <c r="V320" s="108" t="n">
        <v>0</v>
      </c>
      <c r="W320" s="108" t="n">
        <v>0</v>
      </c>
      <c r="X320" s="108" t="n">
        <v>0</v>
      </c>
      <c r="Y320" s="107" t="n">
        <f aca="false">S320*$D320</f>
        <v>0</v>
      </c>
      <c r="Z320" s="107" t="n">
        <f aca="false">T320*$D320</f>
        <v>0</v>
      </c>
      <c r="AA320" s="107" t="n">
        <f aca="false">U320*$D320</f>
        <v>0</v>
      </c>
      <c r="AB320" s="107" t="n">
        <f aca="false">V320*$D320</f>
        <v>0</v>
      </c>
      <c r="AC320" s="107" t="n">
        <f aca="false">W320*$D320</f>
        <v>0</v>
      </c>
      <c r="AD320" s="107" t="n">
        <f aca="false">X320*$D320</f>
        <v>0</v>
      </c>
      <c r="AE320" s="107" t="n">
        <f aca="false">SUM(Y320:AD320)</f>
        <v>0</v>
      </c>
    </row>
    <row r="321" customFormat="false" ht="15" hidden="false" customHeight="false" outlineLevel="0" collapsed="false">
      <c r="A321" s="103" t="s">
        <v>766</v>
      </c>
      <c r="B321" s="104" t="n">
        <v>0</v>
      </c>
      <c r="C321" s="105" t="n">
        <f aca="false">IF(K321=0,0,R321/K321)</f>
        <v>4.125</v>
      </c>
      <c r="D321" s="105" t="n">
        <f aca="false">C321+B321</f>
        <v>4.125</v>
      </c>
      <c r="E321" s="106" t="n">
        <v>1</v>
      </c>
      <c r="F321" s="106" t="n">
        <v>1</v>
      </c>
      <c r="G321" s="106" t="n">
        <v>0</v>
      </c>
      <c r="H321" s="106" t="n">
        <v>0</v>
      </c>
      <c r="I321" s="106" t="n">
        <v>0</v>
      </c>
      <c r="J321" s="106" t="n">
        <v>0</v>
      </c>
      <c r="K321" s="106" t="n">
        <f aca="false">SUM(E321:J321)</f>
        <v>2</v>
      </c>
      <c r="L321" s="107" t="n">
        <v>5.5</v>
      </c>
      <c r="M321" s="107" t="n">
        <v>2.75</v>
      </c>
      <c r="N321" s="107" t="n">
        <v>0</v>
      </c>
      <c r="O321" s="107" t="n">
        <v>0</v>
      </c>
      <c r="P321" s="107" t="n">
        <v>0</v>
      </c>
      <c r="Q321" s="107" t="n">
        <v>0</v>
      </c>
      <c r="R321" s="107" t="n">
        <f aca="false">SUM(L321:Q321)</f>
        <v>8.25</v>
      </c>
      <c r="S321" s="108" t="n">
        <v>0</v>
      </c>
      <c r="T321" s="108" t="n">
        <v>0</v>
      </c>
      <c r="U321" s="108" t="n">
        <v>0</v>
      </c>
      <c r="V321" s="108" t="n">
        <v>0</v>
      </c>
      <c r="W321" s="108" t="n">
        <v>0</v>
      </c>
      <c r="X321" s="108" t="n">
        <v>0</v>
      </c>
      <c r="Y321" s="107" t="n">
        <f aca="false">S321*$D321</f>
        <v>0</v>
      </c>
      <c r="Z321" s="107" t="n">
        <f aca="false">T321*$D321</f>
        <v>0</v>
      </c>
      <c r="AA321" s="107" t="n">
        <f aca="false">U321*$D321</f>
        <v>0</v>
      </c>
      <c r="AB321" s="107" t="n">
        <f aca="false">V321*$D321</f>
        <v>0</v>
      </c>
      <c r="AC321" s="107" t="n">
        <f aca="false">W321*$D321</f>
        <v>0</v>
      </c>
      <c r="AD321" s="107" t="n">
        <f aca="false">X321*$D321</f>
        <v>0</v>
      </c>
      <c r="AE321" s="107" t="n">
        <f aca="false">SUM(Y321:AD321)</f>
        <v>0</v>
      </c>
    </row>
    <row r="322" customFormat="false" ht="15" hidden="false" customHeight="false" outlineLevel="0" collapsed="false">
      <c r="A322" s="103" t="s">
        <v>767</v>
      </c>
      <c r="B322" s="104" t="n">
        <v>0</v>
      </c>
      <c r="C322" s="105" t="n">
        <f aca="false">IF(K322=0,0,R322/K322)</f>
        <v>4.05</v>
      </c>
      <c r="D322" s="105" t="n">
        <f aca="false">C322+B322</f>
        <v>4.05</v>
      </c>
      <c r="E322" s="106" t="n">
        <v>0</v>
      </c>
      <c r="F322" s="106" t="n">
        <v>0</v>
      </c>
      <c r="G322" s="106" t="n">
        <v>2</v>
      </c>
      <c r="H322" s="106" t="n">
        <v>0</v>
      </c>
      <c r="I322" s="106" t="n">
        <v>0</v>
      </c>
      <c r="J322" s="106" t="n">
        <v>0</v>
      </c>
      <c r="K322" s="106" t="n">
        <f aca="false">SUM(E322:J322)</f>
        <v>2</v>
      </c>
      <c r="L322" s="107" t="n">
        <v>0</v>
      </c>
      <c r="M322" s="107" t="n">
        <v>0</v>
      </c>
      <c r="N322" s="107" t="n">
        <v>8.1</v>
      </c>
      <c r="O322" s="107" t="n">
        <v>0</v>
      </c>
      <c r="P322" s="107" t="n">
        <v>0</v>
      </c>
      <c r="Q322" s="107" t="n">
        <v>0</v>
      </c>
      <c r="R322" s="107" t="n">
        <f aca="false">SUM(L322:Q322)</f>
        <v>8.1</v>
      </c>
      <c r="S322" s="108" t="n">
        <v>0</v>
      </c>
      <c r="T322" s="108" t="n">
        <v>0</v>
      </c>
      <c r="U322" s="108" t="n">
        <v>0</v>
      </c>
      <c r="V322" s="108" t="n">
        <v>0</v>
      </c>
      <c r="W322" s="108" t="n">
        <v>0</v>
      </c>
      <c r="X322" s="108" t="n">
        <v>0</v>
      </c>
      <c r="Y322" s="107" t="n">
        <f aca="false">S322*$D322</f>
        <v>0</v>
      </c>
      <c r="Z322" s="107" t="n">
        <f aca="false">T322*$D322</f>
        <v>0</v>
      </c>
      <c r="AA322" s="107" t="n">
        <f aca="false">U322*$D322</f>
        <v>0</v>
      </c>
      <c r="AB322" s="107" t="n">
        <f aca="false">V322*$D322</f>
        <v>0</v>
      </c>
      <c r="AC322" s="107" t="n">
        <f aca="false">W322*$D322</f>
        <v>0</v>
      </c>
      <c r="AD322" s="107" t="n">
        <f aca="false">X322*$D322</f>
        <v>0</v>
      </c>
      <c r="AE322" s="107" t="n">
        <f aca="false">SUM(Y322:AD322)</f>
        <v>0</v>
      </c>
    </row>
    <row r="323" customFormat="false" ht="15" hidden="false" customHeight="false" outlineLevel="0" collapsed="false">
      <c r="A323" s="103" t="s">
        <v>768</v>
      </c>
      <c r="B323" s="104" t="n">
        <v>0</v>
      </c>
      <c r="C323" s="105" t="n">
        <f aca="false">IF(K323=0,0,R323/K323)</f>
        <v>8</v>
      </c>
      <c r="D323" s="105" t="n">
        <f aca="false">C323+B323</f>
        <v>8</v>
      </c>
      <c r="E323" s="106" t="n">
        <v>1</v>
      </c>
      <c r="F323" s="106" t="n">
        <v>0</v>
      </c>
      <c r="G323" s="106" t="n">
        <v>0</v>
      </c>
      <c r="H323" s="106" t="n">
        <v>0</v>
      </c>
      <c r="I323" s="106" t="n">
        <v>0</v>
      </c>
      <c r="J323" s="106" t="n">
        <v>0</v>
      </c>
      <c r="K323" s="106" t="n">
        <f aca="false">SUM(E323:J323)</f>
        <v>1</v>
      </c>
      <c r="L323" s="107" t="n">
        <v>8</v>
      </c>
      <c r="M323" s="107" t="n">
        <v>0</v>
      </c>
      <c r="N323" s="107" t="n">
        <v>0</v>
      </c>
      <c r="O323" s="107" t="n">
        <v>0</v>
      </c>
      <c r="P323" s="107" t="n">
        <v>0</v>
      </c>
      <c r="Q323" s="107" t="n">
        <v>0</v>
      </c>
      <c r="R323" s="107" t="n">
        <f aca="false">SUM(L323:Q323)</f>
        <v>8</v>
      </c>
      <c r="S323" s="108" t="n">
        <v>0</v>
      </c>
      <c r="T323" s="108" t="n">
        <v>0</v>
      </c>
      <c r="U323" s="108" t="n">
        <v>0</v>
      </c>
      <c r="V323" s="108" t="n">
        <v>0</v>
      </c>
      <c r="W323" s="108" t="n">
        <v>0</v>
      </c>
      <c r="X323" s="108" t="n">
        <v>0</v>
      </c>
      <c r="Y323" s="107" t="n">
        <f aca="false">S323*$D323</f>
        <v>0</v>
      </c>
      <c r="Z323" s="107" t="n">
        <f aca="false">T323*$D323</f>
        <v>0</v>
      </c>
      <c r="AA323" s="107" t="n">
        <f aca="false">U323*$D323</f>
        <v>0</v>
      </c>
      <c r="AB323" s="107" t="n">
        <f aca="false">V323*$D323</f>
        <v>0</v>
      </c>
      <c r="AC323" s="107" t="n">
        <f aca="false">W323*$D323</f>
        <v>0</v>
      </c>
      <c r="AD323" s="107" t="n">
        <f aca="false">X323*$D323</f>
        <v>0</v>
      </c>
      <c r="AE323" s="107" t="n">
        <f aca="false">SUM(Y323:AD323)</f>
        <v>0</v>
      </c>
    </row>
    <row r="324" customFormat="false" ht="15" hidden="false" customHeight="false" outlineLevel="0" collapsed="false">
      <c r="A324" s="103" t="s">
        <v>769</v>
      </c>
      <c r="B324" s="104" t="n">
        <v>0</v>
      </c>
      <c r="C324" s="105" t="n">
        <f aca="false">IF(K324=0,0,R324/K324)</f>
        <v>8</v>
      </c>
      <c r="D324" s="105" t="n">
        <f aca="false">C324+B324</f>
        <v>8</v>
      </c>
      <c r="E324" s="106" t="n">
        <v>1</v>
      </c>
      <c r="F324" s="106" t="n">
        <v>0</v>
      </c>
      <c r="G324" s="106" t="n">
        <v>0</v>
      </c>
      <c r="H324" s="106" t="n">
        <v>0</v>
      </c>
      <c r="I324" s="106" t="n">
        <v>0</v>
      </c>
      <c r="J324" s="106" t="n">
        <v>0</v>
      </c>
      <c r="K324" s="106" t="n">
        <f aca="false">SUM(E324:J324)</f>
        <v>1</v>
      </c>
      <c r="L324" s="107" t="n">
        <v>8</v>
      </c>
      <c r="M324" s="107" t="n">
        <v>0</v>
      </c>
      <c r="N324" s="107" t="n">
        <v>0</v>
      </c>
      <c r="O324" s="107" t="n">
        <v>0</v>
      </c>
      <c r="P324" s="107" t="n">
        <v>0</v>
      </c>
      <c r="Q324" s="107" t="n">
        <v>0</v>
      </c>
      <c r="R324" s="107" t="n">
        <f aca="false">SUM(L324:Q324)</f>
        <v>8</v>
      </c>
      <c r="S324" s="108" t="n">
        <v>0</v>
      </c>
      <c r="T324" s="108" t="n">
        <v>0</v>
      </c>
      <c r="U324" s="108" t="n">
        <v>0</v>
      </c>
      <c r="V324" s="108" t="n">
        <v>0</v>
      </c>
      <c r="W324" s="108" t="n">
        <v>0</v>
      </c>
      <c r="X324" s="108" t="n">
        <v>0</v>
      </c>
      <c r="Y324" s="107" t="n">
        <f aca="false">S324*$D324</f>
        <v>0</v>
      </c>
      <c r="Z324" s="107" t="n">
        <f aca="false">T324*$D324</f>
        <v>0</v>
      </c>
      <c r="AA324" s="107" t="n">
        <f aca="false">U324*$D324</f>
        <v>0</v>
      </c>
      <c r="AB324" s="107" t="n">
        <f aca="false">V324*$D324</f>
        <v>0</v>
      </c>
      <c r="AC324" s="107" t="n">
        <f aca="false">W324*$D324</f>
        <v>0</v>
      </c>
      <c r="AD324" s="107" t="n">
        <f aca="false">X324*$D324</f>
        <v>0</v>
      </c>
      <c r="AE324" s="107" t="n">
        <f aca="false">SUM(Y324:AD324)</f>
        <v>0</v>
      </c>
    </row>
    <row r="325" customFormat="false" ht="15" hidden="false" customHeight="false" outlineLevel="0" collapsed="false">
      <c r="A325" s="103" t="s">
        <v>770</v>
      </c>
      <c r="B325" s="104" t="n">
        <v>0</v>
      </c>
      <c r="C325" s="105" t="n">
        <f aca="false">IF(K325=0,0,R325/K325)</f>
        <v>8</v>
      </c>
      <c r="D325" s="105" t="n">
        <f aca="false">C325+B325</f>
        <v>8</v>
      </c>
      <c r="E325" s="106" t="n">
        <v>1</v>
      </c>
      <c r="F325" s="106" t="n">
        <v>0</v>
      </c>
      <c r="G325" s="106" t="n">
        <v>0</v>
      </c>
      <c r="H325" s="106" t="n">
        <v>0</v>
      </c>
      <c r="I325" s="106" t="n">
        <v>0</v>
      </c>
      <c r="J325" s="106" t="n">
        <v>0</v>
      </c>
      <c r="K325" s="106" t="n">
        <f aca="false">SUM(E325:J325)</f>
        <v>1</v>
      </c>
      <c r="L325" s="107" t="n">
        <v>8</v>
      </c>
      <c r="M325" s="107" t="n">
        <v>0</v>
      </c>
      <c r="N325" s="107" t="n">
        <v>0</v>
      </c>
      <c r="O325" s="107" t="n">
        <v>0</v>
      </c>
      <c r="P325" s="107" t="n">
        <v>0</v>
      </c>
      <c r="Q325" s="107" t="n">
        <v>0</v>
      </c>
      <c r="R325" s="107" t="n">
        <f aca="false">SUM(L325:Q325)</f>
        <v>8</v>
      </c>
      <c r="S325" s="108" t="n">
        <v>0</v>
      </c>
      <c r="T325" s="108" t="n">
        <v>0</v>
      </c>
      <c r="U325" s="108" t="n">
        <v>0</v>
      </c>
      <c r="V325" s="108" t="n">
        <v>0</v>
      </c>
      <c r="W325" s="108" t="n">
        <v>0</v>
      </c>
      <c r="X325" s="108" t="n">
        <v>0</v>
      </c>
      <c r="Y325" s="107" t="n">
        <f aca="false">S325*$D325</f>
        <v>0</v>
      </c>
      <c r="Z325" s="107" t="n">
        <f aca="false">T325*$D325</f>
        <v>0</v>
      </c>
      <c r="AA325" s="107" t="n">
        <f aca="false">U325*$D325</f>
        <v>0</v>
      </c>
      <c r="AB325" s="107" t="n">
        <f aca="false">V325*$D325</f>
        <v>0</v>
      </c>
      <c r="AC325" s="107" t="n">
        <f aca="false">W325*$D325</f>
        <v>0</v>
      </c>
      <c r="AD325" s="107" t="n">
        <f aca="false">X325*$D325</f>
        <v>0</v>
      </c>
      <c r="AE325" s="107" t="n">
        <f aca="false">SUM(Y325:AD325)</f>
        <v>0</v>
      </c>
    </row>
    <row r="326" customFormat="false" ht="15" hidden="false" customHeight="false" outlineLevel="0" collapsed="false">
      <c r="A326" s="103" t="s">
        <v>771</v>
      </c>
      <c r="B326" s="104" t="n">
        <v>0</v>
      </c>
      <c r="C326" s="105" t="n">
        <f aca="false">IF(K326=0,0,R326/K326)</f>
        <v>4</v>
      </c>
      <c r="D326" s="105" t="n">
        <f aca="false">C326+B326</f>
        <v>4</v>
      </c>
      <c r="E326" s="106" t="n">
        <v>2</v>
      </c>
      <c r="F326" s="106" t="n">
        <v>0</v>
      </c>
      <c r="G326" s="106" t="n">
        <v>0</v>
      </c>
      <c r="H326" s="106" t="n">
        <v>0</v>
      </c>
      <c r="I326" s="106" t="n">
        <v>0</v>
      </c>
      <c r="J326" s="106" t="n">
        <v>0</v>
      </c>
      <c r="K326" s="106" t="n">
        <f aca="false">SUM(E326:J326)</f>
        <v>2</v>
      </c>
      <c r="L326" s="107" t="n">
        <v>8</v>
      </c>
      <c r="M326" s="107" t="n">
        <v>0</v>
      </c>
      <c r="N326" s="107" t="n">
        <v>0</v>
      </c>
      <c r="O326" s="107" t="n">
        <v>0</v>
      </c>
      <c r="P326" s="107" t="n">
        <v>0</v>
      </c>
      <c r="Q326" s="107" t="n">
        <v>0</v>
      </c>
      <c r="R326" s="107" t="n">
        <f aca="false">SUM(L326:Q326)</f>
        <v>8</v>
      </c>
      <c r="S326" s="108" t="n">
        <v>0</v>
      </c>
      <c r="T326" s="108" t="n">
        <v>0</v>
      </c>
      <c r="U326" s="108" t="n">
        <v>0</v>
      </c>
      <c r="V326" s="108" t="n">
        <v>0</v>
      </c>
      <c r="W326" s="108" t="n">
        <v>0</v>
      </c>
      <c r="X326" s="108" t="n">
        <v>0</v>
      </c>
      <c r="Y326" s="107" t="n">
        <f aca="false">S326*$D326</f>
        <v>0</v>
      </c>
      <c r="Z326" s="107" t="n">
        <f aca="false">T326*$D326</f>
        <v>0</v>
      </c>
      <c r="AA326" s="107" t="n">
        <f aca="false">U326*$D326</f>
        <v>0</v>
      </c>
      <c r="AB326" s="107" t="n">
        <f aca="false">V326*$D326</f>
        <v>0</v>
      </c>
      <c r="AC326" s="107" t="n">
        <f aca="false">W326*$D326</f>
        <v>0</v>
      </c>
      <c r="AD326" s="107" t="n">
        <f aca="false">X326*$D326</f>
        <v>0</v>
      </c>
      <c r="AE326" s="107" t="n">
        <f aca="false">SUM(Y326:AD326)</f>
        <v>0</v>
      </c>
    </row>
    <row r="327" customFormat="false" ht="15" hidden="false" customHeight="false" outlineLevel="0" collapsed="false">
      <c r="A327" s="103" t="s">
        <v>772</v>
      </c>
      <c r="B327" s="104" t="n">
        <v>0</v>
      </c>
      <c r="C327" s="105" t="n">
        <f aca="false">IF(K327=0,0,R327/K327)</f>
        <v>8</v>
      </c>
      <c r="D327" s="105" t="n">
        <f aca="false">C327+B327</f>
        <v>8</v>
      </c>
      <c r="E327" s="106" t="n">
        <v>1</v>
      </c>
      <c r="F327" s="106" t="n">
        <v>0</v>
      </c>
      <c r="G327" s="106" t="n">
        <v>0</v>
      </c>
      <c r="H327" s="106" t="n">
        <v>0</v>
      </c>
      <c r="I327" s="106" t="n">
        <v>0</v>
      </c>
      <c r="J327" s="106" t="n">
        <v>0</v>
      </c>
      <c r="K327" s="106" t="n">
        <f aca="false">SUM(E327:J327)</f>
        <v>1</v>
      </c>
      <c r="L327" s="107" t="n">
        <v>8</v>
      </c>
      <c r="M327" s="107" t="n">
        <v>0</v>
      </c>
      <c r="N327" s="107" t="n">
        <v>0</v>
      </c>
      <c r="O327" s="107" t="n">
        <v>0</v>
      </c>
      <c r="P327" s="107" t="n">
        <v>0</v>
      </c>
      <c r="Q327" s="107" t="n">
        <v>0</v>
      </c>
      <c r="R327" s="107" t="n">
        <f aca="false">SUM(L327:Q327)</f>
        <v>8</v>
      </c>
      <c r="S327" s="108" t="n">
        <v>0</v>
      </c>
      <c r="T327" s="108" t="n">
        <v>0</v>
      </c>
      <c r="U327" s="108" t="n">
        <v>0</v>
      </c>
      <c r="V327" s="108" t="n">
        <v>0</v>
      </c>
      <c r="W327" s="108" t="n">
        <v>0</v>
      </c>
      <c r="X327" s="108" t="n">
        <v>0</v>
      </c>
      <c r="Y327" s="107" t="n">
        <f aca="false">S327*$D327</f>
        <v>0</v>
      </c>
      <c r="Z327" s="107" t="n">
        <f aca="false">T327*$D327</f>
        <v>0</v>
      </c>
      <c r="AA327" s="107" t="n">
        <f aca="false">U327*$D327</f>
        <v>0</v>
      </c>
      <c r="AB327" s="107" t="n">
        <f aca="false">V327*$D327</f>
        <v>0</v>
      </c>
      <c r="AC327" s="107" t="n">
        <f aca="false">W327*$D327</f>
        <v>0</v>
      </c>
      <c r="AD327" s="107" t="n">
        <f aca="false">X327*$D327</f>
        <v>0</v>
      </c>
      <c r="AE327" s="107" t="n">
        <f aca="false">SUM(Y327:AD327)</f>
        <v>0</v>
      </c>
    </row>
    <row r="328" customFormat="false" ht="15" hidden="false" customHeight="false" outlineLevel="0" collapsed="false">
      <c r="A328" s="103" t="s">
        <v>773</v>
      </c>
      <c r="B328" s="104" t="n">
        <v>0</v>
      </c>
      <c r="C328" s="105" t="n">
        <f aca="false">IF(K328=0,0,R328/K328)</f>
        <v>4</v>
      </c>
      <c r="D328" s="105" t="n">
        <f aca="false">C328+B328</f>
        <v>4</v>
      </c>
      <c r="E328" s="106" t="n">
        <v>0</v>
      </c>
      <c r="F328" s="106" t="n">
        <v>0</v>
      </c>
      <c r="G328" s="106" t="n">
        <v>2</v>
      </c>
      <c r="H328" s="106" t="n">
        <v>0</v>
      </c>
      <c r="I328" s="106" t="n">
        <v>0</v>
      </c>
      <c r="J328" s="106" t="n">
        <v>0</v>
      </c>
      <c r="K328" s="106" t="n">
        <f aca="false">SUM(E328:J328)</f>
        <v>2</v>
      </c>
      <c r="L328" s="107" t="n">
        <v>0</v>
      </c>
      <c r="M328" s="107" t="n">
        <v>0</v>
      </c>
      <c r="N328" s="107" t="n">
        <v>8</v>
      </c>
      <c r="O328" s="107" t="n">
        <v>0</v>
      </c>
      <c r="P328" s="107" t="n">
        <v>0</v>
      </c>
      <c r="Q328" s="107" t="n">
        <v>0</v>
      </c>
      <c r="R328" s="107" t="n">
        <f aca="false">SUM(L328:Q328)</f>
        <v>8</v>
      </c>
      <c r="S328" s="108" t="n">
        <v>0</v>
      </c>
      <c r="T328" s="108" t="n">
        <v>0</v>
      </c>
      <c r="U328" s="108" t="n">
        <v>0</v>
      </c>
      <c r="V328" s="108" t="n">
        <v>0</v>
      </c>
      <c r="W328" s="108" t="n">
        <v>0</v>
      </c>
      <c r="X328" s="108" t="n">
        <v>0</v>
      </c>
      <c r="Y328" s="107" t="n">
        <f aca="false">S328*$D328</f>
        <v>0</v>
      </c>
      <c r="Z328" s="107" t="n">
        <f aca="false">T328*$D328</f>
        <v>0</v>
      </c>
      <c r="AA328" s="107" t="n">
        <f aca="false">U328*$D328</f>
        <v>0</v>
      </c>
      <c r="AB328" s="107" t="n">
        <f aca="false">V328*$D328</f>
        <v>0</v>
      </c>
      <c r="AC328" s="107" t="n">
        <f aca="false">W328*$D328</f>
        <v>0</v>
      </c>
      <c r="AD328" s="107" t="n">
        <f aca="false">X328*$D328</f>
        <v>0</v>
      </c>
      <c r="AE328" s="107" t="n">
        <f aca="false">SUM(Y328:AD328)</f>
        <v>0</v>
      </c>
    </row>
    <row r="329" customFormat="false" ht="15" hidden="false" customHeight="false" outlineLevel="0" collapsed="false">
      <c r="A329" s="103" t="s">
        <v>774</v>
      </c>
      <c r="B329" s="104" t="n">
        <v>0</v>
      </c>
      <c r="C329" s="105" t="n">
        <f aca="false">IF(K329=0,0,R329/K329)</f>
        <v>8</v>
      </c>
      <c r="D329" s="105" t="n">
        <f aca="false">C329+B329</f>
        <v>8</v>
      </c>
      <c r="E329" s="106" t="n">
        <v>0</v>
      </c>
      <c r="F329" s="106" t="n">
        <v>0</v>
      </c>
      <c r="G329" s="106" t="n">
        <v>0</v>
      </c>
      <c r="H329" s="106" t="n">
        <v>1</v>
      </c>
      <c r="I329" s="106" t="n">
        <v>0</v>
      </c>
      <c r="J329" s="106" t="n">
        <v>0</v>
      </c>
      <c r="K329" s="106" t="n">
        <f aca="false">SUM(E329:J329)</f>
        <v>1</v>
      </c>
      <c r="L329" s="107" t="n">
        <v>0</v>
      </c>
      <c r="M329" s="107" t="n">
        <v>0</v>
      </c>
      <c r="N329" s="107" t="n">
        <v>0</v>
      </c>
      <c r="O329" s="107" t="n">
        <v>8</v>
      </c>
      <c r="P329" s="107" t="n">
        <v>0</v>
      </c>
      <c r="Q329" s="107" t="n">
        <v>0</v>
      </c>
      <c r="R329" s="107" t="n">
        <f aca="false">SUM(L329:Q329)</f>
        <v>8</v>
      </c>
      <c r="S329" s="108" t="n">
        <v>0</v>
      </c>
      <c r="T329" s="108" t="n">
        <v>0</v>
      </c>
      <c r="U329" s="108" t="n">
        <v>0</v>
      </c>
      <c r="V329" s="108" t="n">
        <v>0</v>
      </c>
      <c r="W329" s="108" t="n">
        <v>0</v>
      </c>
      <c r="X329" s="108" t="n">
        <v>0</v>
      </c>
      <c r="Y329" s="107" t="n">
        <f aca="false">S329*$D329</f>
        <v>0</v>
      </c>
      <c r="Z329" s="107" t="n">
        <f aca="false">T329*$D329</f>
        <v>0</v>
      </c>
      <c r="AA329" s="107" t="n">
        <f aca="false">U329*$D329</f>
        <v>0</v>
      </c>
      <c r="AB329" s="107" t="n">
        <f aca="false">V329*$D329</f>
        <v>0</v>
      </c>
      <c r="AC329" s="107" t="n">
        <f aca="false">W329*$D329</f>
        <v>0</v>
      </c>
      <c r="AD329" s="107" t="n">
        <f aca="false">X329*$D329</f>
        <v>0</v>
      </c>
      <c r="AE329" s="107" t="n">
        <f aca="false">SUM(Y329:AD329)</f>
        <v>0</v>
      </c>
    </row>
    <row r="330" customFormat="false" ht="15" hidden="false" customHeight="false" outlineLevel="0" collapsed="false">
      <c r="A330" s="103" t="s">
        <v>775</v>
      </c>
      <c r="B330" s="104" t="n">
        <v>0</v>
      </c>
      <c r="C330" s="105" t="n">
        <f aca="false">IF(K330=0,0,R330/K330)</f>
        <v>8</v>
      </c>
      <c r="D330" s="105" t="n">
        <f aca="false">C330+B330</f>
        <v>8</v>
      </c>
      <c r="E330" s="106" t="n">
        <v>0</v>
      </c>
      <c r="F330" s="106" t="n">
        <v>0</v>
      </c>
      <c r="G330" s="106" t="n">
        <v>0</v>
      </c>
      <c r="H330" s="106" t="n">
        <v>0</v>
      </c>
      <c r="I330" s="106" t="n">
        <v>0</v>
      </c>
      <c r="J330" s="106" t="n">
        <v>1</v>
      </c>
      <c r="K330" s="106" t="n">
        <f aca="false">SUM(E330:J330)</f>
        <v>1</v>
      </c>
      <c r="L330" s="107" t="n">
        <v>0</v>
      </c>
      <c r="M330" s="107" t="n">
        <v>0</v>
      </c>
      <c r="N330" s="107" t="n">
        <v>0</v>
      </c>
      <c r="O330" s="107" t="n">
        <v>0</v>
      </c>
      <c r="P330" s="107" t="n">
        <v>0</v>
      </c>
      <c r="Q330" s="107" t="n">
        <v>8</v>
      </c>
      <c r="R330" s="107" t="n">
        <f aca="false">SUM(L330:Q330)</f>
        <v>8</v>
      </c>
      <c r="S330" s="108" t="n">
        <v>0</v>
      </c>
      <c r="T330" s="108" t="n">
        <v>0</v>
      </c>
      <c r="U330" s="108" t="n">
        <v>0</v>
      </c>
      <c r="V330" s="108" t="n">
        <v>0</v>
      </c>
      <c r="W330" s="108" t="n">
        <v>0</v>
      </c>
      <c r="X330" s="108" t="n">
        <v>0</v>
      </c>
      <c r="Y330" s="107" t="n">
        <f aca="false">S330*$D330</f>
        <v>0</v>
      </c>
      <c r="Z330" s="107" t="n">
        <f aca="false">T330*$D330</f>
        <v>0</v>
      </c>
      <c r="AA330" s="107" t="n">
        <f aca="false">U330*$D330</f>
        <v>0</v>
      </c>
      <c r="AB330" s="107" t="n">
        <f aca="false">V330*$D330</f>
        <v>0</v>
      </c>
      <c r="AC330" s="107" t="n">
        <f aca="false">W330*$D330</f>
        <v>0</v>
      </c>
      <c r="AD330" s="107" t="n">
        <f aca="false">X330*$D330</f>
        <v>0</v>
      </c>
      <c r="AE330" s="107" t="n">
        <f aca="false">SUM(Y330:AD330)</f>
        <v>0</v>
      </c>
    </row>
    <row r="331" customFormat="false" ht="15" hidden="false" customHeight="false" outlineLevel="0" collapsed="false">
      <c r="A331" s="103" t="s">
        <v>776</v>
      </c>
      <c r="B331" s="104" t="n">
        <v>0</v>
      </c>
      <c r="C331" s="105" t="n">
        <f aca="false">IF(K331=0,0,R331/K331)</f>
        <v>8</v>
      </c>
      <c r="D331" s="105" t="n">
        <f aca="false">C331+B331</f>
        <v>8</v>
      </c>
      <c r="E331" s="106" t="n">
        <v>0</v>
      </c>
      <c r="F331" s="106" t="n">
        <v>0</v>
      </c>
      <c r="G331" s="106" t="n">
        <v>0</v>
      </c>
      <c r="H331" s="106" t="n">
        <v>0</v>
      </c>
      <c r="I331" s="106" t="n">
        <v>0</v>
      </c>
      <c r="J331" s="106" t="n">
        <v>1</v>
      </c>
      <c r="K331" s="106" t="n">
        <f aca="false">SUM(E331:J331)</f>
        <v>1</v>
      </c>
      <c r="L331" s="107" t="n">
        <v>0</v>
      </c>
      <c r="M331" s="107" t="n">
        <v>0</v>
      </c>
      <c r="N331" s="107" t="n">
        <v>0</v>
      </c>
      <c r="O331" s="107" t="n">
        <v>0</v>
      </c>
      <c r="P331" s="107" t="n">
        <v>0</v>
      </c>
      <c r="Q331" s="107" t="n">
        <v>8</v>
      </c>
      <c r="R331" s="107" t="n">
        <f aca="false">SUM(L331:Q331)</f>
        <v>8</v>
      </c>
      <c r="S331" s="108" t="n">
        <v>0</v>
      </c>
      <c r="T331" s="108" t="n">
        <v>0</v>
      </c>
      <c r="U331" s="108" t="n">
        <v>0</v>
      </c>
      <c r="V331" s="108" t="n">
        <v>0</v>
      </c>
      <c r="W331" s="108" t="n">
        <v>0</v>
      </c>
      <c r="X331" s="108" t="n">
        <v>0</v>
      </c>
      <c r="Y331" s="107" t="n">
        <f aca="false">S331*$D331</f>
        <v>0</v>
      </c>
      <c r="Z331" s="107" t="n">
        <f aca="false">T331*$D331</f>
        <v>0</v>
      </c>
      <c r="AA331" s="107" t="n">
        <f aca="false">U331*$D331</f>
        <v>0</v>
      </c>
      <c r="AB331" s="107" t="n">
        <f aca="false">V331*$D331</f>
        <v>0</v>
      </c>
      <c r="AC331" s="107" t="n">
        <f aca="false">W331*$D331</f>
        <v>0</v>
      </c>
      <c r="AD331" s="107" t="n">
        <f aca="false">X331*$D331</f>
        <v>0</v>
      </c>
      <c r="AE331" s="107" t="n">
        <f aca="false">SUM(Y331:AD331)</f>
        <v>0</v>
      </c>
    </row>
    <row r="332" customFormat="false" ht="15" hidden="false" customHeight="false" outlineLevel="0" collapsed="false">
      <c r="A332" s="103" t="s">
        <v>777</v>
      </c>
      <c r="B332" s="104" t="n">
        <v>0</v>
      </c>
      <c r="C332" s="105" t="n">
        <f aca="false">IF(K332=0,0,R332/K332)</f>
        <v>3.9</v>
      </c>
      <c r="D332" s="105" t="n">
        <f aca="false">C332+B332</f>
        <v>3.9</v>
      </c>
      <c r="E332" s="106" t="n">
        <v>0</v>
      </c>
      <c r="F332" s="106" t="n">
        <v>0</v>
      </c>
      <c r="G332" s="106" t="n">
        <v>0</v>
      </c>
      <c r="H332" s="106" t="n">
        <v>2</v>
      </c>
      <c r="I332" s="106" t="n">
        <v>0</v>
      </c>
      <c r="J332" s="106" t="n">
        <v>0</v>
      </c>
      <c r="K332" s="106" t="n">
        <f aca="false">SUM(E332:J332)</f>
        <v>2</v>
      </c>
      <c r="L332" s="107" t="n">
        <v>0</v>
      </c>
      <c r="M332" s="107" t="n">
        <v>0</v>
      </c>
      <c r="N332" s="107" t="n">
        <v>0</v>
      </c>
      <c r="O332" s="107" t="n">
        <v>7.8</v>
      </c>
      <c r="P332" s="107" t="n">
        <v>0</v>
      </c>
      <c r="Q332" s="107" t="n">
        <v>0</v>
      </c>
      <c r="R332" s="107" t="n">
        <f aca="false">SUM(L332:Q332)</f>
        <v>7.8</v>
      </c>
      <c r="S332" s="108" t="n">
        <v>1</v>
      </c>
      <c r="T332" s="108" t="n">
        <v>1</v>
      </c>
      <c r="U332" s="108" t="n">
        <v>1</v>
      </c>
      <c r="V332" s="108" t="n">
        <v>1</v>
      </c>
      <c r="W332" s="108" t="n">
        <v>1</v>
      </c>
      <c r="X332" s="108" t="n">
        <v>1</v>
      </c>
      <c r="Y332" s="107" t="n">
        <f aca="false">S332*$D332</f>
        <v>3.9</v>
      </c>
      <c r="Z332" s="107" t="n">
        <f aca="false">T332*$D332</f>
        <v>3.9</v>
      </c>
      <c r="AA332" s="107" t="n">
        <f aca="false">U332*$D332</f>
        <v>3.9</v>
      </c>
      <c r="AB332" s="107" t="n">
        <f aca="false">V332*$D332</f>
        <v>3.9</v>
      </c>
      <c r="AC332" s="107" t="n">
        <f aca="false">W332*$D332</f>
        <v>3.9</v>
      </c>
      <c r="AD332" s="107" t="n">
        <f aca="false">X332*$D332</f>
        <v>3.9</v>
      </c>
      <c r="AE332" s="107" t="n">
        <f aca="false">SUM(Y332:AD332)</f>
        <v>23.4</v>
      </c>
    </row>
    <row r="333" customFormat="false" ht="15" hidden="false" customHeight="false" outlineLevel="0" collapsed="false">
      <c r="A333" s="103" t="s">
        <v>778</v>
      </c>
      <c r="B333" s="104" t="n">
        <v>0</v>
      </c>
      <c r="C333" s="105" t="n">
        <f aca="false">IF(K333=0,0,R333/K333)</f>
        <v>3.7</v>
      </c>
      <c r="D333" s="105" t="n">
        <f aca="false">C333+B333</f>
        <v>3.7</v>
      </c>
      <c r="E333" s="106" t="n">
        <v>1</v>
      </c>
      <c r="F333" s="106" t="n">
        <v>1</v>
      </c>
      <c r="G333" s="106" t="n">
        <v>0</v>
      </c>
      <c r="H333" s="106" t="n">
        <v>0</v>
      </c>
      <c r="I333" s="106" t="n">
        <v>0</v>
      </c>
      <c r="J333" s="106" t="n">
        <v>0</v>
      </c>
      <c r="K333" s="106" t="n">
        <f aca="false">SUM(E333:J333)</f>
        <v>2</v>
      </c>
      <c r="L333" s="107" t="n">
        <v>4</v>
      </c>
      <c r="M333" s="107" t="n">
        <v>3.4</v>
      </c>
      <c r="N333" s="107" t="n">
        <v>0</v>
      </c>
      <c r="O333" s="107" t="n">
        <v>0</v>
      </c>
      <c r="P333" s="107" t="n">
        <v>0</v>
      </c>
      <c r="Q333" s="107" t="n">
        <v>0</v>
      </c>
      <c r="R333" s="107" t="n">
        <f aca="false">SUM(L333:Q333)</f>
        <v>7.4</v>
      </c>
      <c r="S333" s="108" t="n">
        <v>0</v>
      </c>
      <c r="T333" s="108" t="n">
        <v>0</v>
      </c>
      <c r="U333" s="108" t="n">
        <v>0</v>
      </c>
      <c r="V333" s="108" t="n">
        <v>0</v>
      </c>
      <c r="W333" s="108" t="n">
        <v>0</v>
      </c>
      <c r="X333" s="108" t="n">
        <v>0</v>
      </c>
      <c r="Y333" s="107" t="n">
        <f aca="false">S333*$D333</f>
        <v>0</v>
      </c>
      <c r="Z333" s="107" t="n">
        <f aca="false">T333*$D333</f>
        <v>0</v>
      </c>
      <c r="AA333" s="107" t="n">
        <f aca="false">U333*$D333</f>
        <v>0</v>
      </c>
      <c r="AB333" s="107" t="n">
        <f aca="false">V333*$D333</f>
        <v>0</v>
      </c>
      <c r="AC333" s="107" t="n">
        <f aca="false">W333*$D333</f>
        <v>0</v>
      </c>
      <c r="AD333" s="107" t="n">
        <f aca="false">X333*$D333</f>
        <v>0</v>
      </c>
      <c r="AE333" s="107" t="n">
        <f aca="false">SUM(Y333:AD333)</f>
        <v>0</v>
      </c>
    </row>
    <row r="334" customFormat="false" ht="15" hidden="false" customHeight="false" outlineLevel="0" collapsed="false">
      <c r="A334" s="103" t="s">
        <v>779</v>
      </c>
      <c r="B334" s="104" t="n">
        <v>0</v>
      </c>
      <c r="C334" s="105" t="n">
        <f aca="false">IF(K334=0,0,R334/K334)</f>
        <v>3.7</v>
      </c>
      <c r="D334" s="105" t="n">
        <f aca="false">C334+B334</f>
        <v>3.7</v>
      </c>
      <c r="E334" s="106" t="n">
        <v>1</v>
      </c>
      <c r="F334" s="106" t="n">
        <v>1</v>
      </c>
      <c r="G334" s="106" t="n">
        <v>0</v>
      </c>
      <c r="H334" s="106" t="n">
        <v>0</v>
      </c>
      <c r="I334" s="106" t="n">
        <v>0</v>
      </c>
      <c r="J334" s="106" t="n">
        <v>0</v>
      </c>
      <c r="K334" s="106" t="n">
        <f aca="false">SUM(E334:J334)</f>
        <v>2</v>
      </c>
      <c r="L334" s="107" t="n">
        <v>4</v>
      </c>
      <c r="M334" s="107" t="n">
        <v>3.4</v>
      </c>
      <c r="N334" s="107" t="n">
        <v>0</v>
      </c>
      <c r="O334" s="107" t="n">
        <v>0</v>
      </c>
      <c r="P334" s="107" t="n">
        <v>0</v>
      </c>
      <c r="Q334" s="107" t="n">
        <v>0</v>
      </c>
      <c r="R334" s="107" t="n">
        <f aca="false">SUM(L334:Q334)</f>
        <v>7.4</v>
      </c>
      <c r="S334" s="108" t="n">
        <v>0</v>
      </c>
      <c r="T334" s="108" t="n">
        <v>0</v>
      </c>
      <c r="U334" s="108" t="n">
        <v>0</v>
      </c>
      <c r="V334" s="108" t="n">
        <v>0</v>
      </c>
      <c r="W334" s="108" t="n">
        <v>0</v>
      </c>
      <c r="X334" s="108" t="n">
        <v>0</v>
      </c>
      <c r="Y334" s="107" t="n">
        <f aca="false">S334*$D334</f>
        <v>0</v>
      </c>
      <c r="Z334" s="107" t="n">
        <f aca="false">T334*$D334</f>
        <v>0</v>
      </c>
      <c r="AA334" s="107" t="n">
        <f aca="false">U334*$D334</f>
        <v>0</v>
      </c>
      <c r="AB334" s="107" t="n">
        <f aca="false">V334*$D334</f>
        <v>0</v>
      </c>
      <c r="AC334" s="107" t="n">
        <f aca="false">W334*$D334</f>
        <v>0</v>
      </c>
      <c r="AD334" s="107" t="n">
        <f aca="false">X334*$D334</f>
        <v>0</v>
      </c>
      <c r="AE334" s="107" t="n">
        <f aca="false">SUM(Y334:AD334)</f>
        <v>0</v>
      </c>
    </row>
    <row r="335" customFormat="false" ht="15" hidden="false" customHeight="false" outlineLevel="0" collapsed="false">
      <c r="A335" s="103" t="s">
        <v>780</v>
      </c>
      <c r="B335" s="104" t="n">
        <v>0</v>
      </c>
      <c r="C335" s="105" t="n">
        <f aca="false">IF(K335=0,0,R335/K335)</f>
        <v>7.2</v>
      </c>
      <c r="D335" s="105" t="n">
        <f aca="false">C335+B335</f>
        <v>7.2</v>
      </c>
      <c r="E335" s="106" t="n">
        <v>0</v>
      </c>
      <c r="F335" s="106" t="n">
        <v>1</v>
      </c>
      <c r="G335" s="106" t="n">
        <v>0</v>
      </c>
      <c r="H335" s="106" t="n">
        <v>0</v>
      </c>
      <c r="I335" s="106" t="n">
        <v>0</v>
      </c>
      <c r="J335" s="106" t="n">
        <v>0</v>
      </c>
      <c r="K335" s="106" t="n">
        <f aca="false">SUM(E335:J335)</f>
        <v>1</v>
      </c>
      <c r="L335" s="107" t="n">
        <v>0</v>
      </c>
      <c r="M335" s="107" t="n">
        <v>7.2</v>
      </c>
      <c r="N335" s="107" t="n">
        <v>0</v>
      </c>
      <c r="O335" s="107" t="n">
        <v>0</v>
      </c>
      <c r="P335" s="107" t="n">
        <v>0</v>
      </c>
      <c r="Q335" s="107" t="n">
        <v>0</v>
      </c>
      <c r="R335" s="107" t="n">
        <f aca="false">SUM(L335:Q335)</f>
        <v>7.2</v>
      </c>
      <c r="S335" s="108" t="n">
        <v>0</v>
      </c>
      <c r="T335" s="108" t="n">
        <v>0</v>
      </c>
      <c r="U335" s="108" t="n">
        <v>0</v>
      </c>
      <c r="V335" s="108" t="n">
        <v>0</v>
      </c>
      <c r="W335" s="108" t="n">
        <v>0</v>
      </c>
      <c r="X335" s="108" t="n">
        <v>0</v>
      </c>
      <c r="Y335" s="107" t="n">
        <f aca="false">S335*$D335</f>
        <v>0</v>
      </c>
      <c r="Z335" s="107" t="n">
        <f aca="false">T335*$D335</f>
        <v>0</v>
      </c>
      <c r="AA335" s="107" t="n">
        <f aca="false">U335*$D335</f>
        <v>0</v>
      </c>
      <c r="AB335" s="107" t="n">
        <f aca="false">V335*$D335</f>
        <v>0</v>
      </c>
      <c r="AC335" s="107" t="n">
        <f aca="false">W335*$D335</f>
        <v>0</v>
      </c>
      <c r="AD335" s="107" t="n">
        <f aca="false">X335*$D335</f>
        <v>0</v>
      </c>
      <c r="AE335" s="107" t="n">
        <f aca="false">SUM(Y335:AD335)</f>
        <v>0</v>
      </c>
    </row>
    <row r="336" customFormat="false" ht="15" hidden="false" customHeight="false" outlineLevel="0" collapsed="false">
      <c r="A336" s="103" t="s">
        <v>781</v>
      </c>
      <c r="B336" s="104" t="n">
        <v>0</v>
      </c>
      <c r="C336" s="105" t="n">
        <f aca="false">IF(K336=0,0,R336/K336)</f>
        <v>7.19</v>
      </c>
      <c r="D336" s="105" t="n">
        <f aca="false">C336+B336</f>
        <v>7.19</v>
      </c>
      <c r="E336" s="106" t="n">
        <v>0</v>
      </c>
      <c r="F336" s="106" t="n">
        <v>0</v>
      </c>
      <c r="G336" s="106" t="n">
        <v>1</v>
      </c>
      <c r="H336" s="106" t="n">
        <v>0</v>
      </c>
      <c r="I336" s="106" t="n">
        <v>0</v>
      </c>
      <c r="J336" s="106" t="n">
        <v>0</v>
      </c>
      <c r="K336" s="106" t="n">
        <f aca="false">SUM(E336:J336)</f>
        <v>1</v>
      </c>
      <c r="L336" s="107" t="n">
        <v>0</v>
      </c>
      <c r="M336" s="107" t="n">
        <v>0</v>
      </c>
      <c r="N336" s="107" t="n">
        <v>7.19</v>
      </c>
      <c r="O336" s="107" t="n">
        <v>0</v>
      </c>
      <c r="P336" s="107" t="n">
        <v>0</v>
      </c>
      <c r="Q336" s="107" t="n">
        <v>0</v>
      </c>
      <c r="R336" s="107" t="n">
        <f aca="false">SUM(L336:Q336)</f>
        <v>7.19</v>
      </c>
      <c r="S336" s="108" t="n">
        <v>0</v>
      </c>
      <c r="T336" s="108" t="n">
        <v>0</v>
      </c>
      <c r="U336" s="108" t="n">
        <v>0</v>
      </c>
      <c r="V336" s="108" t="n">
        <v>0</v>
      </c>
      <c r="W336" s="108" t="n">
        <v>0</v>
      </c>
      <c r="X336" s="108" t="n">
        <v>0</v>
      </c>
      <c r="Y336" s="107" t="n">
        <f aca="false">S336*$D336</f>
        <v>0</v>
      </c>
      <c r="Z336" s="107" t="n">
        <f aca="false">T336*$D336</f>
        <v>0</v>
      </c>
      <c r="AA336" s="107" t="n">
        <f aca="false">U336*$D336</f>
        <v>0</v>
      </c>
      <c r="AB336" s="107" t="n">
        <f aca="false">V336*$D336</f>
        <v>0</v>
      </c>
      <c r="AC336" s="107" t="n">
        <f aca="false">W336*$D336</f>
        <v>0</v>
      </c>
      <c r="AD336" s="107" t="n">
        <f aca="false">X336*$D336</f>
        <v>0</v>
      </c>
      <c r="AE336" s="107" t="n">
        <f aca="false">SUM(Y336:AD336)</f>
        <v>0</v>
      </c>
    </row>
    <row r="337" customFormat="false" ht="15" hidden="false" customHeight="false" outlineLevel="0" collapsed="false">
      <c r="A337" s="103" t="s">
        <v>782</v>
      </c>
      <c r="B337" s="104" t="n">
        <v>0</v>
      </c>
      <c r="C337" s="105" t="n">
        <f aca="false">IF(K337=0,0,R337/K337)</f>
        <v>3.5</v>
      </c>
      <c r="D337" s="105" t="n">
        <f aca="false">C337+B337</f>
        <v>3.5</v>
      </c>
      <c r="E337" s="106" t="n">
        <v>0</v>
      </c>
      <c r="F337" s="106" t="n">
        <v>2</v>
      </c>
      <c r="G337" s="106" t="n">
        <v>0</v>
      </c>
      <c r="H337" s="106" t="n">
        <v>0</v>
      </c>
      <c r="I337" s="106" t="n">
        <v>0</v>
      </c>
      <c r="J337" s="106" t="n">
        <v>0</v>
      </c>
      <c r="K337" s="106" t="n">
        <f aca="false">SUM(E337:J337)</f>
        <v>2</v>
      </c>
      <c r="L337" s="107" t="n">
        <v>0</v>
      </c>
      <c r="M337" s="107" t="n">
        <v>7</v>
      </c>
      <c r="N337" s="107" t="n">
        <v>0</v>
      </c>
      <c r="O337" s="107" t="n">
        <v>0</v>
      </c>
      <c r="P337" s="107" t="n">
        <v>0</v>
      </c>
      <c r="Q337" s="107" t="n">
        <v>0</v>
      </c>
      <c r="R337" s="107" t="n">
        <f aca="false">SUM(L337:Q337)</f>
        <v>7</v>
      </c>
      <c r="S337" s="108" t="n">
        <v>0</v>
      </c>
      <c r="T337" s="108" t="n">
        <v>0</v>
      </c>
      <c r="U337" s="108" t="n">
        <v>0</v>
      </c>
      <c r="V337" s="108" t="n">
        <v>0</v>
      </c>
      <c r="W337" s="108" t="n">
        <v>0</v>
      </c>
      <c r="X337" s="108" t="n">
        <v>0</v>
      </c>
      <c r="Y337" s="107" t="n">
        <f aca="false">S337*$D337</f>
        <v>0</v>
      </c>
      <c r="Z337" s="107" t="n">
        <f aca="false">T337*$D337</f>
        <v>0</v>
      </c>
      <c r="AA337" s="107" t="n">
        <f aca="false">U337*$D337</f>
        <v>0</v>
      </c>
      <c r="AB337" s="107" t="n">
        <f aca="false">V337*$D337</f>
        <v>0</v>
      </c>
      <c r="AC337" s="107" t="n">
        <f aca="false">W337*$D337</f>
        <v>0</v>
      </c>
      <c r="AD337" s="107" t="n">
        <f aca="false">X337*$D337</f>
        <v>0</v>
      </c>
      <c r="AE337" s="107" t="n">
        <f aca="false">SUM(Y337:AD337)</f>
        <v>0</v>
      </c>
    </row>
    <row r="338" customFormat="false" ht="15" hidden="false" customHeight="false" outlineLevel="0" collapsed="false">
      <c r="A338" s="103" t="s">
        <v>783</v>
      </c>
      <c r="B338" s="104" t="n">
        <v>0</v>
      </c>
      <c r="C338" s="105" t="n">
        <f aca="false">IF(K338=0,0,R338/K338)</f>
        <v>7</v>
      </c>
      <c r="D338" s="105" t="n">
        <f aca="false">C338+B338</f>
        <v>7</v>
      </c>
      <c r="E338" s="106" t="n">
        <v>0</v>
      </c>
      <c r="F338" s="106" t="n">
        <v>0</v>
      </c>
      <c r="G338" s="106" t="n">
        <v>1</v>
      </c>
      <c r="H338" s="106" t="n">
        <v>0</v>
      </c>
      <c r="I338" s="106" t="n">
        <v>0</v>
      </c>
      <c r="J338" s="106" t="n">
        <v>0</v>
      </c>
      <c r="K338" s="106" t="n">
        <f aca="false">SUM(E338:J338)</f>
        <v>1</v>
      </c>
      <c r="L338" s="107" t="n">
        <v>0</v>
      </c>
      <c r="M338" s="107" t="n">
        <v>0</v>
      </c>
      <c r="N338" s="107" t="n">
        <v>7</v>
      </c>
      <c r="O338" s="107" t="n">
        <v>0</v>
      </c>
      <c r="P338" s="107" t="n">
        <v>0</v>
      </c>
      <c r="Q338" s="107" t="n">
        <v>0</v>
      </c>
      <c r="R338" s="107" t="n">
        <f aca="false">SUM(L338:Q338)</f>
        <v>7</v>
      </c>
      <c r="S338" s="108" t="n">
        <v>0</v>
      </c>
      <c r="T338" s="108" t="n">
        <v>0</v>
      </c>
      <c r="U338" s="108" t="n">
        <v>0</v>
      </c>
      <c r="V338" s="108" t="n">
        <v>0</v>
      </c>
      <c r="W338" s="108" t="n">
        <v>0</v>
      </c>
      <c r="X338" s="108" t="n">
        <v>0</v>
      </c>
      <c r="Y338" s="107" t="n">
        <f aca="false">S338*$D338</f>
        <v>0</v>
      </c>
      <c r="Z338" s="107" t="n">
        <f aca="false">T338*$D338</f>
        <v>0</v>
      </c>
      <c r="AA338" s="107" t="n">
        <f aca="false">U338*$D338</f>
        <v>0</v>
      </c>
      <c r="AB338" s="107" t="n">
        <f aca="false">V338*$D338</f>
        <v>0</v>
      </c>
      <c r="AC338" s="107" t="n">
        <f aca="false">W338*$D338</f>
        <v>0</v>
      </c>
      <c r="AD338" s="107" t="n">
        <f aca="false">X338*$D338</f>
        <v>0</v>
      </c>
      <c r="AE338" s="107" t="n">
        <f aca="false">SUM(Y338:AD338)</f>
        <v>0</v>
      </c>
    </row>
    <row r="339" customFormat="false" ht="15" hidden="false" customHeight="false" outlineLevel="0" collapsed="false">
      <c r="A339" s="103" t="s">
        <v>784</v>
      </c>
      <c r="B339" s="104" t="n">
        <v>0</v>
      </c>
      <c r="C339" s="105" t="n">
        <f aca="false">IF(K339=0,0,R339/K339)</f>
        <v>7</v>
      </c>
      <c r="D339" s="105" t="n">
        <f aca="false">C339+B339</f>
        <v>7</v>
      </c>
      <c r="E339" s="106" t="n">
        <v>0</v>
      </c>
      <c r="F339" s="106" t="n">
        <v>0</v>
      </c>
      <c r="G339" s="106" t="n">
        <v>0</v>
      </c>
      <c r="H339" s="106" t="n">
        <v>0</v>
      </c>
      <c r="I339" s="106" t="n">
        <v>1</v>
      </c>
      <c r="J339" s="106" t="n">
        <v>0</v>
      </c>
      <c r="K339" s="106" t="n">
        <f aca="false">SUM(E339:J339)</f>
        <v>1</v>
      </c>
      <c r="L339" s="107" t="n">
        <v>0</v>
      </c>
      <c r="M339" s="107" t="n">
        <v>0</v>
      </c>
      <c r="N339" s="107" t="n">
        <v>0</v>
      </c>
      <c r="O339" s="107" t="n">
        <v>0</v>
      </c>
      <c r="P339" s="107" t="n">
        <v>7</v>
      </c>
      <c r="Q339" s="107" t="n">
        <v>0</v>
      </c>
      <c r="R339" s="107" t="n">
        <f aca="false">SUM(L339:Q339)</f>
        <v>7</v>
      </c>
      <c r="S339" s="108" t="n">
        <v>0</v>
      </c>
      <c r="T339" s="108" t="n">
        <v>0</v>
      </c>
      <c r="U339" s="108" t="n">
        <v>0</v>
      </c>
      <c r="V339" s="108" t="n">
        <v>0</v>
      </c>
      <c r="W339" s="108" t="n">
        <v>0</v>
      </c>
      <c r="X339" s="108" t="n">
        <v>0</v>
      </c>
      <c r="Y339" s="107" t="n">
        <f aca="false">S339*$D339</f>
        <v>0</v>
      </c>
      <c r="Z339" s="107" t="n">
        <f aca="false">T339*$D339</f>
        <v>0</v>
      </c>
      <c r="AA339" s="107" t="n">
        <f aca="false">U339*$D339</f>
        <v>0</v>
      </c>
      <c r="AB339" s="107" t="n">
        <f aca="false">V339*$D339</f>
        <v>0</v>
      </c>
      <c r="AC339" s="107" t="n">
        <f aca="false">W339*$D339</f>
        <v>0</v>
      </c>
      <c r="AD339" s="107" t="n">
        <f aca="false">X339*$D339</f>
        <v>0</v>
      </c>
      <c r="AE339" s="107" t="n">
        <f aca="false">SUM(Y339:AD339)</f>
        <v>0</v>
      </c>
    </row>
    <row r="340" customFormat="false" ht="15" hidden="false" customHeight="false" outlineLevel="0" collapsed="false">
      <c r="A340" s="103" t="s">
        <v>785</v>
      </c>
      <c r="B340" s="104" t="n">
        <v>0</v>
      </c>
      <c r="C340" s="105" t="n">
        <f aca="false">IF(K340=0,0,R340/K340)</f>
        <v>3.5</v>
      </c>
      <c r="D340" s="105" t="n">
        <f aca="false">C340+B340</f>
        <v>3.5</v>
      </c>
      <c r="E340" s="106" t="n">
        <v>0</v>
      </c>
      <c r="F340" s="106" t="n">
        <v>0</v>
      </c>
      <c r="G340" s="106" t="n">
        <v>0</v>
      </c>
      <c r="H340" s="106" t="n">
        <v>0</v>
      </c>
      <c r="I340" s="106" t="n">
        <v>0</v>
      </c>
      <c r="J340" s="106" t="n">
        <v>2</v>
      </c>
      <c r="K340" s="106" t="n">
        <f aca="false">SUM(E340:J340)</f>
        <v>2</v>
      </c>
      <c r="L340" s="107" t="n">
        <v>0</v>
      </c>
      <c r="M340" s="107" t="n">
        <v>0</v>
      </c>
      <c r="N340" s="107" t="n">
        <v>0</v>
      </c>
      <c r="O340" s="107" t="n">
        <v>0</v>
      </c>
      <c r="P340" s="107" t="n">
        <v>0</v>
      </c>
      <c r="Q340" s="107" t="n">
        <v>7</v>
      </c>
      <c r="R340" s="107" t="n">
        <f aca="false">SUM(L340:Q340)</f>
        <v>7</v>
      </c>
      <c r="S340" s="108" t="n">
        <v>1</v>
      </c>
      <c r="T340" s="108" t="n">
        <v>1</v>
      </c>
      <c r="U340" s="108" t="n">
        <v>1</v>
      </c>
      <c r="V340" s="108" t="n">
        <v>1</v>
      </c>
      <c r="W340" s="108" t="n">
        <v>1</v>
      </c>
      <c r="X340" s="108" t="n">
        <v>1</v>
      </c>
      <c r="Y340" s="107" t="n">
        <f aca="false">S340*$D340</f>
        <v>3.5</v>
      </c>
      <c r="Z340" s="107" t="n">
        <f aca="false">T340*$D340</f>
        <v>3.5</v>
      </c>
      <c r="AA340" s="107" t="n">
        <f aca="false">U340*$D340</f>
        <v>3.5</v>
      </c>
      <c r="AB340" s="107" t="n">
        <f aca="false">V340*$D340</f>
        <v>3.5</v>
      </c>
      <c r="AC340" s="107" t="n">
        <f aca="false">W340*$D340</f>
        <v>3.5</v>
      </c>
      <c r="AD340" s="107" t="n">
        <f aca="false">X340*$D340</f>
        <v>3.5</v>
      </c>
      <c r="AE340" s="107" t="n">
        <f aca="false">SUM(Y340:AD340)</f>
        <v>21</v>
      </c>
    </row>
    <row r="341" customFormat="false" ht="15" hidden="false" customHeight="false" outlineLevel="0" collapsed="false">
      <c r="A341" s="103" t="s">
        <v>786</v>
      </c>
      <c r="B341" s="104" t="n">
        <v>0</v>
      </c>
      <c r="C341" s="105" t="n">
        <f aca="false">IF(K341=0,0,R341/K341)</f>
        <v>7</v>
      </c>
      <c r="D341" s="105" t="n">
        <f aca="false">C341+B341</f>
        <v>7</v>
      </c>
      <c r="E341" s="106" t="n">
        <v>0</v>
      </c>
      <c r="F341" s="106" t="n">
        <v>0</v>
      </c>
      <c r="G341" s="106" t="n">
        <v>0</v>
      </c>
      <c r="H341" s="106" t="n">
        <v>0</v>
      </c>
      <c r="I341" s="106" t="n">
        <v>0</v>
      </c>
      <c r="J341" s="106" t="n">
        <v>1</v>
      </c>
      <c r="K341" s="106" t="n">
        <f aca="false">SUM(E341:J341)</f>
        <v>1</v>
      </c>
      <c r="L341" s="107" t="n">
        <v>0</v>
      </c>
      <c r="M341" s="107" t="n">
        <v>0</v>
      </c>
      <c r="N341" s="107" t="n">
        <v>0</v>
      </c>
      <c r="O341" s="107" t="n">
        <v>0</v>
      </c>
      <c r="P341" s="107" t="n">
        <v>0</v>
      </c>
      <c r="Q341" s="107" t="n">
        <v>7</v>
      </c>
      <c r="R341" s="107" t="n">
        <f aca="false">SUM(L341:Q341)</f>
        <v>7</v>
      </c>
      <c r="S341" s="108" t="n">
        <v>0</v>
      </c>
      <c r="T341" s="108" t="n">
        <v>0</v>
      </c>
      <c r="U341" s="108" t="n">
        <v>0</v>
      </c>
      <c r="V341" s="108" t="n">
        <v>0</v>
      </c>
      <c r="W341" s="108" t="n">
        <v>0</v>
      </c>
      <c r="X341" s="108" t="n">
        <v>0</v>
      </c>
      <c r="Y341" s="107" t="n">
        <f aca="false">S341*$D341</f>
        <v>0</v>
      </c>
      <c r="Z341" s="107" t="n">
        <f aca="false">T341*$D341</f>
        <v>0</v>
      </c>
      <c r="AA341" s="107" t="n">
        <f aca="false">U341*$D341</f>
        <v>0</v>
      </c>
      <c r="AB341" s="107" t="n">
        <f aca="false">V341*$D341</f>
        <v>0</v>
      </c>
      <c r="AC341" s="107" t="n">
        <f aca="false">W341*$D341</f>
        <v>0</v>
      </c>
      <c r="AD341" s="107" t="n">
        <f aca="false">X341*$D341</f>
        <v>0</v>
      </c>
      <c r="AE341" s="107" t="n">
        <f aca="false">SUM(Y341:AD341)</f>
        <v>0</v>
      </c>
    </row>
    <row r="342" customFormat="false" ht="15" hidden="false" customHeight="false" outlineLevel="0" collapsed="false">
      <c r="A342" s="103" t="s">
        <v>787</v>
      </c>
      <c r="B342" s="104" t="n">
        <v>0</v>
      </c>
      <c r="C342" s="105" t="n">
        <f aca="false">IF(K342=0,0,R342/K342)</f>
        <v>6.5</v>
      </c>
      <c r="D342" s="105" t="n">
        <f aca="false">C342+B342</f>
        <v>6.5</v>
      </c>
      <c r="E342" s="106" t="n">
        <v>0</v>
      </c>
      <c r="F342" s="106" t="n">
        <v>0</v>
      </c>
      <c r="G342" s="106" t="n">
        <v>0</v>
      </c>
      <c r="H342" s="106" t="n">
        <v>0</v>
      </c>
      <c r="I342" s="106" t="n">
        <v>1</v>
      </c>
      <c r="J342" s="106" t="n">
        <v>0</v>
      </c>
      <c r="K342" s="106" t="n">
        <f aca="false">SUM(E342:J342)</f>
        <v>1</v>
      </c>
      <c r="L342" s="107" t="n">
        <v>0</v>
      </c>
      <c r="M342" s="107" t="n">
        <v>0</v>
      </c>
      <c r="N342" s="107" t="n">
        <v>0</v>
      </c>
      <c r="O342" s="107" t="n">
        <v>0</v>
      </c>
      <c r="P342" s="107" t="n">
        <v>6.5</v>
      </c>
      <c r="Q342" s="107" t="n">
        <v>0</v>
      </c>
      <c r="R342" s="107" t="n">
        <f aca="false">SUM(L342:Q342)</f>
        <v>6.5</v>
      </c>
      <c r="S342" s="108" t="n">
        <v>0</v>
      </c>
      <c r="T342" s="108" t="n">
        <v>0</v>
      </c>
      <c r="U342" s="108" t="n">
        <v>0</v>
      </c>
      <c r="V342" s="108" t="n">
        <v>0</v>
      </c>
      <c r="W342" s="108" t="n">
        <v>0</v>
      </c>
      <c r="X342" s="108" t="n">
        <v>0</v>
      </c>
      <c r="Y342" s="107" t="n">
        <f aca="false">S342*$D342</f>
        <v>0</v>
      </c>
      <c r="Z342" s="107" t="n">
        <f aca="false">T342*$D342</f>
        <v>0</v>
      </c>
      <c r="AA342" s="107" t="n">
        <f aca="false">U342*$D342</f>
        <v>0</v>
      </c>
      <c r="AB342" s="107" t="n">
        <f aca="false">V342*$D342</f>
        <v>0</v>
      </c>
      <c r="AC342" s="107" t="n">
        <f aca="false">W342*$D342</f>
        <v>0</v>
      </c>
      <c r="AD342" s="107" t="n">
        <f aca="false">X342*$D342</f>
        <v>0</v>
      </c>
      <c r="AE342" s="107" t="n">
        <f aca="false">SUM(Y342:AD342)</f>
        <v>0</v>
      </c>
    </row>
    <row r="343" customFormat="false" ht="15" hidden="false" customHeight="false" outlineLevel="0" collapsed="false">
      <c r="A343" s="103" t="s">
        <v>788</v>
      </c>
      <c r="B343" s="104" t="n">
        <v>0</v>
      </c>
      <c r="C343" s="105" t="n">
        <f aca="false">IF(K343=0,0,R343/K343)</f>
        <v>6.4</v>
      </c>
      <c r="D343" s="105" t="n">
        <f aca="false">C343+B343</f>
        <v>6.4</v>
      </c>
      <c r="E343" s="106" t="n">
        <v>0</v>
      </c>
      <c r="F343" s="106" t="n">
        <v>0</v>
      </c>
      <c r="G343" s="106" t="n">
        <v>1</v>
      </c>
      <c r="H343" s="106" t="n">
        <v>0</v>
      </c>
      <c r="I343" s="106" t="n">
        <v>0</v>
      </c>
      <c r="J343" s="106" t="n">
        <v>0</v>
      </c>
      <c r="K343" s="106" t="n">
        <f aca="false">SUM(E343:J343)</f>
        <v>1</v>
      </c>
      <c r="L343" s="107" t="n">
        <v>0</v>
      </c>
      <c r="M343" s="107" t="n">
        <v>0</v>
      </c>
      <c r="N343" s="107" t="n">
        <v>6.4</v>
      </c>
      <c r="O343" s="107" t="n">
        <v>0</v>
      </c>
      <c r="P343" s="107" t="n">
        <v>0</v>
      </c>
      <c r="Q343" s="107" t="n">
        <v>0</v>
      </c>
      <c r="R343" s="107" t="n">
        <f aca="false">SUM(L343:Q343)</f>
        <v>6.4</v>
      </c>
      <c r="S343" s="108" t="n">
        <v>0</v>
      </c>
      <c r="T343" s="108" t="n">
        <v>0</v>
      </c>
      <c r="U343" s="108" t="n">
        <v>0</v>
      </c>
      <c r="V343" s="108" t="n">
        <v>0</v>
      </c>
      <c r="W343" s="108" t="n">
        <v>0</v>
      </c>
      <c r="X343" s="108" t="n">
        <v>0</v>
      </c>
      <c r="Y343" s="107" t="n">
        <f aca="false">S343*$D343</f>
        <v>0</v>
      </c>
      <c r="Z343" s="107" t="n">
        <f aca="false">T343*$D343</f>
        <v>0</v>
      </c>
      <c r="AA343" s="107" t="n">
        <f aca="false">U343*$D343</f>
        <v>0</v>
      </c>
      <c r="AB343" s="107" t="n">
        <f aca="false">V343*$D343</f>
        <v>0</v>
      </c>
      <c r="AC343" s="107" t="n">
        <f aca="false">W343*$D343</f>
        <v>0</v>
      </c>
      <c r="AD343" s="107" t="n">
        <f aca="false">X343*$D343</f>
        <v>0</v>
      </c>
      <c r="AE343" s="107" t="n">
        <f aca="false">SUM(Y343:AD343)</f>
        <v>0</v>
      </c>
    </row>
    <row r="344" customFormat="false" ht="15" hidden="false" customHeight="false" outlineLevel="0" collapsed="false">
      <c r="A344" s="103" t="s">
        <v>789</v>
      </c>
      <c r="B344" s="104" t="n">
        <v>0</v>
      </c>
      <c r="C344" s="105" t="n">
        <f aca="false">IF(K344=0,0,R344/K344)</f>
        <v>6.39</v>
      </c>
      <c r="D344" s="105" t="n">
        <f aca="false">C344+B344</f>
        <v>6.39</v>
      </c>
      <c r="E344" s="106" t="n">
        <v>0</v>
      </c>
      <c r="F344" s="106" t="n">
        <v>1</v>
      </c>
      <c r="G344" s="106" t="n">
        <v>0</v>
      </c>
      <c r="H344" s="106" t="n">
        <v>0</v>
      </c>
      <c r="I344" s="106" t="n">
        <v>0</v>
      </c>
      <c r="J344" s="106" t="n">
        <v>0</v>
      </c>
      <c r="K344" s="106" t="n">
        <f aca="false">SUM(E344:J344)</f>
        <v>1</v>
      </c>
      <c r="L344" s="107" t="n">
        <v>0</v>
      </c>
      <c r="M344" s="107" t="n">
        <v>6.39</v>
      </c>
      <c r="N344" s="107" t="n">
        <v>0</v>
      </c>
      <c r="O344" s="107" t="n">
        <v>0</v>
      </c>
      <c r="P344" s="107" t="n">
        <v>0</v>
      </c>
      <c r="Q344" s="107" t="n">
        <v>0</v>
      </c>
      <c r="R344" s="107" t="n">
        <f aca="false">SUM(L344:Q344)</f>
        <v>6.39</v>
      </c>
      <c r="S344" s="108" t="n">
        <v>0</v>
      </c>
      <c r="T344" s="108" t="n">
        <v>0</v>
      </c>
      <c r="U344" s="108" t="n">
        <v>0</v>
      </c>
      <c r="V344" s="108" t="n">
        <v>0</v>
      </c>
      <c r="W344" s="108" t="n">
        <v>0</v>
      </c>
      <c r="X344" s="108" t="n">
        <v>0</v>
      </c>
      <c r="Y344" s="107" t="n">
        <f aca="false">S344*$D344</f>
        <v>0</v>
      </c>
      <c r="Z344" s="107" t="n">
        <f aca="false">T344*$D344</f>
        <v>0</v>
      </c>
      <c r="AA344" s="107" t="n">
        <f aca="false">U344*$D344</f>
        <v>0</v>
      </c>
      <c r="AB344" s="107" t="n">
        <f aca="false">V344*$D344</f>
        <v>0</v>
      </c>
      <c r="AC344" s="107" t="n">
        <f aca="false">W344*$D344</f>
        <v>0</v>
      </c>
      <c r="AD344" s="107" t="n">
        <f aca="false">X344*$D344</f>
        <v>0</v>
      </c>
      <c r="AE344" s="107" t="n">
        <f aca="false">SUM(Y344:AD344)</f>
        <v>0</v>
      </c>
    </row>
    <row r="345" customFormat="false" ht="15" hidden="false" customHeight="false" outlineLevel="0" collapsed="false">
      <c r="A345" s="103" t="s">
        <v>790</v>
      </c>
      <c r="B345" s="104" t="n">
        <v>0</v>
      </c>
      <c r="C345" s="105" t="n">
        <f aca="false">IF(K345=0,0,R345/K345)</f>
        <v>3</v>
      </c>
      <c r="D345" s="105" t="n">
        <f aca="false">C345+B345</f>
        <v>3</v>
      </c>
      <c r="E345" s="106" t="n">
        <v>0</v>
      </c>
      <c r="F345" s="106" t="n">
        <v>1</v>
      </c>
      <c r="G345" s="106" t="n">
        <v>0</v>
      </c>
      <c r="H345" s="106" t="n">
        <v>0</v>
      </c>
      <c r="I345" s="106" t="n">
        <v>0</v>
      </c>
      <c r="J345" s="106" t="n">
        <v>1</v>
      </c>
      <c r="K345" s="106" t="n">
        <f aca="false">SUM(E345:J345)</f>
        <v>2</v>
      </c>
      <c r="L345" s="107" t="n">
        <v>0</v>
      </c>
      <c r="M345" s="107" t="n">
        <v>3</v>
      </c>
      <c r="N345" s="107" t="n">
        <v>0</v>
      </c>
      <c r="O345" s="107" t="n">
        <v>0</v>
      </c>
      <c r="P345" s="107" t="n">
        <v>0</v>
      </c>
      <c r="Q345" s="107" t="n">
        <v>3</v>
      </c>
      <c r="R345" s="107" t="n">
        <f aca="false">SUM(L345:Q345)</f>
        <v>6</v>
      </c>
      <c r="S345" s="108" t="n">
        <v>0</v>
      </c>
      <c r="T345" s="108" t="n">
        <v>0</v>
      </c>
      <c r="U345" s="108" t="n">
        <v>0</v>
      </c>
      <c r="V345" s="108" t="n">
        <v>0</v>
      </c>
      <c r="W345" s="108" t="n">
        <v>0</v>
      </c>
      <c r="X345" s="108" t="n">
        <v>0</v>
      </c>
      <c r="Y345" s="107" t="n">
        <f aca="false">S345*$D345</f>
        <v>0</v>
      </c>
      <c r="Z345" s="107" t="n">
        <f aca="false">T345*$D345</f>
        <v>0</v>
      </c>
      <c r="AA345" s="107" t="n">
        <f aca="false">U345*$D345</f>
        <v>0</v>
      </c>
      <c r="AB345" s="107" t="n">
        <f aca="false">V345*$D345</f>
        <v>0</v>
      </c>
      <c r="AC345" s="107" t="n">
        <f aca="false">W345*$D345</f>
        <v>0</v>
      </c>
      <c r="AD345" s="107" t="n">
        <f aca="false">X345*$D345</f>
        <v>0</v>
      </c>
      <c r="AE345" s="107" t="n">
        <f aca="false">SUM(Y345:AD345)</f>
        <v>0</v>
      </c>
    </row>
    <row r="346" customFormat="false" ht="15" hidden="false" customHeight="false" outlineLevel="0" collapsed="false">
      <c r="A346" s="103" t="s">
        <v>791</v>
      </c>
      <c r="B346" s="104" t="n">
        <v>0</v>
      </c>
      <c r="C346" s="105" t="n">
        <f aca="false">IF(K346=0,0,R346/K346)</f>
        <v>3</v>
      </c>
      <c r="D346" s="105" t="n">
        <f aca="false">C346+B346</f>
        <v>3</v>
      </c>
      <c r="E346" s="106" t="n">
        <v>0</v>
      </c>
      <c r="F346" s="106" t="n">
        <v>2</v>
      </c>
      <c r="G346" s="106" t="n">
        <v>0</v>
      </c>
      <c r="H346" s="106" t="n">
        <v>0</v>
      </c>
      <c r="I346" s="106" t="n">
        <v>0</v>
      </c>
      <c r="J346" s="106" t="n">
        <v>0</v>
      </c>
      <c r="K346" s="106" t="n">
        <f aca="false">SUM(E346:J346)</f>
        <v>2</v>
      </c>
      <c r="L346" s="107" t="n">
        <v>0</v>
      </c>
      <c r="M346" s="107" t="n">
        <v>6</v>
      </c>
      <c r="N346" s="107" t="n">
        <v>0</v>
      </c>
      <c r="O346" s="107" t="n">
        <v>0</v>
      </c>
      <c r="P346" s="107" t="n">
        <v>0</v>
      </c>
      <c r="Q346" s="107" t="n">
        <v>0</v>
      </c>
      <c r="R346" s="107" t="n">
        <f aca="false">SUM(L346:Q346)</f>
        <v>6</v>
      </c>
      <c r="S346" s="108" t="n">
        <v>0</v>
      </c>
      <c r="T346" s="108" t="n">
        <v>0</v>
      </c>
      <c r="U346" s="108" t="n">
        <v>0</v>
      </c>
      <c r="V346" s="108" t="n">
        <v>0</v>
      </c>
      <c r="W346" s="108" t="n">
        <v>0</v>
      </c>
      <c r="X346" s="108" t="n">
        <v>0</v>
      </c>
      <c r="Y346" s="107" t="n">
        <f aca="false">S346*$D346</f>
        <v>0</v>
      </c>
      <c r="Z346" s="107" t="n">
        <f aca="false">T346*$D346</f>
        <v>0</v>
      </c>
      <c r="AA346" s="107" t="n">
        <f aca="false">U346*$D346</f>
        <v>0</v>
      </c>
      <c r="AB346" s="107" t="n">
        <f aca="false">V346*$D346</f>
        <v>0</v>
      </c>
      <c r="AC346" s="107" t="n">
        <f aca="false">W346*$D346</f>
        <v>0</v>
      </c>
      <c r="AD346" s="107" t="n">
        <f aca="false">X346*$D346</f>
        <v>0</v>
      </c>
      <c r="AE346" s="107" t="n">
        <f aca="false">SUM(Y346:AD346)</f>
        <v>0</v>
      </c>
    </row>
    <row r="347" customFormat="false" ht="15" hidden="false" customHeight="false" outlineLevel="0" collapsed="false">
      <c r="A347" s="103" t="s">
        <v>792</v>
      </c>
      <c r="B347" s="104" t="n">
        <v>0</v>
      </c>
      <c r="C347" s="105" t="n">
        <f aca="false">IF(K347=0,0,R347/K347)</f>
        <v>6</v>
      </c>
      <c r="D347" s="105" t="n">
        <f aca="false">C347+B347</f>
        <v>6</v>
      </c>
      <c r="E347" s="106" t="n">
        <v>0</v>
      </c>
      <c r="F347" s="106" t="n">
        <v>1</v>
      </c>
      <c r="G347" s="106" t="n">
        <v>0</v>
      </c>
      <c r="H347" s="106" t="n">
        <v>0</v>
      </c>
      <c r="I347" s="106" t="n">
        <v>0</v>
      </c>
      <c r="J347" s="106" t="n">
        <v>0</v>
      </c>
      <c r="K347" s="106" t="n">
        <f aca="false">SUM(E347:J347)</f>
        <v>1</v>
      </c>
      <c r="L347" s="107" t="n">
        <v>0</v>
      </c>
      <c r="M347" s="107" t="n">
        <v>6</v>
      </c>
      <c r="N347" s="107" t="n">
        <v>0</v>
      </c>
      <c r="O347" s="107" t="n">
        <v>0</v>
      </c>
      <c r="P347" s="107" t="n">
        <v>0</v>
      </c>
      <c r="Q347" s="107" t="n">
        <v>0</v>
      </c>
      <c r="R347" s="107" t="n">
        <f aca="false">SUM(L347:Q347)</f>
        <v>6</v>
      </c>
      <c r="S347" s="108" t="n">
        <v>0</v>
      </c>
      <c r="T347" s="108" t="n">
        <v>0</v>
      </c>
      <c r="U347" s="108" t="n">
        <v>0</v>
      </c>
      <c r="V347" s="108" t="n">
        <v>0</v>
      </c>
      <c r="W347" s="108" t="n">
        <v>0</v>
      </c>
      <c r="X347" s="108" t="n">
        <v>0</v>
      </c>
      <c r="Y347" s="107" t="n">
        <f aca="false">S347*$D347</f>
        <v>0</v>
      </c>
      <c r="Z347" s="107" t="n">
        <f aca="false">T347*$D347</f>
        <v>0</v>
      </c>
      <c r="AA347" s="107" t="n">
        <f aca="false">U347*$D347</f>
        <v>0</v>
      </c>
      <c r="AB347" s="107" t="n">
        <f aca="false">V347*$D347</f>
        <v>0</v>
      </c>
      <c r="AC347" s="107" t="n">
        <f aca="false">W347*$D347</f>
        <v>0</v>
      </c>
      <c r="AD347" s="107" t="n">
        <f aca="false">X347*$D347</f>
        <v>0</v>
      </c>
      <c r="AE347" s="107" t="n">
        <f aca="false">SUM(Y347:AD347)</f>
        <v>0</v>
      </c>
    </row>
    <row r="348" customFormat="false" ht="15" hidden="false" customHeight="false" outlineLevel="0" collapsed="false">
      <c r="A348" s="103" t="s">
        <v>793</v>
      </c>
      <c r="B348" s="104" t="n">
        <v>0</v>
      </c>
      <c r="C348" s="105" t="n">
        <f aca="false">IF(K348=0,0,R348/K348)</f>
        <v>6</v>
      </c>
      <c r="D348" s="105" t="n">
        <f aca="false">C348+B348</f>
        <v>6</v>
      </c>
      <c r="E348" s="106" t="n">
        <v>0</v>
      </c>
      <c r="F348" s="106" t="n">
        <v>0</v>
      </c>
      <c r="G348" s="106" t="n">
        <v>1</v>
      </c>
      <c r="H348" s="106" t="n">
        <v>0</v>
      </c>
      <c r="I348" s="106" t="n">
        <v>0</v>
      </c>
      <c r="J348" s="106" t="n">
        <v>0</v>
      </c>
      <c r="K348" s="106" t="n">
        <f aca="false">SUM(E348:J348)</f>
        <v>1</v>
      </c>
      <c r="L348" s="107" t="n">
        <v>0</v>
      </c>
      <c r="M348" s="107" t="n">
        <v>0</v>
      </c>
      <c r="N348" s="107" t="n">
        <v>6</v>
      </c>
      <c r="O348" s="107" t="n">
        <v>0</v>
      </c>
      <c r="P348" s="107" t="n">
        <v>0</v>
      </c>
      <c r="Q348" s="107" t="n">
        <v>0</v>
      </c>
      <c r="R348" s="107" t="n">
        <f aca="false">SUM(L348:Q348)</f>
        <v>6</v>
      </c>
      <c r="S348" s="108" t="n">
        <v>0</v>
      </c>
      <c r="T348" s="108" t="n">
        <v>0</v>
      </c>
      <c r="U348" s="108" t="n">
        <v>0</v>
      </c>
      <c r="V348" s="108" t="n">
        <v>0</v>
      </c>
      <c r="W348" s="108" t="n">
        <v>0</v>
      </c>
      <c r="X348" s="108" t="n">
        <v>0</v>
      </c>
      <c r="Y348" s="107" t="n">
        <f aca="false">S348*$D348</f>
        <v>0</v>
      </c>
      <c r="Z348" s="107" t="n">
        <f aca="false">T348*$D348</f>
        <v>0</v>
      </c>
      <c r="AA348" s="107" t="n">
        <f aca="false">U348*$D348</f>
        <v>0</v>
      </c>
      <c r="AB348" s="107" t="n">
        <f aca="false">V348*$D348</f>
        <v>0</v>
      </c>
      <c r="AC348" s="107" t="n">
        <f aca="false">W348*$D348</f>
        <v>0</v>
      </c>
      <c r="AD348" s="107" t="n">
        <f aca="false">X348*$D348</f>
        <v>0</v>
      </c>
      <c r="AE348" s="107" t="n">
        <f aca="false">SUM(Y348:AD348)</f>
        <v>0</v>
      </c>
    </row>
    <row r="349" customFormat="false" ht="15" hidden="false" customHeight="false" outlineLevel="0" collapsed="false">
      <c r="A349" s="103" t="s">
        <v>794</v>
      </c>
      <c r="B349" s="104" t="n">
        <v>0</v>
      </c>
      <c r="C349" s="105" t="n">
        <f aca="false">IF(K349=0,0,R349/K349)</f>
        <v>3</v>
      </c>
      <c r="D349" s="105" t="n">
        <f aca="false">C349+B349</f>
        <v>3</v>
      </c>
      <c r="E349" s="106" t="n">
        <v>0</v>
      </c>
      <c r="F349" s="106" t="n">
        <v>0</v>
      </c>
      <c r="G349" s="106" t="n">
        <v>0</v>
      </c>
      <c r="H349" s="106" t="n">
        <v>2</v>
      </c>
      <c r="I349" s="106" t="n">
        <v>0</v>
      </c>
      <c r="J349" s="106" t="n">
        <v>0</v>
      </c>
      <c r="K349" s="106" t="n">
        <f aca="false">SUM(E349:J349)</f>
        <v>2</v>
      </c>
      <c r="L349" s="107" t="n">
        <v>0</v>
      </c>
      <c r="M349" s="107" t="n">
        <v>0</v>
      </c>
      <c r="N349" s="107" t="n">
        <v>0</v>
      </c>
      <c r="O349" s="107" t="n">
        <v>6</v>
      </c>
      <c r="P349" s="107" t="n">
        <v>0</v>
      </c>
      <c r="Q349" s="107" t="n">
        <v>0</v>
      </c>
      <c r="R349" s="107" t="n">
        <f aca="false">SUM(L349:Q349)</f>
        <v>6</v>
      </c>
      <c r="S349" s="108" t="n">
        <v>1</v>
      </c>
      <c r="T349" s="108" t="n">
        <v>1</v>
      </c>
      <c r="U349" s="108" t="n">
        <v>1</v>
      </c>
      <c r="V349" s="108" t="n">
        <v>1</v>
      </c>
      <c r="W349" s="108" t="n">
        <v>1</v>
      </c>
      <c r="X349" s="108" t="n">
        <v>1</v>
      </c>
      <c r="Y349" s="107" t="n">
        <f aca="false">S349*$D349</f>
        <v>3</v>
      </c>
      <c r="Z349" s="107" t="n">
        <f aca="false">T349*$D349</f>
        <v>3</v>
      </c>
      <c r="AA349" s="107" t="n">
        <f aca="false">U349*$D349</f>
        <v>3</v>
      </c>
      <c r="AB349" s="107" t="n">
        <f aca="false">V349*$D349</f>
        <v>3</v>
      </c>
      <c r="AC349" s="107" t="n">
        <f aca="false">W349*$D349</f>
        <v>3</v>
      </c>
      <c r="AD349" s="107" t="n">
        <f aca="false">X349*$D349</f>
        <v>3</v>
      </c>
      <c r="AE349" s="107" t="n">
        <f aca="false">SUM(Y349:AD349)</f>
        <v>18</v>
      </c>
    </row>
    <row r="350" customFormat="false" ht="15" hidden="false" customHeight="false" outlineLevel="0" collapsed="false">
      <c r="A350" s="103" t="s">
        <v>795</v>
      </c>
      <c r="B350" s="104" t="n">
        <v>0</v>
      </c>
      <c r="C350" s="105" t="n">
        <f aca="false">IF(K350=0,0,R350/K350)</f>
        <v>6</v>
      </c>
      <c r="D350" s="105" t="n">
        <f aca="false">C350+B350</f>
        <v>6</v>
      </c>
      <c r="E350" s="106" t="n">
        <v>0</v>
      </c>
      <c r="F350" s="106" t="n">
        <v>0</v>
      </c>
      <c r="G350" s="106" t="n">
        <v>0</v>
      </c>
      <c r="H350" s="106" t="n">
        <v>1</v>
      </c>
      <c r="I350" s="106" t="n">
        <v>0</v>
      </c>
      <c r="J350" s="106" t="n">
        <v>0</v>
      </c>
      <c r="K350" s="106" t="n">
        <f aca="false">SUM(E350:J350)</f>
        <v>1</v>
      </c>
      <c r="L350" s="107" t="n">
        <v>0</v>
      </c>
      <c r="M350" s="107" t="n">
        <v>0</v>
      </c>
      <c r="N350" s="107" t="n">
        <v>0</v>
      </c>
      <c r="O350" s="107" t="n">
        <v>6</v>
      </c>
      <c r="P350" s="107" t="n">
        <v>0</v>
      </c>
      <c r="Q350" s="107" t="n">
        <v>0</v>
      </c>
      <c r="R350" s="107" t="n">
        <f aca="false">SUM(L350:Q350)</f>
        <v>6</v>
      </c>
      <c r="S350" s="108" t="n">
        <v>0</v>
      </c>
      <c r="T350" s="108" t="n">
        <v>0</v>
      </c>
      <c r="U350" s="108" t="n">
        <v>0</v>
      </c>
      <c r="V350" s="108" t="n">
        <v>0</v>
      </c>
      <c r="W350" s="108" t="n">
        <v>0</v>
      </c>
      <c r="X350" s="108" t="n">
        <v>0</v>
      </c>
      <c r="Y350" s="107" t="n">
        <f aca="false">S350*$D350</f>
        <v>0</v>
      </c>
      <c r="Z350" s="107" t="n">
        <f aca="false">T350*$D350</f>
        <v>0</v>
      </c>
      <c r="AA350" s="107" t="n">
        <f aca="false">U350*$D350</f>
        <v>0</v>
      </c>
      <c r="AB350" s="107" t="n">
        <f aca="false">V350*$D350</f>
        <v>0</v>
      </c>
      <c r="AC350" s="107" t="n">
        <f aca="false">W350*$D350</f>
        <v>0</v>
      </c>
      <c r="AD350" s="107" t="n">
        <f aca="false">X350*$D350</f>
        <v>0</v>
      </c>
      <c r="AE350" s="107" t="n">
        <f aca="false">SUM(Y350:AD350)</f>
        <v>0</v>
      </c>
    </row>
    <row r="351" customFormat="false" ht="15" hidden="false" customHeight="false" outlineLevel="0" collapsed="false">
      <c r="A351" s="103" t="s">
        <v>796</v>
      </c>
      <c r="B351" s="104" t="n">
        <v>0</v>
      </c>
      <c r="C351" s="105" t="n">
        <f aca="false">IF(K351=0,0,R351/K351)</f>
        <v>6</v>
      </c>
      <c r="D351" s="105" t="n">
        <f aca="false">C351+B351</f>
        <v>6</v>
      </c>
      <c r="E351" s="106" t="n">
        <v>0</v>
      </c>
      <c r="F351" s="106" t="n">
        <v>0</v>
      </c>
      <c r="G351" s="106" t="n">
        <v>0</v>
      </c>
      <c r="H351" s="106" t="n">
        <v>1</v>
      </c>
      <c r="I351" s="106" t="n">
        <v>0</v>
      </c>
      <c r="J351" s="106" t="n">
        <v>0</v>
      </c>
      <c r="K351" s="106" t="n">
        <f aca="false">SUM(E351:J351)</f>
        <v>1</v>
      </c>
      <c r="L351" s="107" t="n">
        <v>0</v>
      </c>
      <c r="M351" s="107" t="n">
        <v>0</v>
      </c>
      <c r="N351" s="107" t="n">
        <v>0</v>
      </c>
      <c r="O351" s="107" t="n">
        <v>6</v>
      </c>
      <c r="P351" s="107" t="n">
        <v>0</v>
      </c>
      <c r="Q351" s="107" t="n">
        <v>0</v>
      </c>
      <c r="R351" s="107" t="n">
        <f aca="false">SUM(L351:Q351)</f>
        <v>6</v>
      </c>
      <c r="S351" s="108" t="n">
        <v>0</v>
      </c>
      <c r="T351" s="108" t="n">
        <v>0</v>
      </c>
      <c r="U351" s="108" t="n">
        <v>0</v>
      </c>
      <c r="V351" s="108" t="n">
        <v>0</v>
      </c>
      <c r="W351" s="108" t="n">
        <v>0</v>
      </c>
      <c r="X351" s="108" t="n">
        <v>0</v>
      </c>
      <c r="Y351" s="107" t="n">
        <f aca="false">S351*$D351</f>
        <v>0</v>
      </c>
      <c r="Z351" s="107" t="n">
        <f aca="false">T351*$D351</f>
        <v>0</v>
      </c>
      <c r="AA351" s="107" t="n">
        <f aca="false">U351*$D351</f>
        <v>0</v>
      </c>
      <c r="AB351" s="107" t="n">
        <f aca="false">V351*$D351</f>
        <v>0</v>
      </c>
      <c r="AC351" s="107" t="n">
        <f aca="false">W351*$D351</f>
        <v>0</v>
      </c>
      <c r="AD351" s="107" t="n">
        <f aca="false">X351*$D351</f>
        <v>0</v>
      </c>
      <c r="AE351" s="107" t="n">
        <f aca="false">SUM(Y351:AD351)</f>
        <v>0</v>
      </c>
    </row>
    <row r="352" customFormat="false" ht="15" hidden="false" customHeight="false" outlineLevel="0" collapsed="false">
      <c r="A352" s="103" t="s">
        <v>797</v>
      </c>
      <c r="B352" s="104" t="n">
        <v>0</v>
      </c>
      <c r="C352" s="105" t="n">
        <f aca="false">IF(K352=0,0,R352/K352)</f>
        <v>6</v>
      </c>
      <c r="D352" s="105" t="n">
        <f aca="false">C352+B352</f>
        <v>6</v>
      </c>
      <c r="E352" s="106" t="n">
        <v>0</v>
      </c>
      <c r="F352" s="106" t="n">
        <v>0</v>
      </c>
      <c r="G352" s="106" t="n">
        <v>0</v>
      </c>
      <c r="H352" s="106" t="n">
        <v>1</v>
      </c>
      <c r="I352" s="106" t="n">
        <v>0</v>
      </c>
      <c r="J352" s="106" t="n">
        <v>0</v>
      </c>
      <c r="K352" s="106" t="n">
        <f aca="false">SUM(E352:J352)</f>
        <v>1</v>
      </c>
      <c r="L352" s="107" t="n">
        <v>0</v>
      </c>
      <c r="M352" s="107" t="n">
        <v>0</v>
      </c>
      <c r="N352" s="107" t="n">
        <v>0</v>
      </c>
      <c r="O352" s="107" t="n">
        <v>6</v>
      </c>
      <c r="P352" s="107" t="n">
        <v>0</v>
      </c>
      <c r="Q352" s="107" t="n">
        <v>0</v>
      </c>
      <c r="R352" s="107" t="n">
        <f aca="false">SUM(L352:Q352)</f>
        <v>6</v>
      </c>
      <c r="S352" s="108" t="n">
        <v>0</v>
      </c>
      <c r="T352" s="108" t="n">
        <v>0</v>
      </c>
      <c r="U352" s="108" t="n">
        <v>0</v>
      </c>
      <c r="V352" s="108" t="n">
        <v>0</v>
      </c>
      <c r="W352" s="108" t="n">
        <v>0</v>
      </c>
      <c r="X352" s="108" t="n">
        <v>0</v>
      </c>
      <c r="Y352" s="107" t="n">
        <f aca="false">S352*$D352</f>
        <v>0</v>
      </c>
      <c r="Z352" s="107" t="n">
        <f aca="false">T352*$D352</f>
        <v>0</v>
      </c>
      <c r="AA352" s="107" t="n">
        <f aca="false">U352*$D352</f>
        <v>0</v>
      </c>
      <c r="AB352" s="107" t="n">
        <f aca="false">V352*$D352</f>
        <v>0</v>
      </c>
      <c r="AC352" s="107" t="n">
        <f aca="false">W352*$D352</f>
        <v>0</v>
      </c>
      <c r="AD352" s="107" t="n">
        <f aca="false">X352*$D352</f>
        <v>0</v>
      </c>
      <c r="AE352" s="107" t="n">
        <f aca="false">SUM(Y352:AD352)</f>
        <v>0</v>
      </c>
    </row>
    <row r="353" customFormat="false" ht="15" hidden="false" customHeight="false" outlineLevel="0" collapsed="false">
      <c r="A353" s="103" t="s">
        <v>798</v>
      </c>
      <c r="B353" s="104" t="n">
        <v>0</v>
      </c>
      <c r="C353" s="105" t="n">
        <f aca="false">IF(K353=0,0,R353/K353)</f>
        <v>6</v>
      </c>
      <c r="D353" s="105" t="n">
        <f aca="false">C353+B353</f>
        <v>6</v>
      </c>
      <c r="E353" s="106" t="n">
        <v>0</v>
      </c>
      <c r="F353" s="106" t="n">
        <v>0</v>
      </c>
      <c r="G353" s="106" t="n">
        <v>0</v>
      </c>
      <c r="H353" s="106" t="n">
        <v>0</v>
      </c>
      <c r="I353" s="106" t="n">
        <v>1</v>
      </c>
      <c r="J353" s="106" t="n">
        <v>0</v>
      </c>
      <c r="K353" s="106" t="n">
        <f aca="false">SUM(E353:J353)</f>
        <v>1</v>
      </c>
      <c r="L353" s="107" t="n">
        <v>0</v>
      </c>
      <c r="M353" s="107" t="n">
        <v>0</v>
      </c>
      <c r="N353" s="107" t="n">
        <v>0</v>
      </c>
      <c r="O353" s="107" t="n">
        <v>0</v>
      </c>
      <c r="P353" s="107" t="n">
        <v>6</v>
      </c>
      <c r="Q353" s="107" t="n">
        <v>0</v>
      </c>
      <c r="R353" s="107" t="n">
        <f aca="false">SUM(L353:Q353)</f>
        <v>6</v>
      </c>
      <c r="S353" s="108" t="n">
        <v>0</v>
      </c>
      <c r="T353" s="108" t="n">
        <v>0</v>
      </c>
      <c r="U353" s="108" t="n">
        <v>0</v>
      </c>
      <c r="V353" s="108" t="n">
        <v>0</v>
      </c>
      <c r="W353" s="108" t="n">
        <v>0</v>
      </c>
      <c r="X353" s="108" t="n">
        <v>0</v>
      </c>
      <c r="Y353" s="107" t="n">
        <f aca="false">S353*$D353</f>
        <v>0</v>
      </c>
      <c r="Z353" s="107" t="n">
        <f aca="false">T353*$D353</f>
        <v>0</v>
      </c>
      <c r="AA353" s="107" t="n">
        <f aca="false">U353*$D353</f>
        <v>0</v>
      </c>
      <c r="AB353" s="107" t="n">
        <f aca="false">V353*$D353</f>
        <v>0</v>
      </c>
      <c r="AC353" s="107" t="n">
        <f aca="false">W353*$D353</f>
        <v>0</v>
      </c>
      <c r="AD353" s="107" t="n">
        <f aca="false">X353*$D353</f>
        <v>0</v>
      </c>
      <c r="AE353" s="107" t="n">
        <f aca="false">SUM(Y353:AD353)</f>
        <v>0</v>
      </c>
    </row>
    <row r="354" customFormat="false" ht="15" hidden="false" customHeight="false" outlineLevel="0" collapsed="false">
      <c r="A354" s="103" t="s">
        <v>799</v>
      </c>
      <c r="B354" s="104" t="n">
        <v>0</v>
      </c>
      <c r="C354" s="105" t="n">
        <f aca="false">IF(K354=0,0,R354/K354)</f>
        <v>3</v>
      </c>
      <c r="D354" s="105" t="n">
        <f aca="false">C354+B354</f>
        <v>3</v>
      </c>
      <c r="E354" s="106" t="n">
        <v>0</v>
      </c>
      <c r="F354" s="106" t="n">
        <v>0</v>
      </c>
      <c r="G354" s="106" t="n">
        <v>0</v>
      </c>
      <c r="H354" s="106" t="n">
        <v>0</v>
      </c>
      <c r="I354" s="106" t="n">
        <v>0</v>
      </c>
      <c r="J354" s="106" t="n">
        <v>2</v>
      </c>
      <c r="K354" s="106" t="n">
        <f aca="false">SUM(E354:J354)</f>
        <v>2</v>
      </c>
      <c r="L354" s="107" t="n">
        <v>0</v>
      </c>
      <c r="M354" s="107" t="n">
        <v>0</v>
      </c>
      <c r="N354" s="107" t="n">
        <v>0</v>
      </c>
      <c r="O354" s="107" t="n">
        <v>0</v>
      </c>
      <c r="P354" s="107" t="n">
        <v>0</v>
      </c>
      <c r="Q354" s="107" t="n">
        <v>6</v>
      </c>
      <c r="R354" s="107" t="n">
        <f aca="false">SUM(L354:Q354)</f>
        <v>6</v>
      </c>
      <c r="S354" s="108" t="n">
        <v>1</v>
      </c>
      <c r="T354" s="108" t="n">
        <v>1</v>
      </c>
      <c r="U354" s="108" t="n">
        <v>1</v>
      </c>
      <c r="V354" s="108" t="n">
        <v>1</v>
      </c>
      <c r="W354" s="108" t="n">
        <v>1</v>
      </c>
      <c r="X354" s="108" t="n">
        <v>1</v>
      </c>
      <c r="Y354" s="107" t="n">
        <f aca="false">S354*$D354</f>
        <v>3</v>
      </c>
      <c r="Z354" s="107" t="n">
        <f aca="false">T354*$D354</f>
        <v>3</v>
      </c>
      <c r="AA354" s="107" t="n">
        <f aca="false">U354*$D354</f>
        <v>3</v>
      </c>
      <c r="AB354" s="107" t="n">
        <f aca="false">V354*$D354</f>
        <v>3</v>
      </c>
      <c r="AC354" s="107" t="n">
        <f aca="false">W354*$D354</f>
        <v>3</v>
      </c>
      <c r="AD354" s="107" t="n">
        <f aca="false">X354*$D354</f>
        <v>3</v>
      </c>
      <c r="AE354" s="107" t="n">
        <f aca="false">SUM(Y354:AD354)</f>
        <v>18</v>
      </c>
    </row>
    <row r="355" customFormat="false" ht="15" hidden="false" customHeight="false" outlineLevel="0" collapsed="false">
      <c r="A355" s="103" t="s">
        <v>800</v>
      </c>
      <c r="B355" s="104" t="n">
        <v>0</v>
      </c>
      <c r="C355" s="105" t="n">
        <f aca="false">IF(K355=0,0,R355/K355)</f>
        <v>6</v>
      </c>
      <c r="D355" s="105" t="n">
        <f aca="false">C355+B355</f>
        <v>6</v>
      </c>
      <c r="E355" s="106" t="n">
        <v>0</v>
      </c>
      <c r="F355" s="106" t="n">
        <v>0</v>
      </c>
      <c r="G355" s="106" t="n">
        <v>0</v>
      </c>
      <c r="H355" s="106" t="n">
        <v>0</v>
      </c>
      <c r="I355" s="106" t="n">
        <v>0</v>
      </c>
      <c r="J355" s="106" t="n">
        <v>1</v>
      </c>
      <c r="K355" s="106" t="n">
        <f aca="false">SUM(E355:J355)</f>
        <v>1</v>
      </c>
      <c r="L355" s="107" t="n">
        <v>0</v>
      </c>
      <c r="M355" s="107" t="n">
        <v>0</v>
      </c>
      <c r="N355" s="107" t="n">
        <v>0</v>
      </c>
      <c r="O355" s="107" t="n">
        <v>0</v>
      </c>
      <c r="P355" s="107" t="n">
        <v>0</v>
      </c>
      <c r="Q355" s="107" t="n">
        <v>6</v>
      </c>
      <c r="R355" s="107" t="n">
        <f aca="false">SUM(L355:Q355)</f>
        <v>6</v>
      </c>
      <c r="S355" s="108" t="n">
        <v>0</v>
      </c>
      <c r="T355" s="108" t="n">
        <v>0</v>
      </c>
      <c r="U355" s="108" t="n">
        <v>0</v>
      </c>
      <c r="V355" s="108" t="n">
        <v>0</v>
      </c>
      <c r="W355" s="108" t="n">
        <v>0</v>
      </c>
      <c r="X355" s="108" t="n">
        <v>0</v>
      </c>
      <c r="Y355" s="107" t="n">
        <f aca="false">S355*$D355</f>
        <v>0</v>
      </c>
      <c r="Z355" s="107" t="n">
        <f aca="false">T355*$D355</f>
        <v>0</v>
      </c>
      <c r="AA355" s="107" t="n">
        <f aca="false">U355*$D355</f>
        <v>0</v>
      </c>
      <c r="AB355" s="107" t="n">
        <f aca="false">V355*$D355</f>
        <v>0</v>
      </c>
      <c r="AC355" s="107" t="n">
        <f aca="false">W355*$D355</f>
        <v>0</v>
      </c>
      <c r="AD355" s="107" t="n">
        <f aca="false">X355*$D355</f>
        <v>0</v>
      </c>
      <c r="AE355" s="107" t="n">
        <f aca="false">SUM(Y355:AD355)</f>
        <v>0</v>
      </c>
    </row>
    <row r="356" customFormat="false" ht="15" hidden="false" customHeight="false" outlineLevel="0" collapsed="false">
      <c r="A356" s="103" t="s">
        <v>801</v>
      </c>
      <c r="B356" s="104" t="n">
        <v>0</v>
      </c>
      <c r="C356" s="105" t="n">
        <f aca="false">IF(K356=0,0,R356/K356)</f>
        <v>5.95</v>
      </c>
      <c r="D356" s="105" t="n">
        <f aca="false">C356+B356</f>
        <v>5.95</v>
      </c>
      <c r="E356" s="106" t="n">
        <v>1</v>
      </c>
      <c r="F356" s="106" t="n">
        <v>0</v>
      </c>
      <c r="G356" s="106" t="n">
        <v>0</v>
      </c>
      <c r="H356" s="106" t="n">
        <v>0</v>
      </c>
      <c r="I356" s="106" t="n">
        <v>0</v>
      </c>
      <c r="J356" s="106" t="n">
        <v>0</v>
      </c>
      <c r="K356" s="106" t="n">
        <f aca="false">SUM(E356:J356)</f>
        <v>1</v>
      </c>
      <c r="L356" s="107" t="n">
        <v>5.95</v>
      </c>
      <c r="M356" s="107" t="n">
        <v>0</v>
      </c>
      <c r="N356" s="107" t="n">
        <v>0</v>
      </c>
      <c r="O356" s="107" t="n">
        <v>0</v>
      </c>
      <c r="P356" s="107" t="n">
        <v>0</v>
      </c>
      <c r="Q356" s="107" t="n">
        <v>0</v>
      </c>
      <c r="R356" s="107" t="n">
        <f aca="false">SUM(L356:Q356)</f>
        <v>5.95</v>
      </c>
      <c r="S356" s="108" t="n">
        <v>0</v>
      </c>
      <c r="T356" s="108" t="n">
        <v>0</v>
      </c>
      <c r="U356" s="108" t="n">
        <v>0</v>
      </c>
      <c r="V356" s="108" t="n">
        <v>0</v>
      </c>
      <c r="W356" s="108" t="n">
        <v>0</v>
      </c>
      <c r="X356" s="108" t="n">
        <v>0</v>
      </c>
      <c r="Y356" s="107" t="n">
        <f aca="false">S356*$D356</f>
        <v>0</v>
      </c>
      <c r="Z356" s="107" t="n">
        <f aca="false">T356*$D356</f>
        <v>0</v>
      </c>
      <c r="AA356" s="107" t="n">
        <f aca="false">U356*$D356</f>
        <v>0</v>
      </c>
      <c r="AB356" s="107" t="n">
        <f aca="false">V356*$D356</f>
        <v>0</v>
      </c>
      <c r="AC356" s="107" t="n">
        <f aca="false">W356*$D356</f>
        <v>0</v>
      </c>
      <c r="AD356" s="107" t="n">
        <f aca="false">X356*$D356</f>
        <v>0</v>
      </c>
      <c r="AE356" s="107" t="n">
        <f aca="false">SUM(Y356:AD356)</f>
        <v>0</v>
      </c>
    </row>
    <row r="357" customFormat="false" ht="15" hidden="false" customHeight="false" outlineLevel="0" collapsed="false">
      <c r="A357" s="103" t="s">
        <v>802</v>
      </c>
      <c r="B357" s="104" t="n">
        <v>0</v>
      </c>
      <c r="C357" s="105" t="n">
        <f aca="false">IF(K357=0,0,R357/K357)</f>
        <v>5.95</v>
      </c>
      <c r="D357" s="105" t="n">
        <f aca="false">C357+B357</f>
        <v>5.95</v>
      </c>
      <c r="E357" s="106" t="n">
        <v>0</v>
      </c>
      <c r="F357" s="106" t="n">
        <v>1</v>
      </c>
      <c r="G357" s="106" t="n">
        <v>0</v>
      </c>
      <c r="H357" s="106" t="n">
        <v>0</v>
      </c>
      <c r="I357" s="106" t="n">
        <v>0</v>
      </c>
      <c r="J357" s="106" t="n">
        <v>0</v>
      </c>
      <c r="K357" s="106" t="n">
        <f aca="false">SUM(E357:J357)</f>
        <v>1</v>
      </c>
      <c r="L357" s="107" t="n">
        <v>0</v>
      </c>
      <c r="M357" s="107" t="n">
        <v>5.95</v>
      </c>
      <c r="N357" s="107" t="n">
        <v>0</v>
      </c>
      <c r="O357" s="107" t="n">
        <v>0</v>
      </c>
      <c r="P357" s="107" t="n">
        <v>0</v>
      </c>
      <c r="Q357" s="107" t="n">
        <v>0</v>
      </c>
      <c r="R357" s="107" t="n">
        <f aca="false">SUM(L357:Q357)</f>
        <v>5.95</v>
      </c>
      <c r="S357" s="108" t="n">
        <v>0</v>
      </c>
      <c r="T357" s="108" t="n">
        <v>0</v>
      </c>
      <c r="U357" s="108" t="n">
        <v>0</v>
      </c>
      <c r="V357" s="108" t="n">
        <v>0</v>
      </c>
      <c r="W357" s="108" t="n">
        <v>0</v>
      </c>
      <c r="X357" s="108" t="n">
        <v>0</v>
      </c>
      <c r="Y357" s="107" t="n">
        <f aca="false">S357*$D357</f>
        <v>0</v>
      </c>
      <c r="Z357" s="107" t="n">
        <f aca="false">T357*$D357</f>
        <v>0</v>
      </c>
      <c r="AA357" s="107" t="n">
        <f aca="false">U357*$D357</f>
        <v>0</v>
      </c>
      <c r="AB357" s="107" t="n">
        <f aca="false">V357*$D357</f>
        <v>0</v>
      </c>
      <c r="AC357" s="107" t="n">
        <f aca="false">W357*$D357</f>
        <v>0</v>
      </c>
      <c r="AD357" s="107" t="n">
        <f aca="false">X357*$D357</f>
        <v>0</v>
      </c>
      <c r="AE357" s="107" t="n">
        <f aca="false">SUM(Y357:AD357)</f>
        <v>0</v>
      </c>
    </row>
    <row r="358" customFormat="false" ht="15" hidden="false" customHeight="false" outlineLevel="0" collapsed="false">
      <c r="A358" s="103" t="s">
        <v>803</v>
      </c>
      <c r="B358" s="104" t="n">
        <v>0</v>
      </c>
      <c r="C358" s="105" t="n">
        <f aca="false">IF(K358=0,0,R358/K358)</f>
        <v>5.95</v>
      </c>
      <c r="D358" s="105" t="n">
        <f aca="false">C358+B358</f>
        <v>5.95</v>
      </c>
      <c r="E358" s="106" t="n">
        <v>0</v>
      </c>
      <c r="F358" s="106" t="n">
        <v>0</v>
      </c>
      <c r="G358" s="106" t="n">
        <v>0</v>
      </c>
      <c r="H358" s="106" t="n">
        <v>1</v>
      </c>
      <c r="I358" s="106" t="n">
        <v>0</v>
      </c>
      <c r="J358" s="106" t="n">
        <v>0</v>
      </c>
      <c r="K358" s="106" t="n">
        <f aca="false">SUM(E358:J358)</f>
        <v>1</v>
      </c>
      <c r="L358" s="107" t="n">
        <v>0</v>
      </c>
      <c r="M358" s="107" t="n">
        <v>0</v>
      </c>
      <c r="N358" s="107" t="n">
        <v>0</v>
      </c>
      <c r="O358" s="107" t="n">
        <v>5.95</v>
      </c>
      <c r="P358" s="107" t="n">
        <v>0</v>
      </c>
      <c r="Q358" s="107" t="n">
        <v>0</v>
      </c>
      <c r="R358" s="107" t="n">
        <f aca="false">SUM(L358:Q358)</f>
        <v>5.95</v>
      </c>
      <c r="S358" s="108" t="n">
        <v>0</v>
      </c>
      <c r="T358" s="108" t="n">
        <v>0</v>
      </c>
      <c r="U358" s="108" t="n">
        <v>0</v>
      </c>
      <c r="V358" s="108" t="n">
        <v>0</v>
      </c>
      <c r="W358" s="108" t="n">
        <v>0</v>
      </c>
      <c r="X358" s="108" t="n">
        <v>0</v>
      </c>
      <c r="Y358" s="107" t="n">
        <f aca="false">S358*$D358</f>
        <v>0</v>
      </c>
      <c r="Z358" s="107" t="n">
        <f aca="false">T358*$D358</f>
        <v>0</v>
      </c>
      <c r="AA358" s="107" t="n">
        <f aca="false">U358*$D358</f>
        <v>0</v>
      </c>
      <c r="AB358" s="107" t="n">
        <f aca="false">V358*$D358</f>
        <v>0</v>
      </c>
      <c r="AC358" s="107" t="n">
        <f aca="false">W358*$D358</f>
        <v>0</v>
      </c>
      <c r="AD358" s="107" t="n">
        <f aca="false">X358*$D358</f>
        <v>0</v>
      </c>
      <c r="AE358" s="107" t="n">
        <f aca="false">SUM(Y358:AD358)</f>
        <v>0</v>
      </c>
    </row>
    <row r="359" customFormat="false" ht="15" hidden="false" customHeight="false" outlineLevel="0" collapsed="false">
      <c r="A359" s="103" t="s">
        <v>804</v>
      </c>
      <c r="B359" s="104" t="n">
        <v>0</v>
      </c>
      <c r="C359" s="105" t="n">
        <f aca="false">IF(K359=0,0,R359/K359)</f>
        <v>5.5</v>
      </c>
      <c r="D359" s="105" t="n">
        <f aca="false">C359+B359</f>
        <v>5.5</v>
      </c>
      <c r="E359" s="106" t="n">
        <v>0</v>
      </c>
      <c r="F359" s="106" t="n">
        <v>0</v>
      </c>
      <c r="G359" s="106" t="n">
        <v>0</v>
      </c>
      <c r="H359" s="106" t="n">
        <v>0</v>
      </c>
      <c r="I359" s="106" t="n">
        <v>1</v>
      </c>
      <c r="J359" s="106" t="n">
        <v>0</v>
      </c>
      <c r="K359" s="106" t="n">
        <f aca="false">SUM(E359:J359)</f>
        <v>1</v>
      </c>
      <c r="L359" s="107" t="n">
        <v>0</v>
      </c>
      <c r="M359" s="107" t="n">
        <v>0</v>
      </c>
      <c r="N359" s="107" t="n">
        <v>0</v>
      </c>
      <c r="O359" s="107" t="n">
        <v>0</v>
      </c>
      <c r="P359" s="107" t="n">
        <v>5.5</v>
      </c>
      <c r="Q359" s="107" t="n">
        <v>0</v>
      </c>
      <c r="R359" s="107" t="n">
        <f aca="false">SUM(L359:Q359)</f>
        <v>5.5</v>
      </c>
      <c r="S359" s="108" t="n">
        <v>0</v>
      </c>
      <c r="T359" s="108" t="n">
        <v>0</v>
      </c>
      <c r="U359" s="108" t="n">
        <v>0</v>
      </c>
      <c r="V359" s="108" t="n">
        <v>0</v>
      </c>
      <c r="W359" s="108" t="n">
        <v>0</v>
      </c>
      <c r="X359" s="108" t="n">
        <v>0</v>
      </c>
      <c r="Y359" s="107" t="n">
        <f aca="false">S359*$D359</f>
        <v>0</v>
      </c>
      <c r="Z359" s="107" t="n">
        <f aca="false">T359*$D359</f>
        <v>0</v>
      </c>
      <c r="AA359" s="107" t="n">
        <f aca="false">U359*$D359</f>
        <v>0</v>
      </c>
      <c r="AB359" s="107" t="n">
        <f aca="false">V359*$D359</f>
        <v>0</v>
      </c>
      <c r="AC359" s="107" t="n">
        <f aca="false">W359*$D359</f>
        <v>0</v>
      </c>
      <c r="AD359" s="107" t="n">
        <f aca="false">X359*$D359</f>
        <v>0</v>
      </c>
      <c r="AE359" s="107" t="n">
        <f aca="false">SUM(Y359:AD359)</f>
        <v>0</v>
      </c>
    </row>
    <row r="360" customFormat="false" ht="15" hidden="false" customHeight="false" outlineLevel="0" collapsed="false">
      <c r="A360" s="103" t="s">
        <v>805</v>
      </c>
      <c r="B360" s="104" t="n">
        <v>0</v>
      </c>
      <c r="C360" s="105" t="n">
        <f aca="false">IF(K360=0,0,R360/K360)</f>
        <v>5.1</v>
      </c>
      <c r="D360" s="105" t="n">
        <f aca="false">C360+B360</f>
        <v>5.1</v>
      </c>
      <c r="E360" s="106" t="n">
        <v>0</v>
      </c>
      <c r="F360" s="106" t="n">
        <v>1</v>
      </c>
      <c r="G360" s="106" t="n">
        <v>0</v>
      </c>
      <c r="H360" s="106" t="n">
        <v>0</v>
      </c>
      <c r="I360" s="106" t="n">
        <v>0</v>
      </c>
      <c r="J360" s="106" t="n">
        <v>0</v>
      </c>
      <c r="K360" s="106" t="n">
        <f aca="false">SUM(E360:J360)</f>
        <v>1</v>
      </c>
      <c r="L360" s="107" t="n">
        <v>0</v>
      </c>
      <c r="M360" s="107" t="n">
        <v>5.1</v>
      </c>
      <c r="N360" s="107" t="n">
        <v>0</v>
      </c>
      <c r="O360" s="107" t="n">
        <v>0</v>
      </c>
      <c r="P360" s="107" t="n">
        <v>0</v>
      </c>
      <c r="Q360" s="107" t="n">
        <v>0</v>
      </c>
      <c r="R360" s="107" t="n">
        <f aca="false">SUM(L360:Q360)</f>
        <v>5.1</v>
      </c>
      <c r="S360" s="108" t="n">
        <v>0</v>
      </c>
      <c r="T360" s="108" t="n">
        <v>0</v>
      </c>
      <c r="U360" s="108" t="n">
        <v>0</v>
      </c>
      <c r="V360" s="108" t="n">
        <v>0</v>
      </c>
      <c r="W360" s="108" t="n">
        <v>0</v>
      </c>
      <c r="X360" s="108" t="n">
        <v>0</v>
      </c>
      <c r="Y360" s="107" t="n">
        <f aca="false">S360*$D360</f>
        <v>0</v>
      </c>
      <c r="Z360" s="107" t="n">
        <f aca="false">T360*$D360</f>
        <v>0</v>
      </c>
      <c r="AA360" s="107" t="n">
        <f aca="false">U360*$D360</f>
        <v>0</v>
      </c>
      <c r="AB360" s="107" t="n">
        <f aca="false">V360*$D360</f>
        <v>0</v>
      </c>
      <c r="AC360" s="107" t="n">
        <f aca="false">W360*$D360</f>
        <v>0</v>
      </c>
      <c r="AD360" s="107" t="n">
        <f aca="false">X360*$D360</f>
        <v>0</v>
      </c>
      <c r="AE360" s="107" t="n">
        <f aca="false">SUM(Y360:AD360)</f>
        <v>0</v>
      </c>
    </row>
    <row r="361" customFormat="false" ht="15" hidden="false" customHeight="false" outlineLevel="0" collapsed="false">
      <c r="A361" s="103" t="s">
        <v>806</v>
      </c>
      <c r="B361" s="104" t="n">
        <v>0</v>
      </c>
      <c r="C361" s="105" t="n">
        <f aca="false">IF(K361=0,0,R361/K361)</f>
        <v>5</v>
      </c>
      <c r="D361" s="105" t="n">
        <f aca="false">C361+B361</f>
        <v>5</v>
      </c>
      <c r="E361" s="106" t="n">
        <v>1</v>
      </c>
      <c r="F361" s="106" t="n">
        <v>0</v>
      </c>
      <c r="G361" s="106" t="n">
        <v>0</v>
      </c>
      <c r="H361" s="106" t="n">
        <v>0</v>
      </c>
      <c r="I361" s="106" t="n">
        <v>0</v>
      </c>
      <c r="J361" s="106" t="n">
        <v>0</v>
      </c>
      <c r="K361" s="106" t="n">
        <f aca="false">SUM(E361:J361)</f>
        <v>1</v>
      </c>
      <c r="L361" s="107" t="n">
        <v>5</v>
      </c>
      <c r="M361" s="107" t="n">
        <v>0</v>
      </c>
      <c r="N361" s="107" t="n">
        <v>0</v>
      </c>
      <c r="O361" s="107" t="n">
        <v>0</v>
      </c>
      <c r="P361" s="107" t="n">
        <v>0</v>
      </c>
      <c r="Q361" s="107" t="n">
        <v>0</v>
      </c>
      <c r="R361" s="107" t="n">
        <f aca="false">SUM(L361:Q361)</f>
        <v>5</v>
      </c>
      <c r="S361" s="108" t="n">
        <v>0</v>
      </c>
      <c r="T361" s="108" t="n">
        <v>0</v>
      </c>
      <c r="U361" s="108" t="n">
        <v>0</v>
      </c>
      <c r="V361" s="108" t="n">
        <v>0</v>
      </c>
      <c r="W361" s="108" t="n">
        <v>0</v>
      </c>
      <c r="X361" s="108" t="n">
        <v>0</v>
      </c>
      <c r="Y361" s="107" t="n">
        <f aca="false">S361*$D361</f>
        <v>0</v>
      </c>
      <c r="Z361" s="107" t="n">
        <f aca="false">T361*$D361</f>
        <v>0</v>
      </c>
      <c r="AA361" s="107" t="n">
        <f aca="false">U361*$D361</f>
        <v>0</v>
      </c>
      <c r="AB361" s="107" t="n">
        <f aca="false">V361*$D361</f>
        <v>0</v>
      </c>
      <c r="AC361" s="107" t="n">
        <f aca="false">W361*$D361</f>
        <v>0</v>
      </c>
      <c r="AD361" s="107" t="n">
        <f aca="false">X361*$D361</f>
        <v>0</v>
      </c>
      <c r="AE361" s="107" t="n">
        <f aca="false">SUM(Y361:AD361)</f>
        <v>0</v>
      </c>
    </row>
    <row r="362" customFormat="false" ht="15" hidden="false" customHeight="false" outlineLevel="0" collapsed="false">
      <c r="A362" s="103" t="s">
        <v>807</v>
      </c>
      <c r="B362" s="104" t="n">
        <v>0</v>
      </c>
      <c r="C362" s="105" t="n">
        <f aca="false">IF(K362=0,0,R362/K362)</f>
        <v>5</v>
      </c>
      <c r="D362" s="105" t="n">
        <f aca="false">C362+B362</f>
        <v>5</v>
      </c>
      <c r="E362" s="106" t="n">
        <v>1</v>
      </c>
      <c r="F362" s="106" t="n">
        <v>0</v>
      </c>
      <c r="G362" s="106" t="n">
        <v>0</v>
      </c>
      <c r="H362" s="106" t="n">
        <v>0</v>
      </c>
      <c r="I362" s="106" t="n">
        <v>0</v>
      </c>
      <c r="J362" s="106" t="n">
        <v>0</v>
      </c>
      <c r="K362" s="106" t="n">
        <f aca="false">SUM(E362:J362)</f>
        <v>1</v>
      </c>
      <c r="L362" s="107" t="n">
        <v>5</v>
      </c>
      <c r="M362" s="107" t="n">
        <v>0</v>
      </c>
      <c r="N362" s="107" t="n">
        <v>0</v>
      </c>
      <c r="O362" s="107" t="n">
        <v>0</v>
      </c>
      <c r="P362" s="107" t="n">
        <v>0</v>
      </c>
      <c r="Q362" s="107" t="n">
        <v>0</v>
      </c>
      <c r="R362" s="107" t="n">
        <f aca="false">SUM(L362:Q362)</f>
        <v>5</v>
      </c>
      <c r="S362" s="108" t="n">
        <v>0</v>
      </c>
      <c r="T362" s="108" t="n">
        <v>0</v>
      </c>
      <c r="U362" s="108" t="n">
        <v>0</v>
      </c>
      <c r="V362" s="108" t="n">
        <v>0</v>
      </c>
      <c r="W362" s="108" t="n">
        <v>0</v>
      </c>
      <c r="X362" s="108" t="n">
        <v>0</v>
      </c>
      <c r="Y362" s="107" t="n">
        <f aca="false">S362*$D362</f>
        <v>0</v>
      </c>
      <c r="Z362" s="107" t="n">
        <f aca="false">T362*$D362</f>
        <v>0</v>
      </c>
      <c r="AA362" s="107" t="n">
        <f aca="false">U362*$D362</f>
        <v>0</v>
      </c>
      <c r="AB362" s="107" t="n">
        <f aca="false">V362*$D362</f>
        <v>0</v>
      </c>
      <c r="AC362" s="107" t="n">
        <f aca="false">W362*$D362</f>
        <v>0</v>
      </c>
      <c r="AD362" s="107" t="n">
        <f aca="false">X362*$D362</f>
        <v>0</v>
      </c>
      <c r="AE362" s="107" t="n">
        <f aca="false">SUM(Y362:AD362)</f>
        <v>0</v>
      </c>
    </row>
    <row r="363" customFormat="false" ht="15" hidden="false" customHeight="false" outlineLevel="0" collapsed="false">
      <c r="A363" s="103" t="s">
        <v>808</v>
      </c>
      <c r="B363" s="104" t="n">
        <v>0</v>
      </c>
      <c r="C363" s="105" t="n">
        <f aca="false">IF(K363=0,0,R363/K363)</f>
        <v>2.5</v>
      </c>
      <c r="D363" s="105" t="n">
        <f aca="false">C363+B363</f>
        <v>2.5</v>
      </c>
      <c r="E363" s="106" t="n">
        <v>2</v>
      </c>
      <c r="F363" s="106" t="n">
        <v>0</v>
      </c>
      <c r="G363" s="106" t="n">
        <v>0</v>
      </c>
      <c r="H363" s="106" t="n">
        <v>0</v>
      </c>
      <c r="I363" s="106" t="n">
        <v>0</v>
      </c>
      <c r="J363" s="106" t="n">
        <v>0</v>
      </c>
      <c r="K363" s="106" t="n">
        <f aca="false">SUM(E363:J363)</f>
        <v>2</v>
      </c>
      <c r="L363" s="107" t="n">
        <v>5</v>
      </c>
      <c r="M363" s="107" t="n">
        <v>0</v>
      </c>
      <c r="N363" s="107" t="n">
        <v>0</v>
      </c>
      <c r="O363" s="107" t="n">
        <v>0</v>
      </c>
      <c r="P363" s="107" t="n">
        <v>0</v>
      </c>
      <c r="Q363" s="107" t="n">
        <v>0</v>
      </c>
      <c r="R363" s="107" t="n">
        <f aca="false">SUM(L363:Q363)</f>
        <v>5</v>
      </c>
      <c r="S363" s="108" t="n">
        <v>0</v>
      </c>
      <c r="T363" s="108" t="n">
        <v>0</v>
      </c>
      <c r="U363" s="108" t="n">
        <v>0</v>
      </c>
      <c r="V363" s="108" t="n">
        <v>0</v>
      </c>
      <c r="W363" s="108" t="n">
        <v>0</v>
      </c>
      <c r="X363" s="108" t="n">
        <v>0</v>
      </c>
      <c r="Y363" s="107" t="n">
        <f aca="false">S363*$D363</f>
        <v>0</v>
      </c>
      <c r="Z363" s="107" t="n">
        <f aca="false">T363*$D363</f>
        <v>0</v>
      </c>
      <c r="AA363" s="107" t="n">
        <f aca="false">U363*$D363</f>
        <v>0</v>
      </c>
      <c r="AB363" s="107" t="n">
        <f aca="false">V363*$D363</f>
        <v>0</v>
      </c>
      <c r="AC363" s="107" t="n">
        <f aca="false">W363*$D363</f>
        <v>0</v>
      </c>
      <c r="AD363" s="107" t="n">
        <f aca="false">X363*$D363</f>
        <v>0</v>
      </c>
      <c r="AE363" s="107" t="n">
        <f aca="false">SUM(Y363:AD363)</f>
        <v>0</v>
      </c>
    </row>
    <row r="364" customFormat="false" ht="15" hidden="false" customHeight="false" outlineLevel="0" collapsed="false">
      <c r="A364" s="103" t="s">
        <v>809</v>
      </c>
      <c r="B364" s="104" t="n">
        <v>0</v>
      </c>
      <c r="C364" s="105" t="n">
        <f aca="false">IF(K364=0,0,R364/K364)</f>
        <v>5</v>
      </c>
      <c r="D364" s="105" t="n">
        <f aca="false">C364+B364</f>
        <v>5</v>
      </c>
      <c r="E364" s="106" t="n">
        <v>0</v>
      </c>
      <c r="F364" s="106" t="n">
        <v>1</v>
      </c>
      <c r="G364" s="106" t="n">
        <v>0</v>
      </c>
      <c r="H364" s="106" t="n">
        <v>0</v>
      </c>
      <c r="I364" s="106" t="n">
        <v>0</v>
      </c>
      <c r="J364" s="106" t="n">
        <v>0</v>
      </c>
      <c r="K364" s="106" t="n">
        <f aca="false">SUM(E364:J364)</f>
        <v>1</v>
      </c>
      <c r="L364" s="107" t="n">
        <v>0</v>
      </c>
      <c r="M364" s="107" t="n">
        <v>5</v>
      </c>
      <c r="N364" s="107" t="n">
        <v>0</v>
      </c>
      <c r="O364" s="107" t="n">
        <v>0</v>
      </c>
      <c r="P364" s="107" t="n">
        <v>0</v>
      </c>
      <c r="Q364" s="107" t="n">
        <v>0</v>
      </c>
      <c r="R364" s="107" t="n">
        <f aca="false">SUM(L364:Q364)</f>
        <v>5</v>
      </c>
      <c r="S364" s="108" t="n">
        <v>0</v>
      </c>
      <c r="T364" s="108" t="n">
        <v>0</v>
      </c>
      <c r="U364" s="108" t="n">
        <v>0</v>
      </c>
      <c r="V364" s="108" t="n">
        <v>0</v>
      </c>
      <c r="W364" s="108" t="n">
        <v>0</v>
      </c>
      <c r="X364" s="108" t="n">
        <v>0</v>
      </c>
      <c r="Y364" s="107" t="n">
        <f aca="false">S364*$D364</f>
        <v>0</v>
      </c>
      <c r="Z364" s="107" t="n">
        <f aca="false">T364*$D364</f>
        <v>0</v>
      </c>
      <c r="AA364" s="107" t="n">
        <f aca="false">U364*$D364</f>
        <v>0</v>
      </c>
      <c r="AB364" s="107" t="n">
        <f aca="false">V364*$D364</f>
        <v>0</v>
      </c>
      <c r="AC364" s="107" t="n">
        <f aca="false">W364*$D364</f>
        <v>0</v>
      </c>
      <c r="AD364" s="107" t="n">
        <f aca="false">X364*$D364</f>
        <v>0</v>
      </c>
      <c r="AE364" s="107" t="n">
        <f aca="false">SUM(Y364:AD364)</f>
        <v>0</v>
      </c>
    </row>
    <row r="365" customFormat="false" ht="15" hidden="false" customHeight="false" outlineLevel="0" collapsed="false">
      <c r="A365" s="103" t="s">
        <v>810</v>
      </c>
      <c r="B365" s="104" t="n">
        <v>0</v>
      </c>
      <c r="C365" s="105" t="n">
        <f aca="false">IF(K365=0,0,R365/K365)</f>
        <v>5</v>
      </c>
      <c r="D365" s="105" t="n">
        <f aca="false">C365+B365</f>
        <v>5</v>
      </c>
      <c r="E365" s="106" t="n">
        <v>0</v>
      </c>
      <c r="F365" s="106" t="n">
        <v>0</v>
      </c>
      <c r="G365" s="106" t="n">
        <v>1</v>
      </c>
      <c r="H365" s="106" t="n">
        <v>0</v>
      </c>
      <c r="I365" s="106" t="n">
        <v>0</v>
      </c>
      <c r="J365" s="106" t="n">
        <v>0</v>
      </c>
      <c r="K365" s="106" t="n">
        <f aca="false">SUM(E365:J365)</f>
        <v>1</v>
      </c>
      <c r="L365" s="107" t="n">
        <v>0</v>
      </c>
      <c r="M365" s="107" t="n">
        <v>0</v>
      </c>
      <c r="N365" s="107" t="n">
        <v>5</v>
      </c>
      <c r="O365" s="107" t="n">
        <v>0</v>
      </c>
      <c r="P365" s="107" t="n">
        <v>0</v>
      </c>
      <c r="Q365" s="107" t="n">
        <v>0</v>
      </c>
      <c r="R365" s="107" t="n">
        <f aca="false">SUM(L365:Q365)</f>
        <v>5</v>
      </c>
      <c r="S365" s="108" t="n">
        <v>0</v>
      </c>
      <c r="T365" s="108" t="n">
        <v>0</v>
      </c>
      <c r="U365" s="108" t="n">
        <v>0</v>
      </c>
      <c r="V365" s="108" t="n">
        <v>0</v>
      </c>
      <c r="W365" s="108" t="n">
        <v>0</v>
      </c>
      <c r="X365" s="108" t="n">
        <v>0</v>
      </c>
      <c r="Y365" s="107" t="n">
        <f aca="false">S365*$D365</f>
        <v>0</v>
      </c>
      <c r="Z365" s="107" t="n">
        <f aca="false">T365*$D365</f>
        <v>0</v>
      </c>
      <c r="AA365" s="107" t="n">
        <f aca="false">U365*$D365</f>
        <v>0</v>
      </c>
      <c r="AB365" s="107" t="n">
        <f aca="false">V365*$D365</f>
        <v>0</v>
      </c>
      <c r="AC365" s="107" t="n">
        <f aca="false">W365*$D365</f>
        <v>0</v>
      </c>
      <c r="AD365" s="107" t="n">
        <f aca="false">X365*$D365</f>
        <v>0</v>
      </c>
      <c r="AE365" s="107" t="n">
        <f aca="false">SUM(Y365:AD365)</f>
        <v>0</v>
      </c>
    </row>
    <row r="366" customFormat="false" ht="15" hidden="false" customHeight="false" outlineLevel="0" collapsed="false">
      <c r="A366" s="103" t="s">
        <v>811</v>
      </c>
      <c r="B366" s="104" t="n">
        <v>0</v>
      </c>
      <c r="C366" s="105" t="n">
        <f aca="false">IF(K366=0,0,R366/K366)</f>
        <v>5</v>
      </c>
      <c r="D366" s="105" t="n">
        <f aca="false">C366+B366</f>
        <v>5</v>
      </c>
      <c r="E366" s="106" t="n">
        <v>0</v>
      </c>
      <c r="F366" s="106" t="n">
        <v>0</v>
      </c>
      <c r="G366" s="106" t="n">
        <v>0</v>
      </c>
      <c r="H366" s="106" t="n">
        <v>0</v>
      </c>
      <c r="I366" s="106" t="n">
        <v>0</v>
      </c>
      <c r="J366" s="106" t="n">
        <v>1</v>
      </c>
      <c r="K366" s="106" t="n">
        <f aca="false">SUM(E366:J366)</f>
        <v>1</v>
      </c>
      <c r="L366" s="107" t="n">
        <v>0</v>
      </c>
      <c r="M366" s="107" t="n">
        <v>0</v>
      </c>
      <c r="N366" s="107" t="n">
        <v>0</v>
      </c>
      <c r="O366" s="107" t="n">
        <v>0</v>
      </c>
      <c r="P366" s="107" t="n">
        <v>0</v>
      </c>
      <c r="Q366" s="107" t="n">
        <v>5</v>
      </c>
      <c r="R366" s="107" t="n">
        <f aca="false">SUM(L366:Q366)</f>
        <v>5</v>
      </c>
      <c r="S366" s="108" t="n">
        <v>0</v>
      </c>
      <c r="T366" s="108" t="n">
        <v>0</v>
      </c>
      <c r="U366" s="108" t="n">
        <v>0</v>
      </c>
      <c r="V366" s="108" t="n">
        <v>0</v>
      </c>
      <c r="W366" s="108" t="n">
        <v>0</v>
      </c>
      <c r="X366" s="108" t="n">
        <v>0</v>
      </c>
      <c r="Y366" s="107" t="n">
        <f aca="false">S366*$D366</f>
        <v>0</v>
      </c>
      <c r="Z366" s="107" t="n">
        <f aca="false">T366*$D366</f>
        <v>0</v>
      </c>
      <c r="AA366" s="107" t="n">
        <f aca="false">U366*$D366</f>
        <v>0</v>
      </c>
      <c r="AB366" s="107" t="n">
        <f aca="false">V366*$D366</f>
        <v>0</v>
      </c>
      <c r="AC366" s="107" t="n">
        <f aca="false">W366*$D366</f>
        <v>0</v>
      </c>
      <c r="AD366" s="107" t="n">
        <f aca="false">X366*$D366</f>
        <v>0</v>
      </c>
      <c r="AE366" s="107" t="n">
        <f aca="false">SUM(Y366:AD366)</f>
        <v>0</v>
      </c>
    </row>
    <row r="367" customFormat="false" ht="15" hidden="false" customHeight="false" outlineLevel="0" collapsed="false">
      <c r="A367" s="103" t="s">
        <v>812</v>
      </c>
      <c r="B367" s="104" t="n">
        <v>0</v>
      </c>
      <c r="C367" s="105" t="n">
        <f aca="false">IF(K367=0,0,R367/K367)</f>
        <v>5</v>
      </c>
      <c r="D367" s="105" t="n">
        <f aca="false">C367+B367</f>
        <v>5</v>
      </c>
      <c r="E367" s="106" t="n">
        <v>0</v>
      </c>
      <c r="F367" s="106" t="n">
        <v>0</v>
      </c>
      <c r="G367" s="106" t="n">
        <v>0</v>
      </c>
      <c r="H367" s="106" t="n">
        <v>0</v>
      </c>
      <c r="I367" s="106" t="n">
        <v>0</v>
      </c>
      <c r="J367" s="106" t="n">
        <v>1</v>
      </c>
      <c r="K367" s="106" t="n">
        <f aca="false">SUM(E367:J367)</f>
        <v>1</v>
      </c>
      <c r="L367" s="107" t="n">
        <v>0</v>
      </c>
      <c r="M367" s="107" t="n">
        <v>0</v>
      </c>
      <c r="N367" s="107" t="n">
        <v>0</v>
      </c>
      <c r="O367" s="107" t="n">
        <v>0</v>
      </c>
      <c r="P367" s="107" t="n">
        <v>0</v>
      </c>
      <c r="Q367" s="107" t="n">
        <v>5</v>
      </c>
      <c r="R367" s="107" t="n">
        <f aca="false">SUM(L367:Q367)</f>
        <v>5</v>
      </c>
      <c r="S367" s="108" t="n">
        <v>0</v>
      </c>
      <c r="T367" s="108" t="n">
        <v>0</v>
      </c>
      <c r="U367" s="108" t="n">
        <v>0</v>
      </c>
      <c r="V367" s="108" t="n">
        <v>0</v>
      </c>
      <c r="W367" s="108" t="n">
        <v>0</v>
      </c>
      <c r="X367" s="108" t="n">
        <v>0</v>
      </c>
      <c r="Y367" s="107" t="n">
        <f aca="false">S367*$D367</f>
        <v>0</v>
      </c>
      <c r="Z367" s="107" t="n">
        <f aca="false">T367*$D367</f>
        <v>0</v>
      </c>
      <c r="AA367" s="107" t="n">
        <f aca="false">U367*$D367</f>
        <v>0</v>
      </c>
      <c r="AB367" s="107" t="n">
        <f aca="false">V367*$D367</f>
        <v>0</v>
      </c>
      <c r="AC367" s="107" t="n">
        <f aca="false">W367*$D367</f>
        <v>0</v>
      </c>
      <c r="AD367" s="107" t="n">
        <f aca="false">X367*$D367</f>
        <v>0</v>
      </c>
      <c r="AE367" s="107" t="n">
        <f aca="false">SUM(Y367:AD367)</f>
        <v>0</v>
      </c>
    </row>
    <row r="368" customFormat="false" ht="15" hidden="false" customHeight="false" outlineLevel="0" collapsed="false">
      <c r="A368" s="103" t="s">
        <v>813</v>
      </c>
      <c r="B368" s="104" t="n">
        <v>0</v>
      </c>
      <c r="C368" s="105" t="n">
        <f aca="false">IF(K368=0,0,R368/K368)</f>
        <v>4.25</v>
      </c>
      <c r="D368" s="105" t="n">
        <f aca="false">C368+B368</f>
        <v>4.25</v>
      </c>
      <c r="E368" s="106" t="n">
        <v>0</v>
      </c>
      <c r="F368" s="106" t="n">
        <v>1</v>
      </c>
      <c r="G368" s="106" t="n">
        <v>0</v>
      </c>
      <c r="H368" s="106" t="n">
        <v>0</v>
      </c>
      <c r="I368" s="106" t="n">
        <v>0</v>
      </c>
      <c r="J368" s="106" t="n">
        <v>0</v>
      </c>
      <c r="K368" s="106" t="n">
        <f aca="false">SUM(E368:J368)</f>
        <v>1</v>
      </c>
      <c r="L368" s="107" t="n">
        <v>0</v>
      </c>
      <c r="M368" s="107" t="n">
        <v>4.25</v>
      </c>
      <c r="N368" s="107" t="n">
        <v>0</v>
      </c>
      <c r="O368" s="107" t="n">
        <v>0</v>
      </c>
      <c r="P368" s="107" t="n">
        <v>0</v>
      </c>
      <c r="Q368" s="107" t="n">
        <v>0</v>
      </c>
      <c r="R368" s="107" t="n">
        <f aca="false">SUM(L368:Q368)</f>
        <v>4.25</v>
      </c>
      <c r="S368" s="108" t="n">
        <v>0</v>
      </c>
      <c r="T368" s="108" t="n">
        <v>0</v>
      </c>
      <c r="U368" s="108" t="n">
        <v>0</v>
      </c>
      <c r="V368" s="108" t="n">
        <v>0</v>
      </c>
      <c r="W368" s="108" t="n">
        <v>0</v>
      </c>
      <c r="X368" s="108" t="n">
        <v>0</v>
      </c>
      <c r="Y368" s="107" t="n">
        <f aca="false">S368*$D368</f>
        <v>0</v>
      </c>
      <c r="Z368" s="107" t="n">
        <f aca="false">T368*$D368</f>
        <v>0</v>
      </c>
      <c r="AA368" s="107" t="n">
        <f aca="false">U368*$D368</f>
        <v>0</v>
      </c>
      <c r="AB368" s="107" t="n">
        <f aca="false">V368*$D368</f>
        <v>0</v>
      </c>
      <c r="AC368" s="107" t="n">
        <f aca="false">W368*$D368</f>
        <v>0</v>
      </c>
      <c r="AD368" s="107" t="n">
        <f aca="false">X368*$D368</f>
        <v>0</v>
      </c>
      <c r="AE368" s="107" t="n">
        <f aca="false">SUM(Y368:AD368)</f>
        <v>0</v>
      </c>
    </row>
    <row r="369" customFormat="false" ht="15" hidden="false" customHeight="false" outlineLevel="0" collapsed="false">
      <c r="A369" s="103" t="s">
        <v>814</v>
      </c>
      <c r="B369" s="104" t="n">
        <v>0</v>
      </c>
      <c r="C369" s="105" t="n">
        <f aca="false">IF(K369=0,0,R369/K369)</f>
        <v>4.25</v>
      </c>
      <c r="D369" s="105" t="n">
        <f aca="false">C369+B369</f>
        <v>4.25</v>
      </c>
      <c r="E369" s="106" t="n">
        <v>0</v>
      </c>
      <c r="F369" s="106" t="n">
        <v>0</v>
      </c>
      <c r="G369" s="106" t="n">
        <v>1</v>
      </c>
      <c r="H369" s="106" t="n">
        <v>0</v>
      </c>
      <c r="I369" s="106" t="n">
        <v>0</v>
      </c>
      <c r="J369" s="106" t="n">
        <v>0</v>
      </c>
      <c r="K369" s="106" t="n">
        <f aca="false">SUM(E369:J369)</f>
        <v>1</v>
      </c>
      <c r="L369" s="107" t="n">
        <v>0</v>
      </c>
      <c r="M369" s="107" t="n">
        <v>0</v>
      </c>
      <c r="N369" s="107" t="n">
        <v>4.25</v>
      </c>
      <c r="O369" s="107" t="n">
        <v>0</v>
      </c>
      <c r="P369" s="107" t="n">
        <v>0</v>
      </c>
      <c r="Q369" s="107" t="n">
        <v>0</v>
      </c>
      <c r="R369" s="107" t="n">
        <f aca="false">SUM(L369:Q369)</f>
        <v>4.25</v>
      </c>
      <c r="S369" s="108" t="n">
        <v>0</v>
      </c>
      <c r="T369" s="108" t="n">
        <v>0</v>
      </c>
      <c r="U369" s="108" t="n">
        <v>0</v>
      </c>
      <c r="V369" s="108" t="n">
        <v>0</v>
      </c>
      <c r="W369" s="108" t="n">
        <v>0</v>
      </c>
      <c r="X369" s="108" t="n">
        <v>0</v>
      </c>
      <c r="Y369" s="107" t="n">
        <f aca="false">S369*$D369</f>
        <v>0</v>
      </c>
      <c r="Z369" s="107" t="n">
        <f aca="false">T369*$D369</f>
        <v>0</v>
      </c>
      <c r="AA369" s="107" t="n">
        <f aca="false">U369*$D369</f>
        <v>0</v>
      </c>
      <c r="AB369" s="107" t="n">
        <f aca="false">V369*$D369</f>
        <v>0</v>
      </c>
      <c r="AC369" s="107" t="n">
        <f aca="false">W369*$D369</f>
        <v>0</v>
      </c>
      <c r="AD369" s="107" t="n">
        <f aca="false">X369*$D369</f>
        <v>0</v>
      </c>
      <c r="AE369" s="107" t="n">
        <f aca="false">SUM(Y369:AD369)</f>
        <v>0</v>
      </c>
    </row>
    <row r="370" customFormat="false" ht="15" hidden="false" customHeight="false" outlineLevel="0" collapsed="false">
      <c r="A370" s="103" t="s">
        <v>815</v>
      </c>
      <c r="B370" s="104" t="n">
        <v>0</v>
      </c>
      <c r="C370" s="105" t="n">
        <f aca="false">IF(K370=0,0,R370/K370)</f>
        <v>4.25</v>
      </c>
      <c r="D370" s="105" t="n">
        <f aca="false">C370+B370</f>
        <v>4.25</v>
      </c>
      <c r="E370" s="106" t="n">
        <v>0</v>
      </c>
      <c r="F370" s="106" t="n">
        <v>0</v>
      </c>
      <c r="G370" s="106" t="n">
        <v>1</v>
      </c>
      <c r="H370" s="106" t="n">
        <v>0</v>
      </c>
      <c r="I370" s="106" t="n">
        <v>0</v>
      </c>
      <c r="J370" s="106" t="n">
        <v>0</v>
      </c>
      <c r="K370" s="106" t="n">
        <f aca="false">SUM(E370:J370)</f>
        <v>1</v>
      </c>
      <c r="L370" s="107" t="n">
        <v>0</v>
      </c>
      <c r="M370" s="107" t="n">
        <v>0</v>
      </c>
      <c r="N370" s="107" t="n">
        <v>4.25</v>
      </c>
      <c r="O370" s="107" t="n">
        <v>0</v>
      </c>
      <c r="P370" s="107" t="n">
        <v>0</v>
      </c>
      <c r="Q370" s="107" t="n">
        <v>0</v>
      </c>
      <c r="R370" s="107" t="n">
        <f aca="false">SUM(L370:Q370)</f>
        <v>4.25</v>
      </c>
      <c r="S370" s="108" t="n">
        <v>0</v>
      </c>
      <c r="T370" s="108" t="n">
        <v>0</v>
      </c>
      <c r="U370" s="108" t="n">
        <v>0</v>
      </c>
      <c r="V370" s="108" t="n">
        <v>0</v>
      </c>
      <c r="W370" s="108" t="n">
        <v>0</v>
      </c>
      <c r="X370" s="108" t="n">
        <v>0</v>
      </c>
      <c r="Y370" s="107" t="n">
        <f aca="false">S370*$D370</f>
        <v>0</v>
      </c>
      <c r="Z370" s="107" t="n">
        <f aca="false">T370*$D370</f>
        <v>0</v>
      </c>
      <c r="AA370" s="107" t="n">
        <f aca="false">U370*$D370</f>
        <v>0</v>
      </c>
      <c r="AB370" s="107" t="n">
        <f aca="false">V370*$D370</f>
        <v>0</v>
      </c>
      <c r="AC370" s="107" t="n">
        <f aca="false">W370*$D370</f>
        <v>0</v>
      </c>
      <c r="AD370" s="107" t="n">
        <f aca="false">X370*$D370</f>
        <v>0</v>
      </c>
      <c r="AE370" s="107" t="n">
        <f aca="false">SUM(Y370:AD370)</f>
        <v>0</v>
      </c>
    </row>
    <row r="371" customFormat="false" ht="15" hidden="false" customHeight="false" outlineLevel="0" collapsed="false">
      <c r="A371" s="103" t="s">
        <v>816</v>
      </c>
      <c r="B371" s="104" t="n">
        <v>0</v>
      </c>
      <c r="C371" s="105" t="n">
        <f aca="false">IF(K371=0,0,R371/K371)</f>
        <v>4.25</v>
      </c>
      <c r="D371" s="105" t="n">
        <f aca="false">C371+B371</f>
        <v>4.25</v>
      </c>
      <c r="E371" s="106" t="n">
        <v>0</v>
      </c>
      <c r="F371" s="106" t="n">
        <v>0</v>
      </c>
      <c r="G371" s="106" t="n">
        <v>1</v>
      </c>
      <c r="H371" s="106" t="n">
        <v>0</v>
      </c>
      <c r="I371" s="106" t="n">
        <v>0</v>
      </c>
      <c r="J371" s="106" t="n">
        <v>0</v>
      </c>
      <c r="K371" s="106" t="n">
        <f aca="false">SUM(E371:J371)</f>
        <v>1</v>
      </c>
      <c r="L371" s="107" t="n">
        <v>0</v>
      </c>
      <c r="M371" s="107" t="n">
        <v>0</v>
      </c>
      <c r="N371" s="107" t="n">
        <v>4.25</v>
      </c>
      <c r="O371" s="107" t="n">
        <v>0</v>
      </c>
      <c r="P371" s="107" t="n">
        <v>0</v>
      </c>
      <c r="Q371" s="107" t="n">
        <v>0</v>
      </c>
      <c r="R371" s="107" t="n">
        <f aca="false">SUM(L371:Q371)</f>
        <v>4.25</v>
      </c>
      <c r="S371" s="108" t="n">
        <v>0</v>
      </c>
      <c r="T371" s="108" t="n">
        <v>0</v>
      </c>
      <c r="U371" s="108" t="n">
        <v>0</v>
      </c>
      <c r="V371" s="108" t="n">
        <v>0</v>
      </c>
      <c r="W371" s="108" t="n">
        <v>0</v>
      </c>
      <c r="X371" s="108" t="n">
        <v>0</v>
      </c>
      <c r="Y371" s="107" t="n">
        <f aca="false">S371*$D371</f>
        <v>0</v>
      </c>
      <c r="Z371" s="107" t="n">
        <f aca="false">T371*$D371</f>
        <v>0</v>
      </c>
      <c r="AA371" s="107" t="n">
        <f aca="false">U371*$D371</f>
        <v>0</v>
      </c>
      <c r="AB371" s="107" t="n">
        <f aca="false">V371*$D371</f>
        <v>0</v>
      </c>
      <c r="AC371" s="107" t="n">
        <f aca="false">W371*$D371</f>
        <v>0</v>
      </c>
      <c r="AD371" s="107" t="n">
        <f aca="false">X371*$D371</f>
        <v>0</v>
      </c>
      <c r="AE371" s="107" t="n">
        <f aca="false">SUM(Y371:AD371)</f>
        <v>0</v>
      </c>
    </row>
    <row r="372" customFormat="false" ht="15" hidden="false" customHeight="false" outlineLevel="0" collapsed="false">
      <c r="A372" s="103" t="s">
        <v>529</v>
      </c>
      <c r="B372" s="104" t="n">
        <v>0</v>
      </c>
      <c r="C372" s="105" t="n">
        <f aca="false">IF(K372=0,0,R372/K372)</f>
        <v>4.25</v>
      </c>
      <c r="D372" s="105" t="n">
        <f aca="false">C372+B372</f>
        <v>4.25</v>
      </c>
      <c r="E372" s="106" t="n">
        <v>0</v>
      </c>
      <c r="F372" s="106" t="n">
        <v>0</v>
      </c>
      <c r="G372" s="106" t="n">
        <v>0</v>
      </c>
      <c r="H372" s="106" t="n">
        <v>0</v>
      </c>
      <c r="I372" s="106" t="n">
        <v>1</v>
      </c>
      <c r="J372" s="106" t="n">
        <v>0</v>
      </c>
      <c r="K372" s="106" t="n">
        <f aca="false">SUM(E372:J372)</f>
        <v>1</v>
      </c>
      <c r="L372" s="107" t="n">
        <v>0</v>
      </c>
      <c r="M372" s="107" t="n">
        <v>0</v>
      </c>
      <c r="N372" s="107" t="n">
        <v>0</v>
      </c>
      <c r="O372" s="107" t="n">
        <v>0</v>
      </c>
      <c r="P372" s="107" t="n">
        <v>4.25</v>
      </c>
      <c r="Q372" s="107" t="n">
        <v>0</v>
      </c>
      <c r="R372" s="107" t="n">
        <f aca="false">SUM(L372:Q372)</f>
        <v>4.25</v>
      </c>
      <c r="S372" s="108" t="n">
        <v>0</v>
      </c>
      <c r="T372" s="108" t="n">
        <v>0</v>
      </c>
      <c r="U372" s="108" t="n">
        <v>0</v>
      </c>
      <c r="V372" s="108" t="n">
        <v>0</v>
      </c>
      <c r="W372" s="108" t="n">
        <v>0</v>
      </c>
      <c r="X372" s="108" t="n">
        <v>0</v>
      </c>
      <c r="Y372" s="107" t="n">
        <f aca="false">S372*$D372</f>
        <v>0</v>
      </c>
      <c r="Z372" s="107" t="n">
        <f aca="false">T372*$D372</f>
        <v>0</v>
      </c>
      <c r="AA372" s="107" t="n">
        <f aca="false">U372*$D372</f>
        <v>0</v>
      </c>
      <c r="AB372" s="107" t="n">
        <f aca="false">V372*$D372</f>
        <v>0</v>
      </c>
      <c r="AC372" s="107" t="n">
        <f aca="false">W372*$D372</f>
        <v>0</v>
      </c>
      <c r="AD372" s="107" t="n">
        <f aca="false">X372*$D372</f>
        <v>0</v>
      </c>
      <c r="AE372" s="107" t="n">
        <f aca="false">SUM(Y372:AD372)</f>
        <v>0</v>
      </c>
    </row>
    <row r="373" customFormat="false" ht="15" hidden="false" customHeight="false" outlineLevel="0" collapsed="false">
      <c r="A373" s="103" t="s">
        <v>817</v>
      </c>
      <c r="B373" s="104" t="n">
        <v>0</v>
      </c>
      <c r="C373" s="105" t="n">
        <f aca="false">IF(K373=0,0,R373/K373)</f>
        <v>4.25</v>
      </c>
      <c r="D373" s="105" t="n">
        <f aca="false">C373+B373</f>
        <v>4.25</v>
      </c>
      <c r="E373" s="106" t="n">
        <v>0</v>
      </c>
      <c r="F373" s="106" t="n">
        <v>0</v>
      </c>
      <c r="G373" s="106" t="n">
        <v>0</v>
      </c>
      <c r="H373" s="106" t="n">
        <v>0</v>
      </c>
      <c r="I373" s="106" t="n">
        <v>0</v>
      </c>
      <c r="J373" s="106" t="n">
        <v>1</v>
      </c>
      <c r="K373" s="106" t="n">
        <f aca="false">SUM(E373:J373)</f>
        <v>1</v>
      </c>
      <c r="L373" s="107" t="n">
        <v>0</v>
      </c>
      <c r="M373" s="107" t="n">
        <v>0</v>
      </c>
      <c r="N373" s="107" t="n">
        <v>0</v>
      </c>
      <c r="O373" s="107" t="n">
        <v>0</v>
      </c>
      <c r="P373" s="107" t="n">
        <v>0</v>
      </c>
      <c r="Q373" s="107" t="n">
        <v>4.25</v>
      </c>
      <c r="R373" s="107" t="n">
        <f aca="false">SUM(L373:Q373)</f>
        <v>4.25</v>
      </c>
      <c r="S373" s="108" t="n">
        <v>0</v>
      </c>
      <c r="T373" s="108" t="n">
        <v>0</v>
      </c>
      <c r="U373" s="108" t="n">
        <v>0</v>
      </c>
      <c r="V373" s="108" t="n">
        <v>0</v>
      </c>
      <c r="W373" s="108" t="n">
        <v>0</v>
      </c>
      <c r="X373" s="108" t="n">
        <v>0</v>
      </c>
      <c r="Y373" s="107" t="n">
        <f aca="false">S373*$D373</f>
        <v>0</v>
      </c>
      <c r="Z373" s="107" t="n">
        <f aca="false">T373*$D373</f>
        <v>0</v>
      </c>
      <c r="AA373" s="107" t="n">
        <f aca="false">U373*$D373</f>
        <v>0</v>
      </c>
      <c r="AB373" s="107" t="n">
        <f aca="false">V373*$D373</f>
        <v>0</v>
      </c>
      <c r="AC373" s="107" t="n">
        <f aca="false">W373*$D373</f>
        <v>0</v>
      </c>
      <c r="AD373" s="107" t="n">
        <f aca="false">X373*$D373</f>
        <v>0</v>
      </c>
      <c r="AE373" s="107" t="n">
        <f aca="false">SUM(Y373:AD373)</f>
        <v>0</v>
      </c>
    </row>
    <row r="374" customFormat="false" ht="15" hidden="false" customHeight="false" outlineLevel="0" collapsed="false">
      <c r="A374" s="103" t="s">
        <v>818</v>
      </c>
      <c r="B374" s="104" t="n">
        <v>0</v>
      </c>
      <c r="C374" s="105" t="n">
        <f aca="false">IF(K374=0,0,R374/K374)</f>
        <v>4.25</v>
      </c>
      <c r="D374" s="105" t="n">
        <f aca="false">C374+B374</f>
        <v>4.25</v>
      </c>
      <c r="E374" s="106" t="n">
        <v>0</v>
      </c>
      <c r="F374" s="106" t="n">
        <v>0</v>
      </c>
      <c r="G374" s="106" t="n">
        <v>0</v>
      </c>
      <c r="H374" s="106" t="n">
        <v>0</v>
      </c>
      <c r="I374" s="106" t="n">
        <v>0</v>
      </c>
      <c r="J374" s="106" t="n">
        <v>1</v>
      </c>
      <c r="K374" s="106" t="n">
        <f aca="false">SUM(E374:J374)</f>
        <v>1</v>
      </c>
      <c r="L374" s="107" t="n">
        <v>0</v>
      </c>
      <c r="M374" s="107" t="n">
        <v>0</v>
      </c>
      <c r="N374" s="107" t="n">
        <v>0</v>
      </c>
      <c r="O374" s="107" t="n">
        <v>0</v>
      </c>
      <c r="P374" s="107" t="n">
        <v>0</v>
      </c>
      <c r="Q374" s="107" t="n">
        <v>4.25</v>
      </c>
      <c r="R374" s="107" t="n">
        <f aca="false">SUM(L374:Q374)</f>
        <v>4.25</v>
      </c>
      <c r="S374" s="108" t="n">
        <v>0</v>
      </c>
      <c r="T374" s="108" t="n">
        <v>0</v>
      </c>
      <c r="U374" s="108" t="n">
        <v>0</v>
      </c>
      <c r="V374" s="108" t="n">
        <v>0</v>
      </c>
      <c r="W374" s="108" t="n">
        <v>0</v>
      </c>
      <c r="X374" s="108" t="n">
        <v>0</v>
      </c>
      <c r="Y374" s="107" t="n">
        <f aca="false">S374*$D374</f>
        <v>0</v>
      </c>
      <c r="Z374" s="107" t="n">
        <f aca="false">T374*$D374</f>
        <v>0</v>
      </c>
      <c r="AA374" s="107" t="n">
        <f aca="false">U374*$D374</f>
        <v>0</v>
      </c>
      <c r="AB374" s="107" t="n">
        <f aca="false">V374*$D374</f>
        <v>0</v>
      </c>
      <c r="AC374" s="107" t="n">
        <f aca="false">W374*$D374</f>
        <v>0</v>
      </c>
      <c r="AD374" s="107" t="n">
        <f aca="false">X374*$D374</f>
        <v>0</v>
      </c>
      <c r="AE374" s="107" t="n">
        <f aca="false">SUM(Y374:AD374)</f>
        <v>0</v>
      </c>
    </row>
    <row r="375" customFormat="false" ht="15" hidden="false" customHeight="false" outlineLevel="0" collapsed="false">
      <c r="A375" s="103" t="s">
        <v>819</v>
      </c>
      <c r="B375" s="104" t="n">
        <v>0</v>
      </c>
      <c r="C375" s="105" t="n">
        <f aca="false">IF(K375=0,0,R375/K375)</f>
        <v>4</v>
      </c>
      <c r="D375" s="105" t="n">
        <f aca="false">C375+B375</f>
        <v>4</v>
      </c>
      <c r="E375" s="106" t="n">
        <v>1</v>
      </c>
      <c r="F375" s="106" t="n">
        <v>0</v>
      </c>
      <c r="G375" s="106" t="n">
        <v>0</v>
      </c>
      <c r="H375" s="106" t="n">
        <v>0</v>
      </c>
      <c r="I375" s="106" t="n">
        <v>0</v>
      </c>
      <c r="J375" s="106" t="n">
        <v>0</v>
      </c>
      <c r="K375" s="106" t="n">
        <f aca="false">SUM(E375:J375)</f>
        <v>1</v>
      </c>
      <c r="L375" s="107" t="n">
        <v>4</v>
      </c>
      <c r="M375" s="107" t="n">
        <v>0</v>
      </c>
      <c r="N375" s="107" t="n">
        <v>0</v>
      </c>
      <c r="O375" s="107" t="n">
        <v>0</v>
      </c>
      <c r="P375" s="107" t="n">
        <v>0</v>
      </c>
      <c r="Q375" s="107" t="n">
        <v>0</v>
      </c>
      <c r="R375" s="107" t="n">
        <f aca="false">SUM(L375:Q375)</f>
        <v>4</v>
      </c>
      <c r="S375" s="108" t="n">
        <v>0</v>
      </c>
      <c r="T375" s="108" t="n">
        <v>0</v>
      </c>
      <c r="U375" s="108" t="n">
        <v>0</v>
      </c>
      <c r="V375" s="108" t="n">
        <v>0</v>
      </c>
      <c r="W375" s="108" t="n">
        <v>0</v>
      </c>
      <c r="X375" s="108" t="n">
        <v>0</v>
      </c>
      <c r="Y375" s="107" t="n">
        <f aca="false">S375*$D375</f>
        <v>0</v>
      </c>
      <c r="Z375" s="107" t="n">
        <f aca="false">T375*$D375</f>
        <v>0</v>
      </c>
      <c r="AA375" s="107" t="n">
        <f aca="false">U375*$D375</f>
        <v>0</v>
      </c>
      <c r="AB375" s="107" t="n">
        <f aca="false">V375*$D375</f>
        <v>0</v>
      </c>
      <c r="AC375" s="107" t="n">
        <f aca="false">W375*$D375</f>
        <v>0</v>
      </c>
      <c r="AD375" s="107" t="n">
        <f aca="false">X375*$D375</f>
        <v>0</v>
      </c>
      <c r="AE375" s="107" t="n">
        <f aca="false">SUM(Y375:AD375)</f>
        <v>0</v>
      </c>
    </row>
    <row r="376" customFormat="false" ht="15" hidden="false" customHeight="false" outlineLevel="0" collapsed="false">
      <c r="A376" s="103" t="s">
        <v>820</v>
      </c>
      <c r="B376" s="104" t="n">
        <v>0</v>
      </c>
      <c r="C376" s="105" t="n">
        <f aca="false">IF(K376=0,0,R376/K376)</f>
        <v>4</v>
      </c>
      <c r="D376" s="105" t="n">
        <f aca="false">C376+B376</f>
        <v>4</v>
      </c>
      <c r="E376" s="106" t="n">
        <v>1</v>
      </c>
      <c r="F376" s="106" t="n">
        <v>0</v>
      </c>
      <c r="G376" s="106" t="n">
        <v>0</v>
      </c>
      <c r="H376" s="106" t="n">
        <v>0</v>
      </c>
      <c r="I376" s="106" t="n">
        <v>0</v>
      </c>
      <c r="J376" s="106" t="n">
        <v>0</v>
      </c>
      <c r="K376" s="106" t="n">
        <f aca="false">SUM(E376:J376)</f>
        <v>1</v>
      </c>
      <c r="L376" s="107" t="n">
        <v>4</v>
      </c>
      <c r="M376" s="107" t="n">
        <v>0</v>
      </c>
      <c r="N376" s="107" t="n">
        <v>0</v>
      </c>
      <c r="O376" s="107" t="n">
        <v>0</v>
      </c>
      <c r="P376" s="107" t="n">
        <v>0</v>
      </c>
      <c r="Q376" s="107" t="n">
        <v>0</v>
      </c>
      <c r="R376" s="107" t="n">
        <f aca="false">SUM(L376:Q376)</f>
        <v>4</v>
      </c>
      <c r="S376" s="108" t="n">
        <v>0</v>
      </c>
      <c r="T376" s="108" t="n">
        <v>0</v>
      </c>
      <c r="U376" s="108" t="n">
        <v>0</v>
      </c>
      <c r="V376" s="108" t="n">
        <v>0</v>
      </c>
      <c r="W376" s="108" t="n">
        <v>0</v>
      </c>
      <c r="X376" s="108" t="n">
        <v>0</v>
      </c>
      <c r="Y376" s="107" t="n">
        <f aca="false">S376*$D376</f>
        <v>0</v>
      </c>
      <c r="Z376" s="107" t="n">
        <f aca="false">T376*$D376</f>
        <v>0</v>
      </c>
      <c r="AA376" s="107" t="n">
        <f aca="false">U376*$D376</f>
        <v>0</v>
      </c>
      <c r="AB376" s="107" t="n">
        <f aca="false">V376*$D376</f>
        <v>0</v>
      </c>
      <c r="AC376" s="107" t="n">
        <f aca="false">W376*$D376</f>
        <v>0</v>
      </c>
      <c r="AD376" s="107" t="n">
        <f aca="false">X376*$D376</f>
        <v>0</v>
      </c>
      <c r="AE376" s="107" t="n">
        <f aca="false">SUM(Y376:AD376)</f>
        <v>0</v>
      </c>
    </row>
    <row r="377" customFormat="false" ht="15" hidden="false" customHeight="false" outlineLevel="0" collapsed="false">
      <c r="A377" s="103" t="s">
        <v>821</v>
      </c>
      <c r="B377" s="104" t="n">
        <v>0</v>
      </c>
      <c r="C377" s="105" t="n">
        <f aca="false">IF(K377=0,0,R377/K377)</f>
        <v>4</v>
      </c>
      <c r="D377" s="105" t="n">
        <f aca="false">C377+B377</f>
        <v>4</v>
      </c>
      <c r="E377" s="106" t="n">
        <v>1</v>
      </c>
      <c r="F377" s="106" t="n">
        <v>0</v>
      </c>
      <c r="G377" s="106" t="n">
        <v>0</v>
      </c>
      <c r="H377" s="106" t="n">
        <v>0</v>
      </c>
      <c r="I377" s="106" t="n">
        <v>0</v>
      </c>
      <c r="J377" s="106" t="n">
        <v>0</v>
      </c>
      <c r="K377" s="106" t="n">
        <f aca="false">SUM(E377:J377)</f>
        <v>1</v>
      </c>
      <c r="L377" s="107" t="n">
        <v>4</v>
      </c>
      <c r="M377" s="107" t="n">
        <v>0</v>
      </c>
      <c r="N377" s="107" t="n">
        <v>0</v>
      </c>
      <c r="O377" s="107" t="n">
        <v>0</v>
      </c>
      <c r="P377" s="107" t="n">
        <v>0</v>
      </c>
      <c r="Q377" s="107" t="n">
        <v>0</v>
      </c>
      <c r="R377" s="107" t="n">
        <f aca="false">SUM(L377:Q377)</f>
        <v>4</v>
      </c>
      <c r="S377" s="108" t="n">
        <v>0</v>
      </c>
      <c r="T377" s="108" t="n">
        <v>0</v>
      </c>
      <c r="U377" s="108" t="n">
        <v>0</v>
      </c>
      <c r="V377" s="108" t="n">
        <v>0</v>
      </c>
      <c r="W377" s="108" t="n">
        <v>0</v>
      </c>
      <c r="X377" s="108" t="n">
        <v>0</v>
      </c>
      <c r="Y377" s="107" t="n">
        <f aca="false">S377*$D377</f>
        <v>0</v>
      </c>
      <c r="Z377" s="107" t="n">
        <f aca="false">T377*$D377</f>
        <v>0</v>
      </c>
      <c r="AA377" s="107" t="n">
        <f aca="false">U377*$D377</f>
        <v>0</v>
      </c>
      <c r="AB377" s="107" t="n">
        <f aca="false">V377*$D377</f>
        <v>0</v>
      </c>
      <c r="AC377" s="107" t="n">
        <f aca="false">W377*$D377</f>
        <v>0</v>
      </c>
      <c r="AD377" s="107" t="n">
        <f aca="false">X377*$D377</f>
        <v>0</v>
      </c>
      <c r="AE377" s="107" t="n">
        <f aca="false">SUM(Y377:AD377)</f>
        <v>0</v>
      </c>
    </row>
    <row r="378" customFormat="false" ht="15" hidden="false" customHeight="false" outlineLevel="0" collapsed="false">
      <c r="A378" s="103" t="s">
        <v>822</v>
      </c>
      <c r="B378" s="104" t="n">
        <v>0</v>
      </c>
      <c r="C378" s="105" t="n">
        <f aca="false">IF(K378=0,0,R378/K378)</f>
        <v>4</v>
      </c>
      <c r="D378" s="105" t="n">
        <f aca="false">C378+B378</f>
        <v>4</v>
      </c>
      <c r="E378" s="106" t="n">
        <v>0</v>
      </c>
      <c r="F378" s="106" t="n">
        <v>1</v>
      </c>
      <c r="G378" s="106" t="n">
        <v>0</v>
      </c>
      <c r="H378" s="106" t="n">
        <v>0</v>
      </c>
      <c r="I378" s="106" t="n">
        <v>0</v>
      </c>
      <c r="J378" s="106" t="n">
        <v>0</v>
      </c>
      <c r="K378" s="106" t="n">
        <f aca="false">SUM(E378:J378)</f>
        <v>1</v>
      </c>
      <c r="L378" s="107" t="n">
        <v>0</v>
      </c>
      <c r="M378" s="107" t="n">
        <v>4</v>
      </c>
      <c r="N378" s="107" t="n">
        <v>0</v>
      </c>
      <c r="O378" s="107" t="n">
        <v>0</v>
      </c>
      <c r="P378" s="107" t="n">
        <v>0</v>
      </c>
      <c r="Q378" s="107" t="n">
        <v>0</v>
      </c>
      <c r="R378" s="107" t="n">
        <f aca="false">SUM(L378:Q378)</f>
        <v>4</v>
      </c>
      <c r="S378" s="108" t="n">
        <v>0</v>
      </c>
      <c r="T378" s="108" t="n">
        <v>0</v>
      </c>
      <c r="U378" s="108" t="n">
        <v>0</v>
      </c>
      <c r="V378" s="108" t="n">
        <v>0</v>
      </c>
      <c r="W378" s="108" t="n">
        <v>0</v>
      </c>
      <c r="X378" s="108" t="n">
        <v>0</v>
      </c>
      <c r="Y378" s="107" t="n">
        <f aca="false">S378*$D378</f>
        <v>0</v>
      </c>
      <c r="Z378" s="107" t="n">
        <f aca="false">T378*$D378</f>
        <v>0</v>
      </c>
      <c r="AA378" s="107" t="n">
        <f aca="false">U378*$D378</f>
        <v>0</v>
      </c>
      <c r="AB378" s="107" t="n">
        <f aca="false">V378*$D378</f>
        <v>0</v>
      </c>
      <c r="AC378" s="107" t="n">
        <f aca="false">W378*$D378</f>
        <v>0</v>
      </c>
      <c r="AD378" s="107" t="n">
        <f aca="false">X378*$D378</f>
        <v>0</v>
      </c>
      <c r="AE378" s="107" t="n">
        <f aca="false">SUM(Y378:AD378)</f>
        <v>0</v>
      </c>
    </row>
    <row r="379" customFormat="false" ht="15" hidden="false" customHeight="false" outlineLevel="0" collapsed="false">
      <c r="A379" s="103" t="s">
        <v>823</v>
      </c>
      <c r="B379" s="104" t="n">
        <v>0</v>
      </c>
      <c r="C379" s="105" t="n">
        <f aca="false">IF(K379=0,0,R379/K379)</f>
        <v>4</v>
      </c>
      <c r="D379" s="105" t="n">
        <f aca="false">C379+B379</f>
        <v>4</v>
      </c>
      <c r="E379" s="106" t="n">
        <v>0</v>
      </c>
      <c r="F379" s="106" t="n">
        <v>1</v>
      </c>
      <c r="G379" s="106" t="n">
        <v>0</v>
      </c>
      <c r="H379" s="106" t="n">
        <v>0</v>
      </c>
      <c r="I379" s="106" t="n">
        <v>0</v>
      </c>
      <c r="J379" s="106" t="n">
        <v>0</v>
      </c>
      <c r="K379" s="106" t="n">
        <f aca="false">SUM(E379:J379)</f>
        <v>1</v>
      </c>
      <c r="L379" s="107" t="n">
        <v>0</v>
      </c>
      <c r="M379" s="107" t="n">
        <v>4</v>
      </c>
      <c r="N379" s="107" t="n">
        <v>0</v>
      </c>
      <c r="O379" s="107" t="n">
        <v>0</v>
      </c>
      <c r="P379" s="107" t="n">
        <v>0</v>
      </c>
      <c r="Q379" s="107" t="n">
        <v>0</v>
      </c>
      <c r="R379" s="107" t="n">
        <f aca="false">SUM(L379:Q379)</f>
        <v>4</v>
      </c>
      <c r="S379" s="108" t="n">
        <v>0</v>
      </c>
      <c r="T379" s="108" t="n">
        <v>0</v>
      </c>
      <c r="U379" s="108" t="n">
        <v>0</v>
      </c>
      <c r="V379" s="108" t="n">
        <v>0</v>
      </c>
      <c r="W379" s="108" t="n">
        <v>0</v>
      </c>
      <c r="X379" s="108" t="n">
        <v>0</v>
      </c>
      <c r="Y379" s="107" t="n">
        <f aca="false">S379*$D379</f>
        <v>0</v>
      </c>
      <c r="Z379" s="107" t="n">
        <f aca="false">T379*$D379</f>
        <v>0</v>
      </c>
      <c r="AA379" s="107" t="n">
        <f aca="false">U379*$D379</f>
        <v>0</v>
      </c>
      <c r="AB379" s="107" t="n">
        <f aca="false">V379*$D379</f>
        <v>0</v>
      </c>
      <c r="AC379" s="107" t="n">
        <f aca="false">W379*$D379</f>
        <v>0</v>
      </c>
      <c r="AD379" s="107" t="n">
        <f aca="false">X379*$D379</f>
        <v>0</v>
      </c>
      <c r="AE379" s="107" t="n">
        <f aca="false">SUM(Y379:AD379)</f>
        <v>0</v>
      </c>
    </row>
    <row r="380" customFormat="false" ht="15" hidden="false" customHeight="false" outlineLevel="0" collapsed="false">
      <c r="A380" s="103" t="s">
        <v>824</v>
      </c>
      <c r="B380" s="104" t="n">
        <v>0</v>
      </c>
      <c r="C380" s="105" t="n">
        <f aca="false">IF(K380=0,0,R380/K380)</f>
        <v>4</v>
      </c>
      <c r="D380" s="105" t="n">
        <f aca="false">C380+B380</f>
        <v>4</v>
      </c>
      <c r="E380" s="106" t="n">
        <v>0</v>
      </c>
      <c r="F380" s="106" t="n">
        <v>0</v>
      </c>
      <c r="G380" s="106" t="n">
        <v>0</v>
      </c>
      <c r="H380" s="106" t="n">
        <v>0</v>
      </c>
      <c r="I380" s="106" t="n">
        <v>0</v>
      </c>
      <c r="J380" s="106" t="n">
        <v>1</v>
      </c>
      <c r="K380" s="106" t="n">
        <f aca="false">SUM(E380:J380)</f>
        <v>1</v>
      </c>
      <c r="L380" s="107" t="n">
        <v>0</v>
      </c>
      <c r="M380" s="107" t="n">
        <v>0</v>
      </c>
      <c r="N380" s="107" t="n">
        <v>0</v>
      </c>
      <c r="O380" s="107" t="n">
        <v>0</v>
      </c>
      <c r="P380" s="107" t="n">
        <v>0</v>
      </c>
      <c r="Q380" s="107" t="n">
        <v>4</v>
      </c>
      <c r="R380" s="107" t="n">
        <f aca="false">SUM(L380:Q380)</f>
        <v>4</v>
      </c>
      <c r="S380" s="108" t="n">
        <v>0</v>
      </c>
      <c r="T380" s="108" t="n">
        <v>0</v>
      </c>
      <c r="U380" s="108" t="n">
        <v>0</v>
      </c>
      <c r="V380" s="108" t="n">
        <v>0</v>
      </c>
      <c r="W380" s="108" t="n">
        <v>0</v>
      </c>
      <c r="X380" s="108" t="n">
        <v>0</v>
      </c>
      <c r="Y380" s="107" t="n">
        <f aca="false">S380*$D380</f>
        <v>0</v>
      </c>
      <c r="Z380" s="107" t="n">
        <f aca="false">T380*$D380</f>
        <v>0</v>
      </c>
      <c r="AA380" s="107" t="n">
        <f aca="false">U380*$D380</f>
        <v>0</v>
      </c>
      <c r="AB380" s="107" t="n">
        <f aca="false">V380*$D380</f>
        <v>0</v>
      </c>
      <c r="AC380" s="107" t="n">
        <f aca="false">W380*$D380</f>
        <v>0</v>
      </c>
      <c r="AD380" s="107" t="n">
        <f aca="false">X380*$D380</f>
        <v>0</v>
      </c>
      <c r="AE380" s="107" t="n">
        <f aca="false">SUM(Y380:AD380)</f>
        <v>0</v>
      </c>
    </row>
    <row r="381" customFormat="false" ht="15" hidden="false" customHeight="false" outlineLevel="0" collapsed="false">
      <c r="A381" s="103" t="s">
        <v>825</v>
      </c>
      <c r="B381" s="104" t="n">
        <v>0</v>
      </c>
      <c r="C381" s="105" t="n">
        <f aca="false">IF(K381=0,0,R381/K381)</f>
        <v>3.6</v>
      </c>
      <c r="D381" s="105" t="n">
        <f aca="false">C381+B381</f>
        <v>3.6</v>
      </c>
      <c r="E381" s="106" t="n">
        <v>0</v>
      </c>
      <c r="F381" s="106" t="n">
        <v>0</v>
      </c>
      <c r="G381" s="106" t="n">
        <v>0</v>
      </c>
      <c r="H381" s="106" t="n">
        <v>0</v>
      </c>
      <c r="I381" s="106" t="n">
        <v>1</v>
      </c>
      <c r="J381" s="106" t="n">
        <v>0</v>
      </c>
      <c r="K381" s="106" t="n">
        <f aca="false">SUM(E381:J381)</f>
        <v>1</v>
      </c>
      <c r="L381" s="107" t="n">
        <v>0</v>
      </c>
      <c r="M381" s="107" t="n">
        <v>0</v>
      </c>
      <c r="N381" s="107" t="n">
        <v>0</v>
      </c>
      <c r="O381" s="107" t="n">
        <v>0</v>
      </c>
      <c r="P381" s="107" t="n">
        <v>3.6</v>
      </c>
      <c r="Q381" s="107" t="n">
        <v>0</v>
      </c>
      <c r="R381" s="107" t="n">
        <f aca="false">SUM(L381:Q381)</f>
        <v>3.6</v>
      </c>
      <c r="S381" s="108" t="n">
        <v>0</v>
      </c>
      <c r="T381" s="108" t="n">
        <v>0</v>
      </c>
      <c r="U381" s="108" t="n">
        <v>0</v>
      </c>
      <c r="V381" s="108" t="n">
        <v>0</v>
      </c>
      <c r="W381" s="108" t="n">
        <v>0</v>
      </c>
      <c r="X381" s="108" t="n">
        <v>0</v>
      </c>
      <c r="Y381" s="107" t="n">
        <f aca="false">S381*$D381</f>
        <v>0</v>
      </c>
      <c r="Z381" s="107" t="n">
        <f aca="false">T381*$D381</f>
        <v>0</v>
      </c>
      <c r="AA381" s="107" t="n">
        <f aca="false">U381*$D381</f>
        <v>0</v>
      </c>
      <c r="AB381" s="107" t="n">
        <f aca="false">V381*$D381</f>
        <v>0</v>
      </c>
      <c r="AC381" s="107" t="n">
        <f aca="false">W381*$D381</f>
        <v>0</v>
      </c>
      <c r="AD381" s="107" t="n">
        <f aca="false">X381*$D381</f>
        <v>0</v>
      </c>
      <c r="AE381" s="107" t="n">
        <f aca="false">SUM(Y381:AD381)</f>
        <v>0</v>
      </c>
    </row>
    <row r="382" customFormat="false" ht="15" hidden="false" customHeight="false" outlineLevel="0" collapsed="false">
      <c r="A382" s="103" t="s">
        <v>826</v>
      </c>
      <c r="B382" s="104" t="n">
        <v>0</v>
      </c>
      <c r="C382" s="105" t="n">
        <f aca="false">IF(K382=0,0,R382/K382)</f>
        <v>3.4</v>
      </c>
      <c r="D382" s="105" t="n">
        <f aca="false">C382+B382</f>
        <v>3.4</v>
      </c>
      <c r="E382" s="106" t="n">
        <v>1</v>
      </c>
      <c r="F382" s="106" t="n">
        <v>0</v>
      </c>
      <c r="G382" s="106" t="n">
        <v>0</v>
      </c>
      <c r="H382" s="106" t="n">
        <v>0</v>
      </c>
      <c r="I382" s="106" t="n">
        <v>0</v>
      </c>
      <c r="J382" s="106" t="n">
        <v>0</v>
      </c>
      <c r="K382" s="106" t="n">
        <f aca="false">SUM(E382:J382)</f>
        <v>1</v>
      </c>
      <c r="L382" s="107" t="n">
        <v>3.4</v>
      </c>
      <c r="M382" s="107" t="n">
        <v>0</v>
      </c>
      <c r="N382" s="107" t="n">
        <v>0</v>
      </c>
      <c r="O382" s="107" t="n">
        <v>0</v>
      </c>
      <c r="P382" s="107" t="n">
        <v>0</v>
      </c>
      <c r="Q382" s="107" t="n">
        <v>0</v>
      </c>
      <c r="R382" s="107" t="n">
        <f aca="false">SUM(L382:Q382)</f>
        <v>3.4</v>
      </c>
      <c r="S382" s="108" t="n">
        <v>0</v>
      </c>
      <c r="T382" s="108" t="n">
        <v>0</v>
      </c>
      <c r="U382" s="108" t="n">
        <v>0</v>
      </c>
      <c r="V382" s="108" t="n">
        <v>0</v>
      </c>
      <c r="W382" s="108" t="n">
        <v>0</v>
      </c>
      <c r="X382" s="108" t="n">
        <v>0</v>
      </c>
      <c r="Y382" s="107" t="n">
        <f aca="false">S382*$D382</f>
        <v>0</v>
      </c>
      <c r="Z382" s="107" t="n">
        <f aca="false">T382*$D382</f>
        <v>0</v>
      </c>
      <c r="AA382" s="107" t="n">
        <f aca="false">U382*$D382</f>
        <v>0</v>
      </c>
      <c r="AB382" s="107" t="n">
        <f aca="false">V382*$D382</f>
        <v>0</v>
      </c>
      <c r="AC382" s="107" t="n">
        <f aca="false">W382*$D382</f>
        <v>0</v>
      </c>
      <c r="AD382" s="107" t="n">
        <f aca="false">X382*$D382</f>
        <v>0</v>
      </c>
      <c r="AE382" s="107" t="n">
        <f aca="false">SUM(Y382:AD382)</f>
        <v>0</v>
      </c>
    </row>
    <row r="383" customFormat="false" ht="15" hidden="false" customHeight="false" outlineLevel="0" collapsed="false">
      <c r="A383" s="103" t="s">
        <v>827</v>
      </c>
      <c r="B383" s="104" t="n">
        <v>0</v>
      </c>
      <c r="C383" s="105" t="n">
        <f aca="false">IF(K383=0,0,R383/K383)</f>
        <v>3.4</v>
      </c>
      <c r="D383" s="105" t="n">
        <f aca="false">C383+B383</f>
        <v>3.4</v>
      </c>
      <c r="E383" s="106" t="n">
        <v>0</v>
      </c>
      <c r="F383" s="106" t="n">
        <v>0</v>
      </c>
      <c r="G383" s="106" t="n">
        <v>1</v>
      </c>
      <c r="H383" s="106" t="n">
        <v>0</v>
      </c>
      <c r="I383" s="106" t="n">
        <v>0</v>
      </c>
      <c r="J383" s="106" t="n">
        <v>0</v>
      </c>
      <c r="K383" s="106" t="n">
        <f aca="false">SUM(E383:J383)</f>
        <v>1</v>
      </c>
      <c r="L383" s="107" t="n">
        <v>0</v>
      </c>
      <c r="M383" s="107" t="n">
        <v>0</v>
      </c>
      <c r="N383" s="107" t="n">
        <v>3.4</v>
      </c>
      <c r="O383" s="107" t="n">
        <v>0</v>
      </c>
      <c r="P383" s="107" t="n">
        <v>0</v>
      </c>
      <c r="Q383" s="107" t="n">
        <v>0</v>
      </c>
      <c r="R383" s="107" t="n">
        <f aca="false">SUM(L383:Q383)</f>
        <v>3.4</v>
      </c>
      <c r="S383" s="108" t="n">
        <v>0</v>
      </c>
      <c r="T383" s="108" t="n">
        <v>0</v>
      </c>
      <c r="U383" s="108" t="n">
        <v>0</v>
      </c>
      <c r="V383" s="108" t="n">
        <v>0</v>
      </c>
      <c r="W383" s="108" t="n">
        <v>0</v>
      </c>
      <c r="X383" s="108" t="n">
        <v>0</v>
      </c>
      <c r="Y383" s="107" t="n">
        <f aca="false">S383*$D383</f>
        <v>0</v>
      </c>
      <c r="Z383" s="107" t="n">
        <f aca="false">T383*$D383</f>
        <v>0</v>
      </c>
      <c r="AA383" s="107" t="n">
        <f aca="false">U383*$D383</f>
        <v>0</v>
      </c>
      <c r="AB383" s="107" t="n">
        <f aca="false">V383*$D383</f>
        <v>0</v>
      </c>
      <c r="AC383" s="107" t="n">
        <f aca="false">W383*$D383</f>
        <v>0</v>
      </c>
      <c r="AD383" s="107" t="n">
        <f aca="false">X383*$D383</f>
        <v>0</v>
      </c>
      <c r="AE383" s="107" t="n">
        <f aca="false">SUM(Y383:AD383)</f>
        <v>0</v>
      </c>
    </row>
    <row r="384" customFormat="false" ht="15" hidden="false" customHeight="false" outlineLevel="0" collapsed="false">
      <c r="A384" s="103" t="s">
        <v>828</v>
      </c>
      <c r="B384" s="104" t="n">
        <v>0</v>
      </c>
      <c r="C384" s="105" t="n">
        <f aca="false">IF(K384=0,0,R384/K384)</f>
        <v>3.4</v>
      </c>
      <c r="D384" s="105" t="n">
        <f aca="false">C384+B384</f>
        <v>3.4</v>
      </c>
      <c r="E384" s="106" t="n">
        <v>0</v>
      </c>
      <c r="F384" s="106" t="n">
        <v>0</v>
      </c>
      <c r="G384" s="106" t="n">
        <v>0</v>
      </c>
      <c r="H384" s="106" t="n">
        <v>0</v>
      </c>
      <c r="I384" s="106" t="n">
        <v>1</v>
      </c>
      <c r="J384" s="106" t="n">
        <v>0</v>
      </c>
      <c r="K384" s="106" t="n">
        <f aca="false">SUM(E384:J384)</f>
        <v>1</v>
      </c>
      <c r="L384" s="107" t="n">
        <v>0</v>
      </c>
      <c r="M384" s="107" t="n">
        <v>0</v>
      </c>
      <c r="N384" s="107" t="n">
        <v>0</v>
      </c>
      <c r="O384" s="107" t="n">
        <v>0</v>
      </c>
      <c r="P384" s="107" t="n">
        <v>3.4</v>
      </c>
      <c r="Q384" s="107" t="n">
        <v>0</v>
      </c>
      <c r="R384" s="107" t="n">
        <f aca="false">SUM(L384:Q384)</f>
        <v>3.4</v>
      </c>
      <c r="S384" s="108" t="n">
        <v>0</v>
      </c>
      <c r="T384" s="108" t="n">
        <v>0</v>
      </c>
      <c r="U384" s="108" t="n">
        <v>0</v>
      </c>
      <c r="V384" s="108" t="n">
        <v>0</v>
      </c>
      <c r="W384" s="108" t="n">
        <v>0</v>
      </c>
      <c r="X384" s="108" t="n">
        <v>0</v>
      </c>
      <c r="Y384" s="107" t="n">
        <f aca="false">S384*$D384</f>
        <v>0</v>
      </c>
      <c r="Z384" s="107" t="n">
        <f aca="false">T384*$D384</f>
        <v>0</v>
      </c>
      <c r="AA384" s="107" t="n">
        <f aca="false">U384*$D384</f>
        <v>0</v>
      </c>
      <c r="AB384" s="107" t="n">
        <f aca="false">V384*$D384</f>
        <v>0</v>
      </c>
      <c r="AC384" s="107" t="n">
        <f aca="false">W384*$D384</f>
        <v>0</v>
      </c>
      <c r="AD384" s="107" t="n">
        <f aca="false">X384*$D384</f>
        <v>0</v>
      </c>
      <c r="AE384" s="107" t="n">
        <f aca="false">SUM(Y384:AD384)</f>
        <v>0</v>
      </c>
    </row>
    <row r="385" customFormat="false" ht="15" hidden="false" customHeight="false" outlineLevel="0" collapsed="false">
      <c r="A385" s="103" t="s">
        <v>829</v>
      </c>
      <c r="B385" s="104" t="n">
        <v>0</v>
      </c>
      <c r="C385" s="105" t="n">
        <f aca="false">IF(K385=0,0,R385/K385)</f>
        <v>3.2</v>
      </c>
      <c r="D385" s="105" t="n">
        <f aca="false">C385+B385</f>
        <v>3.2</v>
      </c>
      <c r="E385" s="106" t="n">
        <v>1</v>
      </c>
      <c r="F385" s="106" t="n">
        <v>0</v>
      </c>
      <c r="G385" s="106" t="n">
        <v>0</v>
      </c>
      <c r="H385" s="106" t="n">
        <v>0</v>
      </c>
      <c r="I385" s="106" t="n">
        <v>0</v>
      </c>
      <c r="J385" s="106" t="n">
        <v>0</v>
      </c>
      <c r="K385" s="106" t="n">
        <f aca="false">SUM(E385:J385)</f>
        <v>1</v>
      </c>
      <c r="L385" s="107" t="n">
        <v>3.2</v>
      </c>
      <c r="M385" s="107" t="n">
        <v>0</v>
      </c>
      <c r="N385" s="107" t="n">
        <v>0</v>
      </c>
      <c r="O385" s="107" t="n">
        <v>0</v>
      </c>
      <c r="P385" s="107" t="n">
        <v>0</v>
      </c>
      <c r="Q385" s="107" t="n">
        <v>0</v>
      </c>
      <c r="R385" s="107" t="n">
        <f aca="false">SUM(L385:Q385)</f>
        <v>3.2</v>
      </c>
      <c r="S385" s="108" t="n">
        <v>0</v>
      </c>
      <c r="T385" s="108" t="n">
        <v>0</v>
      </c>
      <c r="U385" s="108" t="n">
        <v>0</v>
      </c>
      <c r="V385" s="108" t="n">
        <v>0</v>
      </c>
      <c r="W385" s="108" t="n">
        <v>0</v>
      </c>
      <c r="X385" s="108" t="n">
        <v>0</v>
      </c>
      <c r="Y385" s="107" t="n">
        <f aca="false">S385*$D385</f>
        <v>0</v>
      </c>
      <c r="Z385" s="107" t="n">
        <f aca="false">T385*$D385</f>
        <v>0</v>
      </c>
      <c r="AA385" s="107" t="n">
        <f aca="false">U385*$D385</f>
        <v>0</v>
      </c>
      <c r="AB385" s="107" t="n">
        <f aca="false">V385*$D385</f>
        <v>0</v>
      </c>
      <c r="AC385" s="107" t="n">
        <f aca="false">W385*$D385</f>
        <v>0</v>
      </c>
      <c r="AD385" s="107" t="n">
        <f aca="false">X385*$D385</f>
        <v>0</v>
      </c>
      <c r="AE385" s="107" t="n">
        <f aca="false">SUM(Y385:AD385)</f>
        <v>0</v>
      </c>
    </row>
    <row r="386" customFormat="false" ht="15" hidden="false" customHeight="false" outlineLevel="0" collapsed="false">
      <c r="A386" s="103" t="s">
        <v>830</v>
      </c>
      <c r="B386" s="104" t="n">
        <v>0</v>
      </c>
      <c r="C386" s="105" t="n">
        <f aca="false">IF(K386=0,0,R386/K386)</f>
        <v>1.5</v>
      </c>
      <c r="D386" s="105" t="n">
        <f aca="false">C386+B386</f>
        <v>1.5</v>
      </c>
      <c r="E386" s="106" t="n">
        <v>0</v>
      </c>
      <c r="F386" s="106" t="n">
        <v>0</v>
      </c>
      <c r="G386" s="106" t="n">
        <v>2</v>
      </c>
      <c r="H386" s="106" t="n">
        <v>0</v>
      </c>
      <c r="I386" s="106" t="n">
        <v>0</v>
      </c>
      <c r="J386" s="106" t="n">
        <v>0</v>
      </c>
      <c r="K386" s="106" t="n">
        <f aca="false">SUM(E386:J386)</f>
        <v>2</v>
      </c>
      <c r="L386" s="107" t="n">
        <v>0</v>
      </c>
      <c r="M386" s="107" t="n">
        <v>0</v>
      </c>
      <c r="N386" s="107" t="n">
        <v>3</v>
      </c>
      <c r="O386" s="107" t="n">
        <v>0</v>
      </c>
      <c r="P386" s="107" t="n">
        <v>0</v>
      </c>
      <c r="Q386" s="107" t="n">
        <v>0</v>
      </c>
      <c r="R386" s="107" t="n">
        <f aca="false">SUM(L386:Q386)</f>
        <v>3</v>
      </c>
      <c r="S386" s="108" t="n">
        <v>0</v>
      </c>
      <c r="T386" s="108" t="n">
        <v>0</v>
      </c>
      <c r="U386" s="108" t="n">
        <v>0</v>
      </c>
      <c r="V386" s="108" t="n">
        <v>0</v>
      </c>
      <c r="W386" s="108" t="n">
        <v>0</v>
      </c>
      <c r="X386" s="108" t="n">
        <v>0</v>
      </c>
      <c r="Y386" s="107" t="n">
        <f aca="false">S386*$D386</f>
        <v>0</v>
      </c>
      <c r="Z386" s="107" t="n">
        <f aca="false">T386*$D386</f>
        <v>0</v>
      </c>
      <c r="AA386" s="107" t="n">
        <f aca="false">U386*$D386</f>
        <v>0</v>
      </c>
      <c r="AB386" s="107" t="n">
        <f aca="false">V386*$D386</f>
        <v>0</v>
      </c>
      <c r="AC386" s="107" t="n">
        <f aca="false">W386*$D386</f>
        <v>0</v>
      </c>
      <c r="AD386" s="107" t="n">
        <f aca="false">X386*$D386</f>
        <v>0</v>
      </c>
      <c r="AE386" s="107" t="n">
        <f aca="false">SUM(Y386:AD386)</f>
        <v>0</v>
      </c>
    </row>
    <row r="387" customFormat="false" ht="15" hidden="false" customHeight="false" outlineLevel="0" collapsed="false">
      <c r="A387" s="103" t="s">
        <v>831</v>
      </c>
      <c r="B387" s="104" t="n">
        <v>0</v>
      </c>
      <c r="C387" s="105" t="n">
        <f aca="false">IF(K387=0,0,R387/K387)</f>
        <v>2.8</v>
      </c>
      <c r="D387" s="105" t="n">
        <f aca="false">C387+B387</f>
        <v>2.8</v>
      </c>
      <c r="E387" s="106" t="n">
        <v>0</v>
      </c>
      <c r="F387" s="106" t="n">
        <v>0</v>
      </c>
      <c r="G387" s="106" t="n">
        <v>0</v>
      </c>
      <c r="H387" s="106" t="n">
        <v>0</v>
      </c>
      <c r="I387" s="106" t="n">
        <v>0</v>
      </c>
      <c r="J387" s="106" t="n">
        <v>1</v>
      </c>
      <c r="K387" s="106" t="n">
        <f aca="false">SUM(E387:J387)</f>
        <v>1</v>
      </c>
      <c r="L387" s="107" t="n">
        <v>0</v>
      </c>
      <c r="M387" s="107" t="n">
        <v>0</v>
      </c>
      <c r="N387" s="107" t="n">
        <v>0</v>
      </c>
      <c r="O387" s="107" t="n">
        <v>0</v>
      </c>
      <c r="P387" s="107" t="n">
        <v>0</v>
      </c>
      <c r="Q387" s="107" t="n">
        <v>2.8</v>
      </c>
      <c r="R387" s="107" t="n">
        <f aca="false">SUM(L387:Q387)</f>
        <v>2.8</v>
      </c>
      <c r="S387" s="108" t="n">
        <v>0</v>
      </c>
      <c r="T387" s="108" t="n">
        <v>0</v>
      </c>
      <c r="U387" s="108" t="n">
        <v>0</v>
      </c>
      <c r="V387" s="108" t="n">
        <v>0</v>
      </c>
      <c r="W387" s="108" t="n">
        <v>0</v>
      </c>
      <c r="X387" s="108" t="n">
        <v>0</v>
      </c>
      <c r="Y387" s="107" t="n">
        <f aca="false">S387*$D387</f>
        <v>0</v>
      </c>
      <c r="Z387" s="107" t="n">
        <f aca="false">T387*$D387</f>
        <v>0</v>
      </c>
      <c r="AA387" s="107" t="n">
        <f aca="false">U387*$D387</f>
        <v>0</v>
      </c>
      <c r="AB387" s="107" t="n">
        <f aca="false">V387*$D387</f>
        <v>0</v>
      </c>
      <c r="AC387" s="107" t="n">
        <f aca="false">W387*$D387</f>
        <v>0</v>
      </c>
      <c r="AD387" s="107" t="n">
        <f aca="false">X387*$D387</f>
        <v>0</v>
      </c>
      <c r="AE387" s="107" t="n">
        <f aca="false">SUM(Y387:AD387)</f>
        <v>0</v>
      </c>
    </row>
    <row r="388" customFormat="false" ht="15" hidden="false" customHeight="false" outlineLevel="0" collapsed="false">
      <c r="A388" s="103" t="s">
        <v>832</v>
      </c>
      <c r="B388" s="104" t="n">
        <v>0</v>
      </c>
      <c r="C388" s="105" t="n">
        <f aca="false">IF(K388=0,0,R388/K388)</f>
        <v>2.55</v>
      </c>
      <c r="D388" s="105" t="n">
        <f aca="false">C388+B388</f>
        <v>2.55</v>
      </c>
      <c r="E388" s="106" t="n">
        <v>0</v>
      </c>
      <c r="F388" s="106" t="n">
        <v>0</v>
      </c>
      <c r="G388" s="106" t="n">
        <v>1</v>
      </c>
      <c r="H388" s="106" t="n">
        <v>0</v>
      </c>
      <c r="I388" s="106" t="n">
        <v>0</v>
      </c>
      <c r="J388" s="106" t="n">
        <v>0</v>
      </c>
      <c r="K388" s="106" t="n">
        <f aca="false">SUM(E388:J388)</f>
        <v>1</v>
      </c>
      <c r="L388" s="107" t="n">
        <v>0</v>
      </c>
      <c r="M388" s="107" t="n">
        <v>0</v>
      </c>
      <c r="N388" s="107" t="n">
        <v>2.55</v>
      </c>
      <c r="O388" s="107" t="n">
        <v>0</v>
      </c>
      <c r="P388" s="107" t="n">
        <v>0</v>
      </c>
      <c r="Q388" s="107" t="n">
        <v>0</v>
      </c>
      <c r="R388" s="107" t="n">
        <f aca="false">SUM(L388:Q388)</f>
        <v>2.55</v>
      </c>
      <c r="S388" s="108" t="n">
        <v>0</v>
      </c>
      <c r="T388" s="108" t="n">
        <v>0</v>
      </c>
      <c r="U388" s="108" t="n">
        <v>0</v>
      </c>
      <c r="V388" s="108" t="n">
        <v>0</v>
      </c>
      <c r="W388" s="108" t="n">
        <v>0</v>
      </c>
      <c r="X388" s="108" t="n">
        <v>0</v>
      </c>
      <c r="Y388" s="107" t="n">
        <f aca="false">S388*$D388</f>
        <v>0</v>
      </c>
      <c r="Z388" s="107" t="n">
        <f aca="false">T388*$D388</f>
        <v>0</v>
      </c>
      <c r="AA388" s="107" t="n">
        <f aca="false">U388*$D388</f>
        <v>0</v>
      </c>
      <c r="AB388" s="107" t="n">
        <f aca="false">V388*$D388</f>
        <v>0</v>
      </c>
      <c r="AC388" s="107" t="n">
        <f aca="false">W388*$D388</f>
        <v>0</v>
      </c>
      <c r="AD388" s="107" t="n">
        <f aca="false">X388*$D388</f>
        <v>0</v>
      </c>
      <c r="AE388" s="107" t="n">
        <f aca="false">SUM(Y388:AD388)</f>
        <v>0</v>
      </c>
    </row>
    <row r="389" customFormat="false" ht="15" hidden="false" customHeight="false" outlineLevel="0" collapsed="false">
      <c r="A389" s="103" t="s">
        <v>833</v>
      </c>
      <c r="B389" s="104" t="n">
        <v>0</v>
      </c>
      <c r="C389" s="105" t="n">
        <f aca="false">IF(K389=0,0,R389/K389)</f>
        <v>2</v>
      </c>
      <c r="D389" s="105" t="n">
        <f aca="false">C389+B389</f>
        <v>2</v>
      </c>
      <c r="E389" s="106" t="n">
        <v>0</v>
      </c>
      <c r="F389" s="106" t="n">
        <v>0</v>
      </c>
      <c r="G389" s="106" t="n">
        <v>1</v>
      </c>
      <c r="H389" s="106" t="n">
        <v>0</v>
      </c>
      <c r="I389" s="106" t="n">
        <v>0</v>
      </c>
      <c r="J389" s="106" t="n">
        <v>0</v>
      </c>
      <c r="K389" s="106" t="n">
        <f aca="false">SUM(E389:J389)</f>
        <v>1</v>
      </c>
      <c r="L389" s="107" t="n">
        <v>0</v>
      </c>
      <c r="M389" s="107" t="n">
        <v>0</v>
      </c>
      <c r="N389" s="107" t="n">
        <v>2</v>
      </c>
      <c r="O389" s="107" t="n">
        <v>0</v>
      </c>
      <c r="P389" s="107" t="n">
        <v>0</v>
      </c>
      <c r="Q389" s="107" t="n">
        <v>0</v>
      </c>
      <c r="R389" s="107" t="n">
        <f aca="false">SUM(L389:Q389)</f>
        <v>2</v>
      </c>
      <c r="S389" s="108" t="n">
        <v>0</v>
      </c>
      <c r="T389" s="108" t="n">
        <v>0</v>
      </c>
      <c r="U389" s="108" t="n">
        <v>0</v>
      </c>
      <c r="V389" s="108" t="n">
        <v>0</v>
      </c>
      <c r="W389" s="108" t="n">
        <v>0</v>
      </c>
      <c r="X389" s="108" t="n">
        <v>0</v>
      </c>
      <c r="Y389" s="107" t="n">
        <f aca="false">S389*$D389</f>
        <v>0</v>
      </c>
      <c r="Z389" s="107" t="n">
        <f aca="false">T389*$D389</f>
        <v>0</v>
      </c>
      <c r="AA389" s="107" t="n">
        <f aca="false">U389*$D389</f>
        <v>0</v>
      </c>
      <c r="AB389" s="107" t="n">
        <f aca="false">V389*$D389</f>
        <v>0</v>
      </c>
      <c r="AC389" s="107" t="n">
        <f aca="false">W389*$D389</f>
        <v>0</v>
      </c>
      <c r="AD389" s="107" t="n">
        <f aca="false">X389*$D389</f>
        <v>0</v>
      </c>
      <c r="AE389" s="107" t="n">
        <f aca="false">SUM(Y389:AD389)</f>
        <v>0</v>
      </c>
    </row>
    <row r="390" customFormat="false" ht="15" hidden="false" customHeight="false" outlineLevel="0" collapsed="false">
      <c r="A390" s="103" t="s">
        <v>834</v>
      </c>
      <c r="B390" s="104" t="n">
        <v>0</v>
      </c>
      <c r="C390" s="105" t="n">
        <f aca="false">IF(K390=0,0,R390/K390)</f>
        <v>0.5</v>
      </c>
      <c r="D390" s="105" t="n">
        <f aca="false">C390+B390</f>
        <v>0.5</v>
      </c>
      <c r="E390" s="106" t="n">
        <v>0</v>
      </c>
      <c r="F390" s="106" t="n">
        <v>0</v>
      </c>
      <c r="G390" s="106" t="n">
        <v>0</v>
      </c>
      <c r="H390" s="106" t="n">
        <v>2</v>
      </c>
      <c r="I390" s="106" t="n">
        <v>0</v>
      </c>
      <c r="J390" s="106" t="n">
        <v>0</v>
      </c>
      <c r="K390" s="106" t="n">
        <f aca="false">SUM(E390:J390)</f>
        <v>2</v>
      </c>
      <c r="L390" s="107" t="n">
        <v>0</v>
      </c>
      <c r="M390" s="107" t="n">
        <v>0</v>
      </c>
      <c r="N390" s="107" t="n">
        <v>0</v>
      </c>
      <c r="O390" s="107" t="n">
        <v>1</v>
      </c>
      <c r="P390" s="107" t="n">
        <v>0</v>
      </c>
      <c r="Q390" s="107" t="n">
        <v>0</v>
      </c>
      <c r="R390" s="107" t="n">
        <f aca="false">SUM(L390:Q390)</f>
        <v>1</v>
      </c>
      <c r="S390" s="108" t="n">
        <v>1</v>
      </c>
      <c r="T390" s="108" t="n">
        <v>1</v>
      </c>
      <c r="U390" s="108" t="n">
        <v>1</v>
      </c>
      <c r="V390" s="108" t="n">
        <v>1</v>
      </c>
      <c r="W390" s="108" t="n">
        <v>1</v>
      </c>
      <c r="X390" s="108" t="n">
        <v>1</v>
      </c>
      <c r="Y390" s="107" t="n">
        <f aca="false">S390*$D390</f>
        <v>0.5</v>
      </c>
      <c r="Z390" s="107" t="n">
        <f aca="false">T390*$D390</f>
        <v>0.5</v>
      </c>
      <c r="AA390" s="107" t="n">
        <f aca="false">U390*$D390</f>
        <v>0.5</v>
      </c>
      <c r="AB390" s="107" t="n">
        <f aca="false">V390*$D390</f>
        <v>0.5</v>
      </c>
      <c r="AC390" s="107" t="n">
        <f aca="false">W390*$D390</f>
        <v>0.5</v>
      </c>
      <c r="AD390" s="107" t="n">
        <f aca="false">X390*$D390</f>
        <v>0.5</v>
      </c>
      <c r="AE390" s="107" t="n">
        <f aca="false">SUM(Y390:AD390)</f>
        <v>3</v>
      </c>
    </row>
    <row r="391" customFormat="false" ht="15" hidden="false" customHeight="false" outlineLevel="0" collapsed="false">
      <c r="A391" s="103" t="s">
        <v>835</v>
      </c>
      <c r="B391" s="104" t="n">
        <v>0</v>
      </c>
      <c r="C391" s="105" t="n">
        <f aca="false">IF(K391=0,0,R391/K391)</f>
        <v>0.85</v>
      </c>
      <c r="D391" s="105" t="n">
        <f aca="false">C391+B391</f>
        <v>0.85</v>
      </c>
      <c r="E391" s="106" t="n">
        <v>1</v>
      </c>
      <c r="F391" s="106" t="n">
        <v>0</v>
      </c>
      <c r="G391" s="106" t="n">
        <v>0</v>
      </c>
      <c r="H391" s="106" t="n">
        <v>0</v>
      </c>
      <c r="I391" s="106" t="n">
        <v>0</v>
      </c>
      <c r="J391" s="106" t="n">
        <v>0</v>
      </c>
      <c r="K391" s="106" t="n">
        <f aca="false">SUM(E391:J391)</f>
        <v>1</v>
      </c>
      <c r="L391" s="107" t="n">
        <v>0.85</v>
      </c>
      <c r="M391" s="107" t="n">
        <v>0</v>
      </c>
      <c r="N391" s="107" t="n">
        <v>0</v>
      </c>
      <c r="O391" s="107" t="n">
        <v>0</v>
      </c>
      <c r="P391" s="107" t="n">
        <v>0</v>
      </c>
      <c r="Q391" s="107" t="n">
        <v>0</v>
      </c>
      <c r="R391" s="107" t="n">
        <f aca="false">SUM(L391:Q391)</f>
        <v>0.85</v>
      </c>
      <c r="S391" s="108" t="n">
        <v>0</v>
      </c>
      <c r="T391" s="108" t="n">
        <v>0</v>
      </c>
      <c r="U391" s="108" t="n">
        <v>0</v>
      </c>
      <c r="V391" s="108" t="n">
        <v>0</v>
      </c>
      <c r="W391" s="108" t="n">
        <v>0</v>
      </c>
      <c r="X391" s="108" t="n">
        <v>0</v>
      </c>
      <c r="Y391" s="107" t="n">
        <f aca="false">S391*$D391</f>
        <v>0</v>
      </c>
      <c r="Z391" s="107" t="n">
        <f aca="false">T391*$D391</f>
        <v>0</v>
      </c>
      <c r="AA391" s="107" t="n">
        <f aca="false">U391*$D391</f>
        <v>0</v>
      </c>
      <c r="AB391" s="107" t="n">
        <f aca="false">V391*$D391</f>
        <v>0</v>
      </c>
      <c r="AC391" s="107" t="n">
        <f aca="false">W391*$D391</f>
        <v>0</v>
      </c>
      <c r="AD391" s="107" t="n">
        <f aca="false">X391*$D391</f>
        <v>0</v>
      </c>
      <c r="AE391" s="107" t="n">
        <f aca="false">SUM(Y391:AD391)</f>
        <v>0</v>
      </c>
    </row>
    <row r="392" customFormat="false" ht="15" hidden="false" customHeight="false" outlineLevel="0" collapsed="false">
      <c r="A392" s="103" t="s">
        <v>836</v>
      </c>
      <c r="B392" s="104" t="n">
        <v>0</v>
      </c>
      <c r="C392" s="105" t="n">
        <f aca="false">IF(K392=0,0,R392/K392)</f>
        <v>0</v>
      </c>
      <c r="D392" s="105" t="n">
        <f aca="false">C392+B392</f>
        <v>0</v>
      </c>
      <c r="E392" s="106" t="n">
        <v>2</v>
      </c>
      <c r="F392" s="106" t="n">
        <v>0</v>
      </c>
      <c r="G392" s="106" t="n">
        <v>0</v>
      </c>
      <c r="H392" s="106" t="n">
        <v>2</v>
      </c>
      <c r="I392" s="106" t="n">
        <v>0</v>
      </c>
      <c r="J392" s="106" t="n">
        <v>0</v>
      </c>
      <c r="K392" s="106" t="n">
        <f aca="false">SUM(E392:J392)</f>
        <v>4</v>
      </c>
      <c r="L392" s="107" t="n">
        <v>0</v>
      </c>
      <c r="M392" s="107" t="n">
        <v>0</v>
      </c>
      <c r="N392" s="107" t="n">
        <v>0</v>
      </c>
      <c r="O392" s="107" t="n">
        <v>0</v>
      </c>
      <c r="P392" s="107" t="n">
        <v>0</v>
      </c>
      <c r="Q392" s="107" t="n">
        <v>0</v>
      </c>
      <c r="R392" s="107" t="n">
        <f aca="false">SUM(L392:Q392)</f>
        <v>0</v>
      </c>
      <c r="S392" s="108" t="n">
        <v>1</v>
      </c>
      <c r="T392" s="108" t="n">
        <v>1</v>
      </c>
      <c r="U392" s="108" t="n">
        <v>1</v>
      </c>
      <c r="V392" s="108" t="n">
        <v>1</v>
      </c>
      <c r="W392" s="108" t="n">
        <v>1</v>
      </c>
      <c r="X392" s="108" t="n">
        <v>1</v>
      </c>
      <c r="Y392" s="107" t="n">
        <f aca="false">S392*$D392</f>
        <v>0</v>
      </c>
      <c r="Z392" s="107" t="n">
        <f aca="false">T392*$D392</f>
        <v>0</v>
      </c>
      <c r="AA392" s="107" t="n">
        <f aca="false">U392*$D392</f>
        <v>0</v>
      </c>
      <c r="AB392" s="107" t="n">
        <f aca="false">V392*$D392</f>
        <v>0</v>
      </c>
      <c r="AC392" s="107" t="n">
        <f aca="false">W392*$D392</f>
        <v>0</v>
      </c>
      <c r="AD392" s="107" t="n">
        <f aca="false">X392*$D392</f>
        <v>0</v>
      </c>
      <c r="AE392" s="107" t="n">
        <f aca="false">SUM(Y392:AD392)</f>
        <v>0</v>
      </c>
    </row>
    <row r="393" customFormat="false" ht="15" hidden="false" customHeight="false" outlineLevel="0" collapsed="false">
      <c r="A393" s="103" t="s">
        <v>837</v>
      </c>
      <c r="B393" s="104" t="n">
        <v>0</v>
      </c>
      <c r="C393" s="105" t="n">
        <f aca="false">IF(K393=0,0,R393/K393)</f>
        <v>0</v>
      </c>
      <c r="D393" s="105" t="n">
        <f aca="false">C393+B393</f>
        <v>0</v>
      </c>
      <c r="E393" s="106" t="n">
        <v>0</v>
      </c>
      <c r="F393" s="106" t="n">
        <v>1</v>
      </c>
      <c r="G393" s="106" t="n">
        <v>0</v>
      </c>
      <c r="H393" s="106" t="n">
        <v>0</v>
      </c>
      <c r="I393" s="106" t="n">
        <v>0</v>
      </c>
      <c r="J393" s="106" t="n">
        <v>0</v>
      </c>
      <c r="K393" s="106" t="n">
        <f aca="false">SUM(E393:J393)</f>
        <v>1</v>
      </c>
      <c r="L393" s="107" t="n">
        <v>0</v>
      </c>
      <c r="M393" s="107" t="n">
        <v>0</v>
      </c>
      <c r="N393" s="107" t="n">
        <v>0</v>
      </c>
      <c r="O393" s="107" t="n">
        <v>0</v>
      </c>
      <c r="P393" s="107" t="n">
        <v>0</v>
      </c>
      <c r="Q393" s="107" t="n">
        <v>0</v>
      </c>
      <c r="R393" s="107" t="n">
        <f aca="false">SUM(L393:Q393)</f>
        <v>0</v>
      </c>
      <c r="S393" s="108" t="n">
        <v>0</v>
      </c>
      <c r="T393" s="108" t="n">
        <v>0</v>
      </c>
      <c r="U393" s="108" t="n">
        <v>0</v>
      </c>
      <c r="V393" s="108" t="n">
        <v>0</v>
      </c>
      <c r="W393" s="108" t="n">
        <v>0</v>
      </c>
      <c r="X393" s="108" t="n">
        <v>0</v>
      </c>
      <c r="Y393" s="107" t="n">
        <f aca="false">S393*$D393</f>
        <v>0</v>
      </c>
      <c r="Z393" s="107" t="n">
        <f aca="false">T393*$D393</f>
        <v>0</v>
      </c>
      <c r="AA393" s="107" t="n">
        <f aca="false">U393*$D393</f>
        <v>0</v>
      </c>
      <c r="AB393" s="107" t="n">
        <f aca="false">V393*$D393</f>
        <v>0</v>
      </c>
      <c r="AC393" s="107" t="n">
        <f aca="false">W393*$D393</f>
        <v>0</v>
      </c>
      <c r="AD393" s="107" t="n">
        <f aca="false">X393*$D393</f>
        <v>0</v>
      </c>
      <c r="AE393" s="107" t="n">
        <f aca="false">SUM(Y393:AD393)</f>
        <v>0</v>
      </c>
    </row>
    <row r="394" customFormat="false" ht="15" hidden="false" customHeight="false" outlineLevel="0" collapsed="false">
      <c r="A394" s="103" t="s">
        <v>838</v>
      </c>
      <c r="B394" s="104" t="n">
        <v>0</v>
      </c>
      <c r="C394" s="105" t="n">
        <f aca="false">IF(K394=0,0,R394/K394)</f>
        <v>0</v>
      </c>
      <c r="D394" s="105" t="n">
        <f aca="false">C394+B394</f>
        <v>0</v>
      </c>
      <c r="E394" s="106" t="n">
        <v>0</v>
      </c>
      <c r="F394" s="106" t="n">
        <v>0</v>
      </c>
      <c r="G394" s="106" t="n">
        <v>2</v>
      </c>
      <c r="H394" s="106" t="n">
        <v>2</v>
      </c>
      <c r="I394" s="106" t="n">
        <v>0</v>
      </c>
      <c r="J394" s="106" t="n">
        <v>0</v>
      </c>
      <c r="K394" s="106" t="n">
        <f aca="false">SUM(E394:J394)</f>
        <v>4</v>
      </c>
      <c r="L394" s="107" t="n">
        <v>0</v>
      </c>
      <c r="M394" s="107" t="n">
        <v>0</v>
      </c>
      <c r="N394" s="107" t="n">
        <v>0</v>
      </c>
      <c r="O394" s="107" t="n">
        <v>0</v>
      </c>
      <c r="P394" s="107" t="n">
        <v>0</v>
      </c>
      <c r="Q394" s="107" t="n">
        <v>0</v>
      </c>
      <c r="R394" s="107" t="n">
        <f aca="false">SUM(L394:Q394)</f>
        <v>0</v>
      </c>
      <c r="S394" s="108" t="n">
        <v>1</v>
      </c>
      <c r="T394" s="108" t="n">
        <v>1</v>
      </c>
      <c r="U394" s="108" t="n">
        <v>1</v>
      </c>
      <c r="V394" s="108" t="n">
        <v>1</v>
      </c>
      <c r="W394" s="108" t="n">
        <v>1</v>
      </c>
      <c r="X394" s="108" t="n">
        <v>1</v>
      </c>
      <c r="Y394" s="107" t="n">
        <f aca="false">S394*$D394</f>
        <v>0</v>
      </c>
      <c r="Z394" s="107" t="n">
        <f aca="false">T394*$D394</f>
        <v>0</v>
      </c>
      <c r="AA394" s="107" t="n">
        <f aca="false">U394*$D394</f>
        <v>0</v>
      </c>
      <c r="AB394" s="107" t="n">
        <f aca="false">V394*$D394</f>
        <v>0</v>
      </c>
      <c r="AC394" s="107" t="n">
        <f aca="false">W394*$D394</f>
        <v>0</v>
      </c>
      <c r="AD394" s="107" t="n">
        <f aca="false">X394*$D394</f>
        <v>0</v>
      </c>
      <c r="AE394" s="107" t="n">
        <f aca="false">SUM(Y394:AD394)</f>
        <v>0</v>
      </c>
    </row>
    <row r="395" customFormat="false" ht="15" hidden="false" customHeight="false" outlineLevel="0" collapsed="false">
      <c r="A395" s="103" t="s">
        <v>839</v>
      </c>
      <c r="B395" s="104" t="n">
        <v>0</v>
      </c>
      <c r="C395" s="105" t="n">
        <f aca="false">IF(K395=0,0,R395/K395)</f>
        <v>0</v>
      </c>
      <c r="D395" s="105" t="n">
        <f aca="false">C395+B395</f>
        <v>0</v>
      </c>
      <c r="E395" s="106" t="n">
        <v>0</v>
      </c>
      <c r="F395" s="106" t="n">
        <v>0</v>
      </c>
      <c r="G395" s="106" t="n">
        <v>0</v>
      </c>
      <c r="H395" s="106" t="n">
        <v>0</v>
      </c>
      <c r="I395" s="106" t="n">
        <v>0</v>
      </c>
      <c r="J395" s="106" t="n">
        <v>1</v>
      </c>
      <c r="K395" s="106" t="n">
        <f aca="false">SUM(E395:J395)</f>
        <v>1</v>
      </c>
      <c r="L395" s="107" t="n">
        <v>0</v>
      </c>
      <c r="M395" s="107" t="n">
        <v>0</v>
      </c>
      <c r="N395" s="107" t="n">
        <v>0</v>
      </c>
      <c r="O395" s="107" t="n">
        <v>0</v>
      </c>
      <c r="P395" s="107" t="n">
        <v>0</v>
      </c>
      <c r="Q395" s="107" t="n">
        <v>0</v>
      </c>
      <c r="R395" s="107" t="n">
        <f aca="false">SUM(L395:Q395)</f>
        <v>0</v>
      </c>
      <c r="S395" s="108" t="n">
        <v>0</v>
      </c>
      <c r="T395" s="108" t="n">
        <v>0</v>
      </c>
      <c r="U395" s="108" t="n">
        <v>0</v>
      </c>
      <c r="V395" s="108" t="n">
        <v>0</v>
      </c>
      <c r="W395" s="108" t="n">
        <v>0</v>
      </c>
      <c r="X395" s="108" t="n">
        <v>0</v>
      </c>
      <c r="Y395" s="107" t="n">
        <f aca="false">S395*$D395</f>
        <v>0</v>
      </c>
      <c r="Z395" s="107" t="n">
        <f aca="false">T395*$D395</f>
        <v>0</v>
      </c>
      <c r="AA395" s="107" t="n">
        <f aca="false">U395*$D395</f>
        <v>0</v>
      </c>
      <c r="AB395" s="107" t="n">
        <f aca="false">V395*$D395</f>
        <v>0</v>
      </c>
      <c r="AC395" s="107" t="n">
        <f aca="false">W395*$D395</f>
        <v>0</v>
      </c>
      <c r="AD395" s="107" t="n">
        <f aca="false">X395*$D395</f>
        <v>0</v>
      </c>
      <c r="AE395" s="107" t="n">
        <f aca="false">SUM(Y395:AD395)</f>
        <v>0</v>
      </c>
    </row>
    <row r="396" customFormat="false" ht="15" hidden="false" customHeight="false" outlineLevel="0" collapsed="false">
      <c r="A396" s="109" t="s">
        <v>840</v>
      </c>
      <c r="B396" s="110"/>
      <c r="C396" s="110"/>
      <c r="D396" s="110"/>
      <c r="E396" s="111" t="n">
        <f aca="false">SUM(E92:E395)</f>
        <v>929</v>
      </c>
      <c r="F396" s="111" t="n">
        <f aca="false">SUM(F92:F395)</f>
        <v>1129</v>
      </c>
      <c r="G396" s="111" t="n">
        <f aca="false">SUM(G92:G395)</f>
        <v>1348</v>
      </c>
      <c r="H396" s="111" t="n">
        <f aca="false">SUM(H92:H395)</f>
        <v>1345</v>
      </c>
      <c r="I396" s="111" t="n">
        <f aca="false">SUM(I92:I395)</f>
        <v>1468</v>
      </c>
      <c r="J396" s="111" t="n">
        <f aca="false">SUM(J92:J395)</f>
        <v>1528</v>
      </c>
      <c r="K396" s="111" t="n">
        <f aca="false">SUM(K92:K395)</f>
        <v>7747</v>
      </c>
      <c r="L396" s="112" t="n">
        <f aca="false">SUM(L92:L395)</f>
        <v>6385.29</v>
      </c>
      <c r="M396" s="112" t="n">
        <f aca="false">SUM(M92:M395)</f>
        <v>7122.49</v>
      </c>
      <c r="N396" s="112" t="n">
        <f aca="false">SUM(N92:N395)</f>
        <v>10863.59</v>
      </c>
      <c r="O396" s="112" t="n">
        <f aca="false">SUM(O92:O395)</f>
        <v>8858.55</v>
      </c>
      <c r="P396" s="112" t="n">
        <f aca="false">SUM(P92:P395)</f>
        <v>9976.52</v>
      </c>
      <c r="Q396" s="112" t="n">
        <f aca="false">SUM(Q92:Q395)</f>
        <v>10206.26</v>
      </c>
      <c r="R396" s="112" t="n">
        <f aca="false">SUM(R92:R395)</f>
        <v>53412.7</v>
      </c>
      <c r="S396" s="111" t="n">
        <f aca="false">SUM(S92:S395)</f>
        <v>1445</v>
      </c>
      <c r="T396" s="111" t="n">
        <f aca="false">SUM(T92:T395)</f>
        <v>1445</v>
      </c>
      <c r="U396" s="111" t="n">
        <f aca="false">SUM(U92:U395)</f>
        <v>1445</v>
      </c>
      <c r="V396" s="111" t="n">
        <f aca="false">SUM(V92:V395)</f>
        <v>1445</v>
      </c>
      <c r="W396" s="111" t="n">
        <f aca="false">SUM(W92:W395)</f>
        <v>1445</v>
      </c>
      <c r="X396" s="111" t="n">
        <f aca="false">SUM(X92:X395)</f>
        <v>1445</v>
      </c>
      <c r="Y396" s="112" t="n">
        <f aca="false">SUM(Y92:Y395)</f>
        <v>9885.13080841444</v>
      </c>
      <c r="Z396" s="112" t="n">
        <f aca="false">SUM(Z92:Z395)</f>
        <v>9885.13080841444</v>
      </c>
      <c r="AA396" s="112" t="n">
        <f aca="false">SUM(AA92:AA395)</f>
        <v>9885.13080841444</v>
      </c>
      <c r="AB396" s="112" t="n">
        <f aca="false">SUM(AB92:AB395)</f>
        <v>9885.13080841444</v>
      </c>
      <c r="AC396" s="112" t="n">
        <f aca="false">SUM(AC92:AC395)</f>
        <v>9885.13080841444</v>
      </c>
      <c r="AD396" s="112" t="n">
        <f aca="false">SUM(AD92:AD395)</f>
        <v>9885.13080841444</v>
      </c>
      <c r="AE396" s="112" t="n">
        <f aca="false">SUM(AE92:AE395)</f>
        <v>59310.7848504866</v>
      </c>
    </row>
    <row r="398" customFormat="false" ht="15" hidden="false" customHeight="false" outlineLevel="0" collapsed="false">
      <c r="A398" s="102" t="s">
        <v>841</v>
      </c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</row>
    <row r="399" customFormat="false" ht="15" hidden="false" customHeight="false" outlineLevel="0" collapsed="false">
      <c r="A399" s="103" t="s">
        <v>602</v>
      </c>
      <c r="B399" s="104" t="n">
        <v>0</v>
      </c>
      <c r="C399" s="105" t="n">
        <f aca="false">IF(K399=0,0,R399/K399)</f>
        <v>9.9349593495935</v>
      </c>
      <c r="D399" s="105" t="n">
        <f aca="false">C399+B399</f>
        <v>9.9349593495935</v>
      </c>
      <c r="E399" s="106" t="n">
        <v>0</v>
      </c>
      <c r="F399" s="106" t="n">
        <v>0</v>
      </c>
      <c r="G399" s="106" t="n">
        <v>0</v>
      </c>
      <c r="H399" s="106" t="n">
        <v>0</v>
      </c>
      <c r="I399" s="106" t="n">
        <v>45</v>
      </c>
      <c r="J399" s="106" t="n">
        <v>78</v>
      </c>
      <c r="K399" s="106" t="n">
        <f aca="false">SUM(E399:J399)</f>
        <v>123</v>
      </c>
      <c r="L399" s="107" t="n">
        <v>0</v>
      </c>
      <c r="M399" s="107" t="n">
        <v>0</v>
      </c>
      <c r="N399" s="107" t="n">
        <v>0</v>
      </c>
      <c r="O399" s="107" t="n">
        <v>0</v>
      </c>
      <c r="P399" s="107" t="n">
        <v>450</v>
      </c>
      <c r="Q399" s="107" t="n">
        <v>772</v>
      </c>
      <c r="R399" s="107" t="n">
        <f aca="false">SUM(L399:Q399)</f>
        <v>1222</v>
      </c>
      <c r="S399" s="108" t="n">
        <v>41</v>
      </c>
      <c r="T399" s="108" t="n">
        <v>41</v>
      </c>
      <c r="U399" s="108" t="n">
        <v>41</v>
      </c>
      <c r="V399" s="108" t="n">
        <v>41</v>
      </c>
      <c r="W399" s="108" t="n">
        <v>41</v>
      </c>
      <c r="X399" s="108" t="n">
        <v>41</v>
      </c>
      <c r="Y399" s="107" t="n">
        <f aca="false">S399*$D399</f>
        <v>407.333333333333</v>
      </c>
      <c r="Z399" s="107" t="n">
        <f aca="false">T399*$D399</f>
        <v>407.333333333333</v>
      </c>
      <c r="AA399" s="107" t="n">
        <f aca="false">U399*$D399</f>
        <v>407.333333333333</v>
      </c>
      <c r="AB399" s="107" t="n">
        <f aca="false">V399*$D399</f>
        <v>407.333333333333</v>
      </c>
      <c r="AC399" s="107" t="n">
        <f aca="false">W399*$D399</f>
        <v>407.333333333333</v>
      </c>
      <c r="AD399" s="107" t="n">
        <f aca="false">X399*$D399</f>
        <v>407.333333333333</v>
      </c>
      <c r="AE399" s="107" t="n">
        <f aca="false">SUM(Y399:AD399)</f>
        <v>2444</v>
      </c>
    </row>
    <row r="400" customFormat="false" ht="15" hidden="false" customHeight="false" outlineLevel="0" collapsed="false">
      <c r="A400" s="103" t="s">
        <v>842</v>
      </c>
      <c r="B400" s="104" t="n">
        <v>0</v>
      </c>
      <c r="C400" s="105" t="n">
        <f aca="false">IF(K400=0,0,R400/K400)</f>
        <v>9.17361111111111</v>
      </c>
      <c r="D400" s="105" t="n">
        <f aca="false">C400+B400</f>
        <v>9.17361111111111</v>
      </c>
      <c r="E400" s="106" t="n">
        <v>13</v>
      </c>
      <c r="F400" s="106" t="n">
        <v>5</v>
      </c>
      <c r="G400" s="106" t="n">
        <v>10</v>
      </c>
      <c r="H400" s="106" t="n">
        <v>36</v>
      </c>
      <c r="I400" s="106" t="n">
        <v>7</v>
      </c>
      <c r="J400" s="106" t="n">
        <v>1</v>
      </c>
      <c r="K400" s="106" t="n">
        <f aca="false">SUM(E400:J400)</f>
        <v>72</v>
      </c>
      <c r="L400" s="107" t="n">
        <v>99.5</v>
      </c>
      <c r="M400" s="107" t="n">
        <v>40.5</v>
      </c>
      <c r="N400" s="107" t="n">
        <v>97</v>
      </c>
      <c r="O400" s="107" t="n">
        <v>346.5</v>
      </c>
      <c r="P400" s="107" t="n">
        <v>68.5</v>
      </c>
      <c r="Q400" s="107" t="n">
        <v>8.5</v>
      </c>
      <c r="R400" s="107" t="n">
        <f aca="false">SUM(L400:Q400)</f>
        <v>660.5</v>
      </c>
      <c r="S400" s="108" t="n">
        <v>15</v>
      </c>
      <c r="T400" s="108" t="n">
        <v>15</v>
      </c>
      <c r="U400" s="108" t="n">
        <v>15</v>
      </c>
      <c r="V400" s="108" t="n">
        <v>15</v>
      </c>
      <c r="W400" s="108" t="n">
        <v>15</v>
      </c>
      <c r="X400" s="108" t="n">
        <v>15</v>
      </c>
      <c r="Y400" s="107" t="n">
        <f aca="false">S400*$D400</f>
        <v>137.604166666667</v>
      </c>
      <c r="Z400" s="107" t="n">
        <f aca="false">T400*$D400</f>
        <v>137.604166666667</v>
      </c>
      <c r="AA400" s="107" t="n">
        <f aca="false">U400*$D400</f>
        <v>137.604166666667</v>
      </c>
      <c r="AB400" s="107" t="n">
        <f aca="false">V400*$D400</f>
        <v>137.604166666667</v>
      </c>
      <c r="AC400" s="107" t="n">
        <f aca="false">W400*$D400</f>
        <v>137.604166666667</v>
      </c>
      <c r="AD400" s="107" t="n">
        <f aca="false">X400*$D400</f>
        <v>137.604166666667</v>
      </c>
      <c r="AE400" s="107" t="n">
        <f aca="false">SUM(Y400:AD400)</f>
        <v>825.625</v>
      </c>
    </row>
    <row r="401" customFormat="false" ht="15" hidden="false" customHeight="false" outlineLevel="0" collapsed="false">
      <c r="A401" s="103" t="s">
        <v>843</v>
      </c>
      <c r="B401" s="104" t="n">
        <v>0</v>
      </c>
      <c r="C401" s="105" t="n">
        <f aca="false">IF(K401=0,0,R401/K401)</f>
        <v>9.63636363636364</v>
      </c>
      <c r="D401" s="105" t="n">
        <f aca="false">C401+B401</f>
        <v>9.63636363636364</v>
      </c>
      <c r="E401" s="106" t="n">
        <v>0</v>
      </c>
      <c r="F401" s="106" t="n">
        <v>0</v>
      </c>
      <c r="G401" s="106" t="n">
        <v>0</v>
      </c>
      <c r="H401" s="106" t="n">
        <v>12</v>
      </c>
      <c r="I401" s="106" t="n">
        <v>3</v>
      </c>
      <c r="J401" s="106" t="n">
        <v>18</v>
      </c>
      <c r="K401" s="106" t="n">
        <f aca="false">SUM(E401:J401)</f>
        <v>33</v>
      </c>
      <c r="L401" s="107" t="n">
        <v>0</v>
      </c>
      <c r="M401" s="107" t="n">
        <v>0</v>
      </c>
      <c r="N401" s="107" t="n">
        <v>0</v>
      </c>
      <c r="O401" s="107" t="n">
        <v>111</v>
      </c>
      <c r="P401" s="107" t="n">
        <v>30</v>
      </c>
      <c r="Q401" s="107" t="n">
        <v>177</v>
      </c>
      <c r="R401" s="107" t="n">
        <f aca="false">SUM(L401:Q401)</f>
        <v>318</v>
      </c>
      <c r="S401" s="108" t="n">
        <v>11</v>
      </c>
      <c r="T401" s="108" t="n">
        <v>11</v>
      </c>
      <c r="U401" s="108" t="n">
        <v>11</v>
      </c>
      <c r="V401" s="108" t="n">
        <v>11</v>
      </c>
      <c r="W401" s="108" t="n">
        <v>11</v>
      </c>
      <c r="X401" s="108" t="n">
        <v>11</v>
      </c>
      <c r="Y401" s="107" t="n">
        <f aca="false">S401*$D401</f>
        <v>106</v>
      </c>
      <c r="Z401" s="107" t="n">
        <f aca="false">T401*$D401</f>
        <v>106</v>
      </c>
      <c r="AA401" s="107" t="n">
        <f aca="false">U401*$D401</f>
        <v>106</v>
      </c>
      <c r="AB401" s="107" t="n">
        <f aca="false">V401*$D401</f>
        <v>106</v>
      </c>
      <c r="AC401" s="107" t="n">
        <f aca="false">W401*$D401</f>
        <v>106</v>
      </c>
      <c r="AD401" s="107" t="n">
        <f aca="false">X401*$D401</f>
        <v>106</v>
      </c>
      <c r="AE401" s="107" t="n">
        <f aca="false">SUM(Y401:AD401)</f>
        <v>636</v>
      </c>
    </row>
    <row r="402" customFormat="false" ht="15" hidden="false" customHeight="false" outlineLevel="0" collapsed="false">
      <c r="A402" s="103" t="s">
        <v>844</v>
      </c>
      <c r="B402" s="104" t="n">
        <v>0</v>
      </c>
      <c r="C402" s="105" t="n">
        <f aca="false">IF(K402=0,0,R402/K402)</f>
        <v>14</v>
      </c>
      <c r="D402" s="105" t="n">
        <f aca="false">C402+B402</f>
        <v>14</v>
      </c>
      <c r="E402" s="106" t="n">
        <v>0</v>
      </c>
      <c r="F402" s="106" t="n">
        <v>4</v>
      </c>
      <c r="G402" s="106" t="n">
        <v>0</v>
      </c>
      <c r="H402" s="106" t="n">
        <v>0</v>
      </c>
      <c r="I402" s="106" t="n">
        <v>0</v>
      </c>
      <c r="J402" s="106" t="n">
        <v>0</v>
      </c>
      <c r="K402" s="106" t="n">
        <f aca="false">SUM(E402:J402)</f>
        <v>4</v>
      </c>
      <c r="L402" s="107" t="n">
        <v>0</v>
      </c>
      <c r="M402" s="107" t="n">
        <v>56</v>
      </c>
      <c r="N402" s="107" t="n">
        <v>0</v>
      </c>
      <c r="O402" s="107" t="n">
        <v>0</v>
      </c>
      <c r="P402" s="107" t="n">
        <v>0</v>
      </c>
      <c r="Q402" s="107" t="n">
        <v>0</v>
      </c>
      <c r="R402" s="107" t="n">
        <f aca="false">SUM(L402:Q402)</f>
        <v>56</v>
      </c>
      <c r="S402" s="108" t="n">
        <v>0</v>
      </c>
      <c r="T402" s="108" t="n">
        <v>0</v>
      </c>
      <c r="U402" s="108" t="n">
        <v>0</v>
      </c>
      <c r="V402" s="108" t="n">
        <v>0</v>
      </c>
      <c r="W402" s="108" t="n">
        <v>0</v>
      </c>
      <c r="X402" s="108" t="n">
        <v>0</v>
      </c>
      <c r="Y402" s="107" t="n">
        <f aca="false">S402*$D402</f>
        <v>0</v>
      </c>
      <c r="Z402" s="107" t="n">
        <f aca="false">T402*$D402</f>
        <v>0</v>
      </c>
      <c r="AA402" s="107" t="n">
        <f aca="false">U402*$D402</f>
        <v>0</v>
      </c>
      <c r="AB402" s="107" t="n">
        <f aca="false">V402*$D402</f>
        <v>0</v>
      </c>
      <c r="AC402" s="107" t="n">
        <f aca="false">W402*$D402</f>
        <v>0</v>
      </c>
      <c r="AD402" s="107" t="n">
        <f aca="false">X402*$D402</f>
        <v>0</v>
      </c>
      <c r="AE402" s="107" t="n">
        <f aca="false">SUM(Y402:AD402)</f>
        <v>0</v>
      </c>
    </row>
    <row r="403" customFormat="false" ht="15" hidden="false" customHeight="false" outlineLevel="0" collapsed="false">
      <c r="A403" s="103" t="s">
        <v>845</v>
      </c>
      <c r="B403" s="104" t="n">
        <v>0</v>
      </c>
      <c r="C403" s="105" t="n">
        <f aca="false">IF(K403=0,0,R403/K403)</f>
        <v>14</v>
      </c>
      <c r="D403" s="105" t="n">
        <f aca="false">C403+B403</f>
        <v>14</v>
      </c>
      <c r="E403" s="106" t="n">
        <v>0</v>
      </c>
      <c r="F403" s="106" t="n">
        <v>0</v>
      </c>
      <c r="G403" s="106" t="n">
        <v>2</v>
      </c>
      <c r="H403" s="106" t="n">
        <v>0</v>
      </c>
      <c r="I403" s="106" t="n">
        <v>0</v>
      </c>
      <c r="J403" s="106" t="n">
        <v>1</v>
      </c>
      <c r="K403" s="106" t="n">
        <f aca="false">SUM(E403:J403)</f>
        <v>3</v>
      </c>
      <c r="L403" s="107" t="n">
        <v>0</v>
      </c>
      <c r="M403" s="107" t="n">
        <v>0</v>
      </c>
      <c r="N403" s="107" t="n">
        <v>28</v>
      </c>
      <c r="O403" s="107" t="n">
        <v>0</v>
      </c>
      <c r="P403" s="107" t="n">
        <v>0</v>
      </c>
      <c r="Q403" s="107" t="n">
        <v>14</v>
      </c>
      <c r="R403" s="107" t="n">
        <f aca="false">SUM(L403:Q403)</f>
        <v>42</v>
      </c>
      <c r="S403" s="108" t="n">
        <v>0</v>
      </c>
      <c r="T403" s="108" t="n">
        <v>0</v>
      </c>
      <c r="U403" s="108" t="n">
        <v>0</v>
      </c>
      <c r="V403" s="108" t="n">
        <v>0</v>
      </c>
      <c r="W403" s="108" t="n">
        <v>0</v>
      </c>
      <c r="X403" s="108" t="n">
        <v>0</v>
      </c>
      <c r="Y403" s="107" t="n">
        <f aca="false">S403*$D403</f>
        <v>0</v>
      </c>
      <c r="Z403" s="107" t="n">
        <f aca="false">T403*$D403</f>
        <v>0</v>
      </c>
      <c r="AA403" s="107" t="n">
        <f aca="false">U403*$D403</f>
        <v>0</v>
      </c>
      <c r="AB403" s="107" t="n">
        <f aca="false">V403*$D403</f>
        <v>0</v>
      </c>
      <c r="AC403" s="107" t="n">
        <f aca="false">W403*$D403</f>
        <v>0</v>
      </c>
      <c r="AD403" s="107" t="n">
        <f aca="false">X403*$D403</f>
        <v>0</v>
      </c>
      <c r="AE403" s="107" t="n">
        <f aca="false">SUM(Y403:AD403)</f>
        <v>0</v>
      </c>
    </row>
    <row r="404" customFormat="false" ht="15" hidden="false" customHeight="false" outlineLevel="0" collapsed="false">
      <c r="A404" s="103" t="s">
        <v>846</v>
      </c>
      <c r="B404" s="104" t="n">
        <v>0</v>
      </c>
      <c r="C404" s="105" t="n">
        <f aca="false">IF(K404=0,0,R404/K404)</f>
        <v>38</v>
      </c>
      <c r="D404" s="105" t="n">
        <f aca="false">C404+B404</f>
        <v>38</v>
      </c>
      <c r="E404" s="106" t="n">
        <v>0</v>
      </c>
      <c r="F404" s="106" t="n">
        <v>0</v>
      </c>
      <c r="G404" s="106" t="n">
        <v>1</v>
      </c>
      <c r="H404" s="106" t="n">
        <v>0</v>
      </c>
      <c r="I404" s="106" t="n">
        <v>0</v>
      </c>
      <c r="J404" s="106" t="n">
        <v>0</v>
      </c>
      <c r="K404" s="106" t="n">
        <f aca="false">SUM(E404:J404)</f>
        <v>1</v>
      </c>
      <c r="L404" s="107" t="n">
        <v>0</v>
      </c>
      <c r="M404" s="107" t="n">
        <v>0</v>
      </c>
      <c r="N404" s="107" t="n">
        <v>38</v>
      </c>
      <c r="O404" s="107" t="n">
        <v>0</v>
      </c>
      <c r="P404" s="107" t="n">
        <v>0</v>
      </c>
      <c r="Q404" s="107" t="n">
        <v>0</v>
      </c>
      <c r="R404" s="107" t="n">
        <f aca="false">SUM(L404:Q404)</f>
        <v>38</v>
      </c>
      <c r="S404" s="108" t="n">
        <v>0</v>
      </c>
      <c r="T404" s="108" t="n">
        <v>0</v>
      </c>
      <c r="U404" s="108" t="n">
        <v>0</v>
      </c>
      <c r="V404" s="108" t="n">
        <v>0</v>
      </c>
      <c r="W404" s="108" t="n">
        <v>0</v>
      </c>
      <c r="X404" s="108" t="n">
        <v>0</v>
      </c>
      <c r="Y404" s="107" t="n">
        <f aca="false">S404*$D404</f>
        <v>0</v>
      </c>
      <c r="Z404" s="107" t="n">
        <f aca="false">T404*$D404</f>
        <v>0</v>
      </c>
      <c r="AA404" s="107" t="n">
        <f aca="false">U404*$D404</f>
        <v>0</v>
      </c>
      <c r="AB404" s="107" t="n">
        <f aca="false">V404*$D404</f>
        <v>0</v>
      </c>
      <c r="AC404" s="107" t="n">
        <f aca="false">W404*$D404</f>
        <v>0</v>
      </c>
      <c r="AD404" s="107" t="n">
        <f aca="false">X404*$D404</f>
        <v>0</v>
      </c>
      <c r="AE404" s="107" t="n">
        <f aca="false">SUM(Y404:AD404)</f>
        <v>0</v>
      </c>
    </row>
    <row r="405" customFormat="false" ht="15" hidden="false" customHeight="false" outlineLevel="0" collapsed="false">
      <c r="A405" s="103" t="s">
        <v>847</v>
      </c>
      <c r="B405" s="104" t="n">
        <v>0</v>
      </c>
      <c r="C405" s="105" t="n">
        <f aca="false">IF(K405=0,0,R405/K405)</f>
        <v>18</v>
      </c>
      <c r="D405" s="105" t="n">
        <f aca="false">C405+B405</f>
        <v>18</v>
      </c>
      <c r="E405" s="106" t="n">
        <v>0</v>
      </c>
      <c r="F405" s="106" t="n">
        <v>2</v>
      </c>
      <c r="G405" s="106" t="n">
        <v>0</v>
      </c>
      <c r="H405" s="106" t="n">
        <v>0</v>
      </c>
      <c r="I405" s="106" t="n">
        <v>0</v>
      </c>
      <c r="J405" s="106" t="n">
        <v>0</v>
      </c>
      <c r="K405" s="106" t="n">
        <f aca="false">SUM(E405:J405)</f>
        <v>2</v>
      </c>
      <c r="L405" s="107" t="n">
        <v>0</v>
      </c>
      <c r="M405" s="107" t="n">
        <v>36</v>
      </c>
      <c r="N405" s="107" t="n">
        <v>0</v>
      </c>
      <c r="O405" s="107" t="n">
        <v>0</v>
      </c>
      <c r="P405" s="107" t="n">
        <v>0</v>
      </c>
      <c r="Q405" s="107" t="n">
        <v>0</v>
      </c>
      <c r="R405" s="107" t="n">
        <f aca="false">SUM(L405:Q405)</f>
        <v>36</v>
      </c>
      <c r="S405" s="108" t="n">
        <v>0</v>
      </c>
      <c r="T405" s="108" t="n">
        <v>0</v>
      </c>
      <c r="U405" s="108" t="n">
        <v>0</v>
      </c>
      <c r="V405" s="108" t="n">
        <v>0</v>
      </c>
      <c r="W405" s="108" t="n">
        <v>0</v>
      </c>
      <c r="X405" s="108" t="n">
        <v>0</v>
      </c>
      <c r="Y405" s="107" t="n">
        <f aca="false">S405*$D405</f>
        <v>0</v>
      </c>
      <c r="Z405" s="107" t="n">
        <f aca="false">T405*$D405</f>
        <v>0</v>
      </c>
      <c r="AA405" s="107" t="n">
        <f aca="false">U405*$D405</f>
        <v>0</v>
      </c>
      <c r="AB405" s="107" t="n">
        <f aca="false">V405*$D405</f>
        <v>0</v>
      </c>
      <c r="AC405" s="107" t="n">
        <f aca="false">W405*$D405</f>
        <v>0</v>
      </c>
      <c r="AD405" s="107" t="n">
        <f aca="false">X405*$D405</f>
        <v>0</v>
      </c>
      <c r="AE405" s="107" t="n">
        <f aca="false">SUM(Y405:AD405)</f>
        <v>0</v>
      </c>
    </row>
    <row r="406" customFormat="false" ht="15" hidden="false" customHeight="false" outlineLevel="0" collapsed="false">
      <c r="A406" s="103" t="s">
        <v>848</v>
      </c>
      <c r="B406" s="104" t="n">
        <v>0</v>
      </c>
      <c r="C406" s="105" t="n">
        <f aca="false">IF(K406=0,0,R406/K406)</f>
        <v>12</v>
      </c>
      <c r="D406" s="105" t="n">
        <f aca="false">C406+B406</f>
        <v>12</v>
      </c>
      <c r="E406" s="106" t="n">
        <v>0</v>
      </c>
      <c r="F406" s="106" t="n">
        <v>3</v>
      </c>
      <c r="G406" s="106" t="n">
        <v>0</v>
      </c>
      <c r="H406" s="106" t="n">
        <v>0</v>
      </c>
      <c r="I406" s="106" t="n">
        <v>0</v>
      </c>
      <c r="J406" s="106" t="n">
        <v>0</v>
      </c>
      <c r="K406" s="106" t="n">
        <f aca="false">SUM(E406:J406)</f>
        <v>3</v>
      </c>
      <c r="L406" s="107" t="n">
        <v>0</v>
      </c>
      <c r="M406" s="107" t="n">
        <v>36</v>
      </c>
      <c r="N406" s="107" t="n">
        <v>0</v>
      </c>
      <c r="O406" s="107" t="n">
        <v>0</v>
      </c>
      <c r="P406" s="107" t="n">
        <v>0</v>
      </c>
      <c r="Q406" s="107" t="n">
        <v>0</v>
      </c>
      <c r="R406" s="107" t="n">
        <f aca="false">SUM(L406:Q406)</f>
        <v>36</v>
      </c>
      <c r="S406" s="108" t="n">
        <v>0</v>
      </c>
      <c r="T406" s="108" t="n">
        <v>0</v>
      </c>
      <c r="U406" s="108" t="n">
        <v>0</v>
      </c>
      <c r="V406" s="108" t="n">
        <v>0</v>
      </c>
      <c r="W406" s="108" t="n">
        <v>0</v>
      </c>
      <c r="X406" s="108" t="n">
        <v>0</v>
      </c>
      <c r="Y406" s="107" t="n">
        <f aca="false">S406*$D406</f>
        <v>0</v>
      </c>
      <c r="Z406" s="107" t="n">
        <f aca="false">T406*$D406</f>
        <v>0</v>
      </c>
      <c r="AA406" s="107" t="n">
        <f aca="false">U406*$D406</f>
        <v>0</v>
      </c>
      <c r="AB406" s="107" t="n">
        <f aca="false">V406*$D406</f>
        <v>0</v>
      </c>
      <c r="AC406" s="107" t="n">
        <f aca="false">W406*$D406</f>
        <v>0</v>
      </c>
      <c r="AD406" s="107" t="n">
        <f aca="false">X406*$D406</f>
        <v>0</v>
      </c>
      <c r="AE406" s="107" t="n">
        <f aca="false">SUM(Y406:AD406)</f>
        <v>0</v>
      </c>
    </row>
    <row r="407" customFormat="false" ht="15" hidden="false" customHeight="false" outlineLevel="0" collapsed="false">
      <c r="A407" s="103" t="s">
        <v>849</v>
      </c>
      <c r="B407" s="104" t="n">
        <v>0</v>
      </c>
      <c r="C407" s="105" t="n">
        <f aca="false">IF(K407=0,0,R407/K407)</f>
        <v>14</v>
      </c>
      <c r="D407" s="105" t="n">
        <f aca="false">C407+B407</f>
        <v>14</v>
      </c>
      <c r="E407" s="106" t="n">
        <v>0</v>
      </c>
      <c r="F407" s="106" t="n">
        <v>2</v>
      </c>
      <c r="G407" s="106" t="n">
        <v>0</v>
      </c>
      <c r="H407" s="106" t="n">
        <v>0</v>
      </c>
      <c r="I407" s="106" t="n">
        <v>0</v>
      </c>
      <c r="J407" s="106" t="n">
        <v>0</v>
      </c>
      <c r="K407" s="106" t="n">
        <f aca="false">SUM(E407:J407)</f>
        <v>2</v>
      </c>
      <c r="L407" s="107" t="n">
        <v>0</v>
      </c>
      <c r="M407" s="107" t="n">
        <v>28</v>
      </c>
      <c r="N407" s="107" t="n">
        <v>0</v>
      </c>
      <c r="O407" s="107" t="n">
        <v>0</v>
      </c>
      <c r="P407" s="107" t="n">
        <v>0</v>
      </c>
      <c r="Q407" s="107" t="n">
        <v>0</v>
      </c>
      <c r="R407" s="107" t="n">
        <f aca="false">SUM(L407:Q407)</f>
        <v>28</v>
      </c>
      <c r="S407" s="108" t="n">
        <v>0</v>
      </c>
      <c r="T407" s="108" t="n">
        <v>0</v>
      </c>
      <c r="U407" s="108" t="n">
        <v>0</v>
      </c>
      <c r="V407" s="108" t="n">
        <v>0</v>
      </c>
      <c r="W407" s="108" t="n">
        <v>0</v>
      </c>
      <c r="X407" s="108" t="n">
        <v>0</v>
      </c>
      <c r="Y407" s="107" t="n">
        <f aca="false">S407*$D407</f>
        <v>0</v>
      </c>
      <c r="Z407" s="107" t="n">
        <f aca="false">T407*$D407</f>
        <v>0</v>
      </c>
      <c r="AA407" s="107" t="n">
        <f aca="false">U407*$D407</f>
        <v>0</v>
      </c>
      <c r="AB407" s="107" t="n">
        <f aca="false">V407*$D407</f>
        <v>0</v>
      </c>
      <c r="AC407" s="107" t="n">
        <f aca="false">W407*$D407</f>
        <v>0</v>
      </c>
      <c r="AD407" s="107" t="n">
        <f aca="false">X407*$D407</f>
        <v>0</v>
      </c>
      <c r="AE407" s="107" t="n">
        <f aca="false">SUM(Y407:AD407)</f>
        <v>0</v>
      </c>
    </row>
    <row r="408" customFormat="false" ht="15" hidden="false" customHeight="false" outlineLevel="0" collapsed="false">
      <c r="A408" s="103" t="s">
        <v>850</v>
      </c>
      <c r="B408" s="104" t="n">
        <v>0</v>
      </c>
      <c r="C408" s="105" t="n">
        <f aca="false">IF(K408=0,0,R408/K408)</f>
        <v>13</v>
      </c>
      <c r="D408" s="105" t="n">
        <f aca="false">C408+B408</f>
        <v>13</v>
      </c>
      <c r="E408" s="106" t="n">
        <v>0</v>
      </c>
      <c r="F408" s="106" t="n">
        <v>2</v>
      </c>
      <c r="G408" s="106" t="n">
        <v>0</v>
      </c>
      <c r="H408" s="106" t="n">
        <v>0</v>
      </c>
      <c r="I408" s="106" t="n">
        <v>0</v>
      </c>
      <c r="J408" s="106" t="n">
        <v>0</v>
      </c>
      <c r="K408" s="106" t="n">
        <f aca="false">SUM(E408:J408)</f>
        <v>2</v>
      </c>
      <c r="L408" s="107" t="n">
        <v>0</v>
      </c>
      <c r="M408" s="107" t="n">
        <v>26</v>
      </c>
      <c r="N408" s="107" t="n">
        <v>0</v>
      </c>
      <c r="O408" s="107" t="n">
        <v>0</v>
      </c>
      <c r="P408" s="107" t="n">
        <v>0</v>
      </c>
      <c r="Q408" s="107" t="n">
        <v>0</v>
      </c>
      <c r="R408" s="107" t="n">
        <f aca="false">SUM(L408:Q408)</f>
        <v>26</v>
      </c>
      <c r="S408" s="108" t="n">
        <v>0</v>
      </c>
      <c r="T408" s="108" t="n">
        <v>0</v>
      </c>
      <c r="U408" s="108" t="n">
        <v>0</v>
      </c>
      <c r="V408" s="108" t="n">
        <v>0</v>
      </c>
      <c r="W408" s="108" t="n">
        <v>0</v>
      </c>
      <c r="X408" s="108" t="n">
        <v>0</v>
      </c>
      <c r="Y408" s="107" t="n">
        <f aca="false">S408*$D408</f>
        <v>0</v>
      </c>
      <c r="Z408" s="107" t="n">
        <f aca="false">T408*$D408</f>
        <v>0</v>
      </c>
      <c r="AA408" s="107" t="n">
        <f aca="false">U408*$D408</f>
        <v>0</v>
      </c>
      <c r="AB408" s="107" t="n">
        <f aca="false">V408*$D408</f>
        <v>0</v>
      </c>
      <c r="AC408" s="107" t="n">
        <f aca="false">W408*$D408</f>
        <v>0</v>
      </c>
      <c r="AD408" s="107" t="n">
        <f aca="false">X408*$D408</f>
        <v>0</v>
      </c>
      <c r="AE408" s="107" t="n">
        <f aca="false">SUM(Y408:AD408)</f>
        <v>0</v>
      </c>
    </row>
    <row r="409" customFormat="false" ht="15" hidden="false" customHeight="false" outlineLevel="0" collapsed="false">
      <c r="A409" s="103" t="s">
        <v>851</v>
      </c>
      <c r="B409" s="104" t="n">
        <v>0</v>
      </c>
      <c r="C409" s="105" t="n">
        <f aca="false">IF(K409=0,0,R409/K409)</f>
        <v>10</v>
      </c>
      <c r="D409" s="105" t="n">
        <f aca="false">C409+B409</f>
        <v>10</v>
      </c>
      <c r="E409" s="106" t="n">
        <v>0</v>
      </c>
      <c r="F409" s="106" t="n">
        <v>2</v>
      </c>
      <c r="G409" s="106" t="n">
        <v>0</v>
      </c>
      <c r="H409" s="106" t="n">
        <v>0</v>
      </c>
      <c r="I409" s="106" t="n">
        <v>0</v>
      </c>
      <c r="J409" s="106" t="n">
        <v>0</v>
      </c>
      <c r="K409" s="106" t="n">
        <f aca="false">SUM(E409:J409)</f>
        <v>2</v>
      </c>
      <c r="L409" s="107" t="n">
        <v>0</v>
      </c>
      <c r="M409" s="107" t="n">
        <v>20</v>
      </c>
      <c r="N409" s="107" t="n">
        <v>0</v>
      </c>
      <c r="O409" s="107" t="n">
        <v>0</v>
      </c>
      <c r="P409" s="107" t="n">
        <v>0</v>
      </c>
      <c r="Q409" s="107" t="n">
        <v>0</v>
      </c>
      <c r="R409" s="107" t="n">
        <f aca="false">SUM(L409:Q409)</f>
        <v>20</v>
      </c>
      <c r="S409" s="108" t="n">
        <v>0</v>
      </c>
      <c r="T409" s="108" t="n">
        <v>0</v>
      </c>
      <c r="U409" s="108" t="n">
        <v>0</v>
      </c>
      <c r="V409" s="108" t="n">
        <v>0</v>
      </c>
      <c r="W409" s="108" t="n">
        <v>0</v>
      </c>
      <c r="X409" s="108" t="n">
        <v>0</v>
      </c>
      <c r="Y409" s="107" t="n">
        <f aca="false">S409*$D409</f>
        <v>0</v>
      </c>
      <c r="Z409" s="107" t="n">
        <f aca="false">T409*$D409</f>
        <v>0</v>
      </c>
      <c r="AA409" s="107" t="n">
        <f aca="false">U409*$D409</f>
        <v>0</v>
      </c>
      <c r="AB409" s="107" t="n">
        <f aca="false">V409*$D409</f>
        <v>0</v>
      </c>
      <c r="AC409" s="107" t="n">
        <f aca="false">W409*$D409</f>
        <v>0</v>
      </c>
      <c r="AD409" s="107" t="n">
        <f aca="false">X409*$D409</f>
        <v>0</v>
      </c>
      <c r="AE409" s="107" t="n">
        <f aca="false">SUM(Y409:AD409)</f>
        <v>0</v>
      </c>
    </row>
    <row r="410" customFormat="false" ht="15" hidden="false" customHeight="false" outlineLevel="0" collapsed="false">
      <c r="A410" s="103" t="s">
        <v>852</v>
      </c>
      <c r="B410" s="104" t="n">
        <v>0</v>
      </c>
      <c r="C410" s="105" t="n">
        <f aca="false">IF(K410=0,0,R410/K410)</f>
        <v>10</v>
      </c>
      <c r="D410" s="105" t="n">
        <f aca="false">C410+B410</f>
        <v>10</v>
      </c>
      <c r="E410" s="106" t="n">
        <v>0</v>
      </c>
      <c r="F410" s="106" t="n">
        <v>0</v>
      </c>
      <c r="G410" s="106" t="n">
        <v>0</v>
      </c>
      <c r="H410" s="106" t="n">
        <v>0</v>
      </c>
      <c r="I410" s="106" t="n">
        <v>2</v>
      </c>
      <c r="J410" s="106" t="n">
        <v>0</v>
      </c>
      <c r="K410" s="106" t="n">
        <f aca="false">SUM(E410:J410)</f>
        <v>2</v>
      </c>
      <c r="L410" s="107" t="n">
        <v>0</v>
      </c>
      <c r="M410" s="107" t="n">
        <v>0</v>
      </c>
      <c r="N410" s="107" t="n">
        <v>0</v>
      </c>
      <c r="O410" s="107" t="n">
        <v>0</v>
      </c>
      <c r="P410" s="107" t="n">
        <v>20</v>
      </c>
      <c r="Q410" s="107" t="n">
        <v>0</v>
      </c>
      <c r="R410" s="107" t="n">
        <f aca="false">SUM(L410:Q410)</f>
        <v>20</v>
      </c>
      <c r="S410" s="108" t="n">
        <v>1</v>
      </c>
      <c r="T410" s="108" t="n">
        <v>1</v>
      </c>
      <c r="U410" s="108" t="n">
        <v>1</v>
      </c>
      <c r="V410" s="108" t="n">
        <v>1</v>
      </c>
      <c r="W410" s="108" t="n">
        <v>1</v>
      </c>
      <c r="X410" s="108" t="n">
        <v>1</v>
      </c>
      <c r="Y410" s="107" t="n">
        <f aca="false">S410*$D410</f>
        <v>10</v>
      </c>
      <c r="Z410" s="107" t="n">
        <f aca="false">T410*$D410</f>
        <v>10</v>
      </c>
      <c r="AA410" s="107" t="n">
        <f aca="false">U410*$D410</f>
        <v>10</v>
      </c>
      <c r="AB410" s="107" t="n">
        <f aca="false">V410*$D410</f>
        <v>10</v>
      </c>
      <c r="AC410" s="107" t="n">
        <f aca="false">W410*$D410</f>
        <v>10</v>
      </c>
      <c r="AD410" s="107" t="n">
        <f aca="false">X410*$D410</f>
        <v>10</v>
      </c>
      <c r="AE410" s="107" t="n">
        <f aca="false">SUM(Y410:AD410)</f>
        <v>60</v>
      </c>
    </row>
    <row r="411" customFormat="false" ht="15" hidden="false" customHeight="false" outlineLevel="0" collapsed="false">
      <c r="A411" s="103" t="s">
        <v>853</v>
      </c>
      <c r="B411" s="104" t="n">
        <v>0</v>
      </c>
      <c r="C411" s="105" t="n">
        <f aca="false">IF(K411=0,0,R411/K411)</f>
        <v>6.53333333333333</v>
      </c>
      <c r="D411" s="105" t="n">
        <f aca="false">C411+B411</f>
        <v>6.53333333333333</v>
      </c>
      <c r="E411" s="106" t="n">
        <v>0</v>
      </c>
      <c r="F411" s="106" t="n">
        <v>0</v>
      </c>
      <c r="G411" s="106" t="n">
        <v>0</v>
      </c>
      <c r="H411" s="106" t="n">
        <v>0</v>
      </c>
      <c r="I411" s="106" t="n">
        <v>3</v>
      </c>
      <c r="J411" s="106" t="n">
        <v>0</v>
      </c>
      <c r="K411" s="106" t="n">
        <f aca="false">SUM(E411:J411)</f>
        <v>3</v>
      </c>
      <c r="L411" s="107" t="n">
        <v>0</v>
      </c>
      <c r="M411" s="107" t="n">
        <v>0</v>
      </c>
      <c r="N411" s="107" t="n">
        <v>0</v>
      </c>
      <c r="O411" s="107" t="n">
        <v>0</v>
      </c>
      <c r="P411" s="107" t="n">
        <v>19.6</v>
      </c>
      <c r="Q411" s="107" t="n">
        <v>0</v>
      </c>
      <c r="R411" s="107" t="n">
        <f aca="false">SUM(L411:Q411)</f>
        <v>19.6</v>
      </c>
      <c r="S411" s="108" t="n">
        <v>1</v>
      </c>
      <c r="T411" s="108" t="n">
        <v>1</v>
      </c>
      <c r="U411" s="108" t="n">
        <v>1</v>
      </c>
      <c r="V411" s="108" t="n">
        <v>1</v>
      </c>
      <c r="W411" s="108" t="n">
        <v>1</v>
      </c>
      <c r="X411" s="108" t="n">
        <v>1</v>
      </c>
      <c r="Y411" s="107" t="n">
        <f aca="false">S411*$D411</f>
        <v>6.53333333333333</v>
      </c>
      <c r="Z411" s="107" t="n">
        <f aca="false">T411*$D411</f>
        <v>6.53333333333333</v>
      </c>
      <c r="AA411" s="107" t="n">
        <f aca="false">U411*$D411</f>
        <v>6.53333333333333</v>
      </c>
      <c r="AB411" s="107" t="n">
        <f aca="false">V411*$D411</f>
        <v>6.53333333333333</v>
      </c>
      <c r="AC411" s="107" t="n">
        <f aca="false">W411*$D411</f>
        <v>6.53333333333333</v>
      </c>
      <c r="AD411" s="107" t="n">
        <f aca="false">X411*$D411</f>
        <v>6.53333333333333</v>
      </c>
      <c r="AE411" s="107" t="n">
        <f aca="false">SUM(Y411:AD411)</f>
        <v>39.2</v>
      </c>
    </row>
    <row r="412" customFormat="false" ht="15" hidden="false" customHeight="false" outlineLevel="0" collapsed="false">
      <c r="A412" s="103" t="s">
        <v>854</v>
      </c>
      <c r="B412" s="104" t="n">
        <v>0</v>
      </c>
      <c r="C412" s="105" t="n">
        <f aca="false">IF(K412=0,0,R412/K412)</f>
        <v>15</v>
      </c>
      <c r="D412" s="105" t="n">
        <f aca="false">C412+B412</f>
        <v>15</v>
      </c>
      <c r="E412" s="106" t="n">
        <v>0</v>
      </c>
      <c r="F412" s="106" t="n">
        <v>1</v>
      </c>
      <c r="G412" s="106" t="n">
        <v>0</v>
      </c>
      <c r="H412" s="106" t="n">
        <v>0</v>
      </c>
      <c r="I412" s="106" t="n">
        <v>0</v>
      </c>
      <c r="J412" s="106" t="n">
        <v>0</v>
      </c>
      <c r="K412" s="106" t="n">
        <f aca="false">SUM(E412:J412)</f>
        <v>1</v>
      </c>
      <c r="L412" s="107" t="n">
        <v>0</v>
      </c>
      <c r="M412" s="107" t="n">
        <v>15</v>
      </c>
      <c r="N412" s="107" t="n">
        <v>0</v>
      </c>
      <c r="O412" s="107" t="n">
        <v>0</v>
      </c>
      <c r="P412" s="107" t="n">
        <v>0</v>
      </c>
      <c r="Q412" s="107" t="n">
        <v>0</v>
      </c>
      <c r="R412" s="107" t="n">
        <f aca="false">SUM(L412:Q412)</f>
        <v>15</v>
      </c>
      <c r="S412" s="108" t="n">
        <v>0</v>
      </c>
      <c r="T412" s="108" t="n">
        <v>0</v>
      </c>
      <c r="U412" s="108" t="n">
        <v>0</v>
      </c>
      <c r="V412" s="108" t="n">
        <v>0</v>
      </c>
      <c r="W412" s="108" t="n">
        <v>0</v>
      </c>
      <c r="X412" s="108" t="n">
        <v>0</v>
      </c>
      <c r="Y412" s="107" t="n">
        <f aca="false">S412*$D412</f>
        <v>0</v>
      </c>
      <c r="Z412" s="107" t="n">
        <f aca="false">T412*$D412</f>
        <v>0</v>
      </c>
      <c r="AA412" s="107" t="n">
        <f aca="false">U412*$D412</f>
        <v>0</v>
      </c>
      <c r="AB412" s="107" t="n">
        <f aca="false">V412*$D412</f>
        <v>0</v>
      </c>
      <c r="AC412" s="107" t="n">
        <f aca="false">W412*$D412</f>
        <v>0</v>
      </c>
      <c r="AD412" s="107" t="n">
        <f aca="false">X412*$D412</f>
        <v>0</v>
      </c>
      <c r="AE412" s="107" t="n">
        <f aca="false">SUM(Y412:AD412)</f>
        <v>0</v>
      </c>
    </row>
    <row r="413" customFormat="false" ht="15" hidden="false" customHeight="false" outlineLevel="0" collapsed="false">
      <c r="A413" s="103" t="s">
        <v>855</v>
      </c>
      <c r="B413" s="104" t="n">
        <v>0</v>
      </c>
      <c r="C413" s="105" t="n">
        <f aca="false">IF(K413=0,0,R413/K413)</f>
        <v>14</v>
      </c>
      <c r="D413" s="105" t="n">
        <f aca="false">C413+B413</f>
        <v>14</v>
      </c>
      <c r="E413" s="106" t="n">
        <v>0</v>
      </c>
      <c r="F413" s="106" t="n">
        <v>1</v>
      </c>
      <c r="G413" s="106" t="n">
        <v>0</v>
      </c>
      <c r="H413" s="106" t="n">
        <v>0</v>
      </c>
      <c r="I413" s="106" t="n">
        <v>0</v>
      </c>
      <c r="J413" s="106" t="n">
        <v>0</v>
      </c>
      <c r="K413" s="106" t="n">
        <f aca="false">SUM(E413:J413)</f>
        <v>1</v>
      </c>
      <c r="L413" s="107" t="n">
        <v>0</v>
      </c>
      <c r="M413" s="107" t="n">
        <v>14</v>
      </c>
      <c r="N413" s="107" t="n">
        <v>0</v>
      </c>
      <c r="O413" s="107" t="n">
        <v>0</v>
      </c>
      <c r="P413" s="107" t="n">
        <v>0</v>
      </c>
      <c r="Q413" s="107" t="n">
        <v>0</v>
      </c>
      <c r="R413" s="107" t="n">
        <f aca="false">SUM(L413:Q413)</f>
        <v>14</v>
      </c>
      <c r="S413" s="108" t="n">
        <v>0</v>
      </c>
      <c r="T413" s="108" t="n">
        <v>0</v>
      </c>
      <c r="U413" s="108" t="n">
        <v>0</v>
      </c>
      <c r="V413" s="108" t="n">
        <v>0</v>
      </c>
      <c r="W413" s="108" t="n">
        <v>0</v>
      </c>
      <c r="X413" s="108" t="n">
        <v>0</v>
      </c>
      <c r="Y413" s="107" t="n">
        <f aca="false">S413*$D413</f>
        <v>0</v>
      </c>
      <c r="Z413" s="107" t="n">
        <f aca="false">T413*$D413</f>
        <v>0</v>
      </c>
      <c r="AA413" s="107" t="n">
        <f aca="false">U413*$D413</f>
        <v>0</v>
      </c>
      <c r="AB413" s="107" t="n">
        <f aca="false">V413*$D413</f>
        <v>0</v>
      </c>
      <c r="AC413" s="107" t="n">
        <f aca="false">W413*$D413</f>
        <v>0</v>
      </c>
      <c r="AD413" s="107" t="n">
        <f aca="false">X413*$D413</f>
        <v>0</v>
      </c>
      <c r="AE413" s="107" t="n">
        <f aca="false">SUM(Y413:AD413)</f>
        <v>0</v>
      </c>
    </row>
    <row r="414" customFormat="false" ht="15" hidden="false" customHeight="false" outlineLevel="0" collapsed="false">
      <c r="A414" s="103" t="s">
        <v>856</v>
      </c>
      <c r="B414" s="104" t="n">
        <v>0</v>
      </c>
      <c r="C414" s="105" t="n">
        <f aca="false">IF(K414=0,0,R414/K414)</f>
        <v>14</v>
      </c>
      <c r="D414" s="105" t="n">
        <f aca="false">C414+B414</f>
        <v>14</v>
      </c>
      <c r="E414" s="106" t="n">
        <v>0</v>
      </c>
      <c r="F414" s="106" t="n">
        <v>1</v>
      </c>
      <c r="G414" s="106" t="n">
        <v>0</v>
      </c>
      <c r="H414" s="106" t="n">
        <v>0</v>
      </c>
      <c r="I414" s="106" t="n">
        <v>0</v>
      </c>
      <c r="J414" s="106" t="n">
        <v>0</v>
      </c>
      <c r="K414" s="106" t="n">
        <f aca="false">SUM(E414:J414)</f>
        <v>1</v>
      </c>
      <c r="L414" s="107" t="n">
        <v>0</v>
      </c>
      <c r="M414" s="107" t="n">
        <v>14</v>
      </c>
      <c r="N414" s="107" t="n">
        <v>0</v>
      </c>
      <c r="O414" s="107" t="n">
        <v>0</v>
      </c>
      <c r="P414" s="107" t="n">
        <v>0</v>
      </c>
      <c r="Q414" s="107" t="n">
        <v>0</v>
      </c>
      <c r="R414" s="107" t="n">
        <f aca="false">SUM(L414:Q414)</f>
        <v>14</v>
      </c>
      <c r="S414" s="108" t="n">
        <v>0</v>
      </c>
      <c r="T414" s="108" t="n">
        <v>0</v>
      </c>
      <c r="U414" s="108" t="n">
        <v>0</v>
      </c>
      <c r="V414" s="108" t="n">
        <v>0</v>
      </c>
      <c r="W414" s="108" t="n">
        <v>0</v>
      </c>
      <c r="X414" s="108" t="n">
        <v>0</v>
      </c>
      <c r="Y414" s="107" t="n">
        <f aca="false">S414*$D414</f>
        <v>0</v>
      </c>
      <c r="Z414" s="107" t="n">
        <f aca="false">T414*$D414</f>
        <v>0</v>
      </c>
      <c r="AA414" s="107" t="n">
        <f aca="false">U414*$D414</f>
        <v>0</v>
      </c>
      <c r="AB414" s="107" t="n">
        <f aca="false">V414*$D414</f>
        <v>0</v>
      </c>
      <c r="AC414" s="107" t="n">
        <f aca="false">W414*$D414</f>
        <v>0</v>
      </c>
      <c r="AD414" s="107" t="n">
        <f aca="false">X414*$D414</f>
        <v>0</v>
      </c>
      <c r="AE414" s="107" t="n">
        <f aca="false">SUM(Y414:AD414)</f>
        <v>0</v>
      </c>
    </row>
    <row r="415" customFormat="false" ht="15" hidden="false" customHeight="false" outlineLevel="0" collapsed="false">
      <c r="A415" s="103" t="s">
        <v>857</v>
      </c>
      <c r="B415" s="104" t="n">
        <v>0</v>
      </c>
      <c r="C415" s="105" t="n">
        <f aca="false">IF(K415=0,0,R415/K415)</f>
        <v>10</v>
      </c>
      <c r="D415" s="105" t="n">
        <f aca="false">C415+B415</f>
        <v>10</v>
      </c>
      <c r="E415" s="106" t="n">
        <v>0</v>
      </c>
      <c r="F415" s="106" t="n">
        <v>0</v>
      </c>
      <c r="G415" s="106" t="n">
        <v>0</v>
      </c>
      <c r="H415" s="106" t="n">
        <v>1</v>
      </c>
      <c r="I415" s="106" t="n">
        <v>0</v>
      </c>
      <c r="J415" s="106" t="n">
        <v>0</v>
      </c>
      <c r="K415" s="106" t="n">
        <f aca="false">SUM(E415:J415)</f>
        <v>1</v>
      </c>
      <c r="L415" s="107" t="n">
        <v>0</v>
      </c>
      <c r="M415" s="107" t="n">
        <v>0</v>
      </c>
      <c r="N415" s="107" t="n">
        <v>0</v>
      </c>
      <c r="O415" s="107" t="n">
        <v>10</v>
      </c>
      <c r="P415" s="107" t="n">
        <v>0</v>
      </c>
      <c r="Q415" s="107" t="n">
        <v>0</v>
      </c>
      <c r="R415" s="107" t="n">
        <f aca="false">SUM(L415:Q415)</f>
        <v>10</v>
      </c>
      <c r="S415" s="108" t="n">
        <v>0</v>
      </c>
      <c r="T415" s="108" t="n">
        <v>0</v>
      </c>
      <c r="U415" s="108" t="n">
        <v>0</v>
      </c>
      <c r="V415" s="108" t="n">
        <v>0</v>
      </c>
      <c r="W415" s="108" t="n">
        <v>0</v>
      </c>
      <c r="X415" s="108" t="n">
        <v>0</v>
      </c>
      <c r="Y415" s="107" t="n">
        <f aca="false">S415*$D415</f>
        <v>0</v>
      </c>
      <c r="Z415" s="107" t="n">
        <f aca="false">T415*$D415</f>
        <v>0</v>
      </c>
      <c r="AA415" s="107" t="n">
        <f aca="false">U415*$D415</f>
        <v>0</v>
      </c>
      <c r="AB415" s="107" t="n">
        <f aca="false">V415*$D415</f>
        <v>0</v>
      </c>
      <c r="AC415" s="107" t="n">
        <f aca="false">W415*$D415</f>
        <v>0</v>
      </c>
      <c r="AD415" s="107" t="n">
        <f aca="false">X415*$D415</f>
        <v>0</v>
      </c>
      <c r="AE415" s="107" t="n">
        <f aca="false">SUM(Y415:AD415)</f>
        <v>0</v>
      </c>
    </row>
    <row r="416" customFormat="false" ht="15" hidden="false" customHeight="false" outlineLevel="0" collapsed="false">
      <c r="A416" s="109" t="s">
        <v>858</v>
      </c>
      <c r="B416" s="110"/>
      <c r="C416" s="110"/>
      <c r="D416" s="110"/>
      <c r="E416" s="111" t="n">
        <f aca="false">SUM(E399:E415)</f>
        <v>13</v>
      </c>
      <c r="F416" s="111" t="n">
        <f aca="false">SUM(F399:F415)</f>
        <v>23</v>
      </c>
      <c r="G416" s="111" t="n">
        <f aca="false">SUM(G399:G415)</f>
        <v>13</v>
      </c>
      <c r="H416" s="111" t="n">
        <f aca="false">SUM(H399:H415)</f>
        <v>49</v>
      </c>
      <c r="I416" s="111" t="n">
        <f aca="false">SUM(I399:I415)</f>
        <v>60</v>
      </c>
      <c r="J416" s="111" t="n">
        <f aca="false">SUM(J399:J415)</f>
        <v>98</v>
      </c>
      <c r="K416" s="111" t="n">
        <f aca="false">SUM(K399:K415)</f>
        <v>256</v>
      </c>
      <c r="L416" s="112" t="n">
        <f aca="false">SUM(L399:L415)</f>
        <v>99.5</v>
      </c>
      <c r="M416" s="112" t="n">
        <f aca="false">SUM(M399:M415)</f>
        <v>285.5</v>
      </c>
      <c r="N416" s="112" t="n">
        <f aca="false">SUM(N399:N415)</f>
        <v>163</v>
      </c>
      <c r="O416" s="112" t="n">
        <f aca="false">SUM(O399:O415)</f>
        <v>467.5</v>
      </c>
      <c r="P416" s="112" t="n">
        <f aca="false">SUM(P399:P415)</f>
        <v>588.1</v>
      </c>
      <c r="Q416" s="112" t="n">
        <f aca="false">SUM(Q399:Q415)</f>
        <v>971.5</v>
      </c>
      <c r="R416" s="112" t="n">
        <f aca="false">SUM(R399:R415)</f>
        <v>2575.1</v>
      </c>
      <c r="S416" s="111" t="n">
        <f aca="false">SUM(S399:S415)</f>
        <v>69</v>
      </c>
      <c r="T416" s="111" t="n">
        <f aca="false">SUM(T399:T415)</f>
        <v>69</v>
      </c>
      <c r="U416" s="111" t="n">
        <f aca="false">SUM(U399:U415)</f>
        <v>69</v>
      </c>
      <c r="V416" s="111" t="n">
        <f aca="false">SUM(V399:V415)</f>
        <v>69</v>
      </c>
      <c r="W416" s="111" t="n">
        <f aca="false">SUM(W399:W415)</f>
        <v>69</v>
      </c>
      <c r="X416" s="111" t="n">
        <f aca="false">SUM(X399:X415)</f>
        <v>69</v>
      </c>
      <c r="Y416" s="112" t="n">
        <f aca="false">SUM(Y399:Y415)</f>
        <v>667.470833333333</v>
      </c>
      <c r="Z416" s="112" t="n">
        <f aca="false">SUM(Z399:Z415)</f>
        <v>667.470833333333</v>
      </c>
      <c r="AA416" s="112" t="n">
        <f aca="false">SUM(AA399:AA415)</f>
        <v>667.470833333333</v>
      </c>
      <c r="AB416" s="112" t="n">
        <f aca="false">SUM(AB399:AB415)</f>
        <v>667.470833333333</v>
      </c>
      <c r="AC416" s="112" t="n">
        <f aca="false">SUM(AC399:AC415)</f>
        <v>667.470833333333</v>
      </c>
      <c r="AD416" s="112" t="n">
        <f aca="false">SUM(AD399:AD415)</f>
        <v>667.470833333333</v>
      </c>
      <c r="AE416" s="112" t="n">
        <f aca="false">SUM(AE399:AE415)</f>
        <v>4004.825</v>
      </c>
    </row>
    <row r="418" customFormat="false" ht="15" hidden="false" customHeight="false" outlineLevel="0" collapsed="false">
      <c r="A418" s="102" t="s">
        <v>859</v>
      </c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</row>
    <row r="419" customFormat="false" ht="15" hidden="false" customHeight="false" outlineLevel="0" collapsed="false">
      <c r="A419" s="103" t="s">
        <v>749</v>
      </c>
      <c r="B419" s="104" t="n">
        <v>0</v>
      </c>
      <c r="C419" s="105" t="n">
        <f aca="false">IF(K419=0,0,R419/K419)</f>
        <v>6.41538461538462</v>
      </c>
      <c r="D419" s="105" t="n">
        <f aca="false">C419+B419</f>
        <v>6.41538461538462</v>
      </c>
      <c r="E419" s="106" t="n">
        <v>0</v>
      </c>
      <c r="F419" s="106" t="n">
        <v>13</v>
      </c>
      <c r="G419" s="106" t="n">
        <v>3</v>
      </c>
      <c r="H419" s="106" t="n">
        <v>19</v>
      </c>
      <c r="I419" s="106" t="n">
        <v>18</v>
      </c>
      <c r="J419" s="106" t="n">
        <v>12</v>
      </c>
      <c r="K419" s="106" t="n">
        <f aca="false">SUM(E419:J419)</f>
        <v>65</v>
      </c>
      <c r="L419" s="107" t="n">
        <v>0</v>
      </c>
      <c r="M419" s="107" t="n">
        <v>78</v>
      </c>
      <c r="N419" s="107" t="n">
        <v>18</v>
      </c>
      <c r="O419" s="107" t="n">
        <v>122</v>
      </c>
      <c r="P419" s="107" t="n">
        <v>117</v>
      </c>
      <c r="Q419" s="107" t="n">
        <v>82</v>
      </c>
      <c r="R419" s="107" t="n">
        <f aca="false">SUM(L419:Q419)</f>
        <v>417</v>
      </c>
      <c r="S419" s="108" t="n">
        <v>16</v>
      </c>
      <c r="T419" s="108" t="n">
        <v>16</v>
      </c>
      <c r="U419" s="108" t="n">
        <v>16</v>
      </c>
      <c r="V419" s="108" t="n">
        <v>16</v>
      </c>
      <c r="W419" s="108" t="n">
        <v>16</v>
      </c>
      <c r="X419" s="108" t="n">
        <v>16</v>
      </c>
      <c r="Y419" s="107" t="n">
        <f aca="false">S419*$D419</f>
        <v>102.646153846154</v>
      </c>
      <c r="Z419" s="107" t="n">
        <f aca="false">T419*$D419</f>
        <v>102.646153846154</v>
      </c>
      <c r="AA419" s="107" t="n">
        <f aca="false">U419*$D419</f>
        <v>102.646153846154</v>
      </c>
      <c r="AB419" s="107" t="n">
        <f aca="false">V419*$D419</f>
        <v>102.646153846154</v>
      </c>
      <c r="AC419" s="107" t="n">
        <f aca="false">W419*$D419</f>
        <v>102.646153846154</v>
      </c>
      <c r="AD419" s="107" t="n">
        <f aca="false">X419*$D419</f>
        <v>102.646153846154</v>
      </c>
      <c r="AE419" s="107" t="n">
        <f aca="false">SUM(Y419:AD419)</f>
        <v>615.876923076923</v>
      </c>
    </row>
    <row r="420" customFormat="false" ht="15" hidden="false" customHeight="false" outlineLevel="0" collapsed="false">
      <c r="A420" s="103" t="s">
        <v>688</v>
      </c>
      <c r="B420" s="104" t="n">
        <v>0</v>
      </c>
      <c r="C420" s="105" t="n">
        <f aca="false">IF(K420=0,0,R420/K420)</f>
        <v>6.4</v>
      </c>
      <c r="D420" s="105" t="n">
        <f aca="false">C420+B420</f>
        <v>6.4</v>
      </c>
      <c r="E420" s="106" t="n">
        <v>5</v>
      </c>
      <c r="F420" s="106" t="n">
        <v>6</v>
      </c>
      <c r="G420" s="106" t="n">
        <v>1</v>
      </c>
      <c r="H420" s="106" t="n">
        <v>4</v>
      </c>
      <c r="I420" s="106" t="n">
        <v>12</v>
      </c>
      <c r="J420" s="106" t="n">
        <v>22</v>
      </c>
      <c r="K420" s="106" t="n">
        <f aca="false">SUM(E420:J420)</f>
        <v>50</v>
      </c>
      <c r="L420" s="107" t="n">
        <v>24</v>
      </c>
      <c r="M420" s="107" t="n">
        <v>36</v>
      </c>
      <c r="N420" s="107" t="n">
        <v>6</v>
      </c>
      <c r="O420" s="107" t="n">
        <v>24</v>
      </c>
      <c r="P420" s="107" t="n">
        <v>81</v>
      </c>
      <c r="Q420" s="107" t="n">
        <v>149</v>
      </c>
      <c r="R420" s="107" t="n">
        <f aca="false">SUM(L420:Q420)</f>
        <v>320</v>
      </c>
      <c r="S420" s="108" t="n">
        <v>13</v>
      </c>
      <c r="T420" s="108" t="n">
        <v>13</v>
      </c>
      <c r="U420" s="108" t="n">
        <v>13</v>
      </c>
      <c r="V420" s="108" t="n">
        <v>13</v>
      </c>
      <c r="W420" s="108" t="n">
        <v>13</v>
      </c>
      <c r="X420" s="108" t="n">
        <v>13</v>
      </c>
      <c r="Y420" s="107" t="n">
        <f aca="false">S420*$D420</f>
        <v>83.2</v>
      </c>
      <c r="Z420" s="107" t="n">
        <f aca="false">T420*$D420</f>
        <v>83.2</v>
      </c>
      <c r="AA420" s="107" t="n">
        <f aca="false">U420*$D420</f>
        <v>83.2</v>
      </c>
      <c r="AB420" s="107" t="n">
        <f aca="false">V420*$D420</f>
        <v>83.2</v>
      </c>
      <c r="AC420" s="107" t="n">
        <f aca="false">W420*$D420</f>
        <v>83.2</v>
      </c>
      <c r="AD420" s="107" t="n">
        <f aca="false">X420*$D420</f>
        <v>83.2</v>
      </c>
      <c r="AE420" s="107" t="n">
        <f aca="false">SUM(Y420:AD420)</f>
        <v>499.2</v>
      </c>
    </row>
    <row r="421" customFormat="false" ht="15" hidden="false" customHeight="false" outlineLevel="0" collapsed="false">
      <c r="A421" s="103" t="s">
        <v>860</v>
      </c>
      <c r="B421" s="104" t="n">
        <v>0</v>
      </c>
      <c r="C421" s="105" t="n">
        <f aca="false">IF(K421=0,0,R421/K421)</f>
        <v>6.76923076923077</v>
      </c>
      <c r="D421" s="105" t="n">
        <f aca="false">C421+B421</f>
        <v>6.76923076923077</v>
      </c>
      <c r="E421" s="106" t="n">
        <v>0</v>
      </c>
      <c r="F421" s="106" t="n">
        <v>0</v>
      </c>
      <c r="G421" s="106" t="n">
        <v>0</v>
      </c>
      <c r="H421" s="106" t="n">
        <v>6</v>
      </c>
      <c r="I421" s="106" t="n">
        <v>13</v>
      </c>
      <c r="J421" s="106" t="n">
        <v>20</v>
      </c>
      <c r="K421" s="106" t="n">
        <f aca="false">SUM(E421:J421)</f>
        <v>39</v>
      </c>
      <c r="L421" s="107" t="n">
        <v>0</v>
      </c>
      <c r="M421" s="107" t="n">
        <v>0</v>
      </c>
      <c r="N421" s="107" t="n">
        <v>0</v>
      </c>
      <c r="O421" s="107" t="n">
        <v>42</v>
      </c>
      <c r="P421" s="107" t="n">
        <v>86</v>
      </c>
      <c r="Q421" s="107" t="n">
        <v>136</v>
      </c>
      <c r="R421" s="107" t="n">
        <f aca="false">SUM(L421:Q421)</f>
        <v>264</v>
      </c>
      <c r="S421" s="108" t="n">
        <v>13</v>
      </c>
      <c r="T421" s="108" t="n">
        <v>13</v>
      </c>
      <c r="U421" s="108" t="n">
        <v>13</v>
      </c>
      <c r="V421" s="108" t="n">
        <v>13</v>
      </c>
      <c r="W421" s="108" t="n">
        <v>13</v>
      </c>
      <c r="X421" s="108" t="n">
        <v>13</v>
      </c>
      <c r="Y421" s="107" t="n">
        <f aca="false">S421*$D421</f>
        <v>88</v>
      </c>
      <c r="Z421" s="107" t="n">
        <f aca="false">T421*$D421</f>
        <v>88</v>
      </c>
      <c r="AA421" s="107" t="n">
        <f aca="false">U421*$D421</f>
        <v>88</v>
      </c>
      <c r="AB421" s="107" t="n">
        <f aca="false">V421*$D421</f>
        <v>88</v>
      </c>
      <c r="AC421" s="107" t="n">
        <f aca="false">W421*$D421</f>
        <v>88</v>
      </c>
      <c r="AD421" s="107" t="n">
        <f aca="false">X421*$D421</f>
        <v>88</v>
      </c>
      <c r="AE421" s="107" t="n">
        <f aca="false">SUM(Y421:AD421)</f>
        <v>528</v>
      </c>
    </row>
    <row r="422" customFormat="false" ht="15" hidden="false" customHeight="false" outlineLevel="0" collapsed="false">
      <c r="A422" s="103" t="s">
        <v>861</v>
      </c>
      <c r="B422" s="104" t="n">
        <v>0</v>
      </c>
      <c r="C422" s="105" t="n">
        <f aca="false">IF(K422=0,0,R422/K422)</f>
        <v>6.85</v>
      </c>
      <c r="D422" s="105" t="n">
        <f aca="false">C422+B422</f>
        <v>6.85</v>
      </c>
      <c r="E422" s="106" t="n">
        <v>0</v>
      </c>
      <c r="F422" s="106" t="n">
        <v>0</v>
      </c>
      <c r="G422" s="106" t="n">
        <v>0</v>
      </c>
      <c r="H422" s="106" t="n">
        <v>6</v>
      </c>
      <c r="I422" s="106" t="n">
        <v>8</v>
      </c>
      <c r="J422" s="106" t="n">
        <v>13</v>
      </c>
      <c r="K422" s="106" t="n">
        <f aca="false">SUM(E422:J422)</f>
        <v>27</v>
      </c>
      <c r="L422" s="107" t="n">
        <v>0</v>
      </c>
      <c r="M422" s="107" t="n">
        <v>0</v>
      </c>
      <c r="N422" s="107" t="n">
        <v>0</v>
      </c>
      <c r="O422" s="107" t="n">
        <v>42</v>
      </c>
      <c r="P422" s="107" t="n">
        <v>53.95</v>
      </c>
      <c r="Q422" s="107" t="n">
        <v>89</v>
      </c>
      <c r="R422" s="107" t="n">
        <f aca="false">SUM(L422:Q422)</f>
        <v>184.95</v>
      </c>
      <c r="S422" s="108" t="n">
        <v>9</v>
      </c>
      <c r="T422" s="108" t="n">
        <v>9</v>
      </c>
      <c r="U422" s="108" t="n">
        <v>9</v>
      </c>
      <c r="V422" s="108" t="n">
        <v>9</v>
      </c>
      <c r="W422" s="108" t="n">
        <v>9</v>
      </c>
      <c r="X422" s="108" t="n">
        <v>9</v>
      </c>
      <c r="Y422" s="107" t="n">
        <f aca="false">S422*$D422</f>
        <v>61.65</v>
      </c>
      <c r="Z422" s="107" t="n">
        <f aca="false">T422*$D422</f>
        <v>61.65</v>
      </c>
      <c r="AA422" s="107" t="n">
        <f aca="false">U422*$D422</f>
        <v>61.65</v>
      </c>
      <c r="AB422" s="107" t="n">
        <f aca="false">V422*$D422</f>
        <v>61.65</v>
      </c>
      <c r="AC422" s="107" t="n">
        <f aca="false">W422*$D422</f>
        <v>61.65</v>
      </c>
      <c r="AD422" s="107" t="n">
        <f aca="false">X422*$D422</f>
        <v>61.65</v>
      </c>
      <c r="AE422" s="107" t="n">
        <f aca="false">SUM(Y422:AD422)</f>
        <v>369.9</v>
      </c>
    </row>
    <row r="423" customFormat="false" ht="15" hidden="false" customHeight="false" outlineLevel="0" collapsed="false">
      <c r="A423" s="103" t="s">
        <v>862</v>
      </c>
      <c r="B423" s="104" t="n">
        <v>0</v>
      </c>
      <c r="C423" s="105" t="n">
        <f aca="false">IF(K423=0,0,R423/K423)</f>
        <v>6.10434782608696</v>
      </c>
      <c r="D423" s="105" t="n">
        <f aca="false">C423+B423</f>
        <v>6.10434782608696</v>
      </c>
      <c r="E423" s="106" t="n">
        <v>4</v>
      </c>
      <c r="F423" s="106" t="n">
        <v>7</v>
      </c>
      <c r="G423" s="106" t="n">
        <v>6</v>
      </c>
      <c r="H423" s="106" t="n">
        <v>0</v>
      </c>
      <c r="I423" s="106" t="n">
        <v>1</v>
      </c>
      <c r="J423" s="106" t="n">
        <v>5</v>
      </c>
      <c r="K423" s="106" t="n">
        <f aca="false">SUM(E423:J423)</f>
        <v>23</v>
      </c>
      <c r="L423" s="107" t="n">
        <v>21.6</v>
      </c>
      <c r="M423" s="107" t="n">
        <v>42</v>
      </c>
      <c r="N423" s="107" t="n">
        <v>34.8</v>
      </c>
      <c r="O423" s="107" t="n">
        <v>0</v>
      </c>
      <c r="P423" s="107" t="n">
        <v>7</v>
      </c>
      <c r="Q423" s="107" t="n">
        <v>35</v>
      </c>
      <c r="R423" s="107" t="n">
        <f aca="false">SUM(L423:Q423)</f>
        <v>140.4</v>
      </c>
      <c r="S423" s="108" t="n">
        <v>2</v>
      </c>
      <c r="T423" s="108" t="n">
        <v>2</v>
      </c>
      <c r="U423" s="108" t="n">
        <v>2</v>
      </c>
      <c r="V423" s="108" t="n">
        <v>2</v>
      </c>
      <c r="W423" s="108" t="n">
        <v>2</v>
      </c>
      <c r="X423" s="108" t="n">
        <v>2</v>
      </c>
      <c r="Y423" s="107" t="n">
        <f aca="false">S423*$D423</f>
        <v>12.2086956521739</v>
      </c>
      <c r="Z423" s="107" t="n">
        <f aca="false">T423*$D423</f>
        <v>12.2086956521739</v>
      </c>
      <c r="AA423" s="107" t="n">
        <f aca="false">U423*$D423</f>
        <v>12.2086956521739</v>
      </c>
      <c r="AB423" s="107" t="n">
        <f aca="false">V423*$D423</f>
        <v>12.2086956521739</v>
      </c>
      <c r="AC423" s="107" t="n">
        <f aca="false">W423*$D423</f>
        <v>12.2086956521739</v>
      </c>
      <c r="AD423" s="107" t="n">
        <f aca="false">X423*$D423</f>
        <v>12.2086956521739</v>
      </c>
      <c r="AE423" s="107" t="n">
        <f aca="false">SUM(Y423:AD423)</f>
        <v>73.2521739130435</v>
      </c>
    </row>
    <row r="424" customFormat="false" ht="15" hidden="false" customHeight="false" outlineLevel="0" collapsed="false">
      <c r="A424" s="103" t="s">
        <v>863</v>
      </c>
      <c r="B424" s="104" t="n">
        <v>0</v>
      </c>
      <c r="C424" s="105" t="n">
        <f aca="false">IF(K424=0,0,R424/K424)</f>
        <v>6.29</v>
      </c>
      <c r="D424" s="105" t="n">
        <f aca="false">C424+B424</f>
        <v>6.29</v>
      </c>
      <c r="E424" s="106" t="n">
        <v>1</v>
      </c>
      <c r="F424" s="106" t="n">
        <v>6</v>
      </c>
      <c r="G424" s="106" t="n">
        <v>6</v>
      </c>
      <c r="H424" s="106" t="n">
        <v>3</v>
      </c>
      <c r="I424" s="106" t="n">
        <v>4</v>
      </c>
      <c r="J424" s="106" t="n">
        <v>0</v>
      </c>
      <c r="K424" s="106" t="n">
        <f aca="false">SUM(E424:J424)</f>
        <v>20</v>
      </c>
      <c r="L424" s="107" t="n">
        <v>6</v>
      </c>
      <c r="M424" s="107" t="n">
        <v>34.8</v>
      </c>
      <c r="N424" s="107" t="n">
        <v>36</v>
      </c>
      <c r="O424" s="107" t="n">
        <v>21</v>
      </c>
      <c r="P424" s="107" t="n">
        <v>28</v>
      </c>
      <c r="Q424" s="107" t="n">
        <v>0</v>
      </c>
      <c r="R424" s="107" t="n">
        <f aca="false">SUM(L424:Q424)</f>
        <v>125.8</v>
      </c>
      <c r="S424" s="108" t="n">
        <v>2</v>
      </c>
      <c r="T424" s="108" t="n">
        <v>2</v>
      </c>
      <c r="U424" s="108" t="n">
        <v>2</v>
      </c>
      <c r="V424" s="108" t="n">
        <v>2</v>
      </c>
      <c r="W424" s="108" t="n">
        <v>2</v>
      </c>
      <c r="X424" s="108" t="n">
        <v>2</v>
      </c>
      <c r="Y424" s="107" t="n">
        <f aca="false">S424*$D424</f>
        <v>12.58</v>
      </c>
      <c r="Z424" s="107" t="n">
        <f aca="false">T424*$D424</f>
        <v>12.58</v>
      </c>
      <c r="AA424" s="107" t="n">
        <f aca="false">U424*$D424</f>
        <v>12.58</v>
      </c>
      <c r="AB424" s="107" t="n">
        <f aca="false">V424*$D424</f>
        <v>12.58</v>
      </c>
      <c r="AC424" s="107" t="n">
        <f aca="false">W424*$D424</f>
        <v>12.58</v>
      </c>
      <c r="AD424" s="107" t="n">
        <f aca="false">X424*$D424</f>
        <v>12.58</v>
      </c>
      <c r="AE424" s="107" t="n">
        <f aca="false">SUM(Y424:AD424)</f>
        <v>75.48</v>
      </c>
    </row>
    <row r="425" customFormat="false" ht="15" hidden="false" customHeight="false" outlineLevel="0" collapsed="false">
      <c r="A425" s="103" t="s">
        <v>864</v>
      </c>
      <c r="B425" s="104" t="n">
        <v>0</v>
      </c>
      <c r="C425" s="105" t="n">
        <f aca="false">IF(K425=0,0,R425/K425)</f>
        <v>6.91923076923077</v>
      </c>
      <c r="D425" s="105" t="n">
        <f aca="false">C425+B425</f>
        <v>6.91923076923077</v>
      </c>
      <c r="E425" s="106" t="n">
        <v>0</v>
      </c>
      <c r="F425" s="106" t="n">
        <v>0</v>
      </c>
      <c r="G425" s="106" t="n">
        <v>0</v>
      </c>
      <c r="H425" s="106" t="n">
        <v>4</v>
      </c>
      <c r="I425" s="106" t="n">
        <v>8</v>
      </c>
      <c r="J425" s="106" t="n">
        <v>1</v>
      </c>
      <c r="K425" s="106" t="n">
        <f aca="false">SUM(E425:J425)</f>
        <v>13</v>
      </c>
      <c r="L425" s="107" t="n">
        <v>0</v>
      </c>
      <c r="M425" s="107" t="n">
        <v>0</v>
      </c>
      <c r="N425" s="107" t="n">
        <v>0</v>
      </c>
      <c r="O425" s="107" t="n">
        <v>28</v>
      </c>
      <c r="P425" s="107" t="n">
        <v>54.95</v>
      </c>
      <c r="Q425" s="107" t="n">
        <v>7</v>
      </c>
      <c r="R425" s="107" t="n">
        <f aca="false">SUM(L425:Q425)</f>
        <v>89.95</v>
      </c>
      <c r="S425" s="108" t="n">
        <v>4</v>
      </c>
      <c r="T425" s="108" t="n">
        <v>4</v>
      </c>
      <c r="U425" s="108" t="n">
        <v>4</v>
      </c>
      <c r="V425" s="108" t="n">
        <v>4</v>
      </c>
      <c r="W425" s="108" t="n">
        <v>4</v>
      </c>
      <c r="X425" s="108" t="n">
        <v>4</v>
      </c>
      <c r="Y425" s="107" t="n">
        <f aca="false">S425*$D425</f>
        <v>27.6769230769231</v>
      </c>
      <c r="Z425" s="107" t="n">
        <f aca="false">T425*$D425</f>
        <v>27.6769230769231</v>
      </c>
      <c r="AA425" s="107" t="n">
        <f aca="false">U425*$D425</f>
        <v>27.6769230769231</v>
      </c>
      <c r="AB425" s="107" t="n">
        <f aca="false">V425*$D425</f>
        <v>27.6769230769231</v>
      </c>
      <c r="AC425" s="107" t="n">
        <f aca="false">W425*$D425</f>
        <v>27.6769230769231</v>
      </c>
      <c r="AD425" s="107" t="n">
        <f aca="false">X425*$D425</f>
        <v>27.6769230769231</v>
      </c>
      <c r="AE425" s="107" t="n">
        <f aca="false">SUM(Y425:AD425)</f>
        <v>166.061538461538</v>
      </c>
    </row>
    <row r="426" customFormat="false" ht="15" hidden="false" customHeight="false" outlineLevel="0" collapsed="false">
      <c r="A426" s="103" t="s">
        <v>786</v>
      </c>
      <c r="B426" s="104" t="n">
        <v>0</v>
      </c>
      <c r="C426" s="105" t="n">
        <f aca="false">IF(K426=0,0,R426/K426)</f>
        <v>6.90454545454546</v>
      </c>
      <c r="D426" s="105" t="n">
        <f aca="false">C426+B426</f>
        <v>6.90454545454546</v>
      </c>
      <c r="E426" s="106" t="n">
        <v>0</v>
      </c>
      <c r="F426" s="106" t="n">
        <v>0</v>
      </c>
      <c r="G426" s="106" t="n">
        <v>0</v>
      </c>
      <c r="H426" s="106" t="n">
        <v>0</v>
      </c>
      <c r="I426" s="106" t="n">
        <v>8</v>
      </c>
      <c r="J426" s="106" t="n">
        <v>3</v>
      </c>
      <c r="K426" s="106" t="n">
        <f aca="false">SUM(E426:J426)</f>
        <v>11</v>
      </c>
      <c r="L426" s="107" t="n">
        <v>0</v>
      </c>
      <c r="M426" s="107" t="n">
        <v>0</v>
      </c>
      <c r="N426" s="107" t="n">
        <v>0</v>
      </c>
      <c r="O426" s="107" t="n">
        <v>0</v>
      </c>
      <c r="P426" s="107" t="n">
        <v>54.95</v>
      </c>
      <c r="Q426" s="107" t="n">
        <v>21</v>
      </c>
      <c r="R426" s="107" t="n">
        <f aca="false">SUM(L426:Q426)</f>
        <v>75.95</v>
      </c>
      <c r="S426" s="108" t="n">
        <v>4</v>
      </c>
      <c r="T426" s="108" t="n">
        <v>4</v>
      </c>
      <c r="U426" s="108" t="n">
        <v>4</v>
      </c>
      <c r="V426" s="108" t="n">
        <v>4</v>
      </c>
      <c r="W426" s="108" t="n">
        <v>4</v>
      </c>
      <c r="X426" s="108" t="n">
        <v>4</v>
      </c>
      <c r="Y426" s="107" t="n">
        <f aca="false">S426*$D426</f>
        <v>27.6181818181818</v>
      </c>
      <c r="Z426" s="107" t="n">
        <f aca="false">T426*$D426</f>
        <v>27.6181818181818</v>
      </c>
      <c r="AA426" s="107" t="n">
        <f aca="false">U426*$D426</f>
        <v>27.6181818181818</v>
      </c>
      <c r="AB426" s="107" t="n">
        <f aca="false">V426*$D426</f>
        <v>27.6181818181818</v>
      </c>
      <c r="AC426" s="107" t="n">
        <f aca="false">W426*$D426</f>
        <v>27.6181818181818</v>
      </c>
      <c r="AD426" s="107" t="n">
        <f aca="false">X426*$D426</f>
        <v>27.6181818181818</v>
      </c>
      <c r="AE426" s="107" t="n">
        <f aca="false">SUM(Y426:AD426)</f>
        <v>165.709090909091</v>
      </c>
    </row>
    <row r="427" customFormat="false" ht="15" hidden="false" customHeight="false" outlineLevel="0" collapsed="false">
      <c r="A427" s="103" t="s">
        <v>865</v>
      </c>
      <c r="B427" s="104" t="n">
        <v>0</v>
      </c>
      <c r="C427" s="105" t="n">
        <f aca="false">IF(K427=0,0,R427/K427)</f>
        <v>6.88888888888889</v>
      </c>
      <c r="D427" s="105" t="n">
        <f aca="false">C427+B427</f>
        <v>6.88888888888889</v>
      </c>
      <c r="E427" s="106" t="n">
        <v>0</v>
      </c>
      <c r="F427" s="106" t="n">
        <v>0</v>
      </c>
      <c r="G427" s="106" t="n">
        <v>0</v>
      </c>
      <c r="H427" s="106" t="n">
        <v>4</v>
      </c>
      <c r="I427" s="106" t="n">
        <v>5</v>
      </c>
      <c r="J427" s="106" t="n">
        <v>0</v>
      </c>
      <c r="K427" s="106" t="n">
        <f aca="false">SUM(E427:J427)</f>
        <v>9</v>
      </c>
      <c r="L427" s="107" t="n">
        <v>0</v>
      </c>
      <c r="M427" s="107" t="n">
        <v>0</v>
      </c>
      <c r="N427" s="107" t="n">
        <v>0</v>
      </c>
      <c r="O427" s="107" t="n">
        <v>28</v>
      </c>
      <c r="P427" s="107" t="n">
        <v>34</v>
      </c>
      <c r="Q427" s="107" t="n">
        <v>0</v>
      </c>
      <c r="R427" s="107" t="n">
        <f aca="false">SUM(L427:Q427)</f>
        <v>62</v>
      </c>
      <c r="S427" s="108" t="n">
        <v>3</v>
      </c>
      <c r="T427" s="108" t="n">
        <v>3</v>
      </c>
      <c r="U427" s="108" t="n">
        <v>3</v>
      </c>
      <c r="V427" s="108" t="n">
        <v>3</v>
      </c>
      <c r="W427" s="108" t="n">
        <v>3</v>
      </c>
      <c r="X427" s="108" t="n">
        <v>3</v>
      </c>
      <c r="Y427" s="107" t="n">
        <f aca="false">S427*$D427</f>
        <v>20.6666666666667</v>
      </c>
      <c r="Z427" s="107" t="n">
        <f aca="false">T427*$D427</f>
        <v>20.6666666666667</v>
      </c>
      <c r="AA427" s="107" t="n">
        <f aca="false">U427*$D427</f>
        <v>20.6666666666667</v>
      </c>
      <c r="AB427" s="107" t="n">
        <f aca="false">V427*$D427</f>
        <v>20.6666666666667</v>
      </c>
      <c r="AC427" s="107" t="n">
        <f aca="false">W427*$D427</f>
        <v>20.6666666666667</v>
      </c>
      <c r="AD427" s="107" t="n">
        <f aca="false">X427*$D427</f>
        <v>20.6666666666667</v>
      </c>
      <c r="AE427" s="107" t="n">
        <f aca="false">SUM(Y427:AD427)</f>
        <v>124</v>
      </c>
    </row>
    <row r="428" customFormat="false" ht="15" hidden="false" customHeight="false" outlineLevel="0" collapsed="false">
      <c r="A428" s="103" t="s">
        <v>866</v>
      </c>
      <c r="B428" s="104" t="n">
        <v>0</v>
      </c>
      <c r="C428" s="105" t="n">
        <f aca="false">IF(K428=0,0,R428/K428)</f>
        <v>6</v>
      </c>
      <c r="D428" s="105" t="n">
        <f aca="false">C428+B428</f>
        <v>6</v>
      </c>
      <c r="E428" s="106" t="n">
        <v>0</v>
      </c>
      <c r="F428" s="106" t="n">
        <v>1</v>
      </c>
      <c r="G428" s="106" t="n">
        <v>5</v>
      </c>
      <c r="H428" s="106" t="n">
        <v>2</v>
      </c>
      <c r="I428" s="106" t="n">
        <v>0</v>
      </c>
      <c r="J428" s="106" t="n">
        <v>2</v>
      </c>
      <c r="K428" s="106" t="n">
        <f aca="false">SUM(E428:J428)</f>
        <v>10</v>
      </c>
      <c r="L428" s="107" t="n">
        <v>0</v>
      </c>
      <c r="M428" s="107" t="n">
        <v>6</v>
      </c>
      <c r="N428" s="107" t="n">
        <v>30</v>
      </c>
      <c r="O428" s="107" t="n">
        <v>12</v>
      </c>
      <c r="P428" s="107" t="n">
        <v>0</v>
      </c>
      <c r="Q428" s="107" t="n">
        <v>12</v>
      </c>
      <c r="R428" s="107" t="n">
        <f aca="false">SUM(L428:Q428)</f>
        <v>60</v>
      </c>
      <c r="S428" s="108" t="n">
        <v>1</v>
      </c>
      <c r="T428" s="108" t="n">
        <v>1</v>
      </c>
      <c r="U428" s="108" t="n">
        <v>1</v>
      </c>
      <c r="V428" s="108" t="n">
        <v>1</v>
      </c>
      <c r="W428" s="108" t="n">
        <v>1</v>
      </c>
      <c r="X428" s="108" t="n">
        <v>1</v>
      </c>
      <c r="Y428" s="107" t="n">
        <f aca="false">S428*$D428</f>
        <v>6</v>
      </c>
      <c r="Z428" s="107" t="n">
        <f aca="false">T428*$D428</f>
        <v>6</v>
      </c>
      <c r="AA428" s="107" t="n">
        <f aca="false">U428*$D428</f>
        <v>6</v>
      </c>
      <c r="AB428" s="107" t="n">
        <f aca="false">V428*$D428</f>
        <v>6</v>
      </c>
      <c r="AC428" s="107" t="n">
        <f aca="false">W428*$D428</f>
        <v>6</v>
      </c>
      <c r="AD428" s="107" t="n">
        <f aca="false">X428*$D428</f>
        <v>6</v>
      </c>
      <c r="AE428" s="107" t="n">
        <f aca="false">SUM(Y428:AD428)</f>
        <v>36</v>
      </c>
    </row>
    <row r="429" customFormat="false" ht="15" hidden="false" customHeight="false" outlineLevel="0" collapsed="false">
      <c r="A429" s="103" t="s">
        <v>867</v>
      </c>
      <c r="B429" s="104" t="n">
        <v>0</v>
      </c>
      <c r="C429" s="105" t="n">
        <f aca="false">IF(K429=0,0,R429/K429)</f>
        <v>5.33333333333333</v>
      </c>
      <c r="D429" s="105" t="n">
        <f aca="false">C429+B429</f>
        <v>5.33333333333333</v>
      </c>
      <c r="E429" s="106" t="n">
        <v>0</v>
      </c>
      <c r="F429" s="106" t="n">
        <v>0</v>
      </c>
      <c r="G429" s="106" t="n">
        <v>3</v>
      </c>
      <c r="H429" s="106" t="n">
        <v>0</v>
      </c>
      <c r="I429" s="106" t="n">
        <v>4</v>
      </c>
      <c r="J429" s="106" t="n">
        <v>2</v>
      </c>
      <c r="K429" s="106" t="n">
        <f aca="false">SUM(E429:J429)</f>
        <v>9</v>
      </c>
      <c r="L429" s="107" t="n">
        <v>0</v>
      </c>
      <c r="M429" s="107" t="n">
        <v>0</v>
      </c>
      <c r="N429" s="107" t="n">
        <v>12</v>
      </c>
      <c r="O429" s="107" t="n">
        <v>0</v>
      </c>
      <c r="P429" s="107" t="n">
        <v>24</v>
      </c>
      <c r="Q429" s="107" t="n">
        <v>12</v>
      </c>
      <c r="R429" s="107" t="n">
        <f aca="false">SUM(L429:Q429)</f>
        <v>48</v>
      </c>
      <c r="S429" s="108" t="n">
        <v>2</v>
      </c>
      <c r="T429" s="108" t="n">
        <v>2</v>
      </c>
      <c r="U429" s="108" t="n">
        <v>2</v>
      </c>
      <c r="V429" s="108" t="n">
        <v>2</v>
      </c>
      <c r="W429" s="108" t="n">
        <v>2</v>
      </c>
      <c r="X429" s="108" t="n">
        <v>2</v>
      </c>
      <c r="Y429" s="107" t="n">
        <f aca="false">S429*$D429</f>
        <v>10.6666666666667</v>
      </c>
      <c r="Z429" s="107" t="n">
        <f aca="false">T429*$D429</f>
        <v>10.6666666666667</v>
      </c>
      <c r="AA429" s="107" t="n">
        <f aca="false">U429*$D429</f>
        <v>10.6666666666667</v>
      </c>
      <c r="AB429" s="107" t="n">
        <f aca="false">V429*$D429</f>
        <v>10.6666666666667</v>
      </c>
      <c r="AC429" s="107" t="n">
        <f aca="false">W429*$D429</f>
        <v>10.6666666666667</v>
      </c>
      <c r="AD429" s="107" t="n">
        <f aca="false">X429*$D429</f>
        <v>10.6666666666667</v>
      </c>
      <c r="AE429" s="107" t="n">
        <f aca="false">SUM(Y429:AD429)</f>
        <v>64</v>
      </c>
    </row>
    <row r="430" customFormat="false" ht="15" hidden="false" customHeight="false" outlineLevel="0" collapsed="false">
      <c r="A430" s="103" t="s">
        <v>513</v>
      </c>
      <c r="B430" s="104" t="n">
        <v>0</v>
      </c>
      <c r="C430" s="105" t="n">
        <f aca="false">IF(K430=0,0,R430/K430)</f>
        <v>7</v>
      </c>
      <c r="D430" s="105" t="n">
        <f aca="false">C430+B430</f>
        <v>7</v>
      </c>
      <c r="E430" s="106" t="n">
        <v>0</v>
      </c>
      <c r="F430" s="106" t="n">
        <v>0</v>
      </c>
      <c r="G430" s="106" t="n">
        <v>0</v>
      </c>
      <c r="H430" s="106" t="n">
        <v>0</v>
      </c>
      <c r="I430" s="106" t="n">
        <v>0</v>
      </c>
      <c r="J430" s="106" t="n">
        <v>6</v>
      </c>
      <c r="K430" s="106" t="n">
        <f aca="false">SUM(E430:J430)</f>
        <v>6</v>
      </c>
      <c r="L430" s="107" t="n">
        <v>0</v>
      </c>
      <c r="M430" s="107" t="n">
        <v>0</v>
      </c>
      <c r="N430" s="107" t="n">
        <v>0</v>
      </c>
      <c r="O430" s="107" t="n">
        <v>0</v>
      </c>
      <c r="P430" s="107" t="n">
        <v>0</v>
      </c>
      <c r="Q430" s="107" t="n">
        <v>42</v>
      </c>
      <c r="R430" s="107" t="n">
        <f aca="false">SUM(L430:Q430)</f>
        <v>42</v>
      </c>
      <c r="S430" s="108" t="n">
        <v>2</v>
      </c>
      <c r="T430" s="108" t="n">
        <v>2</v>
      </c>
      <c r="U430" s="108" t="n">
        <v>2</v>
      </c>
      <c r="V430" s="108" t="n">
        <v>2</v>
      </c>
      <c r="W430" s="108" t="n">
        <v>2</v>
      </c>
      <c r="X430" s="108" t="n">
        <v>2</v>
      </c>
      <c r="Y430" s="107" t="n">
        <f aca="false">S430*$D430</f>
        <v>14</v>
      </c>
      <c r="Z430" s="107" t="n">
        <f aca="false">T430*$D430</f>
        <v>14</v>
      </c>
      <c r="AA430" s="107" t="n">
        <f aca="false">U430*$D430</f>
        <v>14</v>
      </c>
      <c r="AB430" s="107" t="n">
        <f aca="false">V430*$D430</f>
        <v>14</v>
      </c>
      <c r="AC430" s="107" t="n">
        <f aca="false">W430*$D430</f>
        <v>14</v>
      </c>
      <c r="AD430" s="107" t="n">
        <f aca="false">X430*$D430</f>
        <v>14</v>
      </c>
      <c r="AE430" s="107" t="n">
        <f aca="false">SUM(Y430:AD430)</f>
        <v>84</v>
      </c>
    </row>
    <row r="431" customFormat="false" ht="15" hidden="false" customHeight="false" outlineLevel="0" collapsed="false">
      <c r="A431" s="103" t="s">
        <v>868</v>
      </c>
      <c r="B431" s="104" t="n">
        <v>0</v>
      </c>
      <c r="C431" s="105" t="n">
        <f aca="false">IF(K431=0,0,R431/K431)</f>
        <v>6.825</v>
      </c>
      <c r="D431" s="105" t="n">
        <f aca="false">C431+B431</f>
        <v>6.825</v>
      </c>
      <c r="E431" s="106" t="n">
        <v>0</v>
      </c>
      <c r="F431" s="106" t="n">
        <v>0</v>
      </c>
      <c r="G431" s="106" t="n">
        <v>0</v>
      </c>
      <c r="H431" s="106" t="n">
        <v>0</v>
      </c>
      <c r="I431" s="106" t="n">
        <v>0</v>
      </c>
      <c r="J431" s="106" t="n">
        <v>6</v>
      </c>
      <c r="K431" s="106" t="n">
        <f aca="false">SUM(E431:J431)</f>
        <v>6</v>
      </c>
      <c r="L431" s="107" t="n">
        <v>0</v>
      </c>
      <c r="M431" s="107" t="n">
        <v>0</v>
      </c>
      <c r="N431" s="107" t="n">
        <v>0</v>
      </c>
      <c r="O431" s="107" t="n">
        <v>0</v>
      </c>
      <c r="P431" s="107" t="n">
        <v>0</v>
      </c>
      <c r="Q431" s="107" t="n">
        <v>40.95</v>
      </c>
      <c r="R431" s="107" t="n">
        <f aca="false">SUM(L431:Q431)</f>
        <v>40.95</v>
      </c>
      <c r="S431" s="108" t="n">
        <v>2</v>
      </c>
      <c r="T431" s="108" t="n">
        <v>2</v>
      </c>
      <c r="U431" s="108" t="n">
        <v>2</v>
      </c>
      <c r="V431" s="108" t="n">
        <v>2</v>
      </c>
      <c r="W431" s="108" t="n">
        <v>2</v>
      </c>
      <c r="X431" s="108" t="n">
        <v>2</v>
      </c>
      <c r="Y431" s="107" t="n">
        <f aca="false">S431*$D431</f>
        <v>13.65</v>
      </c>
      <c r="Z431" s="107" t="n">
        <f aca="false">T431*$D431</f>
        <v>13.65</v>
      </c>
      <c r="AA431" s="107" t="n">
        <f aca="false">U431*$D431</f>
        <v>13.65</v>
      </c>
      <c r="AB431" s="107" t="n">
        <f aca="false">V431*$D431</f>
        <v>13.65</v>
      </c>
      <c r="AC431" s="107" t="n">
        <f aca="false">W431*$D431</f>
        <v>13.65</v>
      </c>
      <c r="AD431" s="107" t="n">
        <f aca="false">X431*$D431</f>
        <v>13.65</v>
      </c>
      <c r="AE431" s="107" t="n">
        <f aca="false">SUM(Y431:AD431)</f>
        <v>81.9</v>
      </c>
    </row>
    <row r="432" customFormat="false" ht="15" hidden="false" customHeight="false" outlineLevel="0" collapsed="false">
      <c r="A432" s="103" t="s">
        <v>725</v>
      </c>
      <c r="B432" s="104" t="n">
        <v>0</v>
      </c>
      <c r="C432" s="105" t="n">
        <f aca="false">IF(K432=0,0,R432/K432)</f>
        <v>6.825</v>
      </c>
      <c r="D432" s="105" t="n">
        <f aca="false">C432+B432</f>
        <v>6.825</v>
      </c>
      <c r="E432" s="106" t="n">
        <v>0</v>
      </c>
      <c r="F432" s="106" t="n">
        <v>0</v>
      </c>
      <c r="G432" s="106" t="n">
        <v>0</v>
      </c>
      <c r="H432" s="106" t="n">
        <v>0</v>
      </c>
      <c r="I432" s="106" t="n">
        <v>0</v>
      </c>
      <c r="J432" s="106" t="n">
        <v>6</v>
      </c>
      <c r="K432" s="106" t="n">
        <f aca="false">SUM(E432:J432)</f>
        <v>6</v>
      </c>
      <c r="L432" s="107" t="n">
        <v>0</v>
      </c>
      <c r="M432" s="107" t="n">
        <v>0</v>
      </c>
      <c r="N432" s="107" t="n">
        <v>0</v>
      </c>
      <c r="O432" s="107" t="n">
        <v>0</v>
      </c>
      <c r="P432" s="107" t="n">
        <v>0</v>
      </c>
      <c r="Q432" s="107" t="n">
        <v>40.95</v>
      </c>
      <c r="R432" s="107" t="n">
        <f aca="false">SUM(L432:Q432)</f>
        <v>40.95</v>
      </c>
      <c r="S432" s="108" t="n">
        <v>2</v>
      </c>
      <c r="T432" s="108" t="n">
        <v>2</v>
      </c>
      <c r="U432" s="108" t="n">
        <v>2</v>
      </c>
      <c r="V432" s="108" t="n">
        <v>2</v>
      </c>
      <c r="W432" s="108" t="n">
        <v>2</v>
      </c>
      <c r="X432" s="108" t="n">
        <v>2</v>
      </c>
      <c r="Y432" s="107" t="n">
        <f aca="false">S432*$D432</f>
        <v>13.65</v>
      </c>
      <c r="Z432" s="107" t="n">
        <f aca="false">T432*$D432</f>
        <v>13.65</v>
      </c>
      <c r="AA432" s="107" t="n">
        <f aca="false">U432*$D432</f>
        <v>13.65</v>
      </c>
      <c r="AB432" s="107" t="n">
        <f aca="false">V432*$D432</f>
        <v>13.65</v>
      </c>
      <c r="AC432" s="107" t="n">
        <f aca="false">W432*$D432</f>
        <v>13.65</v>
      </c>
      <c r="AD432" s="107" t="n">
        <f aca="false">X432*$D432</f>
        <v>13.65</v>
      </c>
      <c r="AE432" s="107" t="n">
        <f aca="false">SUM(Y432:AD432)</f>
        <v>81.9</v>
      </c>
    </row>
    <row r="433" customFormat="false" ht="15" hidden="false" customHeight="false" outlineLevel="0" collapsed="false">
      <c r="A433" s="103" t="s">
        <v>497</v>
      </c>
      <c r="B433" s="104" t="n">
        <v>0</v>
      </c>
      <c r="C433" s="105" t="n">
        <f aca="false">IF(K433=0,0,R433/K433)</f>
        <v>7</v>
      </c>
      <c r="D433" s="105" t="n">
        <f aca="false">C433+B433</f>
        <v>7</v>
      </c>
      <c r="E433" s="106" t="n">
        <v>0</v>
      </c>
      <c r="F433" s="106" t="n">
        <v>0</v>
      </c>
      <c r="G433" s="106" t="n">
        <v>0</v>
      </c>
      <c r="H433" s="106" t="n">
        <v>0</v>
      </c>
      <c r="I433" s="106" t="n">
        <v>2</v>
      </c>
      <c r="J433" s="106" t="n">
        <v>3</v>
      </c>
      <c r="K433" s="106" t="n">
        <f aca="false">SUM(E433:J433)</f>
        <v>5</v>
      </c>
      <c r="L433" s="107" t="n">
        <v>0</v>
      </c>
      <c r="M433" s="107" t="n">
        <v>0</v>
      </c>
      <c r="N433" s="107" t="n">
        <v>0</v>
      </c>
      <c r="O433" s="107" t="n">
        <v>0</v>
      </c>
      <c r="P433" s="107" t="n">
        <v>14</v>
      </c>
      <c r="Q433" s="107" t="n">
        <v>21</v>
      </c>
      <c r="R433" s="107" t="n">
        <f aca="false">SUM(L433:Q433)</f>
        <v>35</v>
      </c>
      <c r="S433" s="108" t="n">
        <v>2</v>
      </c>
      <c r="T433" s="108" t="n">
        <v>2</v>
      </c>
      <c r="U433" s="108" t="n">
        <v>2</v>
      </c>
      <c r="V433" s="108" t="n">
        <v>2</v>
      </c>
      <c r="W433" s="108" t="n">
        <v>2</v>
      </c>
      <c r="X433" s="108" t="n">
        <v>2</v>
      </c>
      <c r="Y433" s="107" t="n">
        <f aca="false">S433*$D433</f>
        <v>14</v>
      </c>
      <c r="Z433" s="107" t="n">
        <f aca="false">T433*$D433</f>
        <v>14</v>
      </c>
      <c r="AA433" s="107" t="n">
        <f aca="false">U433*$D433</f>
        <v>14</v>
      </c>
      <c r="AB433" s="107" t="n">
        <f aca="false">V433*$D433</f>
        <v>14</v>
      </c>
      <c r="AC433" s="107" t="n">
        <f aca="false">W433*$D433</f>
        <v>14</v>
      </c>
      <c r="AD433" s="107" t="n">
        <f aca="false">X433*$D433</f>
        <v>14</v>
      </c>
      <c r="AE433" s="107" t="n">
        <f aca="false">SUM(Y433:AD433)</f>
        <v>84</v>
      </c>
    </row>
    <row r="434" customFormat="false" ht="15" hidden="false" customHeight="false" outlineLevel="0" collapsed="false">
      <c r="A434" s="103" t="s">
        <v>527</v>
      </c>
      <c r="B434" s="104" t="n">
        <v>0</v>
      </c>
      <c r="C434" s="105" t="n">
        <f aca="false">IF(K434=0,0,R434/K434)</f>
        <v>6.58</v>
      </c>
      <c r="D434" s="105" t="n">
        <f aca="false">C434+B434</f>
        <v>6.58</v>
      </c>
      <c r="E434" s="106" t="n">
        <v>0</v>
      </c>
      <c r="F434" s="106" t="n">
        <v>0</v>
      </c>
      <c r="G434" s="106" t="n">
        <v>0</v>
      </c>
      <c r="H434" s="106" t="n">
        <v>0</v>
      </c>
      <c r="I434" s="106" t="n">
        <v>0</v>
      </c>
      <c r="J434" s="106" t="n">
        <v>5</v>
      </c>
      <c r="K434" s="106" t="n">
        <f aca="false">SUM(E434:J434)</f>
        <v>5</v>
      </c>
      <c r="L434" s="107" t="n">
        <v>0</v>
      </c>
      <c r="M434" s="107" t="n">
        <v>0</v>
      </c>
      <c r="N434" s="107" t="n">
        <v>0</v>
      </c>
      <c r="O434" s="107" t="n">
        <v>0</v>
      </c>
      <c r="P434" s="107" t="n">
        <v>0</v>
      </c>
      <c r="Q434" s="107" t="n">
        <v>32.9</v>
      </c>
      <c r="R434" s="107" t="n">
        <f aca="false">SUM(L434:Q434)</f>
        <v>32.9</v>
      </c>
      <c r="S434" s="108" t="n">
        <v>2</v>
      </c>
      <c r="T434" s="108" t="n">
        <v>2</v>
      </c>
      <c r="U434" s="108" t="n">
        <v>2</v>
      </c>
      <c r="V434" s="108" t="n">
        <v>2</v>
      </c>
      <c r="W434" s="108" t="n">
        <v>2</v>
      </c>
      <c r="X434" s="108" t="n">
        <v>2</v>
      </c>
      <c r="Y434" s="107" t="n">
        <f aca="false">S434*$D434</f>
        <v>13.16</v>
      </c>
      <c r="Z434" s="107" t="n">
        <f aca="false">T434*$D434</f>
        <v>13.16</v>
      </c>
      <c r="AA434" s="107" t="n">
        <f aca="false">U434*$D434</f>
        <v>13.16</v>
      </c>
      <c r="AB434" s="107" t="n">
        <f aca="false">V434*$D434</f>
        <v>13.16</v>
      </c>
      <c r="AC434" s="107" t="n">
        <f aca="false">W434*$D434</f>
        <v>13.16</v>
      </c>
      <c r="AD434" s="107" t="n">
        <f aca="false">X434*$D434</f>
        <v>13.16</v>
      </c>
      <c r="AE434" s="107" t="n">
        <f aca="false">SUM(Y434:AD434)</f>
        <v>78.96</v>
      </c>
    </row>
    <row r="435" customFormat="false" ht="15" hidden="false" customHeight="false" outlineLevel="0" collapsed="false">
      <c r="A435" s="103" t="s">
        <v>525</v>
      </c>
      <c r="B435" s="104" t="n">
        <v>0</v>
      </c>
      <c r="C435" s="105" t="n">
        <f aca="false">IF(K435=0,0,R435/K435)</f>
        <v>6.2</v>
      </c>
      <c r="D435" s="105" t="n">
        <f aca="false">C435+B435</f>
        <v>6.2</v>
      </c>
      <c r="E435" s="106" t="n">
        <v>0</v>
      </c>
      <c r="F435" s="106" t="n">
        <v>0</v>
      </c>
      <c r="G435" s="106" t="n">
        <v>0</v>
      </c>
      <c r="H435" s="106" t="n">
        <v>1</v>
      </c>
      <c r="I435" s="106" t="n">
        <v>3</v>
      </c>
      <c r="J435" s="106" t="n">
        <v>1</v>
      </c>
      <c r="K435" s="106" t="n">
        <f aca="false">SUM(E435:J435)</f>
        <v>5</v>
      </c>
      <c r="L435" s="107" t="n">
        <v>0</v>
      </c>
      <c r="M435" s="107" t="n">
        <v>0</v>
      </c>
      <c r="N435" s="107" t="n">
        <v>0</v>
      </c>
      <c r="O435" s="107" t="n">
        <v>7</v>
      </c>
      <c r="P435" s="107" t="n">
        <v>18</v>
      </c>
      <c r="Q435" s="107" t="n">
        <v>6</v>
      </c>
      <c r="R435" s="107" t="n">
        <f aca="false">SUM(L435:Q435)</f>
        <v>31</v>
      </c>
      <c r="S435" s="108" t="n">
        <v>2</v>
      </c>
      <c r="T435" s="108" t="n">
        <v>2</v>
      </c>
      <c r="U435" s="108" t="n">
        <v>2</v>
      </c>
      <c r="V435" s="108" t="n">
        <v>2</v>
      </c>
      <c r="W435" s="108" t="n">
        <v>2</v>
      </c>
      <c r="X435" s="108" t="n">
        <v>2</v>
      </c>
      <c r="Y435" s="107" t="n">
        <f aca="false">S435*$D435</f>
        <v>12.4</v>
      </c>
      <c r="Z435" s="107" t="n">
        <f aca="false">T435*$D435</f>
        <v>12.4</v>
      </c>
      <c r="AA435" s="107" t="n">
        <f aca="false">U435*$D435</f>
        <v>12.4</v>
      </c>
      <c r="AB435" s="107" t="n">
        <f aca="false">V435*$D435</f>
        <v>12.4</v>
      </c>
      <c r="AC435" s="107" t="n">
        <f aca="false">W435*$D435</f>
        <v>12.4</v>
      </c>
      <c r="AD435" s="107" t="n">
        <f aca="false">X435*$D435</f>
        <v>12.4</v>
      </c>
      <c r="AE435" s="107" t="n">
        <f aca="false">SUM(Y435:AD435)</f>
        <v>74.4</v>
      </c>
    </row>
    <row r="436" customFormat="false" ht="15" hidden="false" customHeight="false" outlineLevel="0" collapsed="false">
      <c r="A436" s="103" t="s">
        <v>869</v>
      </c>
      <c r="B436" s="104" t="n">
        <v>0</v>
      </c>
      <c r="C436" s="105" t="n">
        <f aca="false">IF(K436=0,0,R436/K436)</f>
        <v>7</v>
      </c>
      <c r="D436" s="105" t="n">
        <f aca="false">C436+B436</f>
        <v>7</v>
      </c>
      <c r="E436" s="106" t="n">
        <v>0</v>
      </c>
      <c r="F436" s="106" t="n">
        <v>0</v>
      </c>
      <c r="G436" s="106" t="n">
        <v>0</v>
      </c>
      <c r="H436" s="106" t="n">
        <v>1</v>
      </c>
      <c r="I436" s="106" t="n">
        <v>3</v>
      </c>
      <c r="J436" s="106" t="n">
        <v>0</v>
      </c>
      <c r="K436" s="106" t="n">
        <f aca="false">SUM(E436:J436)</f>
        <v>4</v>
      </c>
      <c r="L436" s="107" t="n">
        <v>0</v>
      </c>
      <c r="M436" s="107" t="n">
        <v>0</v>
      </c>
      <c r="N436" s="107" t="n">
        <v>0</v>
      </c>
      <c r="O436" s="107" t="n">
        <v>7</v>
      </c>
      <c r="P436" s="107" t="n">
        <v>21</v>
      </c>
      <c r="Q436" s="107" t="n">
        <v>0</v>
      </c>
      <c r="R436" s="107" t="n">
        <f aca="false">SUM(L436:Q436)</f>
        <v>28</v>
      </c>
      <c r="S436" s="108" t="n">
        <v>1</v>
      </c>
      <c r="T436" s="108" t="n">
        <v>1</v>
      </c>
      <c r="U436" s="108" t="n">
        <v>1</v>
      </c>
      <c r="V436" s="108" t="n">
        <v>1</v>
      </c>
      <c r="W436" s="108" t="n">
        <v>1</v>
      </c>
      <c r="X436" s="108" t="n">
        <v>1</v>
      </c>
      <c r="Y436" s="107" t="n">
        <f aca="false">S436*$D436</f>
        <v>7</v>
      </c>
      <c r="Z436" s="107" t="n">
        <f aca="false">T436*$D436</f>
        <v>7</v>
      </c>
      <c r="AA436" s="107" t="n">
        <f aca="false">U436*$D436</f>
        <v>7</v>
      </c>
      <c r="AB436" s="107" t="n">
        <f aca="false">V436*$D436</f>
        <v>7</v>
      </c>
      <c r="AC436" s="107" t="n">
        <f aca="false">W436*$D436</f>
        <v>7</v>
      </c>
      <c r="AD436" s="107" t="n">
        <f aca="false">X436*$D436</f>
        <v>7</v>
      </c>
      <c r="AE436" s="107" t="n">
        <f aca="false">SUM(Y436:AD436)</f>
        <v>42</v>
      </c>
    </row>
    <row r="437" customFormat="false" ht="15" hidden="false" customHeight="false" outlineLevel="0" collapsed="false">
      <c r="A437" s="103" t="s">
        <v>870</v>
      </c>
      <c r="B437" s="104" t="n">
        <v>0</v>
      </c>
      <c r="C437" s="105" t="n">
        <f aca="false">IF(K437=0,0,R437/K437)</f>
        <v>6</v>
      </c>
      <c r="D437" s="105" t="n">
        <f aca="false">C437+B437</f>
        <v>6</v>
      </c>
      <c r="E437" s="106" t="n">
        <v>0</v>
      </c>
      <c r="F437" s="106" t="n">
        <v>0</v>
      </c>
      <c r="G437" s="106" t="n">
        <v>3</v>
      </c>
      <c r="H437" s="106" t="n">
        <v>0</v>
      </c>
      <c r="I437" s="106" t="n">
        <v>0</v>
      </c>
      <c r="J437" s="106" t="n">
        <v>0</v>
      </c>
      <c r="K437" s="106" t="n">
        <f aca="false">SUM(E437:J437)</f>
        <v>3</v>
      </c>
      <c r="L437" s="107" t="n">
        <v>0</v>
      </c>
      <c r="M437" s="107" t="n">
        <v>0</v>
      </c>
      <c r="N437" s="107" t="n">
        <v>18</v>
      </c>
      <c r="O437" s="107" t="n">
        <v>0</v>
      </c>
      <c r="P437" s="107" t="n">
        <v>0</v>
      </c>
      <c r="Q437" s="107" t="n">
        <v>0</v>
      </c>
      <c r="R437" s="107" t="n">
        <f aca="false">SUM(L437:Q437)</f>
        <v>18</v>
      </c>
      <c r="S437" s="108" t="n">
        <v>0</v>
      </c>
      <c r="T437" s="108" t="n">
        <v>0</v>
      </c>
      <c r="U437" s="108" t="n">
        <v>0</v>
      </c>
      <c r="V437" s="108" t="n">
        <v>0</v>
      </c>
      <c r="W437" s="108" t="n">
        <v>0</v>
      </c>
      <c r="X437" s="108" t="n">
        <v>0</v>
      </c>
      <c r="Y437" s="107" t="n">
        <f aca="false">S437*$D437</f>
        <v>0</v>
      </c>
      <c r="Z437" s="107" t="n">
        <f aca="false">T437*$D437</f>
        <v>0</v>
      </c>
      <c r="AA437" s="107" t="n">
        <f aca="false">U437*$D437</f>
        <v>0</v>
      </c>
      <c r="AB437" s="107" t="n">
        <f aca="false">V437*$D437</f>
        <v>0</v>
      </c>
      <c r="AC437" s="107" t="n">
        <f aca="false">W437*$D437</f>
        <v>0</v>
      </c>
      <c r="AD437" s="107" t="n">
        <f aca="false">X437*$D437</f>
        <v>0</v>
      </c>
      <c r="AE437" s="107" t="n">
        <f aca="false">SUM(Y437:AD437)</f>
        <v>0</v>
      </c>
    </row>
    <row r="438" customFormat="false" ht="15" hidden="false" customHeight="false" outlineLevel="0" collapsed="false">
      <c r="A438" s="103" t="s">
        <v>871</v>
      </c>
      <c r="B438" s="104" t="n">
        <v>0</v>
      </c>
      <c r="C438" s="105" t="n">
        <f aca="false">IF(K438=0,0,R438/K438)</f>
        <v>6</v>
      </c>
      <c r="D438" s="105" t="n">
        <f aca="false">C438+B438</f>
        <v>6</v>
      </c>
      <c r="E438" s="106" t="n">
        <v>0</v>
      </c>
      <c r="F438" s="106" t="n">
        <v>0</v>
      </c>
      <c r="G438" s="106" t="n">
        <v>0</v>
      </c>
      <c r="H438" s="106" t="n">
        <v>0</v>
      </c>
      <c r="I438" s="106" t="n">
        <v>0</v>
      </c>
      <c r="J438" s="106" t="n">
        <v>2</v>
      </c>
      <c r="K438" s="106" t="n">
        <f aca="false">SUM(E438:J438)</f>
        <v>2</v>
      </c>
      <c r="L438" s="107" t="n">
        <v>0</v>
      </c>
      <c r="M438" s="107" t="n">
        <v>0</v>
      </c>
      <c r="N438" s="107" t="n">
        <v>0</v>
      </c>
      <c r="O438" s="107" t="n">
        <v>0</v>
      </c>
      <c r="P438" s="107" t="n">
        <v>0</v>
      </c>
      <c r="Q438" s="107" t="n">
        <v>12</v>
      </c>
      <c r="R438" s="107" t="n">
        <f aca="false">SUM(L438:Q438)</f>
        <v>12</v>
      </c>
      <c r="S438" s="108" t="n">
        <v>1</v>
      </c>
      <c r="T438" s="108" t="n">
        <v>1</v>
      </c>
      <c r="U438" s="108" t="n">
        <v>1</v>
      </c>
      <c r="V438" s="108" t="n">
        <v>1</v>
      </c>
      <c r="W438" s="108" t="n">
        <v>1</v>
      </c>
      <c r="X438" s="108" t="n">
        <v>1</v>
      </c>
      <c r="Y438" s="107" t="n">
        <f aca="false">S438*$D438</f>
        <v>6</v>
      </c>
      <c r="Z438" s="107" t="n">
        <f aca="false">T438*$D438</f>
        <v>6</v>
      </c>
      <c r="AA438" s="107" t="n">
        <f aca="false">U438*$D438</f>
        <v>6</v>
      </c>
      <c r="AB438" s="107" t="n">
        <f aca="false">V438*$D438</f>
        <v>6</v>
      </c>
      <c r="AC438" s="107" t="n">
        <f aca="false">W438*$D438</f>
        <v>6</v>
      </c>
      <c r="AD438" s="107" t="n">
        <f aca="false">X438*$D438</f>
        <v>6</v>
      </c>
      <c r="AE438" s="107" t="n">
        <f aca="false">SUM(Y438:AD438)</f>
        <v>36</v>
      </c>
    </row>
    <row r="439" customFormat="false" ht="15" hidden="false" customHeight="false" outlineLevel="0" collapsed="false">
      <c r="A439" s="103" t="s">
        <v>872</v>
      </c>
      <c r="B439" s="104" t="n">
        <v>0</v>
      </c>
      <c r="C439" s="105" t="n">
        <f aca="false">IF(K439=0,0,R439/K439)</f>
        <v>6</v>
      </c>
      <c r="D439" s="105" t="n">
        <f aca="false">C439+B439</f>
        <v>6</v>
      </c>
      <c r="E439" s="106" t="n">
        <v>0</v>
      </c>
      <c r="F439" s="106" t="n">
        <v>0</v>
      </c>
      <c r="G439" s="106" t="n">
        <v>1</v>
      </c>
      <c r="H439" s="106" t="n">
        <v>0</v>
      </c>
      <c r="I439" s="106" t="n">
        <v>0</v>
      </c>
      <c r="J439" s="106" t="n">
        <v>0</v>
      </c>
      <c r="K439" s="106" t="n">
        <f aca="false">SUM(E439:J439)</f>
        <v>1</v>
      </c>
      <c r="L439" s="107" t="n">
        <v>0</v>
      </c>
      <c r="M439" s="107" t="n">
        <v>0</v>
      </c>
      <c r="N439" s="107" t="n">
        <v>6</v>
      </c>
      <c r="O439" s="107" t="n">
        <v>0</v>
      </c>
      <c r="P439" s="107" t="n">
        <v>0</v>
      </c>
      <c r="Q439" s="107" t="n">
        <v>0</v>
      </c>
      <c r="R439" s="107" t="n">
        <f aca="false">SUM(L439:Q439)</f>
        <v>6</v>
      </c>
      <c r="S439" s="108" t="n">
        <v>0</v>
      </c>
      <c r="T439" s="108" t="n">
        <v>0</v>
      </c>
      <c r="U439" s="108" t="n">
        <v>0</v>
      </c>
      <c r="V439" s="108" t="n">
        <v>0</v>
      </c>
      <c r="W439" s="108" t="n">
        <v>0</v>
      </c>
      <c r="X439" s="108" t="n">
        <v>0</v>
      </c>
      <c r="Y439" s="107" t="n">
        <f aca="false">S439*$D439</f>
        <v>0</v>
      </c>
      <c r="Z439" s="107" t="n">
        <f aca="false">T439*$D439</f>
        <v>0</v>
      </c>
      <c r="AA439" s="107" t="n">
        <f aca="false">U439*$D439</f>
        <v>0</v>
      </c>
      <c r="AB439" s="107" t="n">
        <f aca="false">V439*$D439</f>
        <v>0</v>
      </c>
      <c r="AC439" s="107" t="n">
        <f aca="false">W439*$D439</f>
        <v>0</v>
      </c>
      <c r="AD439" s="107" t="n">
        <f aca="false">X439*$D439</f>
        <v>0</v>
      </c>
      <c r="AE439" s="107" t="n">
        <f aca="false">SUM(Y439:AD439)</f>
        <v>0</v>
      </c>
    </row>
    <row r="440" customFormat="false" ht="15" hidden="false" customHeight="false" outlineLevel="0" collapsed="false">
      <c r="A440" s="109" t="s">
        <v>873</v>
      </c>
      <c r="B440" s="110"/>
      <c r="C440" s="110"/>
      <c r="D440" s="110"/>
      <c r="E440" s="111" t="n">
        <f aca="false">SUM(E419:E439)</f>
        <v>10</v>
      </c>
      <c r="F440" s="111" t="n">
        <f aca="false">SUM(F419:F439)</f>
        <v>33</v>
      </c>
      <c r="G440" s="111" t="n">
        <f aca="false">SUM(G419:G439)</f>
        <v>28</v>
      </c>
      <c r="H440" s="111" t="n">
        <f aca="false">SUM(H419:H439)</f>
        <v>50</v>
      </c>
      <c r="I440" s="111" t="n">
        <f aca="false">SUM(I419:I439)</f>
        <v>89</v>
      </c>
      <c r="J440" s="111" t="n">
        <f aca="false">SUM(J419:J439)</f>
        <v>109</v>
      </c>
      <c r="K440" s="111" t="n">
        <f aca="false">SUM(K419:K439)</f>
        <v>319</v>
      </c>
      <c r="L440" s="112" t="n">
        <f aca="false">SUM(L419:L439)</f>
        <v>51.6</v>
      </c>
      <c r="M440" s="112" t="n">
        <f aca="false">SUM(M419:M439)</f>
        <v>196.8</v>
      </c>
      <c r="N440" s="112" t="n">
        <f aca="false">SUM(N419:N439)</f>
        <v>160.8</v>
      </c>
      <c r="O440" s="112" t="n">
        <f aca="false">SUM(O419:O439)</f>
        <v>333</v>
      </c>
      <c r="P440" s="112" t="n">
        <f aca="false">SUM(P419:P439)</f>
        <v>593.85</v>
      </c>
      <c r="Q440" s="112" t="n">
        <f aca="false">SUM(Q419:Q439)</f>
        <v>738.8</v>
      </c>
      <c r="R440" s="112" t="n">
        <f aca="false">SUM(R419:R439)</f>
        <v>2074.85</v>
      </c>
      <c r="S440" s="111" t="n">
        <f aca="false">SUM(S419:S439)</f>
        <v>83</v>
      </c>
      <c r="T440" s="111" t="n">
        <f aca="false">SUM(T419:T439)</f>
        <v>83</v>
      </c>
      <c r="U440" s="111" t="n">
        <f aca="false">SUM(U419:U439)</f>
        <v>83</v>
      </c>
      <c r="V440" s="111" t="n">
        <f aca="false">SUM(V419:V439)</f>
        <v>83</v>
      </c>
      <c r="W440" s="111" t="n">
        <f aca="false">SUM(W419:W439)</f>
        <v>83</v>
      </c>
      <c r="X440" s="111" t="n">
        <f aca="false">SUM(X419:X439)</f>
        <v>83</v>
      </c>
      <c r="Y440" s="112" t="n">
        <f aca="false">SUM(Y419:Y439)</f>
        <v>546.773287726766</v>
      </c>
      <c r="Z440" s="112" t="n">
        <f aca="false">SUM(Z419:Z439)</f>
        <v>546.773287726766</v>
      </c>
      <c r="AA440" s="112" t="n">
        <f aca="false">SUM(AA419:AA439)</f>
        <v>546.773287726766</v>
      </c>
      <c r="AB440" s="112" t="n">
        <f aca="false">SUM(AB419:AB439)</f>
        <v>546.773287726766</v>
      </c>
      <c r="AC440" s="112" t="n">
        <f aca="false">SUM(AC419:AC439)</f>
        <v>546.773287726766</v>
      </c>
      <c r="AD440" s="112" t="n">
        <f aca="false">SUM(AD419:AD439)</f>
        <v>546.773287726766</v>
      </c>
      <c r="AE440" s="112" t="n">
        <f aca="false">SUM(AE419:AE439)</f>
        <v>3280.6397263606</v>
      </c>
    </row>
    <row r="442" customFormat="false" ht="15" hidden="false" customHeight="false" outlineLevel="0" collapsed="false">
      <c r="A442" s="102" t="s">
        <v>874</v>
      </c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</row>
    <row r="443" customFormat="false" ht="15" hidden="false" customHeight="false" outlineLevel="0" collapsed="false">
      <c r="A443" s="103" t="s">
        <v>875</v>
      </c>
      <c r="B443" s="104" t="n">
        <v>0</v>
      </c>
      <c r="C443" s="105" t="n">
        <f aca="false">IF(K443=0,0,R443/K443)</f>
        <v>48.9411764705882</v>
      </c>
      <c r="D443" s="105" t="n">
        <f aca="false">C443+B443</f>
        <v>48.9411764705882</v>
      </c>
      <c r="E443" s="106" t="n">
        <v>0</v>
      </c>
      <c r="F443" s="106" t="n">
        <v>0</v>
      </c>
      <c r="G443" s="106" t="n">
        <v>0</v>
      </c>
      <c r="H443" s="106" t="n">
        <v>3</v>
      </c>
      <c r="I443" s="106" t="n">
        <v>9</v>
      </c>
      <c r="J443" s="106" t="n">
        <v>5</v>
      </c>
      <c r="K443" s="106" t="n">
        <f aca="false">SUM(E443:J443)</f>
        <v>17</v>
      </c>
      <c r="L443" s="107" t="n">
        <v>0</v>
      </c>
      <c r="M443" s="107" t="n">
        <v>0</v>
      </c>
      <c r="N443" s="107" t="n">
        <v>0</v>
      </c>
      <c r="O443" s="107" t="n">
        <v>130</v>
      </c>
      <c r="P443" s="107" t="n">
        <v>442</v>
      </c>
      <c r="Q443" s="107" t="n">
        <v>260</v>
      </c>
      <c r="R443" s="107" t="n">
        <f aca="false">SUM(L443:Q443)</f>
        <v>832</v>
      </c>
      <c r="S443" s="108" t="n">
        <v>6</v>
      </c>
      <c r="T443" s="108" t="n">
        <v>6</v>
      </c>
      <c r="U443" s="108" t="n">
        <v>6</v>
      </c>
      <c r="V443" s="108" t="n">
        <v>6</v>
      </c>
      <c r="W443" s="108" t="n">
        <v>6</v>
      </c>
      <c r="X443" s="108" t="n">
        <v>6</v>
      </c>
      <c r="Y443" s="107" t="n">
        <f aca="false">S443*$D443</f>
        <v>293.647058823529</v>
      </c>
      <c r="Z443" s="107" t="n">
        <f aca="false">T443*$D443</f>
        <v>293.647058823529</v>
      </c>
      <c r="AA443" s="107" t="n">
        <f aca="false">U443*$D443</f>
        <v>293.647058823529</v>
      </c>
      <c r="AB443" s="107" t="n">
        <f aca="false">V443*$D443</f>
        <v>293.647058823529</v>
      </c>
      <c r="AC443" s="107" t="n">
        <f aca="false">W443*$D443</f>
        <v>293.647058823529</v>
      </c>
      <c r="AD443" s="107" t="n">
        <f aca="false">X443*$D443</f>
        <v>293.647058823529</v>
      </c>
      <c r="AE443" s="107" t="n">
        <f aca="false">SUM(Y443:AD443)</f>
        <v>1761.88235294118</v>
      </c>
    </row>
    <row r="444" customFormat="false" ht="15" hidden="false" customHeight="false" outlineLevel="0" collapsed="false">
      <c r="A444" s="103" t="s">
        <v>876</v>
      </c>
      <c r="B444" s="104" t="n">
        <v>0</v>
      </c>
      <c r="C444" s="105" t="n">
        <f aca="false">IF(K444=0,0,R444/K444)</f>
        <v>38.8636363636364</v>
      </c>
      <c r="D444" s="105" t="n">
        <f aca="false">C444+B444</f>
        <v>38.8636363636364</v>
      </c>
      <c r="E444" s="106" t="n">
        <v>0</v>
      </c>
      <c r="F444" s="106" t="n">
        <v>0</v>
      </c>
      <c r="G444" s="106" t="n">
        <v>0</v>
      </c>
      <c r="H444" s="106" t="n">
        <v>4</v>
      </c>
      <c r="I444" s="106" t="n">
        <v>6</v>
      </c>
      <c r="J444" s="106" t="n">
        <v>1</v>
      </c>
      <c r="K444" s="106" t="n">
        <f aca="false">SUM(E444:J444)</f>
        <v>11</v>
      </c>
      <c r="L444" s="107" t="n">
        <v>0</v>
      </c>
      <c r="M444" s="107" t="n">
        <v>0</v>
      </c>
      <c r="N444" s="107" t="n">
        <v>0</v>
      </c>
      <c r="O444" s="107" t="n">
        <v>180</v>
      </c>
      <c r="P444" s="107" t="n">
        <v>202.5</v>
      </c>
      <c r="Q444" s="107" t="n">
        <v>45</v>
      </c>
      <c r="R444" s="107" t="n">
        <f aca="false">SUM(L444:Q444)</f>
        <v>427.5</v>
      </c>
      <c r="S444" s="108" t="n">
        <v>4</v>
      </c>
      <c r="T444" s="108" t="n">
        <v>4</v>
      </c>
      <c r="U444" s="108" t="n">
        <v>4</v>
      </c>
      <c r="V444" s="108" t="n">
        <v>4</v>
      </c>
      <c r="W444" s="108" t="n">
        <v>4</v>
      </c>
      <c r="X444" s="108" t="n">
        <v>4</v>
      </c>
      <c r="Y444" s="107" t="n">
        <f aca="false">S444*$D444</f>
        <v>155.454545454545</v>
      </c>
      <c r="Z444" s="107" t="n">
        <f aca="false">T444*$D444</f>
        <v>155.454545454545</v>
      </c>
      <c r="AA444" s="107" t="n">
        <f aca="false">U444*$D444</f>
        <v>155.454545454545</v>
      </c>
      <c r="AB444" s="107" t="n">
        <f aca="false">V444*$D444</f>
        <v>155.454545454545</v>
      </c>
      <c r="AC444" s="107" t="n">
        <f aca="false">W444*$D444</f>
        <v>155.454545454545</v>
      </c>
      <c r="AD444" s="107" t="n">
        <f aca="false">X444*$D444</f>
        <v>155.454545454545</v>
      </c>
      <c r="AE444" s="107" t="n">
        <f aca="false">SUM(Y444:AD444)</f>
        <v>932.727272727273</v>
      </c>
    </row>
    <row r="445" customFormat="false" ht="15" hidden="false" customHeight="false" outlineLevel="0" collapsed="false">
      <c r="A445" s="103" t="s">
        <v>877</v>
      </c>
      <c r="B445" s="104" t="n">
        <v>0</v>
      </c>
      <c r="C445" s="105" t="n">
        <f aca="false">IF(K445=0,0,R445/K445)</f>
        <v>39.4</v>
      </c>
      <c r="D445" s="105" t="n">
        <f aca="false">C445+B445</f>
        <v>39.4</v>
      </c>
      <c r="E445" s="106" t="n">
        <v>0</v>
      </c>
      <c r="F445" s="106" t="n">
        <v>0</v>
      </c>
      <c r="G445" s="106" t="n">
        <v>0</v>
      </c>
      <c r="H445" s="106" t="n">
        <v>4</v>
      </c>
      <c r="I445" s="106" t="n">
        <v>3</v>
      </c>
      <c r="J445" s="106" t="n">
        <v>3</v>
      </c>
      <c r="K445" s="106" t="n">
        <f aca="false">SUM(E445:J445)</f>
        <v>10</v>
      </c>
      <c r="L445" s="107" t="n">
        <v>0</v>
      </c>
      <c r="M445" s="107" t="n">
        <v>0</v>
      </c>
      <c r="N445" s="107" t="n">
        <v>0</v>
      </c>
      <c r="O445" s="107" t="n">
        <v>154</v>
      </c>
      <c r="P445" s="107" t="n">
        <v>120</v>
      </c>
      <c r="Q445" s="107" t="n">
        <v>120</v>
      </c>
      <c r="R445" s="107" t="n">
        <f aca="false">SUM(L445:Q445)</f>
        <v>394</v>
      </c>
      <c r="S445" s="108" t="n">
        <v>3</v>
      </c>
      <c r="T445" s="108" t="n">
        <v>3</v>
      </c>
      <c r="U445" s="108" t="n">
        <v>3</v>
      </c>
      <c r="V445" s="108" t="n">
        <v>3</v>
      </c>
      <c r="W445" s="108" t="n">
        <v>3</v>
      </c>
      <c r="X445" s="108" t="n">
        <v>3</v>
      </c>
      <c r="Y445" s="107" t="n">
        <f aca="false">S445*$D445</f>
        <v>118.2</v>
      </c>
      <c r="Z445" s="107" t="n">
        <f aca="false">T445*$D445</f>
        <v>118.2</v>
      </c>
      <c r="AA445" s="107" t="n">
        <f aca="false">U445*$D445</f>
        <v>118.2</v>
      </c>
      <c r="AB445" s="107" t="n">
        <f aca="false">V445*$D445</f>
        <v>118.2</v>
      </c>
      <c r="AC445" s="107" t="n">
        <f aca="false">W445*$D445</f>
        <v>118.2</v>
      </c>
      <c r="AD445" s="107" t="n">
        <f aca="false">X445*$D445</f>
        <v>118.2</v>
      </c>
      <c r="AE445" s="107" t="n">
        <f aca="false">SUM(Y445:AD445)</f>
        <v>709.2</v>
      </c>
    </row>
    <row r="446" customFormat="false" ht="15" hidden="false" customHeight="false" outlineLevel="0" collapsed="false">
      <c r="A446" s="103" t="s">
        <v>878</v>
      </c>
      <c r="B446" s="104" t="n">
        <v>0</v>
      </c>
      <c r="C446" s="105" t="n">
        <f aca="false">IF(K446=0,0,R446/K446)</f>
        <v>30.625</v>
      </c>
      <c r="D446" s="105" t="n">
        <f aca="false">C446+B446</f>
        <v>30.625</v>
      </c>
      <c r="E446" s="106" t="n">
        <v>0</v>
      </c>
      <c r="F446" s="106" t="n">
        <v>0</v>
      </c>
      <c r="G446" s="106" t="n">
        <v>0</v>
      </c>
      <c r="H446" s="106" t="n">
        <v>0</v>
      </c>
      <c r="I446" s="106" t="n">
        <v>0</v>
      </c>
      <c r="J446" s="106" t="n">
        <v>4</v>
      </c>
      <c r="K446" s="106" t="n">
        <f aca="false">SUM(E446:J446)</f>
        <v>4</v>
      </c>
      <c r="L446" s="107" t="n">
        <v>0</v>
      </c>
      <c r="M446" s="107" t="n">
        <v>0</v>
      </c>
      <c r="N446" s="107" t="n">
        <v>0</v>
      </c>
      <c r="O446" s="107" t="n">
        <v>0</v>
      </c>
      <c r="P446" s="107" t="n">
        <v>0</v>
      </c>
      <c r="Q446" s="107" t="n">
        <v>122.5</v>
      </c>
      <c r="R446" s="107" t="n">
        <f aca="false">SUM(L446:Q446)</f>
        <v>122.5</v>
      </c>
      <c r="S446" s="108" t="n">
        <v>1</v>
      </c>
      <c r="T446" s="108" t="n">
        <v>1</v>
      </c>
      <c r="U446" s="108" t="n">
        <v>1</v>
      </c>
      <c r="V446" s="108" t="n">
        <v>1</v>
      </c>
      <c r="W446" s="108" t="n">
        <v>1</v>
      </c>
      <c r="X446" s="108" t="n">
        <v>1</v>
      </c>
      <c r="Y446" s="107" t="n">
        <f aca="false">S446*$D446</f>
        <v>30.625</v>
      </c>
      <c r="Z446" s="107" t="n">
        <f aca="false">T446*$D446</f>
        <v>30.625</v>
      </c>
      <c r="AA446" s="107" t="n">
        <f aca="false">U446*$D446</f>
        <v>30.625</v>
      </c>
      <c r="AB446" s="107" t="n">
        <f aca="false">V446*$D446</f>
        <v>30.625</v>
      </c>
      <c r="AC446" s="107" t="n">
        <f aca="false">W446*$D446</f>
        <v>30.625</v>
      </c>
      <c r="AD446" s="107" t="n">
        <f aca="false">X446*$D446</f>
        <v>30.625</v>
      </c>
      <c r="AE446" s="107" t="n">
        <f aca="false">SUM(Y446:AD446)</f>
        <v>183.75</v>
      </c>
    </row>
    <row r="447" customFormat="false" ht="15" hidden="false" customHeight="false" outlineLevel="0" collapsed="false">
      <c r="A447" s="103" t="s">
        <v>879</v>
      </c>
      <c r="B447" s="104" t="n">
        <v>0</v>
      </c>
      <c r="C447" s="105" t="n">
        <f aca="false">IF(K447=0,0,R447/K447)</f>
        <v>39.3333333333333</v>
      </c>
      <c r="D447" s="105" t="n">
        <f aca="false">C447+B447</f>
        <v>39.3333333333333</v>
      </c>
      <c r="E447" s="106" t="n">
        <v>0</v>
      </c>
      <c r="F447" s="106" t="n">
        <v>0</v>
      </c>
      <c r="G447" s="106" t="n">
        <v>0</v>
      </c>
      <c r="H447" s="106" t="n">
        <v>0</v>
      </c>
      <c r="I447" s="106" t="n">
        <v>0</v>
      </c>
      <c r="J447" s="106" t="n">
        <v>3</v>
      </c>
      <c r="K447" s="106" t="n">
        <f aca="false">SUM(E447:J447)</f>
        <v>3</v>
      </c>
      <c r="L447" s="107" t="n">
        <v>0</v>
      </c>
      <c r="M447" s="107" t="n">
        <v>0</v>
      </c>
      <c r="N447" s="107" t="n">
        <v>0</v>
      </c>
      <c r="O447" s="107" t="n">
        <v>0</v>
      </c>
      <c r="P447" s="107" t="n">
        <v>0</v>
      </c>
      <c r="Q447" s="107" t="n">
        <v>118</v>
      </c>
      <c r="R447" s="107" t="n">
        <f aca="false">SUM(L447:Q447)</f>
        <v>118</v>
      </c>
      <c r="S447" s="108" t="n">
        <v>1</v>
      </c>
      <c r="T447" s="108" t="n">
        <v>1</v>
      </c>
      <c r="U447" s="108" t="n">
        <v>1</v>
      </c>
      <c r="V447" s="108" t="n">
        <v>1</v>
      </c>
      <c r="W447" s="108" t="n">
        <v>1</v>
      </c>
      <c r="X447" s="108" t="n">
        <v>1</v>
      </c>
      <c r="Y447" s="107" t="n">
        <f aca="false">S447*$D447</f>
        <v>39.3333333333333</v>
      </c>
      <c r="Z447" s="107" t="n">
        <f aca="false">T447*$D447</f>
        <v>39.3333333333333</v>
      </c>
      <c r="AA447" s="107" t="n">
        <f aca="false">U447*$D447</f>
        <v>39.3333333333333</v>
      </c>
      <c r="AB447" s="107" t="n">
        <f aca="false">V447*$D447</f>
        <v>39.3333333333333</v>
      </c>
      <c r="AC447" s="107" t="n">
        <f aca="false">W447*$D447</f>
        <v>39.3333333333333</v>
      </c>
      <c r="AD447" s="107" t="n">
        <f aca="false">X447*$D447</f>
        <v>39.3333333333333</v>
      </c>
      <c r="AE447" s="107" t="n">
        <f aca="false">SUM(Y447:AD447)</f>
        <v>236</v>
      </c>
    </row>
    <row r="448" customFormat="false" ht="15" hidden="false" customHeight="false" outlineLevel="0" collapsed="false">
      <c r="A448" s="103" t="s">
        <v>880</v>
      </c>
      <c r="B448" s="104" t="n">
        <v>0</v>
      </c>
      <c r="C448" s="105" t="n">
        <f aca="false">IF(K448=0,0,R448/K448)</f>
        <v>30</v>
      </c>
      <c r="D448" s="105" t="n">
        <f aca="false">C448+B448</f>
        <v>30</v>
      </c>
      <c r="E448" s="106" t="n">
        <v>0</v>
      </c>
      <c r="F448" s="106" t="n">
        <v>0</v>
      </c>
      <c r="G448" s="106" t="n">
        <v>0</v>
      </c>
      <c r="H448" s="106" t="n">
        <v>0</v>
      </c>
      <c r="I448" s="106" t="n">
        <v>0</v>
      </c>
      <c r="J448" s="106" t="n">
        <v>3</v>
      </c>
      <c r="K448" s="106" t="n">
        <f aca="false">SUM(E448:J448)</f>
        <v>3</v>
      </c>
      <c r="L448" s="107" t="n">
        <v>0</v>
      </c>
      <c r="M448" s="107" t="n">
        <v>0</v>
      </c>
      <c r="N448" s="107" t="n">
        <v>0</v>
      </c>
      <c r="O448" s="107" t="n">
        <v>0</v>
      </c>
      <c r="P448" s="107" t="n">
        <v>0</v>
      </c>
      <c r="Q448" s="107" t="n">
        <v>90</v>
      </c>
      <c r="R448" s="107" t="n">
        <f aca="false">SUM(L448:Q448)</f>
        <v>90</v>
      </c>
      <c r="S448" s="108" t="n">
        <v>1</v>
      </c>
      <c r="T448" s="108" t="n">
        <v>1</v>
      </c>
      <c r="U448" s="108" t="n">
        <v>1</v>
      </c>
      <c r="V448" s="108" t="n">
        <v>1</v>
      </c>
      <c r="W448" s="108" t="n">
        <v>1</v>
      </c>
      <c r="X448" s="108" t="n">
        <v>1</v>
      </c>
      <c r="Y448" s="107" t="n">
        <f aca="false">S448*$D448</f>
        <v>30</v>
      </c>
      <c r="Z448" s="107" t="n">
        <f aca="false">T448*$D448</f>
        <v>30</v>
      </c>
      <c r="AA448" s="107" t="n">
        <f aca="false">U448*$D448</f>
        <v>30</v>
      </c>
      <c r="AB448" s="107" t="n">
        <f aca="false">V448*$D448</f>
        <v>30</v>
      </c>
      <c r="AC448" s="107" t="n">
        <f aca="false">W448*$D448</f>
        <v>30</v>
      </c>
      <c r="AD448" s="107" t="n">
        <f aca="false">X448*$D448</f>
        <v>30</v>
      </c>
      <c r="AE448" s="107" t="n">
        <f aca="false">SUM(Y448:AD448)</f>
        <v>180</v>
      </c>
    </row>
    <row r="449" customFormat="false" ht="15" hidden="false" customHeight="false" outlineLevel="0" collapsed="false">
      <c r="A449" s="103" t="s">
        <v>881</v>
      </c>
      <c r="B449" s="104" t="n">
        <v>0</v>
      </c>
      <c r="C449" s="105" t="n">
        <f aca="false">IF(K449=0,0,R449/K449)</f>
        <v>35</v>
      </c>
      <c r="D449" s="105" t="n">
        <f aca="false">C449+B449</f>
        <v>35</v>
      </c>
      <c r="E449" s="106" t="n">
        <v>0</v>
      </c>
      <c r="F449" s="106" t="n">
        <v>0</v>
      </c>
      <c r="G449" s="106" t="n">
        <v>0</v>
      </c>
      <c r="H449" s="106" t="n">
        <v>0</v>
      </c>
      <c r="I449" s="106" t="n">
        <v>0</v>
      </c>
      <c r="J449" s="106" t="n">
        <v>2</v>
      </c>
      <c r="K449" s="106" t="n">
        <f aca="false">SUM(E449:J449)</f>
        <v>2</v>
      </c>
      <c r="L449" s="107" t="n">
        <v>0</v>
      </c>
      <c r="M449" s="107" t="n">
        <v>0</v>
      </c>
      <c r="N449" s="107" t="n">
        <v>0</v>
      </c>
      <c r="O449" s="107" t="n">
        <v>0</v>
      </c>
      <c r="P449" s="107" t="n">
        <v>0</v>
      </c>
      <c r="Q449" s="107" t="n">
        <v>70</v>
      </c>
      <c r="R449" s="107" t="n">
        <f aca="false">SUM(L449:Q449)</f>
        <v>70</v>
      </c>
      <c r="S449" s="108" t="n">
        <v>1</v>
      </c>
      <c r="T449" s="108" t="n">
        <v>1</v>
      </c>
      <c r="U449" s="108" t="n">
        <v>1</v>
      </c>
      <c r="V449" s="108" t="n">
        <v>1</v>
      </c>
      <c r="W449" s="108" t="n">
        <v>1</v>
      </c>
      <c r="X449" s="108" t="n">
        <v>1</v>
      </c>
      <c r="Y449" s="107" t="n">
        <f aca="false">S449*$D449</f>
        <v>35</v>
      </c>
      <c r="Z449" s="107" t="n">
        <f aca="false">T449*$D449</f>
        <v>35</v>
      </c>
      <c r="AA449" s="107" t="n">
        <f aca="false">U449*$D449</f>
        <v>35</v>
      </c>
      <c r="AB449" s="107" t="n">
        <f aca="false">V449*$D449</f>
        <v>35</v>
      </c>
      <c r="AC449" s="107" t="n">
        <f aca="false">W449*$D449</f>
        <v>35</v>
      </c>
      <c r="AD449" s="107" t="n">
        <f aca="false">X449*$D449</f>
        <v>35</v>
      </c>
      <c r="AE449" s="107" t="n">
        <f aca="false">SUM(Y449:AD449)</f>
        <v>210</v>
      </c>
    </row>
    <row r="450" customFormat="false" ht="15" hidden="false" customHeight="false" outlineLevel="0" collapsed="false">
      <c r="A450" s="103" t="s">
        <v>882</v>
      </c>
      <c r="B450" s="104" t="n">
        <v>0</v>
      </c>
      <c r="C450" s="105" t="n">
        <f aca="false">IF(K450=0,0,R450/K450)</f>
        <v>7.31428571428572</v>
      </c>
      <c r="D450" s="105" t="n">
        <f aca="false">C450+B450</f>
        <v>7.31428571428572</v>
      </c>
      <c r="E450" s="106" t="n">
        <v>0</v>
      </c>
      <c r="F450" s="106" t="n">
        <v>0</v>
      </c>
      <c r="G450" s="106" t="n">
        <v>0</v>
      </c>
      <c r="H450" s="106" t="n">
        <v>0</v>
      </c>
      <c r="I450" s="106" t="n">
        <v>7</v>
      </c>
      <c r="J450" s="106" t="n">
        <v>0</v>
      </c>
      <c r="K450" s="106" t="n">
        <f aca="false">SUM(E450:J450)</f>
        <v>7</v>
      </c>
      <c r="L450" s="107" t="n">
        <v>0</v>
      </c>
      <c r="M450" s="107" t="n">
        <v>0</v>
      </c>
      <c r="N450" s="107" t="n">
        <v>0</v>
      </c>
      <c r="O450" s="107" t="n">
        <v>0</v>
      </c>
      <c r="P450" s="107" t="n">
        <v>51.2</v>
      </c>
      <c r="Q450" s="107" t="n">
        <v>0</v>
      </c>
      <c r="R450" s="107" t="n">
        <f aca="false">SUM(L450:Q450)</f>
        <v>51.2</v>
      </c>
      <c r="S450" s="108" t="n">
        <v>2</v>
      </c>
      <c r="T450" s="108" t="n">
        <v>2</v>
      </c>
      <c r="U450" s="108" t="n">
        <v>2</v>
      </c>
      <c r="V450" s="108" t="n">
        <v>2</v>
      </c>
      <c r="W450" s="108" t="n">
        <v>2</v>
      </c>
      <c r="X450" s="108" t="n">
        <v>2</v>
      </c>
      <c r="Y450" s="107" t="n">
        <f aca="false">S450*$D450</f>
        <v>14.6285714285714</v>
      </c>
      <c r="Z450" s="107" t="n">
        <f aca="false">T450*$D450</f>
        <v>14.6285714285714</v>
      </c>
      <c r="AA450" s="107" t="n">
        <f aca="false">U450*$D450</f>
        <v>14.6285714285714</v>
      </c>
      <c r="AB450" s="107" t="n">
        <f aca="false">V450*$D450</f>
        <v>14.6285714285714</v>
      </c>
      <c r="AC450" s="107" t="n">
        <f aca="false">W450*$D450</f>
        <v>14.6285714285714</v>
      </c>
      <c r="AD450" s="107" t="n">
        <f aca="false">X450*$D450</f>
        <v>14.6285714285714</v>
      </c>
      <c r="AE450" s="107" t="n">
        <f aca="false">SUM(Y450:AD450)</f>
        <v>87.7714285714286</v>
      </c>
    </row>
    <row r="451" customFormat="false" ht="15" hidden="false" customHeight="false" outlineLevel="0" collapsed="false">
      <c r="A451" s="103" t="s">
        <v>883</v>
      </c>
      <c r="B451" s="104" t="n">
        <v>0</v>
      </c>
      <c r="C451" s="105" t="n">
        <f aca="false">IF(K451=0,0,R451/K451)</f>
        <v>8</v>
      </c>
      <c r="D451" s="105" t="n">
        <f aca="false">C451+B451</f>
        <v>8</v>
      </c>
      <c r="E451" s="106" t="n">
        <v>0</v>
      </c>
      <c r="F451" s="106" t="n">
        <v>0</v>
      </c>
      <c r="G451" s="106" t="n">
        <v>0</v>
      </c>
      <c r="H451" s="106" t="n">
        <v>0</v>
      </c>
      <c r="I451" s="106" t="n">
        <v>0</v>
      </c>
      <c r="J451" s="106" t="n">
        <v>6</v>
      </c>
      <c r="K451" s="106" t="n">
        <f aca="false">SUM(E451:J451)</f>
        <v>6</v>
      </c>
      <c r="L451" s="107" t="n">
        <v>0</v>
      </c>
      <c r="M451" s="107" t="n">
        <v>0</v>
      </c>
      <c r="N451" s="107" t="n">
        <v>0</v>
      </c>
      <c r="O451" s="107" t="n">
        <v>0</v>
      </c>
      <c r="P451" s="107" t="n">
        <v>0</v>
      </c>
      <c r="Q451" s="107" t="n">
        <v>48</v>
      </c>
      <c r="R451" s="107" t="n">
        <f aca="false">SUM(L451:Q451)</f>
        <v>48</v>
      </c>
      <c r="S451" s="108" t="n">
        <v>2</v>
      </c>
      <c r="T451" s="108" t="n">
        <v>2</v>
      </c>
      <c r="U451" s="108" t="n">
        <v>2</v>
      </c>
      <c r="V451" s="108" t="n">
        <v>2</v>
      </c>
      <c r="W451" s="108" t="n">
        <v>2</v>
      </c>
      <c r="X451" s="108" t="n">
        <v>2</v>
      </c>
      <c r="Y451" s="107" t="n">
        <f aca="false">S451*$D451</f>
        <v>16</v>
      </c>
      <c r="Z451" s="107" t="n">
        <f aca="false">T451*$D451</f>
        <v>16</v>
      </c>
      <c r="AA451" s="107" t="n">
        <f aca="false">U451*$D451</f>
        <v>16</v>
      </c>
      <c r="AB451" s="107" t="n">
        <f aca="false">V451*$D451</f>
        <v>16</v>
      </c>
      <c r="AC451" s="107" t="n">
        <f aca="false">W451*$D451</f>
        <v>16</v>
      </c>
      <c r="AD451" s="107" t="n">
        <f aca="false">X451*$D451</f>
        <v>16</v>
      </c>
      <c r="AE451" s="107" t="n">
        <f aca="false">SUM(Y451:AD451)</f>
        <v>96</v>
      </c>
    </row>
    <row r="452" customFormat="false" ht="15" hidden="false" customHeight="false" outlineLevel="0" collapsed="false">
      <c r="A452" s="103" t="s">
        <v>884</v>
      </c>
      <c r="B452" s="104" t="n">
        <v>0</v>
      </c>
      <c r="C452" s="105" t="n">
        <f aca="false">IF(K452=0,0,R452/K452)</f>
        <v>21</v>
      </c>
      <c r="D452" s="105" t="n">
        <f aca="false">C452+B452</f>
        <v>21</v>
      </c>
      <c r="E452" s="106" t="n">
        <v>0</v>
      </c>
      <c r="F452" s="106" t="n">
        <v>0</v>
      </c>
      <c r="G452" s="106" t="n">
        <v>0</v>
      </c>
      <c r="H452" s="106" t="n">
        <v>0</v>
      </c>
      <c r="I452" s="106" t="n">
        <v>0</v>
      </c>
      <c r="J452" s="106" t="n">
        <v>2</v>
      </c>
      <c r="K452" s="106" t="n">
        <f aca="false">SUM(E452:J452)</f>
        <v>2</v>
      </c>
      <c r="L452" s="107" t="n">
        <v>0</v>
      </c>
      <c r="M452" s="107" t="n">
        <v>0</v>
      </c>
      <c r="N452" s="107" t="n">
        <v>0</v>
      </c>
      <c r="O452" s="107" t="n">
        <v>0</v>
      </c>
      <c r="P452" s="107" t="n">
        <v>0</v>
      </c>
      <c r="Q452" s="107" t="n">
        <v>42</v>
      </c>
      <c r="R452" s="107" t="n">
        <f aca="false">SUM(L452:Q452)</f>
        <v>42</v>
      </c>
      <c r="S452" s="108" t="n">
        <v>1</v>
      </c>
      <c r="T452" s="108" t="n">
        <v>1</v>
      </c>
      <c r="U452" s="108" t="n">
        <v>1</v>
      </c>
      <c r="V452" s="108" t="n">
        <v>1</v>
      </c>
      <c r="W452" s="108" t="n">
        <v>1</v>
      </c>
      <c r="X452" s="108" t="n">
        <v>1</v>
      </c>
      <c r="Y452" s="107" t="n">
        <f aca="false">S452*$D452</f>
        <v>21</v>
      </c>
      <c r="Z452" s="107" t="n">
        <f aca="false">T452*$D452</f>
        <v>21</v>
      </c>
      <c r="AA452" s="107" t="n">
        <f aca="false">U452*$D452</f>
        <v>21</v>
      </c>
      <c r="AB452" s="107" t="n">
        <f aca="false">V452*$D452</f>
        <v>21</v>
      </c>
      <c r="AC452" s="107" t="n">
        <f aca="false">W452*$D452</f>
        <v>21</v>
      </c>
      <c r="AD452" s="107" t="n">
        <f aca="false">X452*$D452</f>
        <v>21</v>
      </c>
      <c r="AE452" s="107" t="n">
        <f aca="false">SUM(Y452:AD452)</f>
        <v>126</v>
      </c>
    </row>
    <row r="453" customFormat="false" ht="15" hidden="false" customHeight="false" outlineLevel="0" collapsed="false">
      <c r="A453" s="103" t="s">
        <v>885</v>
      </c>
      <c r="B453" s="104" t="n">
        <v>0</v>
      </c>
      <c r="C453" s="105" t="n">
        <f aca="false">IF(K453=0,0,R453/K453)</f>
        <v>7.3</v>
      </c>
      <c r="D453" s="105" t="n">
        <f aca="false">C453+B453</f>
        <v>7.3</v>
      </c>
      <c r="E453" s="106" t="n">
        <v>0</v>
      </c>
      <c r="F453" s="106" t="n">
        <v>0</v>
      </c>
      <c r="G453" s="106" t="n">
        <v>0</v>
      </c>
      <c r="H453" s="106" t="n">
        <v>0</v>
      </c>
      <c r="I453" s="106" t="n">
        <v>3</v>
      </c>
      <c r="J453" s="106" t="n">
        <v>1</v>
      </c>
      <c r="K453" s="106" t="n">
        <f aca="false">SUM(E453:J453)</f>
        <v>4</v>
      </c>
      <c r="L453" s="107" t="n">
        <v>0</v>
      </c>
      <c r="M453" s="107" t="n">
        <v>0</v>
      </c>
      <c r="N453" s="107" t="n">
        <v>0</v>
      </c>
      <c r="O453" s="107" t="n">
        <v>0</v>
      </c>
      <c r="P453" s="107" t="n">
        <v>21.2</v>
      </c>
      <c r="Q453" s="107" t="n">
        <v>8</v>
      </c>
      <c r="R453" s="107" t="n">
        <f aca="false">SUM(L453:Q453)</f>
        <v>29.2</v>
      </c>
      <c r="S453" s="108" t="n">
        <v>1</v>
      </c>
      <c r="T453" s="108" t="n">
        <v>1</v>
      </c>
      <c r="U453" s="108" t="n">
        <v>1</v>
      </c>
      <c r="V453" s="108" t="n">
        <v>1</v>
      </c>
      <c r="W453" s="108" t="n">
        <v>1</v>
      </c>
      <c r="X453" s="108" t="n">
        <v>1</v>
      </c>
      <c r="Y453" s="107" t="n">
        <f aca="false">S453*$D453</f>
        <v>7.3</v>
      </c>
      <c r="Z453" s="107" t="n">
        <f aca="false">T453*$D453</f>
        <v>7.3</v>
      </c>
      <c r="AA453" s="107" t="n">
        <f aca="false">U453*$D453</f>
        <v>7.3</v>
      </c>
      <c r="AB453" s="107" t="n">
        <f aca="false">V453*$D453</f>
        <v>7.3</v>
      </c>
      <c r="AC453" s="107" t="n">
        <f aca="false">W453*$D453</f>
        <v>7.3</v>
      </c>
      <c r="AD453" s="107" t="n">
        <f aca="false">X453*$D453</f>
        <v>7.3</v>
      </c>
      <c r="AE453" s="107" t="n">
        <f aca="false">SUM(Y453:AD453)</f>
        <v>43.8</v>
      </c>
    </row>
    <row r="454" customFormat="false" ht="15" hidden="false" customHeight="false" outlineLevel="0" collapsed="false">
      <c r="A454" s="103" t="s">
        <v>886</v>
      </c>
      <c r="B454" s="104" t="n">
        <v>0</v>
      </c>
      <c r="C454" s="105" t="n">
        <f aca="false">IF(K454=0,0,R454/K454)</f>
        <v>8</v>
      </c>
      <c r="D454" s="105" t="n">
        <f aca="false">C454+B454</f>
        <v>8</v>
      </c>
      <c r="E454" s="106" t="n">
        <v>0</v>
      </c>
      <c r="F454" s="106" t="n">
        <v>0</v>
      </c>
      <c r="G454" s="106" t="n">
        <v>0</v>
      </c>
      <c r="H454" s="106" t="n">
        <v>0</v>
      </c>
      <c r="I454" s="106" t="n">
        <v>1</v>
      </c>
      <c r="J454" s="106" t="n">
        <v>2</v>
      </c>
      <c r="K454" s="106" t="n">
        <f aca="false">SUM(E454:J454)</f>
        <v>3</v>
      </c>
      <c r="L454" s="107" t="n">
        <v>0</v>
      </c>
      <c r="M454" s="107" t="n">
        <v>0</v>
      </c>
      <c r="N454" s="107" t="n">
        <v>0</v>
      </c>
      <c r="O454" s="107" t="n">
        <v>0</v>
      </c>
      <c r="P454" s="107" t="n">
        <v>8</v>
      </c>
      <c r="Q454" s="107" t="n">
        <v>16</v>
      </c>
      <c r="R454" s="107" t="n">
        <f aca="false">SUM(L454:Q454)</f>
        <v>24</v>
      </c>
      <c r="S454" s="108" t="n">
        <v>1</v>
      </c>
      <c r="T454" s="108" t="n">
        <v>1</v>
      </c>
      <c r="U454" s="108" t="n">
        <v>1</v>
      </c>
      <c r="V454" s="108" t="n">
        <v>1</v>
      </c>
      <c r="W454" s="108" t="n">
        <v>1</v>
      </c>
      <c r="X454" s="108" t="n">
        <v>1</v>
      </c>
      <c r="Y454" s="107" t="n">
        <f aca="false">S454*$D454</f>
        <v>8</v>
      </c>
      <c r="Z454" s="107" t="n">
        <f aca="false">T454*$D454</f>
        <v>8</v>
      </c>
      <c r="AA454" s="107" t="n">
        <f aca="false">U454*$D454</f>
        <v>8</v>
      </c>
      <c r="AB454" s="107" t="n">
        <f aca="false">V454*$D454</f>
        <v>8</v>
      </c>
      <c r="AC454" s="107" t="n">
        <f aca="false">W454*$D454</f>
        <v>8</v>
      </c>
      <c r="AD454" s="107" t="n">
        <f aca="false">X454*$D454</f>
        <v>8</v>
      </c>
      <c r="AE454" s="107" t="n">
        <f aca="false">SUM(Y454:AD454)</f>
        <v>48</v>
      </c>
    </row>
    <row r="455" customFormat="false" ht="15" hidden="false" customHeight="false" outlineLevel="0" collapsed="false">
      <c r="A455" s="103" t="s">
        <v>887</v>
      </c>
      <c r="B455" s="104" t="n">
        <v>0</v>
      </c>
      <c r="C455" s="105" t="n">
        <f aca="false">IF(K455=0,0,R455/K455)</f>
        <v>8</v>
      </c>
      <c r="D455" s="105" t="n">
        <f aca="false">C455+B455</f>
        <v>8</v>
      </c>
      <c r="E455" s="106" t="n">
        <v>0</v>
      </c>
      <c r="F455" s="106" t="n">
        <v>0</v>
      </c>
      <c r="G455" s="106" t="n">
        <v>0</v>
      </c>
      <c r="H455" s="106" t="n">
        <v>0</v>
      </c>
      <c r="I455" s="106" t="n">
        <v>3</v>
      </c>
      <c r="J455" s="106" t="n">
        <v>0</v>
      </c>
      <c r="K455" s="106" t="n">
        <f aca="false">SUM(E455:J455)</f>
        <v>3</v>
      </c>
      <c r="L455" s="107" t="n">
        <v>0</v>
      </c>
      <c r="M455" s="107" t="n">
        <v>0</v>
      </c>
      <c r="N455" s="107" t="n">
        <v>0</v>
      </c>
      <c r="O455" s="107" t="n">
        <v>0</v>
      </c>
      <c r="P455" s="107" t="n">
        <v>24</v>
      </c>
      <c r="Q455" s="107" t="n">
        <v>0</v>
      </c>
      <c r="R455" s="107" t="n">
        <f aca="false">SUM(L455:Q455)</f>
        <v>24</v>
      </c>
      <c r="S455" s="108" t="n">
        <v>1</v>
      </c>
      <c r="T455" s="108" t="n">
        <v>1</v>
      </c>
      <c r="U455" s="108" t="n">
        <v>1</v>
      </c>
      <c r="V455" s="108" t="n">
        <v>1</v>
      </c>
      <c r="W455" s="108" t="n">
        <v>1</v>
      </c>
      <c r="X455" s="108" t="n">
        <v>1</v>
      </c>
      <c r="Y455" s="107" t="n">
        <f aca="false">S455*$D455</f>
        <v>8</v>
      </c>
      <c r="Z455" s="107" t="n">
        <f aca="false">T455*$D455</f>
        <v>8</v>
      </c>
      <c r="AA455" s="107" t="n">
        <f aca="false">U455*$D455</f>
        <v>8</v>
      </c>
      <c r="AB455" s="107" t="n">
        <f aca="false">V455*$D455</f>
        <v>8</v>
      </c>
      <c r="AC455" s="107" t="n">
        <f aca="false">W455*$D455</f>
        <v>8</v>
      </c>
      <c r="AD455" s="107" t="n">
        <f aca="false">X455*$D455</f>
        <v>8</v>
      </c>
      <c r="AE455" s="107" t="n">
        <f aca="false">SUM(Y455:AD455)</f>
        <v>48</v>
      </c>
    </row>
    <row r="456" customFormat="false" ht="15" hidden="false" customHeight="false" outlineLevel="0" collapsed="false">
      <c r="A456" s="103" t="s">
        <v>888</v>
      </c>
      <c r="B456" s="104" t="n">
        <v>0</v>
      </c>
      <c r="C456" s="105" t="n">
        <f aca="false">IF(K456=0,0,R456/K456)</f>
        <v>8</v>
      </c>
      <c r="D456" s="105" t="n">
        <f aca="false">C456+B456</f>
        <v>8</v>
      </c>
      <c r="E456" s="106" t="n">
        <v>0</v>
      </c>
      <c r="F456" s="106" t="n">
        <v>0</v>
      </c>
      <c r="G456" s="106" t="n">
        <v>0</v>
      </c>
      <c r="H456" s="106" t="n">
        <v>0</v>
      </c>
      <c r="I456" s="106" t="n">
        <v>1</v>
      </c>
      <c r="J456" s="106" t="n">
        <v>1</v>
      </c>
      <c r="K456" s="106" t="n">
        <f aca="false">SUM(E456:J456)</f>
        <v>2</v>
      </c>
      <c r="L456" s="107" t="n">
        <v>0</v>
      </c>
      <c r="M456" s="107" t="n">
        <v>0</v>
      </c>
      <c r="N456" s="107" t="n">
        <v>0</v>
      </c>
      <c r="O456" s="107" t="n">
        <v>0</v>
      </c>
      <c r="P456" s="107" t="n">
        <v>8</v>
      </c>
      <c r="Q456" s="107" t="n">
        <v>8</v>
      </c>
      <c r="R456" s="107" t="n">
        <f aca="false">SUM(L456:Q456)</f>
        <v>16</v>
      </c>
      <c r="S456" s="108" t="n">
        <v>1</v>
      </c>
      <c r="T456" s="108" t="n">
        <v>1</v>
      </c>
      <c r="U456" s="108" t="n">
        <v>1</v>
      </c>
      <c r="V456" s="108" t="n">
        <v>1</v>
      </c>
      <c r="W456" s="108" t="n">
        <v>1</v>
      </c>
      <c r="X456" s="108" t="n">
        <v>1</v>
      </c>
      <c r="Y456" s="107" t="n">
        <f aca="false">S456*$D456</f>
        <v>8</v>
      </c>
      <c r="Z456" s="107" t="n">
        <f aca="false">T456*$D456</f>
        <v>8</v>
      </c>
      <c r="AA456" s="107" t="n">
        <f aca="false">U456*$D456</f>
        <v>8</v>
      </c>
      <c r="AB456" s="107" t="n">
        <f aca="false">V456*$D456</f>
        <v>8</v>
      </c>
      <c r="AC456" s="107" t="n">
        <f aca="false">W456*$D456</f>
        <v>8</v>
      </c>
      <c r="AD456" s="107" t="n">
        <f aca="false">X456*$D456</f>
        <v>8</v>
      </c>
      <c r="AE456" s="107" t="n">
        <f aca="false">SUM(Y456:AD456)</f>
        <v>48</v>
      </c>
    </row>
    <row r="457" customFormat="false" ht="15" hidden="false" customHeight="false" outlineLevel="0" collapsed="false">
      <c r="A457" s="103" t="s">
        <v>889</v>
      </c>
      <c r="B457" s="104" t="n">
        <v>0</v>
      </c>
      <c r="C457" s="105" t="n">
        <f aca="false">IF(K457=0,0,R457/K457)</f>
        <v>8</v>
      </c>
      <c r="D457" s="105" t="n">
        <f aca="false">C457+B457</f>
        <v>8</v>
      </c>
      <c r="E457" s="106" t="n">
        <v>0</v>
      </c>
      <c r="F457" s="106" t="n">
        <v>0</v>
      </c>
      <c r="G457" s="106" t="n">
        <v>0</v>
      </c>
      <c r="H457" s="106" t="n">
        <v>0</v>
      </c>
      <c r="I457" s="106" t="n">
        <v>0</v>
      </c>
      <c r="J457" s="106" t="n">
        <v>2</v>
      </c>
      <c r="K457" s="106" t="n">
        <f aca="false">SUM(E457:J457)</f>
        <v>2</v>
      </c>
      <c r="L457" s="107" t="n">
        <v>0</v>
      </c>
      <c r="M457" s="107" t="n">
        <v>0</v>
      </c>
      <c r="N457" s="107" t="n">
        <v>0</v>
      </c>
      <c r="O457" s="107" t="n">
        <v>0</v>
      </c>
      <c r="P457" s="107" t="n">
        <v>0</v>
      </c>
      <c r="Q457" s="107" t="n">
        <v>16</v>
      </c>
      <c r="R457" s="107" t="n">
        <f aca="false">SUM(L457:Q457)</f>
        <v>16</v>
      </c>
      <c r="S457" s="108" t="n">
        <v>1</v>
      </c>
      <c r="T457" s="108" t="n">
        <v>1</v>
      </c>
      <c r="U457" s="108" t="n">
        <v>1</v>
      </c>
      <c r="V457" s="108" t="n">
        <v>1</v>
      </c>
      <c r="W457" s="108" t="n">
        <v>1</v>
      </c>
      <c r="X457" s="108" t="n">
        <v>1</v>
      </c>
      <c r="Y457" s="107" t="n">
        <f aca="false">S457*$D457</f>
        <v>8</v>
      </c>
      <c r="Z457" s="107" t="n">
        <f aca="false">T457*$D457</f>
        <v>8</v>
      </c>
      <c r="AA457" s="107" t="n">
        <f aca="false">U457*$D457</f>
        <v>8</v>
      </c>
      <c r="AB457" s="107" t="n">
        <f aca="false">V457*$D457</f>
        <v>8</v>
      </c>
      <c r="AC457" s="107" t="n">
        <f aca="false">W457*$D457</f>
        <v>8</v>
      </c>
      <c r="AD457" s="107" t="n">
        <f aca="false">X457*$D457</f>
        <v>8</v>
      </c>
      <c r="AE457" s="107" t="n">
        <f aca="false">SUM(Y457:AD457)</f>
        <v>48</v>
      </c>
    </row>
    <row r="458" customFormat="false" ht="15" hidden="false" customHeight="false" outlineLevel="0" collapsed="false">
      <c r="A458" s="103" t="s">
        <v>890</v>
      </c>
      <c r="B458" s="104" t="n">
        <v>0</v>
      </c>
      <c r="C458" s="105" t="n">
        <f aca="false">IF(K458=0,0,R458/K458)</f>
        <v>7.4</v>
      </c>
      <c r="D458" s="105" t="n">
        <f aca="false">C458+B458</f>
        <v>7.4</v>
      </c>
      <c r="E458" s="106" t="n">
        <v>0</v>
      </c>
      <c r="F458" s="106" t="n">
        <v>0</v>
      </c>
      <c r="G458" s="106" t="n">
        <v>0</v>
      </c>
      <c r="H458" s="106" t="n">
        <v>0</v>
      </c>
      <c r="I458" s="106" t="n">
        <v>0</v>
      </c>
      <c r="J458" s="106" t="n">
        <v>2</v>
      </c>
      <c r="K458" s="106" t="n">
        <f aca="false">SUM(E458:J458)</f>
        <v>2</v>
      </c>
      <c r="L458" s="107" t="n">
        <v>0</v>
      </c>
      <c r="M458" s="107" t="n">
        <v>0</v>
      </c>
      <c r="N458" s="107" t="n">
        <v>0</v>
      </c>
      <c r="O458" s="107" t="n">
        <v>0</v>
      </c>
      <c r="P458" s="107" t="n">
        <v>0</v>
      </c>
      <c r="Q458" s="107" t="n">
        <v>14.8</v>
      </c>
      <c r="R458" s="107" t="n">
        <f aca="false">SUM(L458:Q458)</f>
        <v>14.8</v>
      </c>
      <c r="S458" s="108" t="n">
        <v>1</v>
      </c>
      <c r="T458" s="108" t="n">
        <v>1</v>
      </c>
      <c r="U458" s="108" t="n">
        <v>1</v>
      </c>
      <c r="V458" s="108" t="n">
        <v>1</v>
      </c>
      <c r="W458" s="108" t="n">
        <v>1</v>
      </c>
      <c r="X458" s="108" t="n">
        <v>1</v>
      </c>
      <c r="Y458" s="107" t="n">
        <f aca="false">S458*$D458</f>
        <v>7.4</v>
      </c>
      <c r="Z458" s="107" t="n">
        <f aca="false">T458*$D458</f>
        <v>7.4</v>
      </c>
      <c r="AA458" s="107" t="n">
        <f aca="false">U458*$D458</f>
        <v>7.4</v>
      </c>
      <c r="AB458" s="107" t="n">
        <f aca="false">V458*$D458</f>
        <v>7.4</v>
      </c>
      <c r="AC458" s="107" t="n">
        <f aca="false">W458*$D458</f>
        <v>7.4</v>
      </c>
      <c r="AD458" s="107" t="n">
        <f aca="false">X458*$D458</f>
        <v>7.4</v>
      </c>
      <c r="AE458" s="107" t="n">
        <f aca="false">SUM(Y458:AD458)</f>
        <v>44.4</v>
      </c>
    </row>
    <row r="459" customFormat="false" ht="15" hidden="false" customHeight="false" outlineLevel="0" collapsed="false">
      <c r="A459" s="103" t="s">
        <v>891</v>
      </c>
      <c r="B459" s="104" t="n">
        <v>0</v>
      </c>
      <c r="C459" s="105" t="n">
        <f aca="false">IF(K459=0,0,R459/K459)</f>
        <v>12</v>
      </c>
      <c r="D459" s="105" t="n">
        <f aca="false">C459+B459</f>
        <v>12</v>
      </c>
      <c r="E459" s="106" t="n">
        <v>0</v>
      </c>
      <c r="F459" s="106" t="n">
        <v>1</v>
      </c>
      <c r="G459" s="106" t="n">
        <v>0</v>
      </c>
      <c r="H459" s="106" t="n">
        <v>0</v>
      </c>
      <c r="I459" s="106" t="n">
        <v>0</v>
      </c>
      <c r="J459" s="106" t="n">
        <v>0</v>
      </c>
      <c r="K459" s="106" t="n">
        <f aca="false">SUM(E459:J459)</f>
        <v>1</v>
      </c>
      <c r="L459" s="107" t="n">
        <v>0</v>
      </c>
      <c r="M459" s="107" t="n">
        <v>12</v>
      </c>
      <c r="N459" s="107" t="n">
        <v>0</v>
      </c>
      <c r="O459" s="107" t="n">
        <v>0</v>
      </c>
      <c r="P459" s="107" t="n">
        <v>0</v>
      </c>
      <c r="Q459" s="107" t="n">
        <v>0</v>
      </c>
      <c r="R459" s="107" t="n">
        <f aca="false">SUM(L459:Q459)</f>
        <v>12</v>
      </c>
      <c r="S459" s="108" t="n">
        <v>0</v>
      </c>
      <c r="T459" s="108" t="n">
        <v>0</v>
      </c>
      <c r="U459" s="108" t="n">
        <v>0</v>
      </c>
      <c r="V459" s="108" t="n">
        <v>0</v>
      </c>
      <c r="W459" s="108" t="n">
        <v>0</v>
      </c>
      <c r="X459" s="108" t="n">
        <v>0</v>
      </c>
      <c r="Y459" s="107" t="n">
        <f aca="false">S459*$D459</f>
        <v>0</v>
      </c>
      <c r="Z459" s="107" t="n">
        <f aca="false">T459*$D459</f>
        <v>0</v>
      </c>
      <c r="AA459" s="107" t="n">
        <f aca="false">U459*$D459</f>
        <v>0</v>
      </c>
      <c r="AB459" s="107" t="n">
        <f aca="false">V459*$D459</f>
        <v>0</v>
      </c>
      <c r="AC459" s="107" t="n">
        <f aca="false">W459*$D459</f>
        <v>0</v>
      </c>
      <c r="AD459" s="107" t="n">
        <f aca="false">X459*$D459</f>
        <v>0</v>
      </c>
      <c r="AE459" s="107" t="n">
        <f aca="false">SUM(Y459:AD459)</f>
        <v>0</v>
      </c>
    </row>
    <row r="460" customFormat="false" ht="15" hidden="false" customHeight="false" outlineLevel="0" collapsed="false">
      <c r="A460" s="103" t="s">
        <v>892</v>
      </c>
      <c r="B460" s="104" t="n">
        <v>0</v>
      </c>
      <c r="C460" s="105" t="n">
        <f aca="false">IF(K460=0,0,R460/K460)</f>
        <v>9</v>
      </c>
      <c r="D460" s="105" t="n">
        <f aca="false">C460+B460</f>
        <v>9</v>
      </c>
      <c r="E460" s="106" t="n">
        <v>0</v>
      </c>
      <c r="F460" s="106" t="n">
        <v>0</v>
      </c>
      <c r="G460" s="106" t="n">
        <v>0</v>
      </c>
      <c r="H460" s="106" t="n">
        <v>0</v>
      </c>
      <c r="I460" s="106" t="n">
        <v>1</v>
      </c>
      <c r="J460" s="106" t="n">
        <v>0</v>
      </c>
      <c r="K460" s="106" t="n">
        <f aca="false">SUM(E460:J460)</f>
        <v>1</v>
      </c>
      <c r="L460" s="107" t="n">
        <v>0</v>
      </c>
      <c r="M460" s="107" t="n">
        <v>0</v>
      </c>
      <c r="N460" s="107" t="n">
        <v>0</v>
      </c>
      <c r="O460" s="107" t="n">
        <v>0</v>
      </c>
      <c r="P460" s="107" t="n">
        <v>9</v>
      </c>
      <c r="Q460" s="107" t="n">
        <v>0</v>
      </c>
      <c r="R460" s="107" t="n">
        <f aca="false">SUM(L460:Q460)</f>
        <v>9</v>
      </c>
      <c r="S460" s="108" t="n">
        <v>0</v>
      </c>
      <c r="T460" s="108" t="n">
        <v>0</v>
      </c>
      <c r="U460" s="108" t="n">
        <v>0</v>
      </c>
      <c r="V460" s="108" t="n">
        <v>0</v>
      </c>
      <c r="W460" s="108" t="n">
        <v>0</v>
      </c>
      <c r="X460" s="108" t="n">
        <v>0</v>
      </c>
      <c r="Y460" s="107" t="n">
        <f aca="false">S460*$D460</f>
        <v>0</v>
      </c>
      <c r="Z460" s="107" t="n">
        <f aca="false">T460*$D460</f>
        <v>0</v>
      </c>
      <c r="AA460" s="107" t="n">
        <f aca="false">U460*$D460</f>
        <v>0</v>
      </c>
      <c r="AB460" s="107" t="n">
        <f aca="false">V460*$D460</f>
        <v>0</v>
      </c>
      <c r="AC460" s="107" t="n">
        <f aca="false">W460*$D460</f>
        <v>0</v>
      </c>
      <c r="AD460" s="107" t="n">
        <f aca="false">X460*$D460</f>
        <v>0</v>
      </c>
      <c r="AE460" s="107" t="n">
        <f aca="false">SUM(Y460:AD460)</f>
        <v>0</v>
      </c>
    </row>
    <row r="461" customFormat="false" ht="15" hidden="false" customHeight="false" outlineLevel="0" collapsed="false">
      <c r="A461" s="103" t="s">
        <v>893</v>
      </c>
      <c r="B461" s="104" t="n">
        <v>0</v>
      </c>
      <c r="C461" s="105" t="n">
        <f aca="false">IF(K461=0,0,R461/K461)</f>
        <v>8</v>
      </c>
      <c r="D461" s="105" t="n">
        <f aca="false">C461+B461</f>
        <v>8</v>
      </c>
      <c r="E461" s="106" t="n">
        <v>0</v>
      </c>
      <c r="F461" s="106" t="n">
        <v>0</v>
      </c>
      <c r="G461" s="106" t="n">
        <v>0</v>
      </c>
      <c r="H461" s="106" t="n">
        <v>0</v>
      </c>
      <c r="I461" s="106" t="n">
        <v>1</v>
      </c>
      <c r="J461" s="106" t="n">
        <v>0</v>
      </c>
      <c r="K461" s="106" t="n">
        <f aca="false">SUM(E461:J461)</f>
        <v>1</v>
      </c>
      <c r="L461" s="107" t="n">
        <v>0</v>
      </c>
      <c r="M461" s="107" t="n">
        <v>0</v>
      </c>
      <c r="N461" s="107" t="n">
        <v>0</v>
      </c>
      <c r="O461" s="107" t="n">
        <v>0</v>
      </c>
      <c r="P461" s="107" t="n">
        <v>8</v>
      </c>
      <c r="Q461" s="107" t="n">
        <v>0</v>
      </c>
      <c r="R461" s="107" t="n">
        <f aca="false">SUM(L461:Q461)</f>
        <v>8</v>
      </c>
      <c r="S461" s="108" t="n">
        <v>0</v>
      </c>
      <c r="T461" s="108" t="n">
        <v>0</v>
      </c>
      <c r="U461" s="108" t="n">
        <v>0</v>
      </c>
      <c r="V461" s="108" t="n">
        <v>0</v>
      </c>
      <c r="W461" s="108" t="n">
        <v>0</v>
      </c>
      <c r="X461" s="108" t="n">
        <v>0</v>
      </c>
      <c r="Y461" s="107" t="n">
        <f aca="false">S461*$D461</f>
        <v>0</v>
      </c>
      <c r="Z461" s="107" t="n">
        <f aca="false">T461*$D461</f>
        <v>0</v>
      </c>
      <c r="AA461" s="107" t="n">
        <f aca="false">U461*$D461</f>
        <v>0</v>
      </c>
      <c r="AB461" s="107" t="n">
        <f aca="false">V461*$D461</f>
        <v>0</v>
      </c>
      <c r="AC461" s="107" t="n">
        <f aca="false">W461*$D461</f>
        <v>0</v>
      </c>
      <c r="AD461" s="107" t="n">
        <f aca="false">X461*$D461</f>
        <v>0</v>
      </c>
      <c r="AE461" s="107" t="n">
        <f aca="false">SUM(Y461:AD461)</f>
        <v>0</v>
      </c>
    </row>
    <row r="462" customFormat="false" ht="15" hidden="false" customHeight="false" outlineLevel="0" collapsed="false">
      <c r="A462" s="109" t="s">
        <v>894</v>
      </c>
      <c r="B462" s="110"/>
      <c r="C462" s="110"/>
      <c r="D462" s="110"/>
      <c r="E462" s="111" t="n">
        <f aca="false">SUM(E443:E461)</f>
        <v>0</v>
      </c>
      <c r="F462" s="111" t="n">
        <f aca="false">SUM(F443:F461)</f>
        <v>1</v>
      </c>
      <c r="G462" s="111" t="n">
        <f aca="false">SUM(G443:G461)</f>
        <v>0</v>
      </c>
      <c r="H462" s="111" t="n">
        <f aca="false">SUM(H443:H461)</f>
        <v>11</v>
      </c>
      <c r="I462" s="111" t="n">
        <f aca="false">SUM(I443:I461)</f>
        <v>35</v>
      </c>
      <c r="J462" s="111" t="n">
        <f aca="false">SUM(J443:J461)</f>
        <v>37</v>
      </c>
      <c r="K462" s="111" t="n">
        <f aca="false">SUM(K443:K461)</f>
        <v>84</v>
      </c>
      <c r="L462" s="112" t="n">
        <f aca="false">SUM(L443:L461)</f>
        <v>0</v>
      </c>
      <c r="M462" s="112" t="n">
        <f aca="false">SUM(M443:M461)</f>
        <v>12</v>
      </c>
      <c r="N462" s="112" t="n">
        <f aca="false">SUM(N443:N461)</f>
        <v>0</v>
      </c>
      <c r="O462" s="112" t="n">
        <f aca="false">SUM(O443:O461)</f>
        <v>464</v>
      </c>
      <c r="P462" s="112" t="n">
        <f aca="false">SUM(P443:P461)</f>
        <v>893.9</v>
      </c>
      <c r="Q462" s="112" t="n">
        <f aca="false">SUM(Q443:Q461)</f>
        <v>978.3</v>
      </c>
      <c r="R462" s="112" t="n">
        <f aca="false">SUM(R443:R461)</f>
        <v>2348.2</v>
      </c>
      <c r="S462" s="111" t="n">
        <f aca="false">SUM(S443:S461)</f>
        <v>28</v>
      </c>
      <c r="T462" s="111" t="n">
        <f aca="false">SUM(T443:T461)</f>
        <v>28</v>
      </c>
      <c r="U462" s="111" t="n">
        <f aca="false">SUM(U443:U461)</f>
        <v>28</v>
      </c>
      <c r="V462" s="111" t="n">
        <f aca="false">SUM(V443:V461)</f>
        <v>28</v>
      </c>
      <c r="W462" s="111" t="n">
        <f aca="false">SUM(W443:W461)</f>
        <v>28</v>
      </c>
      <c r="X462" s="111" t="n">
        <f aca="false">SUM(X443:X461)</f>
        <v>28</v>
      </c>
      <c r="Y462" s="112" t="n">
        <f aca="false">SUM(Y443:Y461)</f>
        <v>800.58850903998</v>
      </c>
      <c r="Z462" s="112" t="n">
        <f aca="false">SUM(Z443:Z461)</f>
        <v>800.58850903998</v>
      </c>
      <c r="AA462" s="112" t="n">
        <f aca="false">SUM(AA443:AA461)</f>
        <v>800.58850903998</v>
      </c>
      <c r="AB462" s="112" t="n">
        <f aca="false">SUM(AB443:AB461)</f>
        <v>800.58850903998</v>
      </c>
      <c r="AC462" s="112" t="n">
        <f aca="false">SUM(AC443:AC461)</f>
        <v>800.58850903998</v>
      </c>
      <c r="AD462" s="112" t="n">
        <f aca="false">SUM(AD443:AD461)</f>
        <v>800.58850903998</v>
      </c>
      <c r="AE462" s="112" t="n">
        <f aca="false">SUM(AE443:AE461)</f>
        <v>4803.53105423988</v>
      </c>
    </row>
    <row r="464" customFormat="false" ht="15" hidden="false" customHeight="false" outlineLevel="0" collapsed="false">
      <c r="A464" s="102" t="s">
        <v>895</v>
      </c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</row>
    <row r="465" customFormat="false" ht="15" hidden="false" customHeight="false" outlineLevel="0" collapsed="false">
      <c r="A465" s="103" t="s">
        <v>842</v>
      </c>
      <c r="B465" s="104" t="n">
        <v>0</v>
      </c>
      <c r="C465" s="105" t="n">
        <f aca="false">IF(K465=0,0,R465/K465)</f>
        <v>9.29347826086957</v>
      </c>
      <c r="D465" s="105" t="n">
        <f aca="false">C465+B465</f>
        <v>9.29347826086957</v>
      </c>
      <c r="E465" s="106" t="n">
        <v>0</v>
      </c>
      <c r="F465" s="106" t="n">
        <v>0</v>
      </c>
      <c r="G465" s="106" t="n">
        <v>18</v>
      </c>
      <c r="H465" s="106" t="n">
        <v>28</v>
      </c>
      <c r="I465" s="106" t="n">
        <v>0</v>
      </c>
      <c r="J465" s="106" t="n">
        <v>0</v>
      </c>
      <c r="K465" s="106" t="n">
        <f aca="false">SUM(E465:J465)</f>
        <v>46</v>
      </c>
      <c r="L465" s="107" t="n">
        <v>0</v>
      </c>
      <c r="M465" s="107" t="n">
        <v>0</v>
      </c>
      <c r="N465" s="107" t="n">
        <v>170.5</v>
      </c>
      <c r="O465" s="107" t="n">
        <v>257</v>
      </c>
      <c r="P465" s="107" t="n">
        <v>0</v>
      </c>
      <c r="Q465" s="107" t="n">
        <v>0</v>
      </c>
      <c r="R465" s="107" t="n">
        <f aca="false">SUM(L465:Q465)</f>
        <v>427.5</v>
      </c>
      <c r="S465" s="108" t="n">
        <v>9</v>
      </c>
      <c r="T465" s="108" t="n">
        <v>9</v>
      </c>
      <c r="U465" s="108" t="n">
        <v>9</v>
      </c>
      <c r="V465" s="108" t="n">
        <v>9</v>
      </c>
      <c r="W465" s="108" t="n">
        <v>9</v>
      </c>
      <c r="X465" s="108" t="n">
        <v>9</v>
      </c>
      <c r="Y465" s="107" t="n">
        <f aca="false">S465*$D465</f>
        <v>83.6413043478261</v>
      </c>
      <c r="Z465" s="107" t="n">
        <f aca="false">T465*$D465</f>
        <v>83.6413043478261</v>
      </c>
      <c r="AA465" s="107" t="n">
        <f aca="false">U465*$D465</f>
        <v>83.6413043478261</v>
      </c>
      <c r="AB465" s="107" t="n">
        <f aca="false">V465*$D465</f>
        <v>83.6413043478261</v>
      </c>
      <c r="AC465" s="107" t="n">
        <f aca="false">W465*$D465</f>
        <v>83.6413043478261</v>
      </c>
      <c r="AD465" s="107" t="n">
        <f aca="false">X465*$D465</f>
        <v>83.6413043478261</v>
      </c>
      <c r="AE465" s="107" t="n">
        <f aca="false">SUM(Y465:AD465)</f>
        <v>501.847826086956</v>
      </c>
    </row>
    <row r="466" customFormat="false" ht="15" hidden="false" customHeight="false" outlineLevel="0" collapsed="false">
      <c r="A466" s="103" t="s">
        <v>896</v>
      </c>
      <c r="B466" s="104" t="n">
        <v>0</v>
      </c>
      <c r="C466" s="105" t="n">
        <f aca="false">IF(K466=0,0,R466/K466)</f>
        <v>28</v>
      </c>
      <c r="D466" s="105" t="n">
        <f aca="false">C466+B466</f>
        <v>28</v>
      </c>
      <c r="E466" s="106" t="n">
        <v>0</v>
      </c>
      <c r="F466" s="106" t="n">
        <v>0</v>
      </c>
      <c r="G466" s="106" t="n">
        <v>8</v>
      </c>
      <c r="H466" s="106" t="n">
        <v>1</v>
      </c>
      <c r="I466" s="106" t="n">
        <v>0</v>
      </c>
      <c r="J466" s="106" t="n">
        <v>0</v>
      </c>
      <c r="K466" s="106" t="n">
        <f aca="false">SUM(E466:J466)</f>
        <v>9</v>
      </c>
      <c r="L466" s="107" t="n">
        <v>0</v>
      </c>
      <c r="M466" s="107" t="n">
        <v>0</v>
      </c>
      <c r="N466" s="107" t="n">
        <v>224</v>
      </c>
      <c r="O466" s="107" t="n">
        <v>28</v>
      </c>
      <c r="P466" s="107" t="n">
        <v>0</v>
      </c>
      <c r="Q466" s="107" t="n">
        <v>0</v>
      </c>
      <c r="R466" s="107" t="n">
        <f aca="false">SUM(L466:Q466)</f>
        <v>252</v>
      </c>
      <c r="S466" s="108" t="n">
        <v>0</v>
      </c>
      <c r="T466" s="108" t="n">
        <v>0</v>
      </c>
      <c r="U466" s="108" t="n">
        <v>0</v>
      </c>
      <c r="V466" s="108" t="n">
        <v>0</v>
      </c>
      <c r="W466" s="108" t="n">
        <v>0</v>
      </c>
      <c r="X466" s="108" t="n">
        <v>0</v>
      </c>
      <c r="Y466" s="107" t="n">
        <f aca="false">S466*$D466</f>
        <v>0</v>
      </c>
      <c r="Z466" s="107" t="n">
        <f aca="false">T466*$D466</f>
        <v>0</v>
      </c>
      <c r="AA466" s="107" t="n">
        <f aca="false">U466*$D466</f>
        <v>0</v>
      </c>
      <c r="AB466" s="107" t="n">
        <f aca="false">V466*$D466</f>
        <v>0</v>
      </c>
      <c r="AC466" s="107" t="n">
        <f aca="false">W466*$D466</f>
        <v>0</v>
      </c>
      <c r="AD466" s="107" t="n">
        <f aca="false">X466*$D466</f>
        <v>0</v>
      </c>
      <c r="AE466" s="107" t="n">
        <f aca="false">SUM(Y466:AD466)</f>
        <v>0</v>
      </c>
    </row>
    <row r="467" customFormat="false" ht="15" hidden="false" customHeight="false" outlineLevel="0" collapsed="false">
      <c r="A467" s="103" t="s">
        <v>897</v>
      </c>
      <c r="B467" s="104" t="n">
        <v>0</v>
      </c>
      <c r="C467" s="105" t="n">
        <f aca="false">IF(K467=0,0,R467/K467)</f>
        <v>35</v>
      </c>
      <c r="D467" s="105" t="n">
        <f aca="false">C467+B467</f>
        <v>35</v>
      </c>
      <c r="E467" s="106" t="n">
        <v>0</v>
      </c>
      <c r="F467" s="106" t="n">
        <v>0</v>
      </c>
      <c r="G467" s="106" t="n">
        <v>6</v>
      </c>
      <c r="H467" s="106" t="n">
        <v>0</v>
      </c>
      <c r="I467" s="106" t="n">
        <v>0</v>
      </c>
      <c r="J467" s="106" t="n">
        <v>0</v>
      </c>
      <c r="K467" s="106" t="n">
        <f aca="false">SUM(E467:J467)</f>
        <v>6</v>
      </c>
      <c r="L467" s="107" t="n">
        <v>0</v>
      </c>
      <c r="M467" s="107" t="n">
        <v>0</v>
      </c>
      <c r="N467" s="107" t="n">
        <v>210</v>
      </c>
      <c r="O467" s="107" t="n">
        <v>0</v>
      </c>
      <c r="P467" s="107" t="n">
        <v>0</v>
      </c>
      <c r="Q467" s="107" t="n">
        <v>0</v>
      </c>
      <c r="R467" s="107" t="n">
        <f aca="false">SUM(L467:Q467)</f>
        <v>210</v>
      </c>
      <c r="S467" s="108" t="n">
        <v>0</v>
      </c>
      <c r="T467" s="108" t="n">
        <v>0</v>
      </c>
      <c r="U467" s="108" t="n">
        <v>0</v>
      </c>
      <c r="V467" s="108" t="n">
        <v>0</v>
      </c>
      <c r="W467" s="108" t="n">
        <v>0</v>
      </c>
      <c r="X467" s="108" t="n">
        <v>0</v>
      </c>
      <c r="Y467" s="107" t="n">
        <f aca="false">S467*$D467</f>
        <v>0</v>
      </c>
      <c r="Z467" s="107" t="n">
        <f aca="false">T467*$D467</f>
        <v>0</v>
      </c>
      <c r="AA467" s="107" t="n">
        <f aca="false">U467*$D467</f>
        <v>0</v>
      </c>
      <c r="AB467" s="107" t="n">
        <f aca="false">V467*$D467</f>
        <v>0</v>
      </c>
      <c r="AC467" s="107" t="n">
        <f aca="false">W467*$D467</f>
        <v>0</v>
      </c>
      <c r="AD467" s="107" t="n">
        <f aca="false">X467*$D467</f>
        <v>0</v>
      </c>
      <c r="AE467" s="107" t="n">
        <f aca="false">SUM(Y467:AD467)</f>
        <v>0</v>
      </c>
    </row>
    <row r="468" customFormat="false" ht="15" hidden="false" customHeight="false" outlineLevel="0" collapsed="false">
      <c r="A468" s="103" t="s">
        <v>898</v>
      </c>
      <c r="B468" s="104" t="n">
        <v>0</v>
      </c>
      <c r="C468" s="105" t="n">
        <f aca="false">IF(K468=0,0,R468/K468)</f>
        <v>2.92793103448276</v>
      </c>
      <c r="D468" s="105" t="n">
        <f aca="false">C468+B468</f>
        <v>2.92793103448276</v>
      </c>
      <c r="E468" s="106" t="n">
        <v>0</v>
      </c>
      <c r="F468" s="106" t="n">
        <v>5</v>
      </c>
      <c r="G468" s="106" t="n">
        <v>12</v>
      </c>
      <c r="H468" s="106" t="n">
        <v>7</v>
      </c>
      <c r="I468" s="106" t="n">
        <v>14</v>
      </c>
      <c r="J468" s="106" t="n">
        <v>20</v>
      </c>
      <c r="K468" s="106" t="n">
        <f aca="false">SUM(E468:J468)</f>
        <v>58</v>
      </c>
      <c r="L468" s="107" t="n">
        <v>0</v>
      </c>
      <c r="M468" s="107" t="n">
        <v>14.95</v>
      </c>
      <c r="N468" s="107" t="n">
        <v>35.88</v>
      </c>
      <c r="O468" s="107" t="n">
        <v>20.93</v>
      </c>
      <c r="P468" s="107" t="n">
        <v>41.86</v>
      </c>
      <c r="Q468" s="107" t="n">
        <v>56.2</v>
      </c>
      <c r="R468" s="107" t="n">
        <f aca="false">SUM(L468:Q468)</f>
        <v>169.82</v>
      </c>
      <c r="S468" s="108" t="n">
        <v>14</v>
      </c>
      <c r="T468" s="108" t="n">
        <v>14</v>
      </c>
      <c r="U468" s="108" t="n">
        <v>14</v>
      </c>
      <c r="V468" s="108" t="n">
        <v>14</v>
      </c>
      <c r="W468" s="108" t="n">
        <v>14</v>
      </c>
      <c r="X468" s="108" t="n">
        <v>14</v>
      </c>
      <c r="Y468" s="107" t="n">
        <f aca="false">S468*$D468</f>
        <v>40.9910344827586</v>
      </c>
      <c r="Z468" s="107" t="n">
        <f aca="false">T468*$D468</f>
        <v>40.9910344827586</v>
      </c>
      <c r="AA468" s="107" t="n">
        <f aca="false">U468*$D468</f>
        <v>40.9910344827586</v>
      </c>
      <c r="AB468" s="107" t="n">
        <f aca="false">V468*$D468</f>
        <v>40.9910344827586</v>
      </c>
      <c r="AC468" s="107" t="n">
        <f aca="false">W468*$D468</f>
        <v>40.9910344827586</v>
      </c>
      <c r="AD468" s="107" t="n">
        <f aca="false">X468*$D468</f>
        <v>40.9910344827586</v>
      </c>
      <c r="AE468" s="107" t="n">
        <f aca="false">SUM(Y468:AD468)</f>
        <v>245.946206896552</v>
      </c>
    </row>
    <row r="469" customFormat="false" ht="15" hidden="false" customHeight="false" outlineLevel="0" collapsed="false">
      <c r="A469" s="103" t="s">
        <v>899</v>
      </c>
      <c r="B469" s="104" t="n">
        <v>0</v>
      </c>
      <c r="C469" s="105" t="n">
        <f aca="false">IF(K469=0,0,R469/K469)</f>
        <v>38</v>
      </c>
      <c r="D469" s="105" t="n">
        <f aca="false">C469+B469</f>
        <v>38</v>
      </c>
      <c r="E469" s="106" t="n">
        <v>0</v>
      </c>
      <c r="F469" s="106" t="n">
        <v>0</v>
      </c>
      <c r="G469" s="106" t="n">
        <v>4</v>
      </c>
      <c r="H469" s="106" t="n">
        <v>0</v>
      </c>
      <c r="I469" s="106" t="n">
        <v>0</v>
      </c>
      <c r="J469" s="106" t="n">
        <v>0</v>
      </c>
      <c r="K469" s="106" t="n">
        <f aca="false">SUM(E469:J469)</f>
        <v>4</v>
      </c>
      <c r="L469" s="107" t="n">
        <v>0</v>
      </c>
      <c r="M469" s="107" t="n">
        <v>0</v>
      </c>
      <c r="N469" s="107" t="n">
        <v>152</v>
      </c>
      <c r="O469" s="107" t="n">
        <v>0</v>
      </c>
      <c r="P469" s="107" t="n">
        <v>0</v>
      </c>
      <c r="Q469" s="107" t="n">
        <v>0</v>
      </c>
      <c r="R469" s="107" t="n">
        <f aca="false">SUM(L469:Q469)</f>
        <v>152</v>
      </c>
      <c r="S469" s="108" t="n">
        <v>0</v>
      </c>
      <c r="T469" s="108" t="n">
        <v>0</v>
      </c>
      <c r="U469" s="108" t="n">
        <v>0</v>
      </c>
      <c r="V469" s="108" t="n">
        <v>0</v>
      </c>
      <c r="W469" s="108" t="n">
        <v>0</v>
      </c>
      <c r="X469" s="108" t="n">
        <v>0</v>
      </c>
      <c r="Y469" s="107" t="n">
        <f aca="false">S469*$D469</f>
        <v>0</v>
      </c>
      <c r="Z469" s="107" t="n">
        <f aca="false">T469*$D469</f>
        <v>0</v>
      </c>
      <c r="AA469" s="107" t="n">
        <f aca="false">U469*$D469</f>
        <v>0</v>
      </c>
      <c r="AB469" s="107" t="n">
        <f aca="false">V469*$D469</f>
        <v>0</v>
      </c>
      <c r="AC469" s="107" t="n">
        <f aca="false">W469*$D469</f>
        <v>0</v>
      </c>
      <c r="AD469" s="107" t="n">
        <f aca="false">X469*$D469</f>
        <v>0</v>
      </c>
      <c r="AE469" s="107" t="n">
        <f aca="false">SUM(Y469:AD469)</f>
        <v>0</v>
      </c>
    </row>
    <row r="470" customFormat="false" ht="15" hidden="false" customHeight="false" outlineLevel="0" collapsed="false">
      <c r="A470" s="103" t="s">
        <v>900</v>
      </c>
      <c r="B470" s="104" t="n">
        <v>0</v>
      </c>
      <c r="C470" s="105" t="n">
        <f aca="false">IF(K470=0,0,R470/K470)</f>
        <v>10.7461538461538</v>
      </c>
      <c r="D470" s="105" t="n">
        <f aca="false">C470+B470</f>
        <v>10.7461538461538</v>
      </c>
      <c r="E470" s="106" t="n">
        <v>4</v>
      </c>
      <c r="F470" s="106" t="n">
        <v>2</v>
      </c>
      <c r="G470" s="106" t="n">
        <v>3</v>
      </c>
      <c r="H470" s="106" t="n">
        <v>0</v>
      </c>
      <c r="I470" s="106" t="n">
        <v>3</v>
      </c>
      <c r="J470" s="106" t="n">
        <v>1</v>
      </c>
      <c r="K470" s="106" t="n">
        <f aca="false">SUM(E470:J470)</f>
        <v>13</v>
      </c>
      <c r="L470" s="107" t="n">
        <v>40.7</v>
      </c>
      <c r="M470" s="107" t="n">
        <v>22</v>
      </c>
      <c r="N470" s="107" t="n">
        <v>33</v>
      </c>
      <c r="O470" s="107" t="n">
        <v>0</v>
      </c>
      <c r="P470" s="107" t="n">
        <v>33</v>
      </c>
      <c r="Q470" s="107" t="n">
        <v>11</v>
      </c>
      <c r="R470" s="107" t="n">
        <f aca="false">SUM(L470:Q470)</f>
        <v>139.7</v>
      </c>
      <c r="S470" s="108" t="n">
        <v>1</v>
      </c>
      <c r="T470" s="108" t="n">
        <v>1</v>
      </c>
      <c r="U470" s="108" t="n">
        <v>1</v>
      </c>
      <c r="V470" s="108" t="n">
        <v>1</v>
      </c>
      <c r="W470" s="108" t="n">
        <v>1</v>
      </c>
      <c r="X470" s="108" t="n">
        <v>1</v>
      </c>
      <c r="Y470" s="107" t="n">
        <f aca="false">S470*$D470</f>
        <v>10.7461538461538</v>
      </c>
      <c r="Z470" s="107" t="n">
        <f aca="false">T470*$D470</f>
        <v>10.7461538461538</v>
      </c>
      <c r="AA470" s="107" t="n">
        <f aca="false">U470*$D470</f>
        <v>10.7461538461538</v>
      </c>
      <c r="AB470" s="107" t="n">
        <f aca="false">V470*$D470</f>
        <v>10.7461538461538</v>
      </c>
      <c r="AC470" s="107" t="n">
        <f aca="false">W470*$D470</f>
        <v>10.7461538461538</v>
      </c>
      <c r="AD470" s="107" t="n">
        <f aca="false">X470*$D470</f>
        <v>10.7461538461538</v>
      </c>
      <c r="AE470" s="107" t="n">
        <f aca="false">SUM(Y470:AD470)</f>
        <v>64.4769230769231</v>
      </c>
    </row>
    <row r="471" customFormat="false" ht="15" hidden="false" customHeight="false" outlineLevel="0" collapsed="false">
      <c r="A471" s="103" t="s">
        <v>901</v>
      </c>
      <c r="B471" s="104" t="n">
        <v>0</v>
      </c>
      <c r="C471" s="105" t="n">
        <f aca="false">IF(K471=0,0,R471/K471)</f>
        <v>30</v>
      </c>
      <c r="D471" s="105" t="n">
        <f aca="false">C471+B471</f>
        <v>30</v>
      </c>
      <c r="E471" s="106" t="n">
        <v>0</v>
      </c>
      <c r="F471" s="106" t="n">
        <v>0</v>
      </c>
      <c r="G471" s="106" t="n">
        <v>4</v>
      </c>
      <c r="H471" s="106" t="n">
        <v>0</v>
      </c>
      <c r="I471" s="106" t="n">
        <v>0</v>
      </c>
      <c r="J471" s="106" t="n">
        <v>0</v>
      </c>
      <c r="K471" s="106" t="n">
        <f aca="false">SUM(E471:J471)</f>
        <v>4</v>
      </c>
      <c r="L471" s="107" t="n">
        <v>0</v>
      </c>
      <c r="M471" s="107" t="n">
        <v>0</v>
      </c>
      <c r="N471" s="107" t="n">
        <v>120</v>
      </c>
      <c r="O471" s="107" t="n">
        <v>0</v>
      </c>
      <c r="P471" s="107" t="n">
        <v>0</v>
      </c>
      <c r="Q471" s="107" t="n">
        <v>0</v>
      </c>
      <c r="R471" s="107" t="n">
        <f aca="false">SUM(L471:Q471)</f>
        <v>120</v>
      </c>
      <c r="S471" s="108" t="n">
        <v>0</v>
      </c>
      <c r="T471" s="108" t="n">
        <v>0</v>
      </c>
      <c r="U471" s="108" t="n">
        <v>0</v>
      </c>
      <c r="V471" s="108" t="n">
        <v>0</v>
      </c>
      <c r="W471" s="108" t="n">
        <v>0</v>
      </c>
      <c r="X471" s="108" t="n">
        <v>0</v>
      </c>
      <c r="Y471" s="107" t="n">
        <f aca="false">S471*$D471</f>
        <v>0</v>
      </c>
      <c r="Z471" s="107" t="n">
        <f aca="false">T471*$D471</f>
        <v>0</v>
      </c>
      <c r="AA471" s="107" t="n">
        <f aca="false">U471*$D471</f>
        <v>0</v>
      </c>
      <c r="AB471" s="107" t="n">
        <f aca="false">V471*$D471</f>
        <v>0</v>
      </c>
      <c r="AC471" s="107" t="n">
        <f aca="false">W471*$D471</f>
        <v>0</v>
      </c>
      <c r="AD471" s="107" t="n">
        <f aca="false">X471*$D471</f>
        <v>0</v>
      </c>
      <c r="AE471" s="107" t="n">
        <f aca="false">SUM(Y471:AD471)</f>
        <v>0</v>
      </c>
    </row>
    <row r="472" customFormat="false" ht="15" hidden="false" customHeight="false" outlineLevel="0" collapsed="false">
      <c r="A472" s="103" t="s">
        <v>902</v>
      </c>
      <c r="B472" s="104" t="n">
        <v>0</v>
      </c>
      <c r="C472" s="105" t="n">
        <f aca="false">IF(K472=0,0,R472/K472)</f>
        <v>2.9172972972973</v>
      </c>
      <c r="D472" s="105" t="n">
        <f aca="false">C472+B472</f>
        <v>2.9172972972973</v>
      </c>
      <c r="E472" s="106" t="n">
        <v>0</v>
      </c>
      <c r="F472" s="106" t="n">
        <v>2</v>
      </c>
      <c r="G472" s="106" t="n">
        <v>12</v>
      </c>
      <c r="H472" s="106" t="n">
        <v>8</v>
      </c>
      <c r="I472" s="106" t="n">
        <v>11</v>
      </c>
      <c r="J472" s="106" t="n">
        <v>4</v>
      </c>
      <c r="K472" s="106" t="n">
        <f aca="false">SUM(E472:J472)</f>
        <v>37</v>
      </c>
      <c r="L472" s="107" t="n">
        <v>0</v>
      </c>
      <c r="M472" s="107" t="n">
        <v>5.98</v>
      </c>
      <c r="N472" s="107" t="n">
        <v>35.43</v>
      </c>
      <c r="O472" s="107" t="n">
        <v>23.92</v>
      </c>
      <c r="P472" s="107" t="n">
        <v>32.44</v>
      </c>
      <c r="Q472" s="107" t="n">
        <v>10.17</v>
      </c>
      <c r="R472" s="107" t="n">
        <f aca="false">SUM(L472:Q472)</f>
        <v>107.94</v>
      </c>
      <c r="S472" s="108" t="n">
        <v>8</v>
      </c>
      <c r="T472" s="108" t="n">
        <v>8</v>
      </c>
      <c r="U472" s="108" t="n">
        <v>8</v>
      </c>
      <c r="V472" s="108" t="n">
        <v>8</v>
      </c>
      <c r="W472" s="108" t="n">
        <v>8</v>
      </c>
      <c r="X472" s="108" t="n">
        <v>8</v>
      </c>
      <c r="Y472" s="107" t="n">
        <f aca="false">S472*$D472</f>
        <v>23.3383783783784</v>
      </c>
      <c r="Z472" s="107" t="n">
        <f aca="false">T472*$D472</f>
        <v>23.3383783783784</v>
      </c>
      <c r="AA472" s="107" t="n">
        <f aca="false">U472*$D472</f>
        <v>23.3383783783784</v>
      </c>
      <c r="AB472" s="107" t="n">
        <f aca="false">V472*$D472</f>
        <v>23.3383783783784</v>
      </c>
      <c r="AC472" s="107" t="n">
        <f aca="false">W472*$D472</f>
        <v>23.3383783783784</v>
      </c>
      <c r="AD472" s="107" t="n">
        <f aca="false">X472*$D472</f>
        <v>23.3383783783784</v>
      </c>
      <c r="AE472" s="107" t="n">
        <f aca="false">SUM(Y472:AD472)</f>
        <v>140.03027027027</v>
      </c>
    </row>
    <row r="473" customFormat="false" ht="15" hidden="false" customHeight="false" outlineLevel="0" collapsed="false">
      <c r="A473" s="103" t="s">
        <v>865</v>
      </c>
      <c r="B473" s="104" t="n">
        <v>0</v>
      </c>
      <c r="C473" s="105" t="n">
        <f aca="false">IF(K473=0,0,R473/K473)</f>
        <v>6.66666666666667</v>
      </c>
      <c r="D473" s="105" t="n">
        <f aca="false">C473+B473</f>
        <v>6.66666666666667</v>
      </c>
      <c r="E473" s="106" t="n">
        <v>0</v>
      </c>
      <c r="F473" s="106" t="n">
        <v>0</v>
      </c>
      <c r="G473" s="106" t="n">
        <v>12</v>
      </c>
      <c r="H473" s="106" t="n">
        <v>3</v>
      </c>
      <c r="I473" s="106" t="n">
        <v>0</v>
      </c>
      <c r="J473" s="106" t="n">
        <v>0</v>
      </c>
      <c r="K473" s="106" t="n">
        <f aca="false">SUM(E473:J473)</f>
        <v>15</v>
      </c>
      <c r="L473" s="107" t="n">
        <v>0</v>
      </c>
      <c r="M473" s="107" t="n">
        <v>0</v>
      </c>
      <c r="N473" s="107" t="n">
        <v>82.95</v>
      </c>
      <c r="O473" s="107" t="n">
        <v>17.05</v>
      </c>
      <c r="P473" s="107" t="n">
        <v>0</v>
      </c>
      <c r="Q473" s="107" t="n">
        <v>0</v>
      </c>
      <c r="R473" s="107" t="n">
        <f aca="false">SUM(L473:Q473)</f>
        <v>100</v>
      </c>
      <c r="S473" s="108" t="n">
        <v>1</v>
      </c>
      <c r="T473" s="108" t="n">
        <v>1</v>
      </c>
      <c r="U473" s="108" t="n">
        <v>1</v>
      </c>
      <c r="V473" s="108" t="n">
        <v>1</v>
      </c>
      <c r="W473" s="108" t="n">
        <v>1</v>
      </c>
      <c r="X473" s="108" t="n">
        <v>1</v>
      </c>
      <c r="Y473" s="107" t="n">
        <f aca="false">S473*$D473</f>
        <v>6.66666666666667</v>
      </c>
      <c r="Z473" s="107" t="n">
        <f aca="false">T473*$D473</f>
        <v>6.66666666666667</v>
      </c>
      <c r="AA473" s="107" t="n">
        <f aca="false">U473*$D473</f>
        <v>6.66666666666667</v>
      </c>
      <c r="AB473" s="107" t="n">
        <f aca="false">V473*$D473</f>
        <v>6.66666666666667</v>
      </c>
      <c r="AC473" s="107" t="n">
        <f aca="false">W473*$D473</f>
        <v>6.66666666666667</v>
      </c>
      <c r="AD473" s="107" t="n">
        <f aca="false">X473*$D473</f>
        <v>6.66666666666667</v>
      </c>
      <c r="AE473" s="107" t="n">
        <f aca="false">SUM(Y473:AD473)</f>
        <v>40</v>
      </c>
    </row>
    <row r="474" customFormat="false" ht="15" hidden="false" customHeight="false" outlineLevel="0" collapsed="false">
      <c r="A474" s="103" t="s">
        <v>903</v>
      </c>
      <c r="B474" s="104" t="n">
        <v>0</v>
      </c>
      <c r="C474" s="105" t="n">
        <f aca="false">IF(K474=0,0,R474/K474)</f>
        <v>3</v>
      </c>
      <c r="D474" s="105" t="n">
        <f aca="false">C474+B474</f>
        <v>3</v>
      </c>
      <c r="E474" s="106" t="n">
        <v>0</v>
      </c>
      <c r="F474" s="106" t="n">
        <v>0</v>
      </c>
      <c r="G474" s="106" t="n">
        <v>0</v>
      </c>
      <c r="H474" s="106" t="n">
        <v>0</v>
      </c>
      <c r="I474" s="106" t="n">
        <v>0</v>
      </c>
      <c r="J474" s="106" t="n">
        <v>30</v>
      </c>
      <c r="K474" s="106" t="n">
        <f aca="false">SUM(E474:J474)</f>
        <v>30</v>
      </c>
      <c r="L474" s="107" t="n">
        <v>0</v>
      </c>
      <c r="M474" s="107" t="n">
        <v>0</v>
      </c>
      <c r="N474" s="107" t="n">
        <v>0</v>
      </c>
      <c r="O474" s="107" t="n">
        <v>0</v>
      </c>
      <c r="P474" s="107" t="n">
        <v>0</v>
      </c>
      <c r="Q474" s="107" t="n">
        <v>90</v>
      </c>
      <c r="R474" s="107" t="n">
        <f aca="false">SUM(L474:Q474)</f>
        <v>90</v>
      </c>
      <c r="S474" s="108" t="n">
        <v>10</v>
      </c>
      <c r="T474" s="108" t="n">
        <v>10</v>
      </c>
      <c r="U474" s="108" t="n">
        <v>10</v>
      </c>
      <c r="V474" s="108" t="n">
        <v>10</v>
      </c>
      <c r="W474" s="108" t="n">
        <v>10</v>
      </c>
      <c r="X474" s="108" t="n">
        <v>10</v>
      </c>
      <c r="Y474" s="107" t="n">
        <f aca="false">S474*$D474</f>
        <v>30</v>
      </c>
      <c r="Z474" s="107" t="n">
        <f aca="false">T474*$D474</f>
        <v>30</v>
      </c>
      <c r="AA474" s="107" t="n">
        <f aca="false">U474*$D474</f>
        <v>30</v>
      </c>
      <c r="AB474" s="107" t="n">
        <f aca="false">V474*$D474</f>
        <v>30</v>
      </c>
      <c r="AC474" s="107" t="n">
        <f aca="false">W474*$D474</f>
        <v>30</v>
      </c>
      <c r="AD474" s="107" t="n">
        <f aca="false">X474*$D474</f>
        <v>30</v>
      </c>
      <c r="AE474" s="107" t="n">
        <f aca="false">SUM(Y474:AD474)</f>
        <v>180</v>
      </c>
    </row>
    <row r="475" customFormat="false" ht="15" hidden="false" customHeight="false" outlineLevel="0" collapsed="false">
      <c r="A475" s="103" t="s">
        <v>904</v>
      </c>
      <c r="B475" s="104" t="n">
        <v>0</v>
      </c>
      <c r="C475" s="105" t="n">
        <f aca="false">IF(K475=0,0,R475/K475)</f>
        <v>13.1833333333333</v>
      </c>
      <c r="D475" s="105" t="n">
        <f aca="false">C475+B475</f>
        <v>13.1833333333333</v>
      </c>
      <c r="E475" s="106" t="n">
        <v>1</v>
      </c>
      <c r="F475" s="106" t="n">
        <v>1</v>
      </c>
      <c r="G475" s="106" t="n">
        <v>2</v>
      </c>
      <c r="H475" s="106" t="n">
        <v>0</v>
      </c>
      <c r="I475" s="106" t="n">
        <v>0</v>
      </c>
      <c r="J475" s="106" t="n">
        <v>2</v>
      </c>
      <c r="K475" s="106" t="n">
        <f aca="false">SUM(E475:J475)</f>
        <v>6</v>
      </c>
      <c r="L475" s="107" t="n">
        <v>11.9</v>
      </c>
      <c r="M475" s="107" t="n">
        <v>11.2</v>
      </c>
      <c r="N475" s="107" t="n">
        <v>28</v>
      </c>
      <c r="O475" s="107" t="n">
        <v>0</v>
      </c>
      <c r="P475" s="107" t="n">
        <v>0</v>
      </c>
      <c r="Q475" s="107" t="n">
        <v>28</v>
      </c>
      <c r="R475" s="107" t="n">
        <f aca="false">SUM(L475:Q475)</f>
        <v>79.1</v>
      </c>
      <c r="S475" s="108" t="n">
        <v>1</v>
      </c>
      <c r="T475" s="108" t="n">
        <v>1</v>
      </c>
      <c r="U475" s="108" t="n">
        <v>1</v>
      </c>
      <c r="V475" s="108" t="n">
        <v>1</v>
      </c>
      <c r="W475" s="108" t="n">
        <v>1</v>
      </c>
      <c r="X475" s="108" t="n">
        <v>1</v>
      </c>
      <c r="Y475" s="107" t="n">
        <f aca="false">S475*$D475</f>
        <v>13.1833333333333</v>
      </c>
      <c r="Z475" s="107" t="n">
        <f aca="false">T475*$D475</f>
        <v>13.1833333333333</v>
      </c>
      <c r="AA475" s="107" t="n">
        <f aca="false">U475*$D475</f>
        <v>13.1833333333333</v>
      </c>
      <c r="AB475" s="107" t="n">
        <f aca="false">V475*$D475</f>
        <v>13.1833333333333</v>
      </c>
      <c r="AC475" s="107" t="n">
        <f aca="false">W475*$D475</f>
        <v>13.1833333333333</v>
      </c>
      <c r="AD475" s="107" t="n">
        <f aca="false">X475*$D475</f>
        <v>13.1833333333333</v>
      </c>
      <c r="AE475" s="107" t="n">
        <f aca="false">SUM(Y475:AD475)</f>
        <v>79.1</v>
      </c>
    </row>
    <row r="476" customFormat="false" ht="15" hidden="false" customHeight="false" outlineLevel="0" collapsed="false">
      <c r="A476" s="103" t="s">
        <v>905</v>
      </c>
      <c r="B476" s="104" t="n">
        <v>0</v>
      </c>
      <c r="C476" s="105" t="n">
        <f aca="false">IF(K476=0,0,R476/K476)</f>
        <v>19.6875</v>
      </c>
      <c r="D476" s="105" t="n">
        <f aca="false">C476+B476</f>
        <v>19.6875</v>
      </c>
      <c r="E476" s="106" t="n">
        <v>0</v>
      </c>
      <c r="F476" s="106" t="n">
        <v>0</v>
      </c>
      <c r="G476" s="106" t="n">
        <v>4</v>
      </c>
      <c r="H476" s="106" t="n">
        <v>0</v>
      </c>
      <c r="I476" s="106" t="n">
        <v>0</v>
      </c>
      <c r="J476" s="106" t="n">
        <v>0</v>
      </c>
      <c r="K476" s="106" t="n">
        <f aca="false">SUM(E476:J476)</f>
        <v>4</v>
      </c>
      <c r="L476" s="107" t="n">
        <v>0</v>
      </c>
      <c r="M476" s="107" t="n">
        <v>0</v>
      </c>
      <c r="N476" s="107" t="n">
        <v>78.75</v>
      </c>
      <c r="O476" s="107" t="n">
        <v>0</v>
      </c>
      <c r="P476" s="107" t="n">
        <v>0</v>
      </c>
      <c r="Q476" s="107" t="n">
        <v>0</v>
      </c>
      <c r="R476" s="107" t="n">
        <f aca="false">SUM(L476:Q476)</f>
        <v>78.75</v>
      </c>
      <c r="S476" s="108" t="n">
        <v>0</v>
      </c>
      <c r="T476" s="108" t="n">
        <v>0</v>
      </c>
      <c r="U476" s="108" t="n">
        <v>0</v>
      </c>
      <c r="V476" s="108" t="n">
        <v>0</v>
      </c>
      <c r="W476" s="108" t="n">
        <v>0</v>
      </c>
      <c r="X476" s="108" t="n">
        <v>0</v>
      </c>
      <c r="Y476" s="107" t="n">
        <f aca="false">S476*$D476</f>
        <v>0</v>
      </c>
      <c r="Z476" s="107" t="n">
        <f aca="false">T476*$D476</f>
        <v>0</v>
      </c>
      <c r="AA476" s="107" t="n">
        <f aca="false">U476*$D476</f>
        <v>0</v>
      </c>
      <c r="AB476" s="107" t="n">
        <f aca="false">V476*$D476</f>
        <v>0</v>
      </c>
      <c r="AC476" s="107" t="n">
        <f aca="false">W476*$D476</f>
        <v>0</v>
      </c>
      <c r="AD476" s="107" t="n">
        <f aca="false">X476*$D476</f>
        <v>0</v>
      </c>
      <c r="AE476" s="107" t="n">
        <f aca="false">SUM(Y476:AD476)</f>
        <v>0</v>
      </c>
    </row>
    <row r="477" customFormat="false" ht="15" hidden="false" customHeight="false" outlineLevel="0" collapsed="false">
      <c r="A477" s="103" t="s">
        <v>906</v>
      </c>
      <c r="B477" s="104" t="n">
        <v>0</v>
      </c>
      <c r="C477" s="105" t="n">
        <f aca="false">IF(K477=0,0,R477/K477)</f>
        <v>15</v>
      </c>
      <c r="D477" s="105" t="n">
        <f aca="false">C477+B477</f>
        <v>15</v>
      </c>
      <c r="E477" s="106" t="n">
        <v>0</v>
      </c>
      <c r="F477" s="106" t="n">
        <v>0</v>
      </c>
      <c r="G477" s="106" t="n">
        <v>1</v>
      </c>
      <c r="H477" s="106" t="n">
        <v>0</v>
      </c>
      <c r="I477" s="106" t="n">
        <v>3</v>
      </c>
      <c r="J477" s="106" t="n">
        <v>1</v>
      </c>
      <c r="K477" s="106" t="n">
        <f aca="false">SUM(E477:J477)</f>
        <v>5</v>
      </c>
      <c r="L477" s="107" t="n">
        <v>0</v>
      </c>
      <c r="M477" s="107" t="n">
        <v>0</v>
      </c>
      <c r="N477" s="107" t="n">
        <v>25</v>
      </c>
      <c r="O477" s="107" t="n">
        <v>0</v>
      </c>
      <c r="P477" s="107" t="n">
        <v>25</v>
      </c>
      <c r="Q477" s="107" t="n">
        <v>25</v>
      </c>
      <c r="R477" s="107" t="n">
        <f aca="false">SUM(L477:Q477)</f>
        <v>75</v>
      </c>
      <c r="S477" s="108" t="n">
        <v>1</v>
      </c>
      <c r="T477" s="108" t="n">
        <v>1</v>
      </c>
      <c r="U477" s="108" t="n">
        <v>1</v>
      </c>
      <c r="V477" s="108" t="n">
        <v>1</v>
      </c>
      <c r="W477" s="108" t="n">
        <v>1</v>
      </c>
      <c r="X477" s="108" t="n">
        <v>1</v>
      </c>
      <c r="Y477" s="107" t="n">
        <f aca="false">S477*$D477</f>
        <v>15</v>
      </c>
      <c r="Z477" s="107" t="n">
        <f aca="false">T477*$D477</f>
        <v>15</v>
      </c>
      <c r="AA477" s="107" t="n">
        <f aca="false">U477*$D477</f>
        <v>15</v>
      </c>
      <c r="AB477" s="107" t="n">
        <f aca="false">V477*$D477</f>
        <v>15</v>
      </c>
      <c r="AC477" s="107" t="n">
        <f aca="false">W477*$D477</f>
        <v>15</v>
      </c>
      <c r="AD477" s="107" t="n">
        <f aca="false">X477*$D477</f>
        <v>15</v>
      </c>
      <c r="AE477" s="107" t="n">
        <f aca="false">SUM(Y477:AD477)</f>
        <v>90</v>
      </c>
    </row>
    <row r="478" customFormat="false" ht="15" hidden="false" customHeight="false" outlineLevel="0" collapsed="false">
      <c r="A478" s="103" t="s">
        <v>907</v>
      </c>
      <c r="B478" s="104" t="n">
        <v>0</v>
      </c>
      <c r="C478" s="105" t="n">
        <f aca="false">IF(K478=0,0,R478/K478)</f>
        <v>35</v>
      </c>
      <c r="D478" s="105" t="n">
        <f aca="false">C478+B478</f>
        <v>35</v>
      </c>
      <c r="E478" s="106" t="n">
        <v>0</v>
      </c>
      <c r="F478" s="106" t="n">
        <v>0</v>
      </c>
      <c r="G478" s="106" t="n">
        <v>0</v>
      </c>
      <c r="H478" s="106" t="n">
        <v>2</v>
      </c>
      <c r="I478" s="106" t="n">
        <v>0</v>
      </c>
      <c r="J478" s="106" t="n">
        <v>0</v>
      </c>
      <c r="K478" s="106" t="n">
        <f aca="false">SUM(E478:J478)</f>
        <v>2</v>
      </c>
      <c r="L478" s="107" t="n">
        <v>0</v>
      </c>
      <c r="M478" s="107" t="n">
        <v>0</v>
      </c>
      <c r="N478" s="107" t="n">
        <v>0</v>
      </c>
      <c r="O478" s="107" t="n">
        <v>70</v>
      </c>
      <c r="P478" s="107" t="n">
        <v>0</v>
      </c>
      <c r="Q478" s="107" t="n">
        <v>0</v>
      </c>
      <c r="R478" s="107" t="n">
        <f aca="false">SUM(L478:Q478)</f>
        <v>70</v>
      </c>
      <c r="S478" s="108" t="n">
        <v>1</v>
      </c>
      <c r="T478" s="108" t="n">
        <v>1</v>
      </c>
      <c r="U478" s="108" t="n">
        <v>1</v>
      </c>
      <c r="V478" s="108" t="n">
        <v>1</v>
      </c>
      <c r="W478" s="108" t="n">
        <v>1</v>
      </c>
      <c r="X478" s="108" t="n">
        <v>1</v>
      </c>
      <c r="Y478" s="107" t="n">
        <f aca="false">S478*$D478</f>
        <v>35</v>
      </c>
      <c r="Z478" s="107" t="n">
        <f aca="false">T478*$D478</f>
        <v>35</v>
      </c>
      <c r="AA478" s="107" t="n">
        <f aca="false">U478*$D478</f>
        <v>35</v>
      </c>
      <c r="AB478" s="107" t="n">
        <f aca="false">V478*$D478</f>
        <v>35</v>
      </c>
      <c r="AC478" s="107" t="n">
        <f aca="false">W478*$D478</f>
        <v>35</v>
      </c>
      <c r="AD478" s="107" t="n">
        <f aca="false">X478*$D478</f>
        <v>35</v>
      </c>
      <c r="AE478" s="107" t="n">
        <f aca="false">SUM(Y478:AD478)</f>
        <v>210</v>
      </c>
    </row>
    <row r="479" customFormat="false" ht="15" hidden="false" customHeight="false" outlineLevel="0" collapsed="false">
      <c r="A479" s="103" t="s">
        <v>688</v>
      </c>
      <c r="B479" s="104" t="n">
        <v>0</v>
      </c>
      <c r="C479" s="105" t="n">
        <f aca="false">IF(K479=0,0,R479/K479)</f>
        <v>6.44444444444445</v>
      </c>
      <c r="D479" s="105" t="n">
        <f aca="false">C479+B479</f>
        <v>6.44444444444445</v>
      </c>
      <c r="E479" s="106" t="n">
        <v>0</v>
      </c>
      <c r="F479" s="106" t="n">
        <v>0</v>
      </c>
      <c r="G479" s="106" t="n">
        <v>5</v>
      </c>
      <c r="H479" s="106" t="n">
        <v>4</v>
      </c>
      <c r="I479" s="106" t="n">
        <v>0</v>
      </c>
      <c r="J479" s="106" t="n">
        <v>0</v>
      </c>
      <c r="K479" s="106" t="n">
        <f aca="false">SUM(E479:J479)</f>
        <v>9</v>
      </c>
      <c r="L479" s="107" t="n">
        <v>0</v>
      </c>
      <c r="M479" s="107" t="n">
        <v>0</v>
      </c>
      <c r="N479" s="107" t="n">
        <v>30</v>
      </c>
      <c r="O479" s="107" t="n">
        <v>28</v>
      </c>
      <c r="P479" s="107" t="n">
        <v>0</v>
      </c>
      <c r="Q479" s="107" t="n">
        <v>0</v>
      </c>
      <c r="R479" s="107" t="n">
        <f aca="false">SUM(L479:Q479)</f>
        <v>58</v>
      </c>
      <c r="S479" s="108" t="n">
        <v>1</v>
      </c>
      <c r="T479" s="108" t="n">
        <v>1</v>
      </c>
      <c r="U479" s="108" t="n">
        <v>1</v>
      </c>
      <c r="V479" s="108" t="n">
        <v>1</v>
      </c>
      <c r="W479" s="108" t="n">
        <v>1</v>
      </c>
      <c r="X479" s="108" t="n">
        <v>1</v>
      </c>
      <c r="Y479" s="107" t="n">
        <f aca="false">S479*$D479</f>
        <v>6.44444444444445</v>
      </c>
      <c r="Z479" s="107" t="n">
        <f aca="false">T479*$D479</f>
        <v>6.44444444444445</v>
      </c>
      <c r="AA479" s="107" t="n">
        <f aca="false">U479*$D479</f>
        <v>6.44444444444445</v>
      </c>
      <c r="AB479" s="107" t="n">
        <f aca="false">V479*$D479</f>
        <v>6.44444444444445</v>
      </c>
      <c r="AC479" s="107" t="n">
        <f aca="false">W479*$D479</f>
        <v>6.44444444444445</v>
      </c>
      <c r="AD479" s="107" t="n">
        <f aca="false">X479*$D479</f>
        <v>6.44444444444445</v>
      </c>
      <c r="AE479" s="107" t="n">
        <f aca="false">SUM(Y479:AD479)</f>
        <v>38.6666666666667</v>
      </c>
    </row>
    <row r="480" customFormat="false" ht="15" hidden="false" customHeight="false" outlineLevel="0" collapsed="false">
      <c r="A480" s="103" t="s">
        <v>749</v>
      </c>
      <c r="B480" s="104" t="n">
        <v>0</v>
      </c>
      <c r="C480" s="105" t="n">
        <f aca="false">IF(K480=0,0,R480/K480)</f>
        <v>5.54</v>
      </c>
      <c r="D480" s="105" t="n">
        <f aca="false">C480+B480</f>
        <v>5.54</v>
      </c>
      <c r="E480" s="106" t="n">
        <v>0</v>
      </c>
      <c r="F480" s="106" t="n">
        <v>0</v>
      </c>
      <c r="G480" s="106" t="n">
        <v>6</v>
      </c>
      <c r="H480" s="106" t="n">
        <v>4</v>
      </c>
      <c r="I480" s="106" t="n">
        <v>0</v>
      </c>
      <c r="J480" s="106" t="n">
        <v>0</v>
      </c>
      <c r="K480" s="106" t="n">
        <f aca="false">SUM(E480:J480)</f>
        <v>10</v>
      </c>
      <c r="L480" s="107" t="n">
        <v>0</v>
      </c>
      <c r="M480" s="107" t="n">
        <v>0</v>
      </c>
      <c r="N480" s="107" t="n">
        <v>34.2</v>
      </c>
      <c r="O480" s="107" t="n">
        <v>21.2</v>
      </c>
      <c r="P480" s="107" t="n">
        <v>0</v>
      </c>
      <c r="Q480" s="107" t="n">
        <v>0</v>
      </c>
      <c r="R480" s="107" t="n">
        <f aca="false">SUM(L480:Q480)</f>
        <v>55.4</v>
      </c>
      <c r="S480" s="108" t="n">
        <v>1</v>
      </c>
      <c r="T480" s="108" t="n">
        <v>1</v>
      </c>
      <c r="U480" s="108" t="n">
        <v>1</v>
      </c>
      <c r="V480" s="108" t="n">
        <v>1</v>
      </c>
      <c r="W480" s="108" t="n">
        <v>1</v>
      </c>
      <c r="X480" s="108" t="n">
        <v>1</v>
      </c>
      <c r="Y480" s="107" t="n">
        <f aca="false">S480*$D480</f>
        <v>5.54</v>
      </c>
      <c r="Z480" s="107" t="n">
        <f aca="false">T480*$D480</f>
        <v>5.54</v>
      </c>
      <c r="AA480" s="107" t="n">
        <f aca="false">U480*$D480</f>
        <v>5.54</v>
      </c>
      <c r="AB480" s="107" t="n">
        <f aca="false">V480*$D480</f>
        <v>5.54</v>
      </c>
      <c r="AC480" s="107" t="n">
        <f aca="false">W480*$D480</f>
        <v>5.54</v>
      </c>
      <c r="AD480" s="107" t="n">
        <f aca="false">X480*$D480</f>
        <v>5.54</v>
      </c>
      <c r="AE480" s="107" t="n">
        <f aca="false">SUM(Y480:AD480)</f>
        <v>33.24</v>
      </c>
    </row>
    <row r="481" customFormat="false" ht="15" hidden="false" customHeight="false" outlineLevel="0" collapsed="false">
      <c r="A481" s="103" t="s">
        <v>908</v>
      </c>
      <c r="B481" s="104" t="n">
        <v>0</v>
      </c>
      <c r="C481" s="105" t="n">
        <f aca="false">IF(K481=0,0,R481/K481)</f>
        <v>55.25</v>
      </c>
      <c r="D481" s="105" t="n">
        <f aca="false">C481+B481</f>
        <v>55.25</v>
      </c>
      <c r="E481" s="106" t="n">
        <v>1</v>
      </c>
      <c r="F481" s="106" t="n">
        <v>0</v>
      </c>
      <c r="G481" s="106" t="n">
        <v>0</v>
      </c>
      <c r="H481" s="106" t="n">
        <v>0</v>
      </c>
      <c r="I481" s="106" t="n">
        <v>0</v>
      </c>
      <c r="J481" s="106" t="n">
        <v>0</v>
      </c>
      <c r="K481" s="106" t="n">
        <f aca="false">SUM(E481:J481)</f>
        <v>1</v>
      </c>
      <c r="L481" s="107" t="n">
        <v>55.25</v>
      </c>
      <c r="M481" s="107" t="n">
        <v>0</v>
      </c>
      <c r="N481" s="107" t="n">
        <v>0</v>
      </c>
      <c r="O481" s="107" t="n">
        <v>0</v>
      </c>
      <c r="P481" s="107" t="n">
        <v>0</v>
      </c>
      <c r="Q481" s="107" t="n">
        <v>0</v>
      </c>
      <c r="R481" s="107" t="n">
        <f aca="false">SUM(L481:Q481)</f>
        <v>55.25</v>
      </c>
      <c r="S481" s="108" t="n">
        <v>0</v>
      </c>
      <c r="T481" s="108" t="n">
        <v>0</v>
      </c>
      <c r="U481" s="108" t="n">
        <v>0</v>
      </c>
      <c r="V481" s="108" t="n">
        <v>0</v>
      </c>
      <c r="W481" s="108" t="n">
        <v>0</v>
      </c>
      <c r="X481" s="108" t="n">
        <v>0</v>
      </c>
      <c r="Y481" s="107" t="n">
        <f aca="false">S481*$D481</f>
        <v>0</v>
      </c>
      <c r="Z481" s="107" t="n">
        <f aca="false">T481*$D481</f>
        <v>0</v>
      </c>
      <c r="AA481" s="107" t="n">
        <f aca="false">U481*$D481</f>
        <v>0</v>
      </c>
      <c r="AB481" s="107" t="n">
        <f aca="false">V481*$D481</f>
        <v>0</v>
      </c>
      <c r="AC481" s="107" t="n">
        <f aca="false">W481*$D481</f>
        <v>0</v>
      </c>
      <c r="AD481" s="107" t="n">
        <f aca="false">X481*$D481</f>
        <v>0</v>
      </c>
      <c r="AE481" s="107" t="n">
        <f aca="false">SUM(Y481:AD481)</f>
        <v>0</v>
      </c>
    </row>
    <row r="482" customFormat="false" ht="15" hidden="false" customHeight="false" outlineLevel="0" collapsed="false">
      <c r="A482" s="103" t="s">
        <v>861</v>
      </c>
      <c r="B482" s="104" t="n">
        <v>0</v>
      </c>
      <c r="C482" s="105" t="n">
        <f aca="false">IF(K482=0,0,R482/K482)</f>
        <v>4.91818181818182</v>
      </c>
      <c r="D482" s="105" t="n">
        <f aca="false">C482+B482</f>
        <v>4.91818181818182</v>
      </c>
      <c r="E482" s="106" t="n">
        <v>0</v>
      </c>
      <c r="F482" s="106" t="n">
        <v>0</v>
      </c>
      <c r="G482" s="106" t="n">
        <v>10</v>
      </c>
      <c r="H482" s="106" t="n">
        <v>1</v>
      </c>
      <c r="I482" s="106" t="n">
        <v>0</v>
      </c>
      <c r="J482" s="106" t="n">
        <v>0</v>
      </c>
      <c r="K482" s="106" t="n">
        <f aca="false">SUM(E482:J482)</f>
        <v>11</v>
      </c>
      <c r="L482" s="107" t="n">
        <v>0</v>
      </c>
      <c r="M482" s="107" t="n">
        <v>0</v>
      </c>
      <c r="N482" s="107" t="n">
        <v>50</v>
      </c>
      <c r="O482" s="107" t="n">
        <v>4.1</v>
      </c>
      <c r="P482" s="107" t="n">
        <v>0</v>
      </c>
      <c r="Q482" s="107" t="n">
        <v>0</v>
      </c>
      <c r="R482" s="107" t="n">
        <f aca="false">SUM(L482:Q482)</f>
        <v>54.1</v>
      </c>
      <c r="S482" s="108" t="n">
        <v>0</v>
      </c>
      <c r="T482" s="108" t="n">
        <v>0</v>
      </c>
      <c r="U482" s="108" t="n">
        <v>0</v>
      </c>
      <c r="V482" s="108" t="n">
        <v>0</v>
      </c>
      <c r="W482" s="108" t="n">
        <v>0</v>
      </c>
      <c r="X482" s="108" t="n">
        <v>0</v>
      </c>
      <c r="Y482" s="107" t="n">
        <f aca="false">S482*$D482</f>
        <v>0</v>
      </c>
      <c r="Z482" s="107" t="n">
        <f aca="false">T482*$D482</f>
        <v>0</v>
      </c>
      <c r="AA482" s="107" t="n">
        <f aca="false">U482*$D482</f>
        <v>0</v>
      </c>
      <c r="AB482" s="107" t="n">
        <f aca="false">V482*$D482</f>
        <v>0</v>
      </c>
      <c r="AC482" s="107" t="n">
        <f aca="false">W482*$D482</f>
        <v>0</v>
      </c>
      <c r="AD482" s="107" t="n">
        <f aca="false">X482*$D482</f>
        <v>0</v>
      </c>
      <c r="AE482" s="107" t="n">
        <f aca="false">SUM(Y482:AD482)</f>
        <v>0</v>
      </c>
    </row>
    <row r="483" customFormat="false" ht="15" hidden="false" customHeight="false" outlineLevel="0" collapsed="false">
      <c r="A483" s="103" t="s">
        <v>909</v>
      </c>
      <c r="B483" s="104" t="n">
        <v>0</v>
      </c>
      <c r="C483" s="105" t="n">
        <f aca="false">IF(K483=0,0,R483/K483)</f>
        <v>13.475</v>
      </c>
      <c r="D483" s="105" t="n">
        <f aca="false">C483+B483</f>
        <v>13.475</v>
      </c>
      <c r="E483" s="106" t="n">
        <v>0</v>
      </c>
      <c r="F483" s="106" t="n">
        <v>1</v>
      </c>
      <c r="G483" s="106" t="n">
        <v>3</v>
      </c>
      <c r="H483" s="106" t="n">
        <v>0</v>
      </c>
      <c r="I483" s="106" t="n">
        <v>0</v>
      </c>
      <c r="J483" s="106" t="n">
        <v>0</v>
      </c>
      <c r="K483" s="106" t="n">
        <f aca="false">SUM(E483:J483)</f>
        <v>4</v>
      </c>
      <c r="L483" s="107" t="n">
        <v>0</v>
      </c>
      <c r="M483" s="107" t="n">
        <v>11.9</v>
      </c>
      <c r="N483" s="107" t="n">
        <v>42</v>
      </c>
      <c r="O483" s="107" t="n">
        <v>0</v>
      </c>
      <c r="P483" s="107" t="n">
        <v>0</v>
      </c>
      <c r="Q483" s="107" t="n">
        <v>0</v>
      </c>
      <c r="R483" s="107" t="n">
        <f aca="false">SUM(L483:Q483)</f>
        <v>53.9</v>
      </c>
      <c r="S483" s="108" t="n">
        <v>0</v>
      </c>
      <c r="T483" s="108" t="n">
        <v>0</v>
      </c>
      <c r="U483" s="108" t="n">
        <v>0</v>
      </c>
      <c r="V483" s="108" t="n">
        <v>0</v>
      </c>
      <c r="W483" s="108" t="n">
        <v>0</v>
      </c>
      <c r="X483" s="108" t="n">
        <v>0</v>
      </c>
      <c r="Y483" s="107" t="n">
        <f aca="false">S483*$D483</f>
        <v>0</v>
      </c>
      <c r="Z483" s="107" t="n">
        <f aca="false">T483*$D483</f>
        <v>0</v>
      </c>
      <c r="AA483" s="107" t="n">
        <f aca="false">U483*$D483</f>
        <v>0</v>
      </c>
      <c r="AB483" s="107" t="n">
        <f aca="false">V483*$D483</f>
        <v>0</v>
      </c>
      <c r="AC483" s="107" t="n">
        <f aca="false">W483*$D483</f>
        <v>0</v>
      </c>
      <c r="AD483" s="107" t="n">
        <f aca="false">X483*$D483</f>
        <v>0</v>
      </c>
      <c r="AE483" s="107" t="n">
        <f aca="false">SUM(Y483:AD483)</f>
        <v>0</v>
      </c>
    </row>
    <row r="484" customFormat="false" ht="15" hidden="false" customHeight="false" outlineLevel="0" collapsed="false">
      <c r="A484" s="103" t="s">
        <v>910</v>
      </c>
      <c r="B484" s="104" t="n">
        <v>0</v>
      </c>
      <c r="C484" s="105" t="n">
        <f aca="false">IF(K484=0,0,R484/K484)</f>
        <v>50</v>
      </c>
      <c r="D484" s="105" t="n">
        <f aca="false">C484+B484</f>
        <v>50</v>
      </c>
      <c r="E484" s="106" t="n">
        <v>0</v>
      </c>
      <c r="F484" s="106" t="n">
        <v>0</v>
      </c>
      <c r="G484" s="106" t="n">
        <v>0</v>
      </c>
      <c r="H484" s="106" t="n">
        <v>1</v>
      </c>
      <c r="I484" s="106" t="n">
        <v>0</v>
      </c>
      <c r="J484" s="106" t="n">
        <v>0</v>
      </c>
      <c r="K484" s="106" t="n">
        <f aca="false">SUM(E484:J484)</f>
        <v>1</v>
      </c>
      <c r="L484" s="107" t="n">
        <v>0</v>
      </c>
      <c r="M484" s="107" t="n">
        <v>0</v>
      </c>
      <c r="N484" s="107" t="n">
        <v>0</v>
      </c>
      <c r="O484" s="107" t="n">
        <v>50</v>
      </c>
      <c r="P484" s="107" t="n">
        <v>0</v>
      </c>
      <c r="Q484" s="107" t="n">
        <v>0</v>
      </c>
      <c r="R484" s="107" t="n">
        <f aca="false">SUM(L484:Q484)</f>
        <v>50</v>
      </c>
      <c r="S484" s="108" t="n">
        <v>0</v>
      </c>
      <c r="T484" s="108" t="n">
        <v>0</v>
      </c>
      <c r="U484" s="108" t="n">
        <v>0</v>
      </c>
      <c r="V484" s="108" t="n">
        <v>0</v>
      </c>
      <c r="W484" s="108" t="n">
        <v>0</v>
      </c>
      <c r="X484" s="108" t="n">
        <v>0</v>
      </c>
      <c r="Y484" s="107" t="n">
        <f aca="false">S484*$D484</f>
        <v>0</v>
      </c>
      <c r="Z484" s="107" t="n">
        <f aca="false">T484*$D484</f>
        <v>0</v>
      </c>
      <c r="AA484" s="107" t="n">
        <f aca="false">U484*$D484</f>
        <v>0</v>
      </c>
      <c r="AB484" s="107" t="n">
        <f aca="false">V484*$D484</f>
        <v>0</v>
      </c>
      <c r="AC484" s="107" t="n">
        <f aca="false">W484*$D484</f>
        <v>0</v>
      </c>
      <c r="AD484" s="107" t="n">
        <f aca="false">X484*$D484</f>
        <v>0</v>
      </c>
      <c r="AE484" s="107" t="n">
        <f aca="false">SUM(Y484:AD484)</f>
        <v>0</v>
      </c>
    </row>
    <row r="485" customFormat="false" ht="15" hidden="false" customHeight="false" outlineLevel="0" collapsed="false">
      <c r="A485" s="103" t="s">
        <v>911</v>
      </c>
      <c r="B485" s="104" t="n">
        <v>0</v>
      </c>
      <c r="C485" s="105" t="n">
        <f aca="false">IF(K485=0,0,R485/K485)</f>
        <v>15</v>
      </c>
      <c r="D485" s="105" t="n">
        <f aca="false">C485+B485</f>
        <v>15</v>
      </c>
      <c r="E485" s="106" t="n">
        <v>0</v>
      </c>
      <c r="F485" s="106" t="n">
        <v>1</v>
      </c>
      <c r="G485" s="106" t="n">
        <v>0</v>
      </c>
      <c r="H485" s="106" t="n">
        <v>0</v>
      </c>
      <c r="I485" s="106" t="n">
        <v>2</v>
      </c>
      <c r="J485" s="106" t="n">
        <v>0</v>
      </c>
      <c r="K485" s="106" t="n">
        <f aca="false">SUM(E485:J485)</f>
        <v>3</v>
      </c>
      <c r="L485" s="107" t="n">
        <v>0</v>
      </c>
      <c r="M485" s="107" t="n">
        <v>15</v>
      </c>
      <c r="N485" s="107" t="n">
        <v>0</v>
      </c>
      <c r="O485" s="107" t="n">
        <v>0</v>
      </c>
      <c r="P485" s="107" t="n">
        <v>30</v>
      </c>
      <c r="Q485" s="107" t="n">
        <v>0</v>
      </c>
      <c r="R485" s="107" t="n">
        <f aca="false">SUM(L485:Q485)</f>
        <v>45</v>
      </c>
      <c r="S485" s="108" t="n">
        <v>1</v>
      </c>
      <c r="T485" s="108" t="n">
        <v>1</v>
      </c>
      <c r="U485" s="108" t="n">
        <v>1</v>
      </c>
      <c r="V485" s="108" t="n">
        <v>1</v>
      </c>
      <c r="W485" s="108" t="n">
        <v>1</v>
      </c>
      <c r="X485" s="108" t="n">
        <v>1</v>
      </c>
      <c r="Y485" s="107" t="n">
        <f aca="false">S485*$D485</f>
        <v>15</v>
      </c>
      <c r="Z485" s="107" t="n">
        <f aca="false">T485*$D485</f>
        <v>15</v>
      </c>
      <c r="AA485" s="107" t="n">
        <f aca="false">U485*$D485</f>
        <v>15</v>
      </c>
      <c r="AB485" s="107" t="n">
        <f aca="false">V485*$D485</f>
        <v>15</v>
      </c>
      <c r="AC485" s="107" t="n">
        <f aca="false">W485*$D485</f>
        <v>15</v>
      </c>
      <c r="AD485" s="107" t="n">
        <f aca="false">X485*$D485</f>
        <v>15</v>
      </c>
      <c r="AE485" s="107" t="n">
        <f aca="false">SUM(Y485:AD485)</f>
        <v>90</v>
      </c>
    </row>
    <row r="486" customFormat="false" ht="15" hidden="false" customHeight="false" outlineLevel="0" collapsed="false">
      <c r="A486" s="103" t="s">
        <v>912</v>
      </c>
      <c r="B486" s="104" t="n">
        <v>0</v>
      </c>
      <c r="C486" s="105" t="n">
        <f aca="false">IF(K486=0,0,R486/K486)</f>
        <v>7</v>
      </c>
      <c r="D486" s="105" t="n">
        <f aca="false">C486+B486</f>
        <v>7</v>
      </c>
      <c r="E486" s="106" t="n">
        <v>0</v>
      </c>
      <c r="F486" s="106" t="n">
        <v>0</v>
      </c>
      <c r="G486" s="106" t="n">
        <v>6</v>
      </c>
      <c r="H486" s="106" t="n">
        <v>0</v>
      </c>
      <c r="I486" s="106" t="n">
        <v>0</v>
      </c>
      <c r="J486" s="106" t="n">
        <v>0</v>
      </c>
      <c r="K486" s="106" t="n">
        <f aca="false">SUM(E486:J486)</f>
        <v>6</v>
      </c>
      <c r="L486" s="107" t="n">
        <v>0</v>
      </c>
      <c r="M486" s="107" t="n">
        <v>0</v>
      </c>
      <c r="N486" s="107" t="n">
        <v>42</v>
      </c>
      <c r="O486" s="107" t="n">
        <v>0</v>
      </c>
      <c r="P486" s="107" t="n">
        <v>0</v>
      </c>
      <c r="Q486" s="107" t="n">
        <v>0</v>
      </c>
      <c r="R486" s="107" t="n">
        <f aca="false">SUM(L486:Q486)</f>
        <v>42</v>
      </c>
      <c r="S486" s="108" t="n">
        <v>0</v>
      </c>
      <c r="T486" s="108" t="n">
        <v>0</v>
      </c>
      <c r="U486" s="108" t="n">
        <v>0</v>
      </c>
      <c r="V486" s="108" t="n">
        <v>0</v>
      </c>
      <c r="W486" s="108" t="n">
        <v>0</v>
      </c>
      <c r="X486" s="108" t="n">
        <v>0</v>
      </c>
      <c r="Y486" s="107" t="n">
        <f aca="false">S486*$D486</f>
        <v>0</v>
      </c>
      <c r="Z486" s="107" t="n">
        <f aca="false">T486*$D486</f>
        <v>0</v>
      </c>
      <c r="AA486" s="107" t="n">
        <f aca="false">U486*$D486</f>
        <v>0</v>
      </c>
      <c r="AB486" s="107" t="n">
        <f aca="false">V486*$D486</f>
        <v>0</v>
      </c>
      <c r="AC486" s="107" t="n">
        <f aca="false">W486*$D486</f>
        <v>0</v>
      </c>
      <c r="AD486" s="107" t="n">
        <f aca="false">X486*$D486</f>
        <v>0</v>
      </c>
      <c r="AE486" s="107" t="n">
        <f aca="false">SUM(Y486:AD486)</f>
        <v>0</v>
      </c>
    </row>
    <row r="487" customFormat="false" ht="15" hidden="false" customHeight="false" outlineLevel="0" collapsed="false">
      <c r="A487" s="103" t="s">
        <v>913</v>
      </c>
      <c r="B487" s="104" t="n">
        <v>0</v>
      </c>
      <c r="C487" s="105" t="n">
        <f aca="false">IF(K487=0,0,R487/K487)</f>
        <v>40</v>
      </c>
      <c r="D487" s="105" t="n">
        <f aca="false">C487+B487</f>
        <v>40</v>
      </c>
      <c r="E487" s="106" t="n">
        <v>0</v>
      </c>
      <c r="F487" s="106" t="n">
        <v>0</v>
      </c>
      <c r="G487" s="106" t="n">
        <v>0</v>
      </c>
      <c r="H487" s="106" t="n">
        <v>1</v>
      </c>
      <c r="I487" s="106" t="n">
        <v>0</v>
      </c>
      <c r="J487" s="106" t="n">
        <v>0</v>
      </c>
      <c r="K487" s="106" t="n">
        <f aca="false">SUM(E487:J487)</f>
        <v>1</v>
      </c>
      <c r="L487" s="107" t="n">
        <v>0</v>
      </c>
      <c r="M487" s="107" t="n">
        <v>0</v>
      </c>
      <c r="N487" s="107" t="n">
        <v>0</v>
      </c>
      <c r="O487" s="107" t="n">
        <v>40</v>
      </c>
      <c r="P487" s="107" t="n">
        <v>0</v>
      </c>
      <c r="Q487" s="107" t="n">
        <v>0</v>
      </c>
      <c r="R487" s="107" t="n">
        <f aca="false">SUM(L487:Q487)</f>
        <v>40</v>
      </c>
      <c r="S487" s="108" t="n">
        <v>0</v>
      </c>
      <c r="T487" s="108" t="n">
        <v>0</v>
      </c>
      <c r="U487" s="108" t="n">
        <v>0</v>
      </c>
      <c r="V487" s="108" t="n">
        <v>0</v>
      </c>
      <c r="W487" s="108" t="n">
        <v>0</v>
      </c>
      <c r="X487" s="108" t="n">
        <v>0</v>
      </c>
      <c r="Y487" s="107" t="n">
        <f aca="false">S487*$D487</f>
        <v>0</v>
      </c>
      <c r="Z487" s="107" t="n">
        <f aca="false">T487*$D487</f>
        <v>0</v>
      </c>
      <c r="AA487" s="107" t="n">
        <f aca="false">U487*$D487</f>
        <v>0</v>
      </c>
      <c r="AB487" s="107" t="n">
        <f aca="false">V487*$D487</f>
        <v>0</v>
      </c>
      <c r="AC487" s="107" t="n">
        <f aca="false">W487*$D487</f>
        <v>0</v>
      </c>
      <c r="AD487" s="107" t="n">
        <f aca="false">X487*$D487</f>
        <v>0</v>
      </c>
      <c r="AE487" s="107" t="n">
        <f aca="false">SUM(Y487:AD487)</f>
        <v>0</v>
      </c>
    </row>
    <row r="488" customFormat="false" ht="15" hidden="false" customHeight="false" outlineLevel="0" collapsed="false">
      <c r="A488" s="103" t="s">
        <v>864</v>
      </c>
      <c r="B488" s="104" t="n">
        <v>0</v>
      </c>
      <c r="C488" s="105" t="n">
        <f aca="false">IF(K488=0,0,R488/K488)</f>
        <v>6.53333333333333</v>
      </c>
      <c r="D488" s="105" t="n">
        <f aca="false">C488+B488</f>
        <v>6.53333333333333</v>
      </c>
      <c r="E488" s="106" t="n">
        <v>0</v>
      </c>
      <c r="F488" s="106" t="n">
        <v>0</v>
      </c>
      <c r="G488" s="106" t="n">
        <v>6</v>
      </c>
      <c r="H488" s="106" t="n">
        <v>0</v>
      </c>
      <c r="I488" s="106" t="n">
        <v>0</v>
      </c>
      <c r="J488" s="106" t="n">
        <v>0</v>
      </c>
      <c r="K488" s="106" t="n">
        <f aca="false">SUM(E488:J488)</f>
        <v>6</v>
      </c>
      <c r="L488" s="107" t="n">
        <v>0</v>
      </c>
      <c r="M488" s="107" t="n">
        <v>0</v>
      </c>
      <c r="N488" s="107" t="n">
        <v>39.2</v>
      </c>
      <c r="O488" s="107" t="n">
        <v>0</v>
      </c>
      <c r="P488" s="107" t="n">
        <v>0</v>
      </c>
      <c r="Q488" s="107" t="n">
        <v>0</v>
      </c>
      <c r="R488" s="107" t="n">
        <f aca="false">SUM(L488:Q488)</f>
        <v>39.2</v>
      </c>
      <c r="S488" s="108" t="n">
        <v>0</v>
      </c>
      <c r="T488" s="108" t="n">
        <v>0</v>
      </c>
      <c r="U488" s="108" t="n">
        <v>0</v>
      </c>
      <c r="V488" s="108" t="n">
        <v>0</v>
      </c>
      <c r="W488" s="108" t="n">
        <v>0</v>
      </c>
      <c r="X488" s="108" t="n">
        <v>0</v>
      </c>
      <c r="Y488" s="107" t="n">
        <f aca="false">S488*$D488</f>
        <v>0</v>
      </c>
      <c r="Z488" s="107" t="n">
        <f aca="false">T488*$D488</f>
        <v>0</v>
      </c>
      <c r="AA488" s="107" t="n">
        <f aca="false">U488*$D488</f>
        <v>0</v>
      </c>
      <c r="AB488" s="107" t="n">
        <f aca="false">V488*$D488</f>
        <v>0</v>
      </c>
      <c r="AC488" s="107" t="n">
        <f aca="false">W488*$D488</f>
        <v>0</v>
      </c>
      <c r="AD488" s="107" t="n">
        <f aca="false">X488*$D488</f>
        <v>0</v>
      </c>
      <c r="AE488" s="107" t="n">
        <f aca="false">SUM(Y488:AD488)</f>
        <v>0</v>
      </c>
    </row>
    <row r="489" customFormat="false" ht="15" hidden="false" customHeight="false" outlineLevel="0" collapsed="false">
      <c r="A489" s="103" t="s">
        <v>914</v>
      </c>
      <c r="B489" s="104" t="n">
        <v>0</v>
      </c>
      <c r="C489" s="105" t="n">
        <f aca="false">IF(K489=0,0,R489/K489)</f>
        <v>6.16666666666667</v>
      </c>
      <c r="D489" s="105" t="n">
        <f aca="false">C489+B489</f>
        <v>6.16666666666667</v>
      </c>
      <c r="E489" s="106" t="n">
        <v>0</v>
      </c>
      <c r="F489" s="106" t="n">
        <v>0</v>
      </c>
      <c r="G489" s="106" t="n">
        <v>4</v>
      </c>
      <c r="H489" s="106" t="n">
        <v>2</v>
      </c>
      <c r="I489" s="106" t="n">
        <v>0</v>
      </c>
      <c r="J489" s="106" t="n">
        <v>0</v>
      </c>
      <c r="K489" s="106" t="n">
        <f aca="false">SUM(E489:J489)</f>
        <v>6</v>
      </c>
      <c r="L489" s="107" t="n">
        <v>0</v>
      </c>
      <c r="M489" s="107" t="n">
        <v>0</v>
      </c>
      <c r="N489" s="107" t="n">
        <v>25.9</v>
      </c>
      <c r="O489" s="107" t="n">
        <v>11.1</v>
      </c>
      <c r="P489" s="107" t="n">
        <v>0</v>
      </c>
      <c r="Q489" s="107" t="n">
        <v>0</v>
      </c>
      <c r="R489" s="107" t="n">
        <f aca="false">SUM(L489:Q489)</f>
        <v>37</v>
      </c>
      <c r="S489" s="108" t="n">
        <v>1</v>
      </c>
      <c r="T489" s="108" t="n">
        <v>1</v>
      </c>
      <c r="U489" s="108" t="n">
        <v>1</v>
      </c>
      <c r="V489" s="108" t="n">
        <v>1</v>
      </c>
      <c r="W489" s="108" t="n">
        <v>1</v>
      </c>
      <c r="X489" s="108" t="n">
        <v>1</v>
      </c>
      <c r="Y489" s="107" t="n">
        <f aca="false">S489*$D489</f>
        <v>6.16666666666667</v>
      </c>
      <c r="Z489" s="107" t="n">
        <f aca="false">T489*$D489</f>
        <v>6.16666666666667</v>
      </c>
      <c r="AA489" s="107" t="n">
        <f aca="false">U489*$D489</f>
        <v>6.16666666666667</v>
      </c>
      <c r="AB489" s="107" t="n">
        <f aca="false">V489*$D489</f>
        <v>6.16666666666667</v>
      </c>
      <c r="AC489" s="107" t="n">
        <f aca="false">W489*$D489</f>
        <v>6.16666666666667</v>
      </c>
      <c r="AD489" s="107" t="n">
        <f aca="false">X489*$D489</f>
        <v>6.16666666666667</v>
      </c>
      <c r="AE489" s="107" t="n">
        <f aca="false">SUM(Y489:AD489)</f>
        <v>37</v>
      </c>
    </row>
    <row r="490" customFormat="false" ht="15" hidden="false" customHeight="false" outlineLevel="0" collapsed="false">
      <c r="A490" s="103" t="s">
        <v>915</v>
      </c>
      <c r="B490" s="104" t="n">
        <v>0</v>
      </c>
      <c r="C490" s="105" t="n">
        <f aca="false">IF(K490=0,0,R490/K490)</f>
        <v>35</v>
      </c>
      <c r="D490" s="105" t="n">
        <f aca="false">C490+B490</f>
        <v>35</v>
      </c>
      <c r="E490" s="106" t="n">
        <v>0</v>
      </c>
      <c r="F490" s="106" t="n">
        <v>0</v>
      </c>
      <c r="G490" s="106" t="n">
        <v>0</v>
      </c>
      <c r="H490" s="106" t="n">
        <v>0</v>
      </c>
      <c r="I490" s="106" t="n">
        <v>1</v>
      </c>
      <c r="J490" s="106" t="n">
        <v>0</v>
      </c>
      <c r="K490" s="106" t="n">
        <f aca="false">SUM(E490:J490)</f>
        <v>1</v>
      </c>
      <c r="L490" s="107" t="n">
        <v>0</v>
      </c>
      <c r="M490" s="107" t="n">
        <v>0</v>
      </c>
      <c r="N490" s="107" t="n">
        <v>0</v>
      </c>
      <c r="O490" s="107" t="n">
        <v>0</v>
      </c>
      <c r="P490" s="107" t="n">
        <v>35</v>
      </c>
      <c r="Q490" s="107" t="n">
        <v>0</v>
      </c>
      <c r="R490" s="107" t="n">
        <f aca="false">SUM(L490:Q490)</f>
        <v>35</v>
      </c>
      <c r="S490" s="108" t="n">
        <v>0</v>
      </c>
      <c r="T490" s="108" t="n">
        <v>0</v>
      </c>
      <c r="U490" s="108" t="n">
        <v>0</v>
      </c>
      <c r="V490" s="108" t="n">
        <v>0</v>
      </c>
      <c r="W490" s="108" t="n">
        <v>0</v>
      </c>
      <c r="X490" s="108" t="n">
        <v>0</v>
      </c>
      <c r="Y490" s="107" t="n">
        <f aca="false">S490*$D490</f>
        <v>0</v>
      </c>
      <c r="Z490" s="107" t="n">
        <f aca="false">T490*$D490</f>
        <v>0</v>
      </c>
      <c r="AA490" s="107" t="n">
        <f aca="false">U490*$D490</f>
        <v>0</v>
      </c>
      <c r="AB490" s="107" t="n">
        <f aca="false">V490*$D490</f>
        <v>0</v>
      </c>
      <c r="AC490" s="107" t="n">
        <f aca="false">W490*$D490</f>
        <v>0</v>
      </c>
      <c r="AD490" s="107" t="n">
        <f aca="false">X490*$D490</f>
        <v>0</v>
      </c>
      <c r="AE490" s="107" t="n">
        <f aca="false">SUM(Y490:AD490)</f>
        <v>0</v>
      </c>
    </row>
    <row r="491" customFormat="false" ht="15" hidden="false" customHeight="false" outlineLevel="0" collapsed="false">
      <c r="A491" s="103" t="s">
        <v>843</v>
      </c>
      <c r="B491" s="104" t="n">
        <v>0</v>
      </c>
      <c r="C491" s="105" t="n">
        <f aca="false">IF(K491=0,0,R491/K491)</f>
        <v>8.5</v>
      </c>
      <c r="D491" s="105" t="n">
        <f aca="false">C491+B491</f>
        <v>8.5</v>
      </c>
      <c r="E491" s="106" t="n">
        <v>0</v>
      </c>
      <c r="F491" s="106" t="n">
        <v>0</v>
      </c>
      <c r="G491" s="106" t="n">
        <v>2</v>
      </c>
      <c r="H491" s="106" t="n">
        <v>2</v>
      </c>
      <c r="I491" s="106" t="n">
        <v>0</v>
      </c>
      <c r="J491" s="106" t="n">
        <v>0</v>
      </c>
      <c r="K491" s="106" t="n">
        <f aca="false">SUM(E491:J491)</f>
        <v>4</v>
      </c>
      <c r="L491" s="107" t="n">
        <v>0</v>
      </c>
      <c r="M491" s="107" t="n">
        <v>0</v>
      </c>
      <c r="N491" s="107" t="n">
        <v>16</v>
      </c>
      <c r="O491" s="107" t="n">
        <v>18</v>
      </c>
      <c r="P491" s="107" t="n">
        <v>0</v>
      </c>
      <c r="Q491" s="107" t="n">
        <v>0</v>
      </c>
      <c r="R491" s="107" t="n">
        <f aca="false">SUM(L491:Q491)</f>
        <v>34</v>
      </c>
      <c r="S491" s="108" t="n">
        <v>1</v>
      </c>
      <c r="T491" s="108" t="n">
        <v>1</v>
      </c>
      <c r="U491" s="108" t="n">
        <v>1</v>
      </c>
      <c r="V491" s="108" t="n">
        <v>1</v>
      </c>
      <c r="W491" s="108" t="n">
        <v>1</v>
      </c>
      <c r="X491" s="108" t="n">
        <v>1</v>
      </c>
      <c r="Y491" s="107" t="n">
        <f aca="false">S491*$D491</f>
        <v>8.5</v>
      </c>
      <c r="Z491" s="107" t="n">
        <f aca="false">T491*$D491</f>
        <v>8.5</v>
      </c>
      <c r="AA491" s="107" t="n">
        <f aca="false">U491*$D491</f>
        <v>8.5</v>
      </c>
      <c r="AB491" s="107" t="n">
        <f aca="false">V491*$D491</f>
        <v>8.5</v>
      </c>
      <c r="AC491" s="107" t="n">
        <f aca="false">W491*$D491</f>
        <v>8.5</v>
      </c>
      <c r="AD491" s="107" t="n">
        <f aca="false">X491*$D491</f>
        <v>8.5</v>
      </c>
      <c r="AE491" s="107" t="n">
        <f aca="false">SUM(Y491:AD491)</f>
        <v>51</v>
      </c>
    </row>
    <row r="492" customFormat="false" ht="15" hidden="false" customHeight="false" outlineLevel="0" collapsed="false">
      <c r="A492" s="103" t="s">
        <v>916</v>
      </c>
      <c r="B492" s="104" t="n">
        <v>0</v>
      </c>
      <c r="C492" s="105" t="n">
        <f aca="false">IF(K492=0,0,R492/K492)</f>
        <v>2.84</v>
      </c>
      <c r="D492" s="105" t="n">
        <f aca="false">C492+B492</f>
        <v>2.84</v>
      </c>
      <c r="E492" s="106" t="n">
        <v>0</v>
      </c>
      <c r="F492" s="106" t="n">
        <v>2</v>
      </c>
      <c r="G492" s="106" t="n">
        <v>4</v>
      </c>
      <c r="H492" s="106" t="n">
        <v>1</v>
      </c>
      <c r="I492" s="106" t="n">
        <v>3</v>
      </c>
      <c r="J492" s="106" t="n">
        <v>0</v>
      </c>
      <c r="K492" s="106" t="n">
        <f aca="false">SUM(E492:J492)</f>
        <v>10</v>
      </c>
      <c r="L492" s="107" t="n">
        <v>0</v>
      </c>
      <c r="M492" s="107" t="n">
        <v>5.98</v>
      </c>
      <c r="N492" s="107" t="n">
        <v>10.91</v>
      </c>
      <c r="O492" s="107" t="n">
        <v>2.54</v>
      </c>
      <c r="P492" s="107" t="n">
        <v>8.97</v>
      </c>
      <c r="Q492" s="107" t="n">
        <v>0</v>
      </c>
      <c r="R492" s="107" t="n">
        <f aca="false">SUM(L492:Q492)</f>
        <v>28.4</v>
      </c>
      <c r="S492" s="108" t="n">
        <v>1</v>
      </c>
      <c r="T492" s="108" t="n">
        <v>1</v>
      </c>
      <c r="U492" s="108" t="n">
        <v>1</v>
      </c>
      <c r="V492" s="108" t="n">
        <v>1</v>
      </c>
      <c r="W492" s="108" t="n">
        <v>1</v>
      </c>
      <c r="X492" s="108" t="n">
        <v>1</v>
      </c>
      <c r="Y492" s="107" t="n">
        <f aca="false">S492*$D492</f>
        <v>2.84</v>
      </c>
      <c r="Z492" s="107" t="n">
        <f aca="false">T492*$D492</f>
        <v>2.84</v>
      </c>
      <c r="AA492" s="107" t="n">
        <f aca="false">U492*$D492</f>
        <v>2.84</v>
      </c>
      <c r="AB492" s="107" t="n">
        <f aca="false">V492*$D492</f>
        <v>2.84</v>
      </c>
      <c r="AC492" s="107" t="n">
        <f aca="false">W492*$D492</f>
        <v>2.84</v>
      </c>
      <c r="AD492" s="107" t="n">
        <f aca="false">X492*$D492</f>
        <v>2.84</v>
      </c>
      <c r="AE492" s="107" t="n">
        <f aca="false">SUM(Y492:AD492)</f>
        <v>17.04</v>
      </c>
    </row>
    <row r="493" customFormat="false" ht="15" hidden="false" customHeight="false" outlineLevel="0" collapsed="false">
      <c r="A493" s="103" t="s">
        <v>917</v>
      </c>
      <c r="B493" s="104" t="n">
        <v>0</v>
      </c>
      <c r="C493" s="105" t="n">
        <f aca="false">IF(K493=0,0,R493/K493)</f>
        <v>26</v>
      </c>
      <c r="D493" s="105" t="n">
        <f aca="false">C493+B493</f>
        <v>26</v>
      </c>
      <c r="E493" s="106" t="n">
        <v>0</v>
      </c>
      <c r="F493" s="106" t="n">
        <v>0</v>
      </c>
      <c r="G493" s="106" t="n">
        <v>0</v>
      </c>
      <c r="H493" s="106" t="n">
        <v>0</v>
      </c>
      <c r="I493" s="106" t="n">
        <v>1</v>
      </c>
      <c r="J493" s="106" t="n">
        <v>0</v>
      </c>
      <c r="K493" s="106" t="n">
        <f aca="false">SUM(E493:J493)</f>
        <v>1</v>
      </c>
      <c r="L493" s="107" t="n">
        <v>0</v>
      </c>
      <c r="M493" s="107" t="n">
        <v>0</v>
      </c>
      <c r="N493" s="107" t="n">
        <v>0</v>
      </c>
      <c r="O493" s="107" t="n">
        <v>0</v>
      </c>
      <c r="P493" s="107" t="n">
        <v>26</v>
      </c>
      <c r="Q493" s="107" t="n">
        <v>0</v>
      </c>
      <c r="R493" s="107" t="n">
        <f aca="false">SUM(L493:Q493)</f>
        <v>26</v>
      </c>
      <c r="S493" s="108" t="n">
        <v>0</v>
      </c>
      <c r="T493" s="108" t="n">
        <v>0</v>
      </c>
      <c r="U493" s="108" t="n">
        <v>0</v>
      </c>
      <c r="V493" s="108" t="n">
        <v>0</v>
      </c>
      <c r="W493" s="108" t="n">
        <v>0</v>
      </c>
      <c r="X493" s="108" t="n">
        <v>0</v>
      </c>
      <c r="Y493" s="107" t="n">
        <f aca="false">S493*$D493</f>
        <v>0</v>
      </c>
      <c r="Z493" s="107" t="n">
        <f aca="false">T493*$D493</f>
        <v>0</v>
      </c>
      <c r="AA493" s="107" t="n">
        <f aca="false">U493*$D493</f>
        <v>0</v>
      </c>
      <c r="AB493" s="107" t="n">
        <f aca="false">V493*$D493</f>
        <v>0</v>
      </c>
      <c r="AC493" s="107" t="n">
        <f aca="false">W493*$D493</f>
        <v>0</v>
      </c>
      <c r="AD493" s="107" t="n">
        <f aca="false">X493*$D493</f>
        <v>0</v>
      </c>
      <c r="AE493" s="107" t="n">
        <f aca="false">SUM(Y493:AD493)</f>
        <v>0</v>
      </c>
    </row>
    <row r="494" customFormat="false" ht="15" hidden="false" customHeight="false" outlineLevel="0" collapsed="false">
      <c r="A494" s="103" t="s">
        <v>876</v>
      </c>
      <c r="B494" s="104" t="n">
        <v>0</v>
      </c>
      <c r="C494" s="105" t="n">
        <f aca="false">IF(K494=0,0,R494/K494)</f>
        <v>22.5</v>
      </c>
      <c r="D494" s="105" t="n">
        <f aca="false">C494+B494</f>
        <v>22.5</v>
      </c>
      <c r="E494" s="106" t="n">
        <v>0</v>
      </c>
      <c r="F494" s="106" t="n">
        <v>0</v>
      </c>
      <c r="G494" s="106" t="n">
        <v>0</v>
      </c>
      <c r="H494" s="106" t="n">
        <v>1</v>
      </c>
      <c r="I494" s="106" t="n">
        <v>0</v>
      </c>
      <c r="J494" s="106" t="n">
        <v>0</v>
      </c>
      <c r="K494" s="106" t="n">
        <f aca="false">SUM(E494:J494)</f>
        <v>1</v>
      </c>
      <c r="L494" s="107" t="n">
        <v>0</v>
      </c>
      <c r="M494" s="107" t="n">
        <v>0</v>
      </c>
      <c r="N494" s="107" t="n">
        <v>0</v>
      </c>
      <c r="O494" s="107" t="n">
        <v>22.5</v>
      </c>
      <c r="P494" s="107" t="n">
        <v>0</v>
      </c>
      <c r="Q494" s="107" t="n">
        <v>0</v>
      </c>
      <c r="R494" s="107" t="n">
        <f aca="false">SUM(L494:Q494)</f>
        <v>22.5</v>
      </c>
      <c r="S494" s="108" t="n">
        <v>0</v>
      </c>
      <c r="T494" s="108" t="n">
        <v>0</v>
      </c>
      <c r="U494" s="108" t="n">
        <v>0</v>
      </c>
      <c r="V494" s="108" t="n">
        <v>0</v>
      </c>
      <c r="W494" s="108" t="n">
        <v>0</v>
      </c>
      <c r="X494" s="108" t="n">
        <v>0</v>
      </c>
      <c r="Y494" s="107" t="n">
        <f aca="false">S494*$D494</f>
        <v>0</v>
      </c>
      <c r="Z494" s="107" t="n">
        <f aca="false">T494*$D494</f>
        <v>0</v>
      </c>
      <c r="AA494" s="107" t="n">
        <f aca="false">U494*$D494</f>
        <v>0</v>
      </c>
      <c r="AB494" s="107" t="n">
        <f aca="false">V494*$D494</f>
        <v>0</v>
      </c>
      <c r="AC494" s="107" t="n">
        <f aca="false">W494*$D494</f>
        <v>0</v>
      </c>
      <c r="AD494" s="107" t="n">
        <f aca="false">X494*$D494</f>
        <v>0</v>
      </c>
      <c r="AE494" s="107" t="n">
        <f aca="false">SUM(Y494:AD494)</f>
        <v>0</v>
      </c>
    </row>
    <row r="495" customFormat="false" ht="15" hidden="false" customHeight="false" outlineLevel="0" collapsed="false">
      <c r="A495" s="103" t="s">
        <v>918</v>
      </c>
      <c r="B495" s="104" t="n">
        <v>0</v>
      </c>
      <c r="C495" s="105" t="n">
        <f aca="false">IF(K495=0,0,R495/K495)</f>
        <v>4.5</v>
      </c>
      <c r="D495" s="105" t="n">
        <f aca="false">C495+B495</f>
        <v>4.5</v>
      </c>
      <c r="E495" s="106" t="n">
        <v>0</v>
      </c>
      <c r="F495" s="106" t="n">
        <v>0</v>
      </c>
      <c r="G495" s="106" t="n">
        <v>0</v>
      </c>
      <c r="H495" s="106" t="n">
        <v>0</v>
      </c>
      <c r="I495" s="106" t="n">
        <v>0</v>
      </c>
      <c r="J495" s="106" t="n">
        <v>5</v>
      </c>
      <c r="K495" s="106" t="n">
        <f aca="false">SUM(E495:J495)</f>
        <v>5</v>
      </c>
      <c r="L495" s="107" t="n">
        <v>0</v>
      </c>
      <c r="M495" s="107" t="n">
        <v>0</v>
      </c>
      <c r="N495" s="107" t="n">
        <v>0</v>
      </c>
      <c r="O495" s="107" t="n">
        <v>0</v>
      </c>
      <c r="P495" s="107" t="n">
        <v>0</v>
      </c>
      <c r="Q495" s="107" t="n">
        <v>22.5</v>
      </c>
      <c r="R495" s="107" t="n">
        <f aca="false">SUM(L495:Q495)</f>
        <v>22.5</v>
      </c>
      <c r="S495" s="108" t="n">
        <v>2</v>
      </c>
      <c r="T495" s="108" t="n">
        <v>2</v>
      </c>
      <c r="U495" s="108" t="n">
        <v>2</v>
      </c>
      <c r="V495" s="108" t="n">
        <v>2</v>
      </c>
      <c r="W495" s="108" t="n">
        <v>2</v>
      </c>
      <c r="X495" s="108" t="n">
        <v>2</v>
      </c>
      <c r="Y495" s="107" t="n">
        <f aca="false">S495*$D495</f>
        <v>9</v>
      </c>
      <c r="Z495" s="107" t="n">
        <f aca="false">T495*$D495</f>
        <v>9</v>
      </c>
      <c r="AA495" s="107" t="n">
        <f aca="false">U495*$D495</f>
        <v>9</v>
      </c>
      <c r="AB495" s="107" t="n">
        <f aca="false">V495*$D495</f>
        <v>9</v>
      </c>
      <c r="AC495" s="107" t="n">
        <f aca="false">W495*$D495</f>
        <v>9</v>
      </c>
      <c r="AD495" s="107" t="n">
        <f aca="false">X495*$D495</f>
        <v>9</v>
      </c>
      <c r="AE495" s="107" t="n">
        <f aca="false">SUM(Y495:AD495)</f>
        <v>54</v>
      </c>
    </row>
    <row r="496" customFormat="false" ht="15" hidden="false" customHeight="false" outlineLevel="0" collapsed="false">
      <c r="A496" s="103" t="s">
        <v>919</v>
      </c>
      <c r="B496" s="104" t="n">
        <v>0</v>
      </c>
      <c r="C496" s="105" t="n">
        <f aca="false">IF(K496=0,0,R496/K496)</f>
        <v>7</v>
      </c>
      <c r="D496" s="105" t="n">
        <f aca="false">C496+B496</f>
        <v>7</v>
      </c>
      <c r="E496" s="106" t="n">
        <v>0</v>
      </c>
      <c r="F496" s="106" t="n">
        <v>0</v>
      </c>
      <c r="G496" s="106" t="n">
        <v>3</v>
      </c>
      <c r="H496" s="106" t="n">
        <v>0</v>
      </c>
      <c r="I496" s="106" t="n">
        <v>0</v>
      </c>
      <c r="J496" s="106" t="n">
        <v>0</v>
      </c>
      <c r="K496" s="106" t="n">
        <f aca="false">SUM(E496:J496)</f>
        <v>3</v>
      </c>
      <c r="L496" s="107" t="n">
        <v>0</v>
      </c>
      <c r="M496" s="107" t="n">
        <v>0</v>
      </c>
      <c r="N496" s="107" t="n">
        <v>21</v>
      </c>
      <c r="O496" s="107" t="n">
        <v>0</v>
      </c>
      <c r="P496" s="107" t="n">
        <v>0</v>
      </c>
      <c r="Q496" s="107" t="n">
        <v>0</v>
      </c>
      <c r="R496" s="107" t="n">
        <f aca="false">SUM(L496:Q496)</f>
        <v>21</v>
      </c>
      <c r="S496" s="108" t="n">
        <v>0</v>
      </c>
      <c r="T496" s="108" t="n">
        <v>0</v>
      </c>
      <c r="U496" s="108" t="n">
        <v>0</v>
      </c>
      <c r="V496" s="108" t="n">
        <v>0</v>
      </c>
      <c r="W496" s="108" t="n">
        <v>0</v>
      </c>
      <c r="X496" s="108" t="n">
        <v>0</v>
      </c>
      <c r="Y496" s="107" t="n">
        <f aca="false">S496*$D496</f>
        <v>0</v>
      </c>
      <c r="Z496" s="107" t="n">
        <f aca="false">T496*$D496</f>
        <v>0</v>
      </c>
      <c r="AA496" s="107" t="n">
        <f aca="false">U496*$D496</f>
        <v>0</v>
      </c>
      <c r="AB496" s="107" t="n">
        <f aca="false">V496*$D496</f>
        <v>0</v>
      </c>
      <c r="AC496" s="107" t="n">
        <f aca="false">W496*$D496</f>
        <v>0</v>
      </c>
      <c r="AD496" s="107" t="n">
        <f aca="false">X496*$D496</f>
        <v>0</v>
      </c>
      <c r="AE496" s="107" t="n">
        <f aca="false">SUM(Y496:AD496)</f>
        <v>0</v>
      </c>
    </row>
    <row r="497" customFormat="false" ht="15" hidden="false" customHeight="false" outlineLevel="0" collapsed="false">
      <c r="A497" s="103" t="s">
        <v>920</v>
      </c>
      <c r="B497" s="104" t="n">
        <v>0</v>
      </c>
      <c r="C497" s="105" t="n">
        <f aca="false">IF(K497=0,0,R497/K497)</f>
        <v>2.99</v>
      </c>
      <c r="D497" s="105" t="n">
        <f aca="false">C497+B497</f>
        <v>2.99</v>
      </c>
      <c r="E497" s="106" t="n">
        <v>0</v>
      </c>
      <c r="F497" s="106" t="n">
        <v>7</v>
      </c>
      <c r="G497" s="106" t="n">
        <v>0</v>
      </c>
      <c r="H497" s="106" t="n">
        <v>0</v>
      </c>
      <c r="I497" s="106" t="n">
        <v>0</v>
      </c>
      <c r="J497" s="106" t="n">
        <v>0</v>
      </c>
      <c r="K497" s="106" t="n">
        <f aca="false">SUM(E497:J497)</f>
        <v>7</v>
      </c>
      <c r="L497" s="107" t="n">
        <v>0</v>
      </c>
      <c r="M497" s="107" t="n">
        <v>20.93</v>
      </c>
      <c r="N497" s="107" t="n">
        <v>0</v>
      </c>
      <c r="O497" s="107" t="n">
        <v>0</v>
      </c>
      <c r="P497" s="107" t="n">
        <v>0</v>
      </c>
      <c r="Q497" s="107" t="n">
        <v>0</v>
      </c>
      <c r="R497" s="107" t="n">
        <f aca="false">SUM(L497:Q497)</f>
        <v>20.93</v>
      </c>
      <c r="S497" s="108" t="n">
        <v>0</v>
      </c>
      <c r="T497" s="108" t="n">
        <v>0</v>
      </c>
      <c r="U497" s="108" t="n">
        <v>0</v>
      </c>
      <c r="V497" s="108" t="n">
        <v>0</v>
      </c>
      <c r="W497" s="108" t="n">
        <v>0</v>
      </c>
      <c r="X497" s="108" t="n">
        <v>0</v>
      </c>
      <c r="Y497" s="107" t="n">
        <f aca="false">S497*$D497</f>
        <v>0</v>
      </c>
      <c r="Z497" s="107" t="n">
        <f aca="false">T497*$D497</f>
        <v>0</v>
      </c>
      <c r="AA497" s="107" t="n">
        <f aca="false">U497*$D497</f>
        <v>0</v>
      </c>
      <c r="AB497" s="107" t="n">
        <f aca="false">V497*$D497</f>
        <v>0</v>
      </c>
      <c r="AC497" s="107" t="n">
        <f aca="false">W497*$D497</f>
        <v>0</v>
      </c>
      <c r="AD497" s="107" t="n">
        <f aca="false">X497*$D497</f>
        <v>0</v>
      </c>
      <c r="AE497" s="107" t="n">
        <f aca="false">SUM(Y497:AD497)</f>
        <v>0</v>
      </c>
    </row>
    <row r="498" customFormat="false" ht="15" hidden="false" customHeight="false" outlineLevel="0" collapsed="false">
      <c r="A498" s="103" t="s">
        <v>761</v>
      </c>
      <c r="B498" s="104" t="n">
        <v>0</v>
      </c>
      <c r="C498" s="105" t="n">
        <f aca="false">IF(K498=0,0,R498/K498)</f>
        <v>6</v>
      </c>
      <c r="D498" s="105" t="n">
        <f aca="false">C498+B498</f>
        <v>6</v>
      </c>
      <c r="E498" s="106" t="n">
        <v>0</v>
      </c>
      <c r="F498" s="106" t="n">
        <v>3</v>
      </c>
      <c r="G498" s="106" t="n">
        <v>0</v>
      </c>
      <c r="H498" s="106" t="n">
        <v>0</v>
      </c>
      <c r="I498" s="106" t="n">
        <v>0</v>
      </c>
      <c r="J498" s="106" t="n">
        <v>0</v>
      </c>
      <c r="K498" s="106" t="n">
        <f aca="false">SUM(E498:J498)</f>
        <v>3</v>
      </c>
      <c r="L498" s="107" t="n">
        <v>0</v>
      </c>
      <c r="M498" s="107" t="n">
        <v>18</v>
      </c>
      <c r="N498" s="107" t="n">
        <v>0</v>
      </c>
      <c r="O498" s="107" t="n">
        <v>0</v>
      </c>
      <c r="P498" s="107" t="n">
        <v>0</v>
      </c>
      <c r="Q498" s="107" t="n">
        <v>0</v>
      </c>
      <c r="R498" s="107" t="n">
        <f aca="false">SUM(L498:Q498)</f>
        <v>18</v>
      </c>
      <c r="S498" s="108" t="n">
        <v>0</v>
      </c>
      <c r="T498" s="108" t="n">
        <v>0</v>
      </c>
      <c r="U498" s="108" t="n">
        <v>0</v>
      </c>
      <c r="V498" s="108" t="n">
        <v>0</v>
      </c>
      <c r="W498" s="108" t="n">
        <v>0</v>
      </c>
      <c r="X498" s="108" t="n">
        <v>0</v>
      </c>
      <c r="Y498" s="107" t="n">
        <f aca="false">S498*$D498</f>
        <v>0</v>
      </c>
      <c r="Z498" s="107" t="n">
        <f aca="false">T498*$D498</f>
        <v>0</v>
      </c>
      <c r="AA498" s="107" t="n">
        <f aca="false">U498*$D498</f>
        <v>0</v>
      </c>
      <c r="AB498" s="107" t="n">
        <f aca="false">V498*$D498</f>
        <v>0</v>
      </c>
      <c r="AC498" s="107" t="n">
        <f aca="false">W498*$D498</f>
        <v>0</v>
      </c>
      <c r="AD498" s="107" t="n">
        <f aca="false">X498*$D498</f>
        <v>0</v>
      </c>
      <c r="AE498" s="107" t="n">
        <f aca="false">SUM(Y498:AD498)</f>
        <v>0</v>
      </c>
    </row>
    <row r="499" customFormat="false" ht="15" hidden="false" customHeight="false" outlineLevel="0" collapsed="false">
      <c r="A499" s="103" t="s">
        <v>921</v>
      </c>
      <c r="B499" s="104" t="n">
        <v>0</v>
      </c>
      <c r="C499" s="105" t="n">
        <f aca="false">IF(K499=0,0,R499/K499)</f>
        <v>3.36</v>
      </c>
      <c r="D499" s="105" t="n">
        <f aca="false">C499+B499</f>
        <v>3.36</v>
      </c>
      <c r="E499" s="106" t="n">
        <v>0</v>
      </c>
      <c r="F499" s="106" t="n">
        <v>0</v>
      </c>
      <c r="G499" s="106" t="n">
        <v>0</v>
      </c>
      <c r="H499" s="106" t="n">
        <v>0</v>
      </c>
      <c r="I499" s="106" t="n">
        <v>0</v>
      </c>
      <c r="J499" s="106" t="n">
        <v>5</v>
      </c>
      <c r="K499" s="106" t="n">
        <f aca="false">SUM(E499:J499)</f>
        <v>5</v>
      </c>
      <c r="L499" s="107" t="n">
        <v>0</v>
      </c>
      <c r="M499" s="107" t="n">
        <v>0</v>
      </c>
      <c r="N499" s="107" t="n">
        <v>0</v>
      </c>
      <c r="O499" s="107" t="n">
        <v>0</v>
      </c>
      <c r="P499" s="107" t="n">
        <v>0</v>
      </c>
      <c r="Q499" s="107" t="n">
        <v>16.8</v>
      </c>
      <c r="R499" s="107" t="n">
        <f aca="false">SUM(L499:Q499)</f>
        <v>16.8</v>
      </c>
      <c r="S499" s="108" t="n">
        <v>2</v>
      </c>
      <c r="T499" s="108" t="n">
        <v>2</v>
      </c>
      <c r="U499" s="108" t="n">
        <v>2</v>
      </c>
      <c r="V499" s="108" t="n">
        <v>2</v>
      </c>
      <c r="W499" s="108" t="n">
        <v>2</v>
      </c>
      <c r="X499" s="108" t="n">
        <v>2</v>
      </c>
      <c r="Y499" s="107" t="n">
        <f aca="false">S499*$D499</f>
        <v>6.72</v>
      </c>
      <c r="Z499" s="107" t="n">
        <f aca="false">T499*$D499</f>
        <v>6.72</v>
      </c>
      <c r="AA499" s="107" t="n">
        <f aca="false">U499*$D499</f>
        <v>6.72</v>
      </c>
      <c r="AB499" s="107" t="n">
        <f aca="false">V499*$D499</f>
        <v>6.72</v>
      </c>
      <c r="AC499" s="107" t="n">
        <f aca="false">W499*$D499</f>
        <v>6.72</v>
      </c>
      <c r="AD499" s="107" t="n">
        <f aca="false">X499*$D499</f>
        <v>6.72</v>
      </c>
      <c r="AE499" s="107" t="n">
        <f aca="false">SUM(Y499:AD499)</f>
        <v>40.32</v>
      </c>
    </row>
    <row r="500" customFormat="false" ht="15" hidden="false" customHeight="false" outlineLevel="0" collapsed="false">
      <c r="A500" s="103" t="s">
        <v>922</v>
      </c>
      <c r="B500" s="104" t="n">
        <v>0</v>
      </c>
      <c r="C500" s="105" t="n">
        <f aca="false">IF(K500=0,0,R500/K500)</f>
        <v>15.3</v>
      </c>
      <c r="D500" s="105" t="n">
        <f aca="false">C500+B500</f>
        <v>15.3</v>
      </c>
      <c r="E500" s="106" t="n">
        <v>1</v>
      </c>
      <c r="F500" s="106" t="n">
        <v>0</v>
      </c>
      <c r="G500" s="106" t="n">
        <v>0</v>
      </c>
      <c r="H500" s="106" t="n">
        <v>0</v>
      </c>
      <c r="I500" s="106" t="n">
        <v>0</v>
      </c>
      <c r="J500" s="106" t="n">
        <v>0</v>
      </c>
      <c r="K500" s="106" t="n">
        <f aca="false">SUM(E500:J500)</f>
        <v>1</v>
      </c>
      <c r="L500" s="107" t="n">
        <v>15.3</v>
      </c>
      <c r="M500" s="107" t="n">
        <v>0</v>
      </c>
      <c r="N500" s="107" t="n">
        <v>0</v>
      </c>
      <c r="O500" s="107" t="n">
        <v>0</v>
      </c>
      <c r="P500" s="107" t="n">
        <v>0</v>
      </c>
      <c r="Q500" s="107" t="n">
        <v>0</v>
      </c>
      <c r="R500" s="107" t="n">
        <f aca="false">SUM(L500:Q500)</f>
        <v>15.3</v>
      </c>
      <c r="S500" s="108" t="n">
        <v>0</v>
      </c>
      <c r="T500" s="108" t="n">
        <v>0</v>
      </c>
      <c r="U500" s="108" t="n">
        <v>0</v>
      </c>
      <c r="V500" s="108" t="n">
        <v>0</v>
      </c>
      <c r="W500" s="108" t="n">
        <v>0</v>
      </c>
      <c r="X500" s="108" t="n">
        <v>0</v>
      </c>
      <c r="Y500" s="107" t="n">
        <f aca="false">S500*$D500</f>
        <v>0</v>
      </c>
      <c r="Z500" s="107" t="n">
        <f aca="false">T500*$D500</f>
        <v>0</v>
      </c>
      <c r="AA500" s="107" t="n">
        <f aca="false">U500*$D500</f>
        <v>0</v>
      </c>
      <c r="AB500" s="107" t="n">
        <f aca="false">V500*$D500</f>
        <v>0</v>
      </c>
      <c r="AC500" s="107" t="n">
        <f aca="false">W500*$D500</f>
        <v>0</v>
      </c>
      <c r="AD500" s="107" t="n">
        <f aca="false">X500*$D500</f>
        <v>0</v>
      </c>
      <c r="AE500" s="107" t="n">
        <f aca="false">SUM(Y500:AD500)</f>
        <v>0</v>
      </c>
    </row>
    <row r="501" customFormat="false" ht="15" hidden="false" customHeight="false" outlineLevel="0" collapsed="false">
      <c r="A501" s="103" t="s">
        <v>923</v>
      </c>
      <c r="B501" s="104" t="n">
        <v>0</v>
      </c>
      <c r="C501" s="105" t="n">
        <f aca="false">IF(K501=0,0,R501/K501)</f>
        <v>14.99</v>
      </c>
      <c r="D501" s="105" t="n">
        <f aca="false">C501+B501</f>
        <v>14.99</v>
      </c>
      <c r="E501" s="106" t="n">
        <v>0</v>
      </c>
      <c r="F501" s="106" t="n">
        <v>0</v>
      </c>
      <c r="G501" s="106" t="n">
        <v>0</v>
      </c>
      <c r="H501" s="106" t="n">
        <v>0</v>
      </c>
      <c r="I501" s="106" t="n">
        <v>0</v>
      </c>
      <c r="J501" s="106" t="n">
        <v>1</v>
      </c>
      <c r="K501" s="106" t="n">
        <f aca="false">SUM(E501:J501)</f>
        <v>1</v>
      </c>
      <c r="L501" s="107" t="n">
        <v>0</v>
      </c>
      <c r="M501" s="107" t="n">
        <v>0</v>
      </c>
      <c r="N501" s="107" t="n">
        <v>0</v>
      </c>
      <c r="O501" s="107" t="n">
        <v>0</v>
      </c>
      <c r="P501" s="107" t="n">
        <v>0</v>
      </c>
      <c r="Q501" s="107" t="n">
        <v>14.99</v>
      </c>
      <c r="R501" s="107" t="n">
        <f aca="false">SUM(L501:Q501)</f>
        <v>14.99</v>
      </c>
      <c r="S501" s="108" t="n">
        <v>0</v>
      </c>
      <c r="T501" s="108" t="n">
        <v>0</v>
      </c>
      <c r="U501" s="108" t="n">
        <v>0</v>
      </c>
      <c r="V501" s="108" t="n">
        <v>0</v>
      </c>
      <c r="W501" s="108" t="n">
        <v>0</v>
      </c>
      <c r="X501" s="108" t="n">
        <v>0</v>
      </c>
      <c r="Y501" s="107" t="n">
        <f aca="false">S501*$D501</f>
        <v>0</v>
      </c>
      <c r="Z501" s="107" t="n">
        <f aca="false">T501*$D501</f>
        <v>0</v>
      </c>
      <c r="AA501" s="107" t="n">
        <f aca="false">U501*$D501</f>
        <v>0</v>
      </c>
      <c r="AB501" s="107" t="n">
        <f aca="false">V501*$D501</f>
        <v>0</v>
      </c>
      <c r="AC501" s="107" t="n">
        <f aca="false">W501*$D501</f>
        <v>0</v>
      </c>
      <c r="AD501" s="107" t="n">
        <f aca="false">X501*$D501</f>
        <v>0</v>
      </c>
      <c r="AE501" s="107" t="n">
        <f aca="false">SUM(Y501:AD501)</f>
        <v>0</v>
      </c>
    </row>
    <row r="502" customFormat="false" ht="15" hidden="false" customHeight="false" outlineLevel="0" collapsed="false">
      <c r="A502" s="103" t="s">
        <v>924</v>
      </c>
      <c r="B502" s="104" t="n">
        <v>0</v>
      </c>
      <c r="C502" s="105" t="n">
        <f aca="false">IF(K502=0,0,R502/K502)</f>
        <v>1.5</v>
      </c>
      <c r="D502" s="105" t="n">
        <f aca="false">C502+B502</f>
        <v>1.5</v>
      </c>
      <c r="E502" s="106" t="n">
        <v>0</v>
      </c>
      <c r="F502" s="106" t="n">
        <v>0</v>
      </c>
      <c r="G502" s="106" t="n">
        <v>0</v>
      </c>
      <c r="H502" s="106" t="n">
        <v>0</v>
      </c>
      <c r="I502" s="106" t="n">
        <v>5</v>
      </c>
      <c r="J502" s="106" t="n">
        <v>3</v>
      </c>
      <c r="K502" s="106" t="n">
        <f aca="false">SUM(E502:J502)</f>
        <v>8</v>
      </c>
      <c r="L502" s="107" t="n">
        <v>0</v>
      </c>
      <c r="M502" s="107" t="n">
        <v>0</v>
      </c>
      <c r="N502" s="107" t="n">
        <v>0</v>
      </c>
      <c r="O502" s="107" t="n">
        <v>0</v>
      </c>
      <c r="P502" s="107" t="n">
        <v>0</v>
      </c>
      <c r="Q502" s="107" t="n">
        <v>12</v>
      </c>
      <c r="R502" s="107" t="n">
        <f aca="false">SUM(L502:Q502)</f>
        <v>12</v>
      </c>
      <c r="S502" s="108" t="n">
        <v>3</v>
      </c>
      <c r="T502" s="108" t="n">
        <v>3</v>
      </c>
      <c r="U502" s="108" t="n">
        <v>3</v>
      </c>
      <c r="V502" s="108" t="n">
        <v>3</v>
      </c>
      <c r="W502" s="108" t="n">
        <v>3</v>
      </c>
      <c r="X502" s="108" t="n">
        <v>3</v>
      </c>
      <c r="Y502" s="107" t="n">
        <f aca="false">S502*$D502</f>
        <v>4.5</v>
      </c>
      <c r="Z502" s="107" t="n">
        <f aca="false">T502*$D502</f>
        <v>4.5</v>
      </c>
      <c r="AA502" s="107" t="n">
        <f aca="false">U502*$D502</f>
        <v>4.5</v>
      </c>
      <c r="AB502" s="107" t="n">
        <f aca="false">V502*$D502</f>
        <v>4.5</v>
      </c>
      <c r="AC502" s="107" t="n">
        <f aca="false">W502*$D502</f>
        <v>4.5</v>
      </c>
      <c r="AD502" s="107" t="n">
        <f aca="false">X502*$D502</f>
        <v>4.5</v>
      </c>
      <c r="AE502" s="107" t="n">
        <f aca="false">SUM(Y502:AD502)</f>
        <v>27</v>
      </c>
    </row>
    <row r="503" customFormat="false" ht="15" hidden="false" customHeight="false" outlineLevel="0" collapsed="false">
      <c r="A503" s="103" t="s">
        <v>925</v>
      </c>
      <c r="B503" s="104" t="n">
        <v>0</v>
      </c>
      <c r="C503" s="105" t="n">
        <f aca="false">IF(K503=0,0,R503/K503)</f>
        <v>3.5</v>
      </c>
      <c r="D503" s="105" t="n">
        <f aca="false">C503+B503</f>
        <v>3.5</v>
      </c>
      <c r="E503" s="106" t="n">
        <v>0</v>
      </c>
      <c r="F503" s="106" t="n">
        <v>3</v>
      </c>
      <c r="G503" s="106" t="n">
        <v>0</v>
      </c>
      <c r="H503" s="106" t="n">
        <v>0</v>
      </c>
      <c r="I503" s="106" t="n">
        <v>0</v>
      </c>
      <c r="J503" s="106" t="n">
        <v>0</v>
      </c>
      <c r="K503" s="106" t="n">
        <f aca="false">SUM(E503:J503)</f>
        <v>3</v>
      </c>
      <c r="L503" s="107" t="n">
        <v>0</v>
      </c>
      <c r="M503" s="107" t="n">
        <v>10.5</v>
      </c>
      <c r="N503" s="107" t="n">
        <v>0</v>
      </c>
      <c r="O503" s="107" t="n">
        <v>0</v>
      </c>
      <c r="P503" s="107" t="n">
        <v>0</v>
      </c>
      <c r="Q503" s="107" t="n">
        <v>0</v>
      </c>
      <c r="R503" s="107" t="n">
        <f aca="false">SUM(L503:Q503)</f>
        <v>10.5</v>
      </c>
      <c r="S503" s="108" t="n">
        <v>0</v>
      </c>
      <c r="T503" s="108" t="n">
        <v>0</v>
      </c>
      <c r="U503" s="108" t="n">
        <v>0</v>
      </c>
      <c r="V503" s="108" t="n">
        <v>0</v>
      </c>
      <c r="W503" s="108" t="n">
        <v>0</v>
      </c>
      <c r="X503" s="108" t="n">
        <v>0</v>
      </c>
      <c r="Y503" s="107" t="n">
        <f aca="false">S503*$D503</f>
        <v>0</v>
      </c>
      <c r="Z503" s="107" t="n">
        <f aca="false">T503*$D503</f>
        <v>0</v>
      </c>
      <c r="AA503" s="107" t="n">
        <f aca="false">U503*$D503</f>
        <v>0</v>
      </c>
      <c r="AB503" s="107" t="n">
        <f aca="false">V503*$D503</f>
        <v>0</v>
      </c>
      <c r="AC503" s="107" t="n">
        <f aca="false">W503*$D503</f>
        <v>0</v>
      </c>
      <c r="AD503" s="107" t="n">
        <f aca="false">X503*$D503</f>
        <v>0</v>
      </c>
      <c r="AE503" s="107" t="n">
        <f aca="false">SUM(Y503:AD503)</f>
        <v>0</v>
      </c>
    </row>
    <row r="504" customFormat="false" ht="15" hidden="false" customHeight="false" outlineLevel="0" collapsed="false">
      <c r="A504" s="103" t="s">
        <v>860</v>
      </c>
      <c r="B504" s="104" t="n">
        <v>0</v>
      </c>
      <c r="C504" s="105" t="n">
        <f aca="false">IF(K504=0,0,R504/K504)</f>
        <v>6</v>
      </c>
      <c r="D504" s="105" t="n">
        <f aca="false">C504+B504</f>
        <v>6</v>
      </c>
      <c r="E504" s="106" t="n">
        <v>0</v>
      </c>
      <c r="F504" s="106" t="n">
        <v>0</v>
      </c>
      <c r="G504" s="106" t="n">
        <v>1</v>
      </c>
      <c r="H504" s="106" t="n">
        <v>0</v>
      </c>
      <c r="I504" s="106" t="n">
        <v>0</v>
      </c>
      <c r="J504" s="106" t="n">
        <v>0</v>
      </c>
      <c r="K504" s="106" t="n">
        <f aca="false">SUM(E504:J504)</f>
        <v>1</v>
      </c>
      <c r="L504" s="107" t="n">
        <v>0</v>
      </c>
      <c r="M504" s="107" t="n">
        <v>0</v>
      </c>
      <c r="N504" s="107" t="n">
        <v>6</v>
      </c>
      <c r="O504" s="107" t="n">
        <v>0</v>
      </c>
      <c r="P504" s="107" t="n">
        <v>0</v>
      </c>
      <c r="Q504" s="107" t="n">
        <v>0</v>
      </c>
      <c r="R504" s="107" t="n">
        <f aca="false">SUM(L504:Q504)</f>
        <v>6</v>
      </c>
      <c r="S504" s="108" t="n">
        <v>0</v>
      </c>
      <c r="T504" s="108" t="n">
        <v>0</v>
      </c>
      <c r="U504" s="108" t="n">
        <v>0</v>
      </c>
      <c r="V504" s="108" t="n">
        <v>0</v>
      </c>
      <c r="W504" s="108" t="n">
        <v>0</v>
      </c>
      <c r="X504" s="108" t="n">
        <v>0</v>
      </c>
      <c r="Y504" s="107" t="n">
        <f aca="false">S504*$D504</f>
        <v>0</v>
      </c>
      <c r="Z504" s="107" t="n">
        <f aca="false">T504*$D504</f>
        <v>0</v>
      </c>
      <c r="AA504" s="107" t="n">
        <f aca="false">U504*$D504</f>
        <v>0</v>
      </c>
      <c r="AB504" s="107" t="n">
        <f aca="false">V504*$D504</f>
        <v>0</v>
      </c>
      <c r="AC504" s="107" t="n">
        <f aca="false">W504*$D504</f>
        <v>0</v>
      </c>
      <c r="AD504" s="107" t="n">
        <f aca="false">X504*$D504</f>
        <v>0</v>
      </c>
      <c r="AE504" s="107" t="n">
        <f aca="false">SUM(Y504:AD504)</f>
        <v>0</v>
      </c>
    </row>
    <row r="505" customFormat="false" ht="15" hidden="false" customHeight="false" outlineLevel="0" collapsed="false">
      <c r="A505" s="103" t="s">
        <v>926</v>
      </c>
      <c r="B505" s="104" t="n">
        <v>0</v>
      </c>
      <c r="C505" s="105" t="n">
        <f aca="false">IF(K505=0,0,R505/K505)</f>
        <v>5</v>
      </c>
      <c r="D505" s="105" t="n">
        <f aca="false">C505+B505</f>
        <v>5</v>
      </c>
      <c r="E505" s="106" t="n">
        <v>1</v>
      </c>
      <c r="F505" s="106" t="n">
        <v>0</v>
      </c>
      <c r="G505" s="106" t="n">
        <v>0</v>
      </c>
      <c r="H505" s="106" t="n">
        <v>0</v>
      </c>
      <c r="I505" s="106" t="n">
        <v>0</v>
      </c>
      <c r="J505" s="106" t="n">
        <v>0</v>
      </c>
      <c r="K505" s="106" t="n">
        <f aca="false">SUM(E505:J505)</f>
        <v>1</v>
      </c>
      <c r="L505" s="107" t="n">
        <v>5</v>
      </c>
      <c r="M505" s="107" t="n">
        <v>0</v>
      </c>
      <c r="N505" s="107" t="n">
        <v>0</v>
      </c>
      <c r="O505" s="107" t="n">
        <v>0</v>
      </c>
      <c r="P505" s="107" t="n">
        <v>0</v>
      </c>
      <c r="Q505" s="107" t="n">
        <v>0</v>
      </c>
      <c r="R505" s="107" t="n">
        <f aca="false">SUM(L505:Q505)</f>
        <v>5</v>
      </c>
      <c r="S505" s="108" t="n">
        <v>0</v>
      </c>
      <c r="T505" s="108" t="n">
        <v>0</v>
      </c>
      <c r="U505" s="108" t="n">
        <v>0</v>
      </c>
      <c r="V505" s="108" t="n">
        <v>0</v>
      </c>
      <c r="W505" s="108" t="n">
        <v>0</v>
      </c>
      <c r="X505" s="108" t="n">
        <v>0</v>
      </c>
      <c r="Y505" s="107" t="n">
        <f aca="false">S505*$D505</f>
        <v>0</v>
      </c>
      <c r="Z505" s="107" t="n">
        <f aca="false">T505*$D505</f>
        <v>0</v>
      </c>
      <c r="AA505" s="107" t="n">
        <f aca="false">U505*$D505</f>
        <v>0</v>
      </c>
      <c r="AB505" s="107" t="n">
        <f aca="false">V505*$D505</f>
        <v>0</v>
      </c>
      <c r="AC505" s="107" t="n">
        <f aca="false">W505*$D505</f>
        <v>0</v>
      </c>
      <c r="AD505" s="107" t="n">
        <f aca="false">X505*$D505</f>
        <v>0</v>
      </c>
      <c r="AE505" s="107" t="n">
        <f aca="false">SUM(Y505:AD505)</f>
        <v>0</v>
      </c>
    </row>
    <row r="506" customFormat="false" ht="15" hidden="false" customHeight="false" outlineLevel="0" collapsed="false">
      <c r="A506" s="103" t="s">
        <v>927</v>
      </c>
      <c r="B506" s="104" t="n">
        <v>0</v>
      </c>
      <c r="C506" s="105" t="n">
        <f aca="false">IF(K506=0,0,R506/K506)</f>
        <v>3.5</v>
      </c>
      <c r="D506" s="105" t="n">
        <f aca="false">C506+B506</f>
        <v>3.5</v>
      </c>
      <c r="E506" s="106" t="n">
        <v>0</v>
      </c>
      <c r="F506" s="106" t="n">
        <v>1</v>
      </c>
      <c r="G506" s="106" t="n">
        <v>0</v>
      </c>
      <c r="H506" s="106" t="n">
        <v>0</v>
      </c>
      <c r="I506" s="106" t="n">
        <v>0</v>
      </c>
      <c r="J506" s="106" t="n">
        <v>0</v>
      </c>
      <c r="K506" s="106" t="n">
        <f aca="false">SUM(E506:J506)</f>
        <v>1</v>
      </c>
      <c r="L506" s="107" t="n">
        <v>0</v>
      </c>
      <c r="M506" s="107" t="n">
        <v>3.5</v>
      </c>
      <c r="N506" s="107" t="n">
        <v>0</v>
      </c>
      <c r="O506" s="107" t="n">
        <v>0</v>
      </c>
      <c r="P506" s="107" t="n">
        <v>0</v>
      </c>
      <c r="Q506" s="107" t="n">
        <v>0</v>
      </c>
      <c r="R506" s="107" t="n">
        <f aca="false">SUM(L506:Q506)</f>
        <v>3.5</v>
      </c>
      <c r="S506" s="108" t="n">
        <v>0</v>
      </c>
      <c r="T506" s="108" t="n">
        <v>0</v>
      </c>
      <c r="U506" s="108" t="n">
        <v>0</v>
      </c>
      <c r="V506" s="108" t="n">
        <v>0</v>
      </c>
      <c r="W506" s="108" t="n">
        <v>0</v>
      </c>
      <c r="X506" s="108" t="n">
        <v>0</v>
      </c>
      <c r="Y506" s="107" t="n">
        <f aca="false">S506*$D506</f>
        <v>0</v>
      </c>
      <c r="Z506" s="107" t="n">
        <f aca="false">T506*$D506</f>
        <v>0</v>
      </c>
      <c r="AA506" s="107" t="n">
        <f aca="false">U506*$D506</f>
        <v>0</v>
      </c>
      <c r="AB506" s="107" t="n">
        <f aca="false">V506*$D506</f>
        <v>0</v>
      </c>
      <c r="AC506" s="107" t="n">
        <f aca="false">W506*$D506</f>
        <v>0</v>
      </c>
      <c r="AD506" s="107" t="n">
        <f aca="false">X506*$D506</f>
        <v>0</v>
      </c>
      <c r="AE506" s="107" t="n">
        <f aca="false">SUM(Y506:AD506)</f>
        <v>0</v>
      </c>
    </row>
    <row r="507" customFormat="false" ht="15" hidden="false" customHeight="false" outlineLevel="0" collapsed="false">
      <c r="A507" s="103" t="s">
        <v>928</v>
      </c>
      <c r="B507" s="104" t="n">
        <v>0</v>
      </c>
      <c r="C507" s="105" t="n">
        <f aca="false">IF(K507=0,0,R507/K507)</f>
        <v>3.5</v>
      </c>
      <c r="D507" s="105" t="n">
        <f aca="false">C507+B507</f>
        <v>3.5</v>
      </c>
      <c r="E507" s="106" t="n">
        <v>0</v>
      </c>
      <c r="F507" s="106" t="n">
        <v>1</v>
      </c>
      <c r="G507" s="106" t="n">
        <v>0</v>
      </c>
      <c r="H507" s="106" t="n">
        <v>0</v>
      </c>
      <c r="I507" s="106" t="n">
        <v>0</v>
      </c>
      <c r="J507" s="106" t="n">
        <v>0</v>
      </c>
      <c r="K507" s="106" t="n">
        <f aca="false">SUM(E507:J507)</f>
        <v>1</v>
      </c>
      <c r="L507" s="107" t="n">
        <v>0</v>
      </c>
      <c r="M507" s="107" t="n">
        <v>3.5</v>
      </c>
      <c r="N507" s="107" t="n">
        <v>0</v>
      </c>
      <c r="O507" s="107" t="n">
        <v>0</v>
      </c>
      <c r="P507" s="107" t="n">
        <v>0</v>
      </c>
      <c r="Q507" s="107" t="n">
        <v>0</v>
      </c>
      <c r="R507" s="107" t="n">
        <f aca="false">SUM(L507:Q507)</f>
        <v>3.5</v>
      </c>
      <c r="S507" s="108" t="n">
        <v>0</v>
      </c>
      <c r="T507" s="108" t="n">
        <v>0</v>
      </c>
      <c r="U507" s="108" t="n">
        <v>0</v>
      </c>
      <c r="V507" s="108" t="n">
        <v>0</v>
      </c>
      <c r="W507" s="108" t="n">
        <v>0</v>
      </c>
      <c r="X507" s="108" t="n">
        <v>0</v>
      </c>
      <c r="Y507" s="107" t="n">
        <f aca="false">S507*$D507</f>
        <v>0</v>
      </c>
      <c r="Z507" s="107" t="n">
        <f aca="false">T507*$D507</f>
        <v>0</v>
      </c>
      <c r="AA507" s="107" t="n">
        <f aca="false">U507*$D507</f>
        <v>0</v>
      </c>
      <c r="AB507" s="107" t="n">
        <f aca="false">V507*$D507</f>
        <v>0</v>
      </c>
      <c r="AC507" s="107" t="n">
        <f aca="false">W507*$D507</f>
        <v>0</v>
      </c>
      <c r="AD507" s="107" t="n">
        <f aca="false">X507*$D507</f>
        <v>0</v>
      </c>
      <c r="AE507" s="107" t="n">
        <f aca="false">SUM(Y507:AD507)</f>
        <v>0</v>
      </c>
    </row>
    <row r="508" customFormat="false" ht="15" hidden="false" customHeight="false" outlineLevel="0" collapsed="false">
      <c r="A508" s="103" t="s">
        <v>929</v>
      </c>
      <c r="B508" s="104" t="n">
        <v>0</v>
      </c>
      <c r="C508" s="105" t="n">
        <f aca="false">IF(K508=0,0,R508/K508)</f>
        <v>0.8</v>
      </c>
      <c r="D508" s="105" t="n">
        <f aca="false">C508+B508</f>
        <v>0.8</v>
      </c>
      <c r="E508" s="106" t="n">
        <v>0</v>
      </c>
      <c r="F508" s="106" t="n">
        <v>0</v>
      </c>
      <c r="G508" s="106" t="n">
        <v>0</v>
      </c>
      <c r="H508" s="106" t="n">
        <v>0</v>
      </c>
      <c r="I508" s="106" t="n">
        <v>4</v>
      </c>
      <c r="J508" s="106" t="n">
        <v>0</v>
      </c>
      <c r="K508" s="106" t="n">
        <f aca="false">SUM(E508:J508)</f>
        <v>4</v>
      </c>
      <c r="L508" s="107" t="n">
        <v>0</v>
      </c>
      <c r="M508" s="107" t="n">
        <v>0</v>
      </c>
      <c r="N508" s="107" t="n">
        <v>0</v>
      </c>
      <c r="O508" s="107" t="n">
        <v>0</v>
      </c>
      <c r="P508" s="107" t="n">
        <v>3.2</v>
      </c>
      <c r="Q508" s="107" t="n">
        <v>0</v>
      </c>
      <c r="R508" s="107" t="n">
        <f aca="false">SUM(L508:Q508)</f>
        <v>3.2</v>
      </c>
      <c r="S508" s="108" t="n">
        <v>1</v>
      </c>
      <c r="T508" s="108" t="n">
        <v>1</v>
      </c>
      <c r="U508" s="108" t="n">
        <v>1</v>
      </c>
      <c r="V508" s="108" t="n">
        <v>1</v>
      </c>
      <c r="W508" s="108" t="n">
        <v>1</v>
      </c>
      <c r="X508" s="108" t="n">
        <v>1</v>
      </c>
      <c r="Y508" s="107" t="n">
        <f aca="false">S508*$D508</f>
        <v>0.8</v>
      </c>
      <c r="Z508" s="107" t="n">
        <f aca="false">T508*$D508</f>
        <v>0.8</v>
      </c>
      <c r="AA508" s="107" t="n">
        <f aca="false">U508*$D508</f>
        <v>0.8</v>
      </c>
      <c r="AB508" s="107" t="n">
        <f aca="false">V508*$D508</f>
        <v>0.8</v>
      </c>
      <c r="AC508" s="107" t="n">
        <f aca="false">W508*$D508</f>
        <v>0.8</v>
      </c>
      <c r="AD508" s="107" t="n">
        <f aca="false">X508*$D508</f>
        <v>0.8</v>
      </c>
      <c r="AE508" s="107" t="n">
        <f aca="false">SUM(Y508:AD508)</f>
        <v>4.8</v>
      </c>
    </row>
    <row r="509" customFormat="false" ht="15" hidden="false" customHeight="false" outlineLevel="0" collapsed="false">
      <c r="A509" s="103" t="s">
        <v>930</v>
      </c>
      <c r="B509" s="104" t="n">
        <v>0</v>
      </c>
      <c r="C509" s="105" t="n">
        <f aca="false">IF(K509=0,0,R509/K509)</f>
        <v>3</v>
      </c>
      <c r="D509" s="105" t="n">
        <f aca="false">C509+B509</f>
        <v>3</v>
      </c>
      <c r="E509" s="106" t="n">
        <v>1</v>
      </c>
      <c r="F509" s="106" t="n">
        <v>0</v>
      </c>
      <c r="G509" s="106" t="n">
        <v>0</v>
      </c>
      <c r="H509" s="106" t="n">
        <v>0</v>
      </c>
      <c r="I509" s="106" t="n">
        <v>0</v>
      </c>
      <c r="J509" s="106" t="n">
        <v>0</v>
      </c>
      <c r="K509" s="106" t="n">
        <f aca="false">SUM(E509:J509)</f>
        <v>1</v>
      </c>
      <c r="L509" s="107" t="n">
        <v>3</v>
      </c>
      <c r="M509" s="107" t="n">
        <v>0</v>
      </c>
      <c r="N509" s="107" t="n">
        <v>0</v>
      </c>
      <c r="O509" s="107" t="n">
        <v>0</v>
      </c>
      <c r="P509" s="107" t="n">
        <v>0</v>
      </c>
      <c r="Q509" s="107" t="n">
        <v>0</v>
      </c>
      <c r="R509" s="107" t="n">
        <f aca="false">SUM(L509:Q509)</f>
        <v>3</v>
      </c>
      <c r="S509" s="108" t="n">
        <v>0</v>
      </c>
      <c r="T509" s="108" t="n">
        <v>0</v>
      </c>
      <c r="U509" s="108" t="n">
        <v>0</v>
      </c>
      <c r="V509" s="108" t="n">
        <v>0</v>
      </c>
      <c r="W509" s="108" t="n">
        <v>0</v>
      </c>
      <c r="X509" s="108" t="n">
        <v>0</v>
      </c>
      <c r="Y509" s="107" t="n">
        <f aca="false">S509*$D509</f>
        <v>0</v>
      </c>
      <c r="Z509" s="107" t="n">
        <f aca="false">T509*$D509</f>
        <v>0</v>
      </c>
      <c r="AA509" s="107" t="n">
        <f aca="false">U509*$D509</f>
        <v>0</v>
      </c>
      <c r="AB509" s="107" t="n">
        <f aca="false">V509*$D509</f>
        <v>0</v>
      </c>
      <c r="AC509" s="107" t="n">
        <f aca="false">W509*$D509</f>
        <v>0</v>
      </c>
      <c r="AD509" s="107" t="n">
        <f aca="false">X509*$D509</f>
        <v>0</v>
      </c>
      <c r="AE509" s="107" t="n">
        <f aca="false">SUM(Y509:AD509)</f>
        <v>0</v>
      </c>
    </row>
    <row r="510" customFormat="false" ht="15" hidden="false" customHeight="false" outlineLevel="0" collapsed="false">
      <c r="A510" s="109" t="s">
        <v>931</v>
      </c>
      <c r="B510" s="110"/>
      <c r="C510" s="110"/>
      <c r="D510" s="110"/>
      <c r="E510" s="111" t="n">
        <f aca="false">SUM(E465:E509)</f>
        <v>9</v>
      </c>
      <c r="F510" s="111" t="n">
        <f aca="false">SUM(F465:F509)</f>
        <v>29</v>
      </c>
      <c r="G510" s="111" t="n">
        <f aca="false">SUM(G465:G509)</f>
        <v>136</v>
      </c>
      <c r="H510" s="111" t="n">
        <f aca="false">SUM(H465:H509)</f>
        <v>66</v>
      </c>
      <c r="I510" s="111" t="n">
        <f aca="false">SUM(I465:I509)</f>
        <v>47</v>
      </c>
      <c r="J510" s="111" t="n">
        <f aca="false">SUM(J465:J509)</f>
        <v>72</v>
      </c>
      <c r="K510" s="111" t="n">
        <f aca="false">SUM(K465:K509)</f>
        <v>359</v>
      </c>
      <c r="L510" s="112" t="n">
        <f aca="false">SUM(L465:L509)</f>
        <v>131.15</v>
      </c>
      <c r="M510" s="112" t="n">
        <f aca="false">SUM(M465:M509)</f>
        <v>143.44</v>
      </c>
      <c r="N510" s="112" t="n">
        <f aca="false">SUM(N465:N509)</f>
        <v>1512.72</v>
      </c>
      <c r="O510" s="112" t="n">
        <f aca="false">SUM(O465:O509)</f>
        <v>614.34</v>
      </c>
      <c r="P510" s="112" t="n">
        <f aca="false">SUM(P465:P509)</f>
        <v>235.47</v>
      </c>
      <c r="Q510" s="112" t="n">
        <f aca="false">SUM(Q465:Q509)</f>
        <v>286.66</v>
      </c>
      <c r="R510" s="112" t="n">
        <f aca="false">SUM(R465:R509)</f>
        <v>2923.78</v>
      </c>
      <c r="S510" s="111" t="n">
        <f aca="false">SUM(S465:S509)</f>
        <v>60</v>
      </c>
      <c r="T510" s="111" t="n">
        <f aca="false">SUM(T465:T509)</f>
        <v>60</v>
      </c>
      <c r="U510" s="111" t="n">
        <f aca="false">SUM(U465:U509)</f>
        <v>60</v>
      </c>
      <c r="V510" s="111" t="n">
        <f aca="false">SUM(V465:V509)</f>
        <v>60</v>
      </c>
      <c r="W510" s="111" t="n">
        <f aca="false">SUM(W465:W509)</f>
        <v>60</v>
      </c>
      <c r="X510" s="111" t="n">
        <f aca="false">SUM(X465:X509)</f>
        <v>60</v>
      </c>
      <c r="Y510" s="112" t="n">
        <f aca="false">SUM(Y465:Y509)</f>
        <v>324.077982166228</v>
      </c>
      <c r="Z510" s="112" t="n">
        <f aca="false">SUM(Z465:Z509)</f>
        <v>324.077982166228</v>
      </c>
      <c r="AA510" s="112" t="n">
        <f aca="false">SUM(AA465:AA509)</f>
        <v>324.077982166228</v>
      </c>
      <c r="AB510" s="112" t="n">
        <f aca="false">SUM(AB465:AB509)</f>
        <v>324.077982166228</v>
      </c>
      <c r="AC510" s="112" t="n">
        <f aca="false">SUM(AC465:AC509)</f>
        <v>324.077982166228</v>
      </c>
      <c r="AD510" s="112" t="n">
        <f aca="false">SUM(AD465:AD509)</f>
        <v>324.077982166228</v>
      </c>
      <c r="AE510" s="112" t="n">
        <f aca="false">SUM(AE465:AE509)</f>
        <v>1944.46789299737</v>
      </c>
    </row>
    <row r="512" customFormat="false" ht="15" hidden="false" customHeight="false" outlineLevel="0" collapsed="false">
      <c r="A512" s="102" t="s">
        <v>932</v>
      </c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</row>
    <row r="513" customFormat="false" ht="15" hidden="false" customHeight="false" outlineLevel="0" collapsed="false">
      <c r="A513" s="103" t="s">
        <v>899</v>
      </c>
      <c r="B513" s="104" t="n">
        <v>0</v>
      </c>
      <c r="C513" s="105" t="n">
        <f aca="false">IF(K513=0,0,R513/K513)</f>
        <v>37.4818181818182</v>
      </c>
      <c r="D513" s="105" t="n">
        <f aca="false">C513+B513</f>
        <v>37.4818181818182</v>
      </c>
      <c r="E513" s="106" t="n">
        <v>6</v>
      </c>
      <c r="F513" s="106" t="n">
        <v>6</v>
      </c>
      <c r="G513" s="106" t="n">
        <v>10</v>
      </c>
      <c r="H513" s="106" t="n">
        <v>0</v>
      </c>
      <c r="I513" s="106" t="n">
        <v>0</v>
      </c>
      <c r="J513" s="106" t="n">
        <v>0</v>
      </c>
      <c r="K513" s="106" t="n">
        <f aca="false">SUM(E513:J513)</f>
        <v>22</v>
      </c>
      <c r="L513" s="107" t="n">
        <v>222.3</v>
      </c>
      <c r="M513" s="107" t="n">
        <v>222.3</v>
      </c>
      <c r="N513" s="107" t="n">
        <v>380</v>
      </c>
      <c r="O513" s="107" t="n">
        <v>0</v>
      </c>
      <c r="P513" s="107" t="n">
        <v>0</v>
      </c>
      <c r="Q513" s="107" t="n">
        <v>0</v>
      </c>
      <c r="R513" s="107" t="n">
        <f aca="false">SUM(L513:Q513)</f>
        <v>824.6</v>
      </c>
      <c r="S513" s="108" t="n">
        <v>0</v>
      </c>
      <c r="T513" s="108" t="n">
        <v>0</v>
      </c>
      <c r="U513" s="108" t="n">
        <v>0</v>
      </c>
      <c r="V513" s="108" t="n">
        <v>0</v>
      </c>
      <c r="W513" s="108" t="n">
        <v>0</v>
      </c>
      <c r="X513" s="108" t="n">
        <v>0</v>
      </c>
      <c r="Y513" s="107" t="n">
        <f aca="false">S513*$D513</f>
        <v>0</v>
      </c>
      <c r="Z513" s="107" t="n">
        <f aca="false">T513*$D513</f>
        <v>0</v>
      </c>
      <c r="AA513" s="107" t="n">
        <f aca="false">U513*$D513</f>
        <v>0</v>
      </c>
      <c r="AB513" s="107" t="n">
        <f aca="false">V513*$D513</f>
        <v>0</v>
      </c>
      <c r="AC513" s="107" t="n">
        <f aca="false">W513*$D513</f>
        <v>0</v>
      </c>
      <c r="AD513" s="107" t="n">
        <f aca="false">X513*$D513</f>
        <v>0</v>
      </c>
      <c r="AE513" s="107" t="n">
        <f aca="false">SUM(Y513:AD513)</f>
        <v>0</v>
      </c>
    </row>
    <row r="514" customFormat="false" ht="15" hidden="false" customHeight="false" outlineLevel="0" collapsed="false">
      <c r="A514" s="103" t="s">
        <v>933</v>
      </c>
      <c r="B514" s="104" t="n">
        <v>0</v>
      </c>
      <c r="C514" s="105" t="n">
        <f aca="false">IF(K514=0,0,R514/K514)</f>
        <v>17.3014705882353</v>
      </c>
      <c r="D514" s="105" t="n">
        <f aca="false">C514+B514</f>
        <v>17.3014705882353</v>
      </c>
      <c r="E514" s="106" t="n">
        <v>5</v>
      </c>
      <c r="F514" s="106" t="n">
        <v>11</v>
      </c>
      <c r="G514" s="106" t="n">
        <v>6</v>
      </c>
      <c r="H514" s="106" t="n">
        <v>3</v>
      </c>
      <c r="I514" s="106" t="n">
        <v>6</v>
      </c>
      <c r="J514" s="106" t="n">
        <v>3</v>
      </c>
      <c r="K514" s="106" t="n">
        <f aca="false">SUM(E514:J514)</f>
        <v>34</v>
      </c>
      <c r="L514" s="107" t="n">
        <v>85</v>
      </c>
      <c r="M514" s="107" t="n">
        <v>230</v>
      </c>
      <c r="N514" s="107" t="n">
        <v>96.25</v>
      </c>
      <c r="O514" s="107" t="n">
        <v>55</v>
      </c>
      <c r="P514" s="107" t="n">
        <v>87</v>
      </c>
      <c r="Q514" s="107" t="n">
        <v>35</v>
      </c>
      <c r="R514" s="107" t="n">
        <f aca="false">SUM(L514:Q514)</f>
        <v>588.25</v>
      </c>
      <c r="S514" s="108" t="n">
        <v>4</v>
      </c>
      <c r="T514" s="108" t="n">
        <v>4</v>
      </c>
      <c r="U514" s="108" t="n">
        <v>4</v>
      </c>
      <c r="V514" s="108" t="n">
        <v>4</v>
      </c>
      <c r="W514" s="108" t="n">
        <v>4</v>
      </c>
      <c r="X514" s="108" t="n">
        <v>4</v>
      </c>
      <c r="Y514" s="107" t="n">
        <f aca="false">S514*$D514</f>
        <v>69.2058823529412</v>
      </c>
      <c r="Z514" s="107" t="n">
        <f aca="false">T514*$D514</f>
        <v>69.2058823529412</v>
      </c>
      <c r="AA514" s="107" t="n">
        <f aca="false">U514*$D514</f>
        <v>69.2058823529412</v>
      </c>
      <c r="AB514" s="107" t="n">
        <f aca="false">V514*$D514</f>
        <v>69.2058823529412</v>
      </c>
      <c r="AC514" s="107" t="n">
        <f aca="false">W514*$D514</f>
        <v>69.2058823529412</v>
      </c>
      <c r="AD514" s="107" t="n">
        <f aca="false">X514*$D514</f>
        <v>69.2058823529412</v>
      </c>
      <c r="AE514" s="107" t="n">
        <f aca="false">SUM(Y514:AD514)</f>
        <v>415.235294117647</v>
      </c>
    </row>
    <row r="515" customFormat="false" ht="15" hidden="false" customHeight="false" outlineLevel="0" collapsed="false">
      <c r="A515" s="103" t="s">
        <v>901</v>
      </c>
      <c r="B515" s="104" t="n">
        <v>0</v>
      </c>
      <c r="C515" s="105" t="n">
        <f aca="false">IF(K515=0,0,R515/K515)</f>
        <v>30</v>
      </c>
      <c r="D515" s="105" t="n">
        <f aca="false">C515+B515</f>
        <v>30</v>
      </c>
      <c r="E515" s="106" t="n">
        <v>3</v>
      </c>
      <c r="F515" s="106" t="n">
        <v>10</v>
      </c>
      <c r="G515" s="106" t="n">
        <v>5</v>
      </c>
      <c r="H515" s="106" t="n">
        <v>0</v>
      </c>
      <c r="I515" s="106" t="n">
        <v>0</v>
      </c>
      <c r="J515" s="106" t="n">
        <v>0</v>
      </c>
      <c r="K515" s="106" t="n">
        <f aca="false">SUM(E515:J515)</f>
        <v>18</v>
      </c>
      <c r="L515" s="107" t="n">
        <v>90</v>
      </c>
      <c r="M515" s="107" t="n">
        <v>300</v>
      </c>
      <c r="N515" s="107" t="n">
        <v>150</v>
      </c>
      <c r="O515" s="107" t="n">
        <v>0</v>
      </c>
      <c r="P515" s="107" t="n">
        <v>0</v>
      </c>
      <c r="Q515" s="107" t="n">
        <v>0</v>
      </c>
      <c r="R515" s="107" t="n">
        <f aca="false">SUM(L515:Q515)</f>
        <v>540</v>
      </c>
      <c r="S515" s="108" t="n">
        <v>0</v>
      </c>
      <c r="T515" s="108" t="n">
        <v>0</v>
      </c>
      <c r="U515" s="108" t="n">
        <v>0</v>
      </c>
      <c r="V515" s="108" t="n">
        <v>0</v>
      </c>
      <c r="W515" s="108" t="n">
        <v>0</v>
      </c>
      <c r="X515" s="108" t="n">
        <v>0</v>
      </c>
      <c r="Y515" s="107" t="n">
        <f aca="false">S515*$D515</f>
        <v>0</v>
      </c>
      <c r="Z515" s="107" t="n">
        <f aca="false">T515*$D515</f>
        <v>0</v>
      </c>
      <c r="AA515" s="107" t="n">
        <f aca="false">U515*$D515</f>
        <v>0</v>
      </c>
      <c r="AB515" s="107" t="n">
        <f aca="false">V515*$D515</f>
        <v>0</v>
      </c>
      <c r="AC515" s="107" t="n">
        <f aca="false">W515*$D515</f>
        <v>0</v>
      </c>
      <c r="AD515" s="107" t="n">
        <f aca="false">X515*$D515</f>
        <v>0</v>
      </c>
      <c r="AE515" s="107" t="n">
        <f aca="false">SUM(Y515:AD515)</f>
        <v>0</v>
      </c>
    </row>
    <row r="516" customFormat="false" ht="15" hidden="false" customHeight="false" outlineLevel="0" collapsed="false">
      <c r="A516" s="103" t="s">
        <v>897</v>
      </c>
      <c r="B516" s="104" t="n">
        <v>0</v>
      </c>
      <c r="C516" s="105" t="n">
        <f aca="false">IF(K516=0,0,R516/K516)</f>
        <v>33.4833333333333</v>
      </c>
      <c r="D516" s="105" t="n">
        <f aca="false">C516+B516</f>
        <v>33.4833333333333</v>
      </c>
      <c r="E516" s="106" t="n">
        <v>5</v>
      </c>
      <c r="F516" s="106" t="n">
        <v>7</v>
      </c>
      <c r="G516" s="106" t="n">
        <v>3</v>
      </c>
      <c r="H516" s="106" t="n">
        <v>0</v>
      </c>
      <c r="I516" s="106" t="n">
        <v>0</v>
      </c>
      <c r="J516" s="106" t="n">
        <v>0</v>
      </c>
      <c r="K516" s="106" t="n">
        <f aca="false">SUM(E516:J516)</f>
        <v>15</v>
      </c>
      <c r="L516" s="107" t="n">
        <v>157.5</v>
      </c>
      <c r="M516" s="107" t="n">
        <v>239.75</v>
      </c>
      <c r="N516" s="107" t="n">
        <v>105</v>
      </c>
      <c r="O516" s="107" t="n">
        <v>0</v>
      </c>
      <c r="P516" s="107" t="n">
        <v>0</v>
      </c>
      <c r="Q516" s="107" t="n">
        <v>0</v>
      </c>
      <c r="R516" s="107" t="n">
        <f aca="false">SUM(L516:Q516)</f>
        <v>502.25</v>
      </c>
      <c r="S516" s="108" t="n">
        <v>0</v>
      </c>
      <c r="T516" s="108" t="n">
        <v>0</v>
      </c>
      <c r="U516" s="108" t="n">
        <v>0</v>
      </c>
      <c r="V516" s="108" t="n">
        <v>0</v>
      </c>
      <c r="W516" s="108" t="n">
        <v>0</v>
      </c>
      <c r="X516" s="108" t="n">
        <v>0</v>
      </c>
      <c r="Y516" s="107" t="n">
        <f aca="false">S516*$D516</f>
        <v>0</v>
      </c>
      <c r="Z516" s="107" t="n">
        <f aca="false">T516*$D516</f>
        <v>0</v>
      </c>
      <c r="AA516" s="107" t="n">
        <f aca="false">U516*$D516</f>
        <v>0</v>
      </c>
      <c r="AB516" s="107" t="n">
        <f aca="false">V516*$D516</f>
        <v>0</v>
      </c>
      <c r="AC516" s="107" t="n">
        <f aca="false">W516*$D516</f>
        <v>0</v>
      </c>
      <c r="AD516" s="107" t="n">
        <f aca="false">X516*$D516</f>
        <v>0</v>
      </c>
      <c r="AE516" s="107" t="n">
        <f aca="false">SUM(Y516:AD516)</f>
        <v>0</v>
      </c>
    </row>
    <row r="517" customFormat="false" ht="15" hidden="false" customHeight="false" outlineLevel="0" collapsed="false">
      <c r="A517" s="103" t="s">
        <v>896</v>
      </c>
      <c r="B517" s="104" t="n">
        <v>0</v>
      </c>
      <c r="C517" s="105" t="n">
        <f aca="false">IF(K517=0,0,R517/K517)</f>
        <v>28</v>
      </c>
      <c r="D517" s="105" t="n">
        <f aca="false">C517+B517</f>
        <v>28</v>
      </c>
      <c r="E517" s="106" t="n">
        <v>2</v>
      </c>
      <c r="F517" s="106" t="n">
        <v>7</v>
      </c>
      <c r="G517" s="106" t="n">
        <v>3</v>
      </c>
      <c r="H517" s="106" t="n">
        <v>0</v>
      </c>
      <c r="I517" s="106" t="n">
        <v>0</v>
      </c>
      <c r="J517" s="106" t="n">
        <v>0</v>
      </c>
      <c r="K517" s="106" t="n">
        <f aca="false">SUM(E517:J517)</f>
        <v>12</v>
      </c>
      <c r="L517" s="107" t="n">
        <v>56</v>
      </c>
      <c r="M517" s="107" t="n">
        <v>196</v>
      </c>
      <c r="N517" s="107" t="n">
        <v>84</v>
      </c>
      <c r="O517" s="107" t="n">
        <v>0</v>
      </c>
      <c r="P517" s="107" t="n">
        <v>0</v>
      </c>
      <c r="Q517" s="107" t="n">
        <v>0</v>
      </c>
      <c r="R517" s="107" t="n">
        <f aca="false">SUM(L517:Q517)</f>
        <v>336</v>
      </c>
      <c r="S517" s="108" t="n">
        <v>0</v>
      </c>
      <c r="T517" s="108" t="n">
        <v>0</v>
      </c>
      <c r="U517" s="108" t="n">
        <v>0</v>
      </c>
      <c r="V517" s="108" t="n">
        <v>0</v>
      </c>
      <c r="W517" s="108" t="n">
        <v>0</v>
      </c>
      <c r="X517" s="108" t="n">
        <v>0</v>
      </c>
      <c r="Y517" s="107" t="n">
        <f aca="false">S517*$D517</f>
        <v>0</v>
      </c>
      <c r="Z517" s="107" t="n">
        <f aca="false">T517*$D517</f>
        <v>0</v>
      </c>
      <c r="AA517" s="107" t="n">
        <f aca="false">U517*$D517</f>
        <v>0</v>
      </c>
      <c r="AB517" s="107" t="n">
        <f aca="false">V517*$D517</f>
        <v>0</v>
      </c>
      <c r="AC517" s="107" t="n">
        <f aca="false">W517*$D517</f>
        <v>0</v>
      </c>
      <c r="AD517" s="107" t="n">
        <f aca="false">X517*$D517</f>
        <v>0</v>
      </c>
      <c r="AE517" s="107" t="n">
        <f aca="false">SUM(Y517:AD517)</f>
        <v>0</v>
      </c>
    </row>
    <row r="518" customFormat="false" ht="15" hidden="false" customHeight="false" outlineLevel="0" collapsed="false">
      <c r="A518" s="103" t="s">
        <v>905</v>
      </c>
      <c r="B518" s="104" t="n">
        <v>0</v>
      </c>
      <c r="C518" s="105" t="n">
        <f aca="false">IF(K518=0,0,R518/K518)</f>
        <v>24.7115384615385</v>
      </c>
      <c r="D518" s="105" t="n">
        <f aca="false">C518+B518</f>
        <v>24.7115384615385</v>
      </c>
      <c r="E518" s="106" t="n">
        <v>5</v>
      </c>
      <c r="F518" s="106" t="n">
        <v>6</v>
      </c>
      <c r="G518" s="106" t="n">
        <v>2</v>
      </c>
      <c r="H518" s="106" t="n">
        <v>0</v>
      </c>
      <c r="I518" s="106" t="n">
        <v>0</v>
      </c>
      <c r="J518" s="106" t="n">
        <v>0</v>
      </c>
      <c r="K518" s="106" t="n">
        <f aca="false">SUM(E518:J518)</f>
        <v>13</v>
      </c>
      <c r="L518" s="107" t="n">
        <v>121.25</v>
      </c>
      <c r="M518" s="107" t="n">
        <v>150</v>
      </c>
      <c r="N518" s="107" t="n">
        <v>50</v>
      </c>
      <c r="O518" s="107" t="n">
        <v>0</v>
      </c>
      <c r="P518" s="107" t="n">
        <v>0</v>
      </c>
      <c r="Q518" s="107" t="n">
        <v>0</v>
      </c>
      <c r="R518" s="107" t="n">
        <f aca="false">SUM(L518:Q518)</f>
        <v>321.25</v>
      </c>
      <c r="S518" s="108" t="n">
        <v>0</v>
      </c>
      <c r="T518" s="108" t="n">
        <v>0</v>
      </c>
      <c r="U518" s="108" t="n">
        <v>0</v>
      </c>
      <c r="V518" s="108" t="n">
        <v>0</v>
      </c>
      <c r="W518" s="108" t="n">
        <v>0</v>
      </c>
      <c r="X518" s="108" t="n">
        <v>0</v>
      </c>
      <c r="Y518" s="107" t="n">
        <f aca="false">S518*$D518</f>
        <v>0</v>
      </c>
      <c r="Z518" s="107" t="n">
        <f aca="false">T518*$D518</f>
        <v>0</v>
      </c>
      <c r="AA518" s="107" t="n">
        <f aca="false">U518*$D518</f>
        <v>0</v>
      </c>
      <c r="AB518" s="107" t="n">
        <f aca="false">V518*$D518</f>
        <v>0</v>
      </c>
      <c r="AC518" s="107" t="n">
        <f aca="false">W518*$D518</f>
        <v>0</v>
      </c>
      <c r="AD518" s="107" t="n">
        <f aca="false">X518*$D518</f>
        <v>0</v>
      </c>
      <c r="AE518" s="107" t="n">
        <f aca="false">SUM(Y518:AD518)</f>
        <v>0</v>
      </c>
    </row>
    <row r="519" customFormat="false" ht="15" hidden="false" customHeight="false" outlineLevel="0" collapsed="false">
      <c r="A519" s="103" t="s">
        <v>749</v>
      </c>
      <c r="B519" s="104" t="n">
        <v>0</v>
      </c>
      <c r="C519" s="105" t="n">
        <f aca="false">IF(K519=0,0,R519/K519)</f>
        <v>5.97307692307692</v>
      </c>
      <c r="D519" s="105" t="n">
        <f aca="false">C519+B519</f>
        <v>5.97307692307692</v>
      </c>
      <c r="E519" s="106" t="n">
        <v>13</v>
      </c>
      <c r="F519" s="106" t="n">
        <v>5</v>
      </c>
      <c r="G519" s="106" t="n">
        <v>8</v>
      </c>
      <c r="H519" s="106" t="n">
        <v>0</v>
      </c>
      <c r="I519" s="106" t="n">
        <v>0</v>
      </c>
      <c r="J519" s="106" t="n">
        <v>0</v>
      </c>
      <c r="K519" s="106" t="n">
        <f aca="false">SUM(E519:J519)</f>
        <v>26</v>
      </c>
      <c r="L519" s="107" t="n">
        <v>80</v>
      </c>
      <c r="M519" s="107" t="n">
        <v>27.3</v>
      </c>
      <c r="N519" s="107" t="n">
        <v>48</v>
      </c>
      <c r="O519" s="107" t="n">
        <v>0</v>
      </c>
      <c r="P519" s="107" t="n">
        <v>0</v>
      </c>
      <c r="Q519" s="107" t="n">
        <v>0</v>
      </c>
      <c r="R519" s="107" t="n">
        <f aca="false">SUM(L519:Q519)</f>
        <v>155.3</v>
      </c>
      <c r="S519" s="108" t="n">
        <v>0</v>
      </c>
      <c r="T519" s="108" t="n">
        <v>0</v>
      </c>
      <c r="U519" s="108" t="n">
        <v>0</v>
      </c>
      <c r="V519" s="108" t="n">
        <v>0</v>
      </c>
      <c r="W519" s="108" t="n">
        <v>0</v>
      </c>
      <c r="X519" s="108" t="n">
        <v>0</v>
      </c>
      <c r="Y519" s="107" t="n">
        <f aca="false">S519*$D519</f>
        <v>0</v>
      </c>
      <c r="Z519" s="107" t="n">
        <f aca="false">T519*$D519</f>
        <v>0</v>
      </c>
      <c r="AA519" s="107" t="n">
        <f aca="false">U519*$D519</f>
        <v>0</v>
      </c>
      <c r="AB519" s="107" t="n">
        <f aca="false">V519*$D519</f>
        <v>0</v>
      </c>
      <c r="AC519" s="107" t="n">
        <f aca="false">W519*$D519</f>
        <v>0</v>
      </c>
      <c r="AD519" s="107" t="n">
        <f aca="false">X519*$D519</f>
        <v>0</v>
      </c>
      <c r="AE519" s="107" t="n">
        <f aca="false">SUM(Y519:AD519)</f>
        <v>0</v>
      </c>
    </row>
    <row r="520" customFormat="false" ht="15" hidden="false" customHeight="false" outlineLevel="0" collapsed="false">
      <c r="A520" s="103" t="s">
        <v>857</v>
      </c>
      <c r="B520" s="104" t="n">
        <v>0</v>
      </c>
      <c r="C520" s="105" t="n">
        <f aca="false">IF(K520=0,0,R520/K520)</f>
        <v>10</v>
      </c>
      <c r="D520" s="105" t="n">
        <f aca="false">C520+B520</f>
        <v>10</v>
      </c>
      <c r="E520" s="106" t="n">
        <v>1</v>
      </c>
      <c r="F520" s="106" t="n">
        <v>5</v>
      </c>
      <c r="G520" s="106" t="n">
        <v>5</v>
      </c>
      <c r="H520" s="106" t="n">
        <v>0</v>
      </c>
      <c r="I520" s="106" t="n">
        <v>0</v>
      </c>
      <c r="J520" s="106" t="n">
        <v>0</v>
      </c>
      <c r="K520" s="106" t="n">
        <f aca="false">SUM(E520:J520)</f>
        <v>11</v>
      </c>
      <c r="L520" s="107" t="n">
        <v>10</v>
      </c>
      <c r="M520" s="107" t="n">
        <v>50</v>
      </c>
      <c r="N520" s="107" t="n">
        <v>50</v>
      </c>
      <c r="O520" s="107" t="n">
        <v>0</v>
      </c>
      <c r="P520" s="107" t="n">
        <v>0</v>
      </c>
      <c r="Q520" s="107" t="n">
        <v>0</v>
      </c>
      <c r="R520" s="107" t="n">
        <f aca="false">SUM(L520:Q520)</f>
        <v>110</v>
      </c>
      <c r="S520" s="108" t="n">
        <v>0</v>
      </c>
      <c r="T520" s="108" t="n">
        <v>0</v>
      </c>
      <c r="U520" s="108" t="n">
        <v>0</v>
      </c>
      <c r="V520" s="108" t="n">
        <v>0</v>
      </c>
      <c r="W520" s="108" t="n">
        <v>0</v>
      </c>
      <c r="X520" s="108" t="n">
        <v>0</v>
      </c>
      <c r="Y520" s="107" t="n">
        <f aca="false">S520*$D520</f>
        <v>0</v>
      </c>
      <c r="Z520" s="107" t="n">
        <f aca="false">T520*$D520</f>
        <v>0</v>
      </c>
      <c r="AA520" s="107" t="n">
        <f aca="false">U520*$D520</f>
        <v>0</v>
      </c>
      <c r="AB520" s="107" t="n">
        <f aca="false">V520*$D520</f>
        <v>0</v>
      </c>
      <c r="AC520" s="107" t="n">
        <f aca="false">W520*$D520</f>
        <v>0</v>
      </c>
      <c r="AD520" s="107" t="n">
        <f aca="false">X520*$D520</f>
        <v>0</v>
      </c>
      <c r="AE520" s="107" t="n">
        <f aca="false">SUM(Y520:AD520)</f>
        <v>0</v>
      </c>
    </row>
    <row r="521" customFormat="false" ht="15" hidden="false" customHeight="false" outlineLevel="0" collapsed="false">
      <c r="A521" s="103" t="s">
        <v>860</v>
      </c>
      <c r="B521" s="104" t="n">
        <v>0</v>
      </c>
      <c r="C521" s="105" t="n">
        <f aca="false">IF(K521=0,0,R521/K521)</f>
        <v>5.73684210526316</v>
      </c>
      <c r="D521" s="105" t="n">
        <f aca="false">C521+B521</f>
        <v>5.73684210526316</v>
      </c>
      <c r="E521" s="106" t="n">
        <v>11</v>
      </c>
      <c r="F521" s="106" t="n">
        <v>6</v>
      </c>
      <c r="G521" s="106" t="n">
        <v>2</v>
      </c>
      <c r="H521" s="106" t="n">
        <v>0</v>
      </c>
      <c r="I521" s="106" t="n">
        <v>0</v>
      </c>
      <c r="J521" s="106" t="n">
        <v>0</v>
      </c>
      <c r="K521" s="106" t="n">
        <f aca="false">SUM(E521:J521)</f>
        <v>19</v>
      </c>
      <c r="L521" s="107" t="n">
        <v>61</v>
      </c>
      <c r="M521" s="107" t="n">
        <v>36</v>
      </c>
      <c r="N521" s="107" t="n">
        <v>12</v>
      </c>
      <c r="O521" s="107" t="n">
        <v>0</v>
      </c>
      <c r="P521" s="107" t="n">
        <v>0</v>
      </c>
      <c r="Q521" s="107" t="n">
        <v>0</v>
      </c>
      <c r="R521" s="107" t="n">
        <f aca="false">SUM(L521:Q521)</f>
        <v>109</v>
      </c>
      <c r="S521" s="108" t="n">
        <v>0</v>
      </c>
      <c r="T521" s="108" t="n">
        <v>0</v>
      </c>
      <c r="U521" s="108" t="n">
        <v>0</v>
      </c>
      <c r="V521" s="108" t="n">
        <v>0</v>
      </c>
      <c r="W521" s="108" t="n">
        <v>0</v>
      </c>
      <c r="X521" s="108" t="n">
        <v>0</v>
      </c>
      <c r="Y521" s="107" t="n">
        <f aca="false">S521*$D521</f>
        <v>0</v>
      </c>
      <c r="Z521" s="107" t="n">
        <f aca="false">T521*$D521</f>
        <v>0</v>
      </c>
      <c r="AA521" s="107" t="n">
        <f aca="false">U521*$D521</f>
        <v>0</v>
      </c>
      <c r="AB521" s="107" t="n">
        <f aca="false">V521*$D521</f>
        <v>0</v>
      </c>
      <c r="AC521" s="107" t="n">
        <f aca="false">W521*$D521</f>
        <v>0</v>
      </c>
      <c r="AD521" s="107" t="n">
        <f aca="false">X521*$D521</f>
        <v>0</v>
      </c>
      <c r="AE521" s="107" t="n">
        <f aca="false">SUM(Y521:AD521)</f>
        <v>0</v>
      </c>
    </row>
    <row r="522" customFormat="false" ht="15" hidden="false" customHeight="false" outlineLevel="0" collapsed="false">
      <c r="A522" s="103" t="s">
        <v>688</v>
      </c>
      <c r="B522" s="104" t="n">
        <v>0</v>
      </c>
      <c r="C522" s="105" t="n">
        <f aca="false">IF(K522=0,0,R522/K522)</f>
        <v>6.15</v>
      </c>
      <c r="D522" s="105" t="n">
        <f aca="false">C522+B522</f>
        <v>6.15</v>
      </c>
      <c r="E522" s="106" t="n">
        <v>11</v>
      </c>
      <c r="F522" s="106" t="n">
        <v>1</v>
      </c>
      <c r="G522" s="106" t="n">
        <v>2</v>
      </c>
      <c r="H522" s="106" t="n">
        <v>0</v>
      </c>
      <c r="I522" s="106" t="n">
        <v>0</v>
      </c>
      <c r="J522" s="106" t="n">
        <v>0</v>
      </c>
      <c r="K522" s="106" t="n">
        <f aca="false">SUM(E522:J522)</f>
        <v>14</v>
      </c>
      <c r="L522" s="107" t="n">
        <v>69</v>
      </c>
      <c r="M522" s="107" t="n">
        <v>5.1</v>
      </c>
      <c r="N522" s="107" t="n">
        <v>12</v>
      </c>
      <c r="O522" s="107" t="n">
        <v>0</v>
      </c>
      <c r="P522" s="107" t="n">
        <v>0</v>
      </c>
      <c r="Q522" s="107" t="n">
        <v>0</v>
      </c>
      <c r="R522" s="107" t="n">
        <f aca="false">SUM(L522:Q522)</f>
        <v>86.1</v>
      </c>
      <c r="S522" s="108" t="n">
        <v>0</v>
      </c>
      <c r="T522" s="108" t="n">
        <v>0</v>
      </c>
      <c r="U522" s="108" t="n">
        <v>0</v>
      </c>
      <c r="V522" s="108" t="n">
        <v>0</v>
      </c>
      <c r="W522" s="108" t="n">
        <v>0</v>
      </c>
      <c r="X522" s="108" t="n">
        <v>0</v>
      </c>
      <c r="Y522" s="107" t="n">
        <f aca="false">S522*$D522</f>
        <v>0</v>
      </c>
      <c r="Z522" s="107" t="n">
        <f aca="false">T522*$D522</f>
        <v>0</v>
      </c>
      <c r="AA522" s="107" t="n">
        <f aca="false">U522*$D522</f>
        <v>0</v>
      </c>
      <c r="AB522" s="107" t="n">
        <f aca="false">V522*$D522</f>
        <v>0</v>
      </c>
      <c r="AC522" s="107" t="n">
        <f aca="false">W522*$D522</f>
        <v>0</v>
      </c>
      <c r="AD522" s="107" t="n">
        <f aca="false">X522*$D522</f>
        <v>0</v>
      </c>
      <c r="AE522" s="107" t="n">
        <f aca="false">SUM(Y522:AD522)</f>
        <v>0</v>
      </c>
    </row>
    <row r="523" customFormat="false" ht="15" hidden="false" customHeight="false" outlineLevel="0" collapsed="false">
      <c r="A523" s="103" t="s">
        <v>919</v>
      </c>
      <c r="B523" s="104" t="n">
        <v>0</v>
      </c>
      <c r="C523" s="105" t="n">
        <f aca="false">IF(K523=0,0,R523/K523)</f>
        <v>6.895</v>
      </c>
      <c r="D523" s="105" t="n">
        <f aca="false">C523+B523</f>
        <v>6.895</v>
      </c>
      <c r="E523" s="106" t="n">
        <v>4</v>
      </c>
      <c r="F523" s="106" t="n">
        <v>3</v>
      </c>
      <c r="G523" s="106" t="n">
        <v>3</v>
      </c>
      <c r="H523" s="106" t="n">
        <v>0</v>
      </c>
      <c r="I523" s="106" t="n">
        <v>0</v>
      </c>
      <c r="J523" s="106" t="n">
        <v>0</v>
      </c>
      <c r="K523" s="106" t="n">
        <f aca="false">SUM(E523:J523)</f>
        <v>10</v>
      </c>
      <c r="L523" s="107" t="n">
        <v>28</v>
      </c>
      <c r="M523" s="107" t="n">
        <v>19.95</v>
      </c>
      <c r="N523" s="107" t="n">
        <v>21</v>
      </c>
      <c r="O523" s="107" t="n">
        <v>0</v>
      </c>
      <c r="P523" s="107" t="n">
        <v>0</v>
      </c>
      <c r="Q523" s="107" t="n">
        <v>0</v>
      </c>
      <c r="R523" s="107" t="n">
        <f aca="false">SUM(L523:Q523)</f>
        <v>68.95</v>
      </c>
      <c r="S523" s="108" t="n">
        <v>0</v>
      </c>
      <c r="T523" s="108" t="n">
        <v>0</v>
      </c>
      <c r="U523" s="108" t="n">
        <v>0</v>
      </c>
      <c r="V523" s="108" t="n">
        <v>0</v>
      </c>
      <c r="W523" s="108" t="n">
        <v>0</v>
      </c>
      <c r="X523" s="108" t="n">
        <v>0</v>
      </c>
      <c r="Y523" s="107" t="n">
        <f aca="false">S523*$D523</f>
        <v>0</v>
      </c>
      <c r="Z523" s="107" t="n">
        <f aca="false">T523*$D523</f>
        <v>0</v>
      </c>
      <c r="AA523" s="107" t="n">
        <f aca="false">U523*$D523</f>
        <v>0</v>
      </c>
      <c r="AB523" s="107" t="n">
        <f aca="false">V523*$D523</f>
        <v>0</v>
      </c>
      <c r="AC523" s="107" t="n">
        <f aca="false">W523*$D523</f>
        <v>0</v>
      </c>
      <c r="AD523" s="107" t="n">
        <f aca="false">X523*$D523</f>
        <v>0</v>
      </c>
      <c r="AE523" s="107" t="n">
        <f aca="false">SUM(Y523:AD523)</f>
        <v>0</v>
      </c>
    </row>
    <row r="524" customFormat="false" ht="15" hidden="false" customHeight="false" outlineLevel="0" collapsed="false">
      <c r="A524" s="103" t="s">
        <v>912</v>
      </c>
      <c r="B524" s="104" t="n">
        <v>0</v>
      </c>
      <c r="C524" s="105" t="n">
        <f aca="false">IF(K524=0,0,R524/K524)</f>
        <v>6.84444444444445</v>
      </c>
      <c r="D524" s="105" t="n">
        <f aca="false">C524+B524</f>
        <v>6.84444444444445</v>
      </c>
      <c r="E524" s="106" t="n">
        <v>2</v>
      </c>
      <c r="F524" s="106" t="n">
        <v>4</v>
      </c>
      <c r="G524" s="106" t="n">
        <v>3</v>
      </c>
      <c r="H524" s="106" t="n">
        <v>0</v>
      </c>
      <c r="I524" s="106" t="n">
        <v>0</v>
      </c>
      <c r="J524" s="106" t="n">
        <v>0</v>
      </c>
      <c r="K524" s="106" t="n">
        <f aca="false">SUM(E524:J524)</f>
        <v>9</v>
      </c>
      <c r="L524" s="107" t="n">
        <v>14</v>
      </c>
      <c r="M524" s="107" t="n">
        <v>26.6</v>
      </c>
      <c r="N524" s="107" t="n">
        <v>21</v>
      </c>
      <c r="O524" s="107" t="n">
        <v>0</v>
      </c>
      <c r="P524" s="107" t="n">
        <v>0</v>
      </c>
      <c r="Q524" s="107" t="n">
        <v>0</v>
      </c>
      <c r="R524" s="107" t="n">
        <f aca="false">SUM(L524:Q524)</f>
        <v>61.6</v>
      </c>
      <c r="S524" s="108" t="n">
        <v>0</v>
      </c>
      <c r="T524" s="108" t="n">
        <v>0</v>
      </c>
      <c r="U524" s="108" t="n">
        <v>0</v>
      </c>
      <c r="V524" s="108" t="n">
        <v>0</v>
      </c>
      <c r="W524" s="108" t="n">
        <v>0</v>
      </c>
      <c r="X524" s="108" t="n">
        <v>0</v>
      </c>
      <c r="Y524" s="107" t="n">
        <f aca="false">S524*$D524</f>
        <v>0</v>
      </c>
      <c r="Z524" s="107" t="n">
        <f aca="false">T524*$D524</f>
        <v>0</v>
      </c>
      <c r="AA524" s="107" t="n">
        <f aca="false">U524*$D524</f>
        <v>0</v>
      </c>
      <c r="AB524" s="107" t="n">
        <f aca="false">V524*$D524</f>
        <v>0</v>
      </c>
      <c r="AC524" s="107" t="n">
        <f aca="false">W524*$D524</f>
        <v>0</v>
      </c>
      <c r="AD524" s="107" t="n">
        <f aca="false">X524*$D524</f>
        <v>0</v>
      </c>
      <c r="AE524" s="107" t="n">
        <f aca="false">SUM(Y524:AD524)</f>
        <v>0</v>
      </c>
    </row>
    <row r="525" customFormat="false" ht="15" hidden="false" customHeight="false" outlineLevel="0" collapsed="false">
      <c r="A525" s="103" t="s">
        <v>861</v>
      </c>
      <c r="B525" s="104" t="n">
        <v>0</v>
      </c>
      <c r="C525" s="105" t="n">
        <f aca="false">IF(K525=0,0,R525/K525)</f>
        <v>5</v>
      </c>
      <c r="D525" s="105" t="n">
        <f aca="false">C525+B525</f>
        <v>5</v>
      </c>
      <c r="E525" s="106" t="n">
        <v>4</v>
      </c>
      <c r="F525" s="106" t="n">
        <v>4</v>
      </c>
      <c r="G525" s="106" t="n">
        <v>1</v>
      </c>
      <c r="H525" s="106" t="n">
        <v>0</v>
      </c>
      <c r="I525" s="106" t="n">
        <v>0</v>
      </c>
      <c r="J525" s="106" t="n">
        <v>0</v>
      </c>
      <c r="K525" s="106" t="n">
        <f aca="false">SUM(E525:J525)</f>
        <v>9</v>
      </c>
      <c r="L525" s="107" t="n">
        <v>20</v>
      </c>
      <c r="M525" s="107" t="n">
        <v>20</v>
      </c>
      <c r="N525" s="107" t="n">
        <v>5</v>
      </c>
      <c r="O525" s="107" t="n">
        <v>0</v>
      </c>
      <c r="P525" s="107" t="n">
        <v>0</v>
      </c>
      <c r="Q525" s="107" t="n">
        <v>0</v>
      </c>
      <c r="R525" s="107" t="n">
        <f aca="false">SUM(L525:Q525)</f>
        <v>45</v>
      </c>
      <c r="S525" s="108" t="n">
        <v>0</v>
      </c>
      <c r="T525" s="108" t="n">
        <v>0</v>
      </c>
      <c r="U525" s="108" t="n">
        <v>0</v>
      </c>
      <c r="V525" s="108" t="n">
        <v>0</v>
      </c>
      <c r="W525" s="108" t="n">
        <v>0</v>
      </c>
      <c r="X525" s="108" t="n">
        <v>0</v>
      </c>
      <c r="Y525" s="107" t="n">
        <f aca="false">S525*$D525</f>
        <v>0</v>
      </c>
      <c r="Z525" s="107" t="n">
        <f aca="false">T525*$D525</f>
        <v>0</v>
      </c>
      <c r="AA525" s="107" t="n">
        <f aca="false">U525*$D525</f>
        <v>0</v>
      </c>
      <c r="AB525" s="107" t="n">
        <f aca="false">V525*$D525</f>
        <v>0</v>
      </c>
      <c r="AC525" s="107" t="n">
        <f aca="false">W525*$D525</f>
        <v>0</v>
      </c>
      <c r="AD525" s="107" t="n">
        <f aca="false">X525*$D525</f>
        <v>0</v>
      </c>
      <c r="AE525" s="107" t="n">
        <f aca="false">SUM(Y525:AD525)</f>
        <v>0</v>
      </c>
    </row>
    <row r="526" customFormat="false" ht="15" hidden="false" customHeight="false" outlineLevel="0" collapsed="false">
      <c r="A526" s="103" t="s">
        <v>864</v>
      </c>
      <c r="B526" s="104" t="n">
        <v>0</v>
      </c>
      <c r="C526" s="105" t="n">
        <f aca="false">IF(K526=0,0,R526/K526)</f>
        <v>7</v>
      </c>
      <c r="D526" s="105" t="n">
        <f aca="false">C526+B526</f>
        <v>7</v>
      </c>
      <c r="E526" s="106" t="n">
        <v>0</v>
      </c>
      <c r="F526" s="106" t="n">
        <v>3</v>
      </c>
      <c r="G526" s="106" t="n">
        <v>3</v>
      </c>
      <c r="H526" s="106" t="n">
        <v>0</v>
      </c>
      <c r="I526" s="106" t="n">
        <v>0</v>
      </c>
      <c r="J526" s="106" t="n">
        <v>0</v>
      </c>
      <c r="K526" s="106" t="n">
        <f aca="false">SUM(E526:J526)</f>
        <v>6</v>
      </c>
      <c r="L526" s="107" t="n">
        <v>0</v>
      </c>
      <c r="M526" s="107" t="n">
        <v>21</v>
      </c>
      <c r="N526" s="107" t="n">
        <v>21</v>
      </c>
      <c r="O526" s="107" t="n">
        <v>0</v>
      </c>
      <c r="P526" s="107" t="n">
        <v>0</v>
      </c>
      <c r="Q526" s="107" t="n">
        <v>0</v>
      </c>
      <c r="R526" s="107" t="n">
        <f aca="false">SUM(L526:Q526)</f>
        <v>42</v>
      </c>
      <c r="S526" s="108" t="n">
        <v>0</v>
      </c>
      <c r="T526" s="108" t="n">
        <v>0</v>
      </c>
      <c r="U526" s="108" t="n">
        <v>0</v>
      </c>
      <c r="V526" s="108" t="n">
        <v>0</v>
      </c>
      <c r="W526" s="108" t="n">
        <v>0</v>
      </c>
      <c r="X526" s="108" t="n">
        <v>0</v>
      </c>
      <c r="Y526" s="107" t="n">
        <f aca="false">S526*$D526</f>
        <v>0</v>
      </c>
      <c r="Z526" s="107" t="n">
        <f aca="false">T526*$D526</f>
        <v>0</v>
      </c>
      <c r="AA526" s="107" t="n">
        <f aca="false">U526*$D526</f>
        <v>0</v>
      </c>
      <c r="AB526" s="107" t="n">
        <f aca="false">V526*$D526</f>
        <v>0</v>
      </c>
      <c r="AC526" s="107" t="n">
        <f aca="false">W526*$D526</f>
        <v>0</v>
      </c>
      <c r="AD526" s="107" t="n">
        <f aca="false">X526*$D526</f>
        <v>0</v>
      </c>
      <c r="AE526" s="107" t="n">
        <f aca="false">SUM(Y526:AD526)</f>
        <v>0</v>
      </c>
    </row>
    <row r="527" customFormat="false" ht="15" hidden="false" customHeight="false" outlineLevel="0" collapsed="false">
      <c r="A527" s="103" t="s">
        <v>934</v>
      </c>
      <c r="B527" s="104" t="n">
        <v>0</v>
      </c>
      <c r="C527" s="105" t="n">
        <f aca="false">IF(K527=0,0,R527/K527)</f>
        <v>7</v>
      </c>
      <c r="D527" s="105" t="n">
        <f aca="false">C527+B527</f>
        <v>7</v>
      </c>
      <c r="E527" s="106" t="n">
        <v>2</v>
      </c>
      <c r="F527" s="106" t="n">
        <v>3</v>
      </c>
      <c r="G527" s="106" t="n">
        <v>0</v>
      </c>
      <c r="H527" s="106" t="n">
        <v>0</v>
      </c>
      <c r="I527" s="106" t="n">
        <v>0</v>
      </c>
      <c r="J527" s="106" t="n">
        <v>0</v>
      </c>
      <c r="K527" s="106" t="n">
        <f aca="false">SUM(E527:J527)</f>
        <v>5</v>
      </c>
      <c r="L527" s="107" t="n">
        <v>14</v>
      </c>
      <c r="M527" s="107" t="n">
        <v>21</v>
      </c>
      <c r="N527" s="107" t="n">
        <v>0</v>
      </c>
      <c r="O527" s="107" t="n">
        <v>0</v>
      </c>
      <c r="P527" s="107" t="n">
        <v>0</v>
      </c>
      <c r="Q527" s="107" t="n">
        <v>0</v>
      </c>
      <c r="R527" s="107" t="n">
        <f aca="false">SUM(L527:Q527)</f>
        <v>35</v>
      </c>
      <c r="S527" s="108" t="n">
        <v>0</v>
      </c>
      <c r="T527" s="108" t="n">
        <v>0</v>
      </c>
      <c r="U527" s="108" t="n">
        <v>0</v>
      </c>
      <c r="V527" s="108" t="n">
        <v>0</v>
      </c>
      <c r="W527" s="108" t="n">
        <v>0</v>
      </c>
      <c r="X527" s="108" t="n">
        <v>0</v>
      </c>
      <c r="Y527" s="107" t="n">
        <f aca="false">S527*$D527</f>
        <v>0</v>
      </c>
      <c r="Z527" s="107" t="n">
        <f aca="false">T527*$D527</f>
        <v>0</v>
      </c>
      <c r="AA527" s="107" t="n">
        <f aca="false">U527*$D527</f>
        <v>0</v>
      </c>
      <c r="AB527" s="107" t="n">
        <f aca="false">V527*$D527</f>
        <v>0</v>
      </c>
      <c r="AC527" s="107" t="n">
        <f aca="false">W527*$D527</f>
        <v>0</v>
      </c>
      <c r="AD527" s="107" t="n">
        <f aca="false">X527*$D527</f>
        <v>0</v>
      </c>
      <c r="AE527" s="107" t="n">
        <f aca="false">SUM(Y527:AD527)</f>
        <v>0</v>
      </c>
    </row>
    <row r="528" customFormat="false" ht="15" hidden="false" customHeight="false" outlineLevel="0" collapsed="false">
      <c r="A528" s="103" t="s">
        <v>935</v>
      </c>
      <c r="B528" s="104" t="n">
        <v>0</v>
      </c>
      <c r="C528" s="105" t="n">
        <f aca="false">IF(K528=0,0,R528/K528)</f>
        <v>10</v>
      </c>
      <c r="D528" s="105" t="n">
        <f aca="false">C528+B528</f>
        <v>10</v>
      </c>
      <c r="E528" s="106" t="n">
        <v>0</v>
      </c>
      <c r="F528" s="106" t="n">
        <v>2</v>
      </c>
      <c r="G528" s="106" t="n">
        <v>1</v>
      </c>
      <c r="H528" s="106" t="n">
        <v>0</v>
      </c>
      <c r="I528" s="106" t="n">
        <v>0</v>
      </c>
      <c r="J528" s="106" t="n">
        <v>0</v>
      </c>
      <c r="K528" s="106" t="n">
        <f aca="false">SUM(E528:J528)</f>
        <v>3</v>
      </c>
      <c r="L528" s="107" t="n">
        <v>0</v>
      </c>
      <c r="M528" s="107" t="n">
        <v>20</v>
      </c>
      <c r="N528" s="107" t="n">
        <v>10</v>
      </c>
      <c r="O528" s="107" t="n">
        <v>0</v>
      </c>
      <c r="P528" s="107" t="n">
        <v>0</v>
      </c>
      <c r="Q528" s="107" t="n">
        <v>0</v>
      </c>
      <c r="R528" s="107" t="n">
        <f aca="false">SUM(L528:Q528)</f>
        <v>30</v>
      </c>
      <c r="S528" s="108" t="n">
        <v>0</v>
      </c>
      <c r="T528" s="108" t="n">
        <v>0</v>
      </c>
      <c r="U528" s="108" t="n">
        <v>0</v>
      </c>
      <c r="V528" s="108" t="n">
        <v>0</v>
      </c>
      <c r="W528" s="108" t="n">
        <v>0</v>
      </c>
      <c r="X528" s="108" t="n">
        <v>0</v>
      </c>
      <c r="Y528" s="107" t="n">
        <f aca="false">S528*$D528</f>
        <v>0</v>
      </c>
      <c r="Z528" s="107" t="n">
        <f aca="false">T528*$D528</f>
        <v>0</v>
      </c>
      <c r="AA528" s="107" t="n">
        <f aca="false">U528*$D528</f>
        <v>0</v>
      </c>
      <c r="AB528" s="107" t="n">
        <f aca="false">V528*$D528</f>
        <v>0</v>
      </c>
      <c r="AC528" s="107" t="n">
        <f aca="false">W528*$D528</f>
        <v>0</v>
      </c>
      <c r="AD528" s="107" t="n">
        <f aca="false">X528*$D528</f>
        <v>0</v>
      </c>
      <c r="AE528" s="107" t="n">
        <f aca="false">SUM(Y528:AD528)</f>
        <v>0</v>
      </c>
    </row>
    <row r="529" customFormat="false" ht="15" hidden="false" customHeight="false" outlineLevel="0" collapsed="false">
      <c r="A529" s="103" t="s">
        <v>852</v>
      </c>
      <c r="B529" s="104" t="n">
        <v>0</v>
      </c>
      <c r="C529" s="105" t="n">
        <f aca="false">IF(K529=0,0,R529/K529)</f>
        <v>10</v>
      </c>
      <c r="D529" s="105" t="n">
        <f aca="false">C529+B529</f>
        <v>10</v>
      </c>
      <c r="E529" s="106" t="n">
        <v>0</v>
      </c>
      <c r="F529" s="106" t="n">
        <v>1</v>
      </c>
      <c r="G529" s="106" t="n">
        <v>1</v>
      </c>
      <c r="H529" s="106" t="n">
        <v>0</v>
      </c>
      <c r="I529" s="106" t="n">
        <v>0</v>
      </c>
      <c r="J529" s="106" t="n">
        <v>0</v>
      </c>
      <c r="K529" s="106" t="n">
        <f aca="false">SUM(E529:J529)</f>
        <v>2</v>
      </c>
      <c r="L529" s="107" t="n">
        <v>0</v>
      </c>
      <c r="M529" s="107" t="n">
        <v>10</v>
      </c>
      <c r="N529" s="107" t="n">
        <v>10</v>
      </c>
      <c r="O529" s="107" t="n">
        <v>0</v>
      </c>
      <c r="P529" s="107" t="n">
        <v>0</v>
      </c>
      <c r="Q529" s="107" t="n">
        <v>0</v>
      </c>
      <c r="R529" s="107" t="n">
        <f aca="false">SUM(L529:Q529)</f>
        <v>20</v>
      </c>
      <c r="S529" s="108" t="n">
        <v>0</v>
      </c>
      <c r="T529" s="108" t="n">
        <v>0</v>
      </c>
      <c r="U529" s="108" t="n">
        <v>0</v>
      </c>
      <c r="V529" s="108" t="n">
        <v>0</v>
      </c>
      <c r="W529" s="108" t="n">
        <v>0</v>
      </c>
      <c r="X529" s="108" t="n">
        <v>0</v>
      </c>
      <c r="Y529" s="107" t="n">
        <f aca="false">S529*$D529</f>
        <v>0</v>
      </c>
      <c r="Z529" s="107" t="n">
        <f aca="false">T529*$D529</f>
        <v>0</v>
      </c>
      <c r="AA529" s="107" t="n">
        <f aca="false">U529*$D529</f>
        <v>0</v>
      </c>
      <c r="AB529" s="107" t="n">
        <f aca="false">V529*$D529</f>
        <v>0</v>
      </c>
      <c r="AC529" s="107" t="n">
        <f aca="false">W529*$D529</f>
        <v>0</v>
      </c>
      <c r="AD529" s="107" t="n">
        <f aca="false">X529*$D529</f>
        <v>0</v>
      </c>
      <c r="AE529" s="107" t="n">
        <f aca="false">SUM(Y529:AD529)</f>
        <v>0</v>
      </c>
    </row>
    <row r="530" customFormat="false" ht="15" hidden="false" customHeight="false" outlineLevel="0" collapsed="false">
      <c r="A530" s="103" t="s">
        <v>936</v>
      </c>
      <c r="B530" s="104" t="n">
        <v>0</v>
      </c>
      <c r="C530" s="105" t="n">
        <f aca="false">IF(K530=0,0,R530/K530)</f>
        <v>16</v>
      </c>
      <c r="D530" s="105" t="n">
        <f aca="false">C530+B530</f>
        <v>16</v>
      </c>
      <c r="E530" s="106" t="n">
        <v>0</v>
      </c>
      <c r="F530" s="106" t="n">
        <v>0</v>
      </c>
      <c r="G530" s="106" t="n">
        <v>0</v>
      </c>
      <c r="H530" s="106" t="n">
        <v>0</v>
      </c>
      <c r="I530" s="106" t="n">
        <v>1</v>
      </c>
      <c r="J530" s="106" t="n">
        <v>0</v>
      </c>
      <c r="K530" s="106" t="n">
        <f aca="false">SUM(E530:J530)</f>
        <v>1</v>
      </c>
      <c r="L530" s="107" t="n">
        <v>0</v>
      </c>
      <c r="M530" s="107" t="n">
        <v>0</v>
      </c>
      <c r="N530" s="107" t="n">
        <v>0</v>
      </c>
      <c r="O530" s="107" t="n">
        <v>0</v>
      </c>
      <c r="P530" s="107" t="n">
        <v>16</v>
      </c>
      <c r="Q530" s="107" t="n">
        <v>0</v>
      </c>
      <c r="R530" s="107" t="n">
        <f aca="false">SUM(L530:Q530)</f>
        <v>16</v>
      </c>
      <c r="S530" s="108" t="n">
        <v>0</v>
      </c>
      <c r="T530" s="108" t="n">
        <v>0</v>
      </c>
      <c r="U530" s="108" t="n">
        <v>0</v>
      </c>
      <c r="V530" s="108" t="n">
        <v>0</v>
      </c>
      <c r="W530" s="108" t="n">
        <v>0</v>
      </c>
      <c r="X530" s="108" t="n">
        <v>0</v>
      </c>
      <c r="Y530" s="107" t="n">
        <f aca="false">S530*$D530</f>
        <v>0</v>
      </c>
      <c r="Z530" s="107" t="n">
        <f aca="false">T530*$D530</f>
        <v>0</v>
      </c>
      <c r="AA530" s="107" t="n">
        <f aca="false">U530*$D530</f>
        <v>0</v>
      </c>
      <c r="AB530" s="107" t="n">
        <f aca="false">V530*$D530</f>
        <v>0</v>
      </c>
      <c r="AC530" s="107" t="n">
        <f aca="false">W530*$D530</f>
        <v>0</v>
      </c>
      <c r="AD530" s="107" t="n">
        <f aca="false">X530*$D530</f>
        <v>0</v>
      </c>
      <c r="AE530" s="107" t="n">
        <f aca="false">SUM(Y530:AD530)</f>
        <v>0</v>
      </c>
    </row>
    <row r="531" customFormat="false" ht="15" hidden="false" customHeight="false" outlineLevel="0" collapsed="false">
      <c r="A531" s="103" t="s">
        <v>937</v>
      </c>
      <c r="B531" s="104" t="n">
        <v>0</v>
      </c>
      <c r="C531" s="105" t="n">
        <f aca="false">IF(K531=0,0,R531/K531)</f>
        <v>5</v>
      </c>
      <c r="D531" s="105" t="n">
        <f aca="false">C531+B531</f>
        <v>5</v>
      </c>
      <c r="E531" s="106" t="n">
        <v>0</v>
      </c>
      <c r="F531" s="106" t="n">
        <v>0</v>
      </c>
      <c r="G531" s="106" t="n">
        <v>0</v>
      </c>
      <c r="H531" s="106" t="n">
        <v>0</v>
      </c>
      <c r="I531" s="106" t="n">
        <v>1</v>
      </c>
      <c r="J531" s="106" t="n">
        <v>0</v>
      </c>
      <c r="K531" s="106" t="n">
        <f aca="false">SUM(E531:J531)</f>
        <v>1</v>
      </c>
      <c r="L531" s="107" t="n">
        <v>0</v>
      </c>
      <c r="M531" s="107" t="n">
        <v>0</v>
      </c>
      <c r="N531" s="107" t="n">
        <v>0</v>
      </c>
      <c r="O531" s="107" t="n">
        <v>0</v>
      </c>
      <c r="P531" s="107" t="n">
        <v>5</v>
      </c>
      <c r="Q531" s="107" t="n">
        <v>0</v>
      </c>
      <c r="R531" s="107" t="n">
        <f aca="false">SUM(L531:Q531)</f>
        <v>5</v>
      </c>
      <c r="S531" s="108" t="n">
        <v>0</v>
      </c>
      <c r="T531" s="108" t="n">
        <v>0</v>
      </c>
      <c r="U531" s="108" t="n">
        <v>0</v>
      </c>
      <c r="V531" s="108" t="n">
        <v>0</v>
      </c>
      <c r="W531" s="108" t="n">
        <v>0</v>
      </c>
      <c r="X531" s="108" t="n">
        <v>0</v>
      </c>
      <c r="Y531" s="107" t="n">
        <f aca="false">S531*$D531</f>
        <v>0</v>
      </c>
      <c r="Z531" s="107" t="n">
        <f aca="false">T531*$D531</f>
        <v>0</v>
      </c>
      <c r="AA531" s="107" t="n">
        <f aca="false">U531*$D531</f>
        <v>0</v>
      </c>
      <c r="AB531" s="107" t="n">
        <f aca="false">V531*$D531</f>
        <v>0</v>
      </c>
      <c r="AC531" s="107" t="n">
        <f aca="false">W531*$D531</f>
        <v>0</v>
      </c>
      <c r="AD531" s="107" t="n">
        <f aca="false">X531*$D531</f>
        <v>0</v>
      </c>
      <c r="AE531" s="107" t="n">
        <f aca="false">SUM(Y531:AD531)</f>
        <v>0</v>
      </c>
    </row>
    <row r="532" customFormat="false" ht="15" hidden="false" customHeight="false" outlineLevel="0" collapsed="false">
      <c r="A532" s="109" t="s">
        <v>938</v>
      </c>
      <c r="B532" s="110"/>
      <c r="C532" s="110"/>
      <c r="D532" s="110"/>
      <c r="E532" s="111" t="n">
        <f aca="false">SUM(E513:E531)</f>
        <v>74</v>
      </c>
      <c r="F532" s="111" t="n">
        <f aca="false">SUM(F513:F531)</f>
        <v>84</v>
      </c>
      <c r="G532" s="111" t="n">
        <f aca="false">SUM(G513:G531)</f>
        <v>58</v>
      </c>
      <c r="H532" s="111" t="n">
        <f aca="false">SUM(H513:H531)</f>
        <v>3</v>
      </c>
      <c r="I532" s="111" t="n">
        <f aca="false">SUM(I513:I531)</f>
        <v>8</v>
      </c>
      <c r="J532" s="111" t="n">
        <f aca="false">SUM(J513:J531)</f>
        <v>3</v>
      </c>
      <c r="K532" s="111" t="n">
        <f aca="false">SUM(K513:K531)</f>
        <v>230</v>
      </c>
      <c r="L532" s="112" t="n">
        <f aca="false">SUM(L513:L531)</f>
        <v>1028.05</v>
      </c>
      <c r="M532" s="112" t="n">
        <f aca="false">SUM(M513:M531)</f>
        <v>1595</v>
      </c>
      <c r="N532" s="112" t="n">
        <f aca="false">SUM(N513:N531)</f>
        <v>1075.25</v>
      </c>
      <c r="O532" s="112" t="n">
        <f aca="false">SUM(O513:O531)</f>
        <v>55</v>
      </c>
      <c r="P532" s="112" t="n">
        <f aca="false">SUM(P513:P531)</f>
        <v>108</v>
      </c>
      <c r="Q532" s="112" t="n">
        <f aca="false">SUM(Q513:Q531)</f>
        <v>35</v>
      </c>
      <c r="R532" s="112" t="n">
        <f aca="false">SUM(R513:R531)</f>
        <v>3896.3</v>
      </c>
      <c r="S532" s="111" t="n">
        <f aca="false">SUM(S513:S531)</f>
        <v>4</v>
      </c>
      <c r="T532" s="111" t="n">
        <f aca="false">SUM(T513:T531)</f>
        <v>4</v>
      </c>
      <c r="U532" s="111" t="n">
        <f aca="false">SUM(U513:U531)</f>
        <v>4</v>
      </c>
      <c r="V532" s="111" t="n">
        <f aca="false">SUM(V513:V531)</f>
        <v>4</v>
      </c>
      <c r="W532" s="111" t="n">
        <f aca="false">SUM(W513:W531)</f>
        <v>4</v>
      </c>
      <c r="X532" s="111" t="n">
        <f aca="false">SUM(X513:X531)</f>
        <v>4</v>
      </c>
      <c r="Y532" s="112" t="n">
        <f aca="false">SUM(Y513:Y531)</f>
        <v>69.2058823529412</v>
      </c>
      <c r="Z532" s="112" t="n">
        <f aca="false">SUM(Z513:Z531)</f>
        <v>69.2058823529412</v>
      </c>
      <c r="AA532" s="112" t="n">
        <f aca="false">SUM(AA513:AA531)</f>
        <v>69.2058823529412</v>
      </c>
      <c r="AB532" s="112" t="n">
        <f aca="false">SUM(AB513:AB531)</f>
        <v>69.2058823529412</v>
      </c>
      <c r="AC532" s="112" t="n">
        <f aca="false">SUM(AC513:AC531)</f>
        <v>69.2058823529412</v>
      </c>
      <c r="AD532" s="112" t="n">
        <f aca="false">SUM(AD513:AD531)</f>
        <v>69.2058823529412</v>
      </c>
      <c r="AE532" s="112" t="n">
        <f aca="false">SUM(AE513:AE531)</f>
        <v>415.235294117647</v>
      </c>
    </row>
    <row r="534" customFormat="false" ht="15" hidden="false" customHeight="false" outlineLevel="0" collapsed="false">
      <c r="A534" s="102" t="s">
        <v>939</v>
      </c>
      <c r="B534" s="102"/>
      <c r="C534" s="102"/>
      <c r="D534" s="102"/>
      <c r="E534" s="113" t="n">
        <f aca="false">E89+E396+E416+E440+E462+E510+E532</f>
        <v>2701</v>
      </c>
      <c r="F534" s="113" t="n">
        <f aca="false">F89+F396+F416+F440+F462+F510+F532</f>
        <v>3111</v>
      </c>
      <c r="G534" s="113" t="n">
        <f aca="false">G89+G396+G416+G440+G462+G510+G532</f>
        <v>4477</v>
      </c>
      <c r="H534" s="113" t="n">
        <f aca="false">H89+H396+H416+H440+H462+H510+H532</f>
        <v>3748</v>
      </c>
      <c r="I534" s="113" t="n">
        <f aca="false">I89+I396+I416+I440+I462+I510+I532</f>
        <v>4324</v>
      </c>
      <c r="J534" s="113" t="n">
        <f aca="false">J89+J396+J416+J440+J462+J510+J532</f>
        <v>4781</v>
      </c>
      <c r="K534" s="113" t="n">
        <f aca="false">K89+K396+K416+K440+K462+K510+K532</f>
        <v>23142</v>
      </c>
      <c r="L534" s="114" t="n">
        <f aca="false">L89+L396+L416+L440+L462+L510+L532</f>
        <v>15610.17</v>
      </c>
      <c r="M534" s="114" t="n">
        <f aca="false">M89+M396+M416+M440+M462+M510+M532</f>
        <v>17968.05</v>
      </c>
      <c r="N534" s="114" t="n">
        <f aca="false">N89+N396+N416+N440+N462+N510+N532</f>
        <v>26748.36</v>
      </c>
      <c r="O534" s="114" t="n">
        <f aca="false">O89+O396+O416+O440+O462+O510+O532</f>
        <v>20640.78</v>
      </c>
      <c r="P534" s="114" t="n">
        <f aca="false">P89+P396+P416+P440+P462+P510+P532</f>
        <v>24910.87</v>
      </c>
      <c r="Q534" s="114" t="n">
        <f aca="false">Q89+Q396+Q416+Q440+Q462+Q510+Q532</f>
        <v>27213.98</v>
      </c>
      <c r="R534" s="114" t="n">
        <f aca="false">R89+R396+R416+R440+R462+R510+R532</f>
        <v>133092.21</v>
      </c>
      <c r="S534" s="113" t="n">
        <f aca="false">S89+S396+S416+S440+S462+S510+S532</f>
        <v>4279</v>
      </c>
      <c r="T534" s="113" t="n">
        <f aca="false">T89+T396+T416+T440+T462+T510+T532</f>
        <v>4279</v>
      </c>
      <c r="U534" s="113" t="n">
        <f aca="false">U89+U396+U416+U440+U462+U510+U532</f>
        <v>4279</v>
      </c>
      <c r="V534" s="113" t="n">
        <f aca="false">V89+V396+V416+V440+V462+V510+V532</f>
        <v>4279</v>
      </c>
      <c r="W534" s="113" t="n">
        <f aca="false">W89+W396+W416+W440+W462+W510+W532</f>
        <v>4279</v>
      </c>
      <c r="X534" s="113" t="n">
        <f aca="false">X89+X396+X416+X440+X462+X510+X532</f>
        <v>4279</v>
      </c>
      <c r="Y534" s="114" t="n">
        <f aca="false">Y89+Y396+Y416+Y440+Y462+Y510+Y532</f>
        <v>25119.1498467448</v>
      </c>
      <c r="Z534" s="114" t="n">
        <f aca="false">Z89+Z396+Z416+Z440+Z462+Z510+Z532</f>
        <v>25119.1498467448</v>
      </c>
      <c r="AA534" s="114" t="n">
        <f aca="false">AA89+AA396+AA416+AA440+AA462+AA510+AA532</f>
        <v>25119.1498467448</v>
      </c>
      <c r="AB534" s="114" t="n">
        <f aca="false">AB89+AB396+AB416+AB440+AB462+AB510+AB532</f>
        <v>25119.1498467448</v>
      </c>
      <c r="AC534" s="114" t="n">
        <f aca="false">AC89+AC396+AC416+AC440+AC462+AC510+AC532</f>
        <v>25119.1498467448</v>
      </c>
      <c r="AD534" s="114" t="n">
        <f aca="false">AD89+AD396+AD416+AD440+AD462+AD510+AD532</f>
        <v>25119.1498467448</v>
      </c>
      <c r="AE534" s="114" t="n">
        <f aca="false">AE89+AE396+AE416+AE440+AE462+AE510+AE532</f>
        <v>150714.899080469</v>
      </c>
    </row>
    <row r="535" customFormat="false" ht="15" hidden="false" customHeight="false" outlineLevel="0" collapsed="false">
      <c r="A535" s="103" t="s">
        <v>940</v>
      </c>
      <c r="R535" s="107" t="n">
        <f aca="false">'LW Rev Recon H1'!H6</f>
        <v>133092</v>
      </c>
    </row>
    <row r="537" customFormat="false" ht="15" hidden="false" customHeight="false" outlineLevel="0" collapsed="false">
      <c r="A537" s="103" t="s">
        <v>941</v>
      </c>
      <c r="Y537" s="107" t="n">
        <f aca="false">'LW 2026 Modified'!O20</f>
        <v>25669</v>
      </c>
      <c r="Z537" s="107" t="n">
        <f aca="false">'LW 2026 Modified'!Q20</f>
        <v>30904.64975</v>
      </c>
      <c r="AA537" s="107" t="n">
        <f aca="false">'LW 2026 Modified'!S20</f>
        <v>30904.64975</v>
      </c>
      <c r="AB537" s="107" t="n">
        <f aca="false">'LW 2026 Modified'!U20</f>
        <v>30904.64975</v>
      </c>
      <c r="AC537" s="107" t="n">
        <f aca="false">'LW 2026 Modified'!W20</f>
        <v>30904.64975</v>
      </c>
      <c r="AD537" s="107" t="n">
        <f aca="false">'LW 2026 Modified'!Y20</f>
        <v>30904.64975</v>
      </c>
      <c r="AE537" s="107" t="n">
        <f aca="false">SUM(Y537:AD537)</f>
        <v>180192.24875</v>
      </c>
    </row>
    <row r="538" customFormat="false" ht="15" hidden="false" customHeight="false" outlineLevel="0" collapsed="false">
      <c r="A538" s="103" t="s">
        <v>942</v>
      </c>
      <c r="Y538" s="107" t="n">
        <f aca="false">Y534-Y537</f>
        <v>-549.850153255251</v>
      </c>
      <c r="Z538" s="107" t="n">
        <f aca="false">Z534-Z537</f>
        <v>-5785.49990325525</v>
      </c>
      <c r="AA538" s="107" t="n">
        <f aca="false">AA534-AA537</f>
        <v>-5785.49990325525</v>
      </c>
      <c r="AB538" s="107" t="n">
        <f aca="false">AB534-AB537</f>
        <v>-5785.49990325525</v>
      </c>
      <c r="AC538" s="107" t="n">
        <f aca="false">AC534-AC537</f>
        <v>-5785.49990325525</v>
      </c>
      <c r="AD538" s="107" t="n">
        <f aca="false">AD534-AD537</f>
        <v>-5785.49990325525</v>
      </c>
      <c r="AE538" s="107" t="n">
        <f aca="false">AE534-AE537</f>
        <v>-29477.3496695315</v>
      </c>
    </row>
    <row r="540" customFormat="false" ht="15" hidden="false" customHeight="false" outlineLevel="0" collapsed="false">
      <c r="A540" s="115" t="s">
        <v>943</v>
      </c>
    </row>
    <row r="541" customFormat="false" ht="15" hidden="false" customHeight="false" outlineLevel="0" collapsed="false">
      <c r="A541" s="115" t="s">
        <v>944</v>
      </c>
    </row>
    <row r="542" customFormat="false" ht="15" hidden="false" customHeight="false" outlineLevel="0" collapsed="false">
      <c r="A542" s="115" t="s">
        <v>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946</v>
      </c>
    </row>
    <row r="3" customFormat="false" ht="15" hidden="false" customHeight="true" outlineLevel="0" collapsed="false">
      <c r="A3" s="2" t="s">
        <v>947</v>
      </c>
    </row>
    <row r="4" customFormat="false" ht="15" hidden="false" customHeight="true" outlineLevel="0" collapsed="false">
      <c r="A4" s="6" t="s">
        <v>948</v>
      </c>
      <c r="C4" s="116" t="n">
        <v>46235</v>
      </c>
      <c r="D4" s="3" t="s">
        <v>949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950</v>
      </c>
      <c r="P6" s="32"/>
      <c r="Q6" s="32" t="s">
        <v>950</v>
      </c>
      <c r="R6" s="32"/>
      <c r="S6" s="32" t="s">
        <v>950</v>
      </c>
      <c r="T6" s="32"/>
      <c r="U6" s="32" t="s">
        <v>950</v>
      </c>
      <c r="V6" s="32"/>
      <c r="W6" s="32" t="s">
        <v>950</v>
      </c>
      <c r="X6" s="32"/>
      <c r="Y6" s="32" t="s">
        <v>950</v>
      </c>
      <c r="Z6" s="32"/>
      <c r="AB6" s="32" t="s">
        <v>951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0.365010608152904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0.365010608152904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0.365010608152904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0.365010608152904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127632.625</v>
      </c>
      <c r="AC12" s="34" t="n">
        <f aca="false">IFERROR(AB12/AB$20,0)</f>
        <v>0.405349903672028</v>
      </c>
    </row>
    <row r="13" customFormat="false" ht="15" hidden="false" customHeight="true" outlineLevel="0" collapsed="false">
      <c r="A13" s="5" t="s">
        <v>180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0.455073431142833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0.455073431142833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0.455073431142833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0.455073431142833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153908.425</v>
      </c>
      <c r="AC13" s="34" t="n">
        <f aca="false">IFERROR(AB13/AB$20,0)</f>
        <v>0.488799515390861</v>
      </c>
    </row>
    <row r="14" customFormat="false" ht="15" hidden="false" customHeight="true" outlineLevel="0" collapsed="false">
      <c r="A14" s="5" t="s">
        <v>181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0.0197057725917117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0.0197057725917117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0.0197057725917117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0.0197057725917117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9168</v>
      </c>
      <c r="AC14" s="34" t="n">
        <f aca="false">IFERROR(AB14/AB$20,0)</f>
        <v>0.0291167553504847</v>
      </c>
    </row>
    <row r="15" customFormat="false" ht="15" hidden="false" customHeight="true" outlineLevel="0" collapsed="false">
      <c r="A15" s="5" t="s">
        <v>182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0.0198999181344872</v>
      </c>
      <c r="S15" s="24" t="n">
        <f aca="false">'LW 2026 P&amp;L'!S12</f>
        <v>615</v>
      </c>
      <c r="T15" s="34" t="n">
        <f aca="false">IFERROR(S15/S$20,0)</f>
        <v>0.0198999181344872</v>
      </c>
      <c r="U15" s="24" t="n">
        <f aca="false">'LW 2026 P&amp;L'!U12</f>
        <v>615</v>
      </c>
      <c r="V15" s="34" t="n">
        <f aca="false">IFERROR(U15/U$20,0)</f>
        <v>0.0198999181344872</v>
      </c>
      <c r="W15" s="24" t="n">
        <f aca="false">'LW 2026 P&amp;L'!W12</f>
        <v>615</v>
      </c>
      <c r="X15" s="34" t="n">
        <f aca="false">IFERROR(W15/W$20,0)</f>
        <v>0.0198999181344872</v>
      </c>
      <c r="Y15" s="24" t="n">
        <f aca="false">'LW 2026 P&amp;L'!Y12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5831</v>
      </c>
      <c r="AC15" s="34" t="n">
        <f aca="false">IFERROR(AB15/AB$20,0)</f>
        <v>0.018518739141435</v>
      </c>
    </row>
    <row r="16" customFormat="false" ht="15" hidden="false" customHeight="true" outlineLevel="0" collapsed="false">
      <c r="A16" s="5" t="s">
        <v>183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0.0338136820333969</v>
      </c>
      <c r="S16" s="24" t="n">
        <f aca="false">'LW 2026 P&amp;L'!S13</f>
        <v>1045</v>
      </c>
      <c r="T16" s="34" t="n">
        <f aca="false">IFERROR(S16/S$20,0)</f>
        <v>0.0338136820333969</v>
      </c>
      <c r="U16" s="24" t="n">
        <f aca="false">'LW 2026 P&amp;L'!U13</f>
        <v>1045</v>
      </c>
      <c r="V16" s="34" t="n">
        <f aca="false">IFERROR(U16/U$20,0)</f>
        <v>0.0338136820333969</v>
      </c>
      <c r="W16" s="24" t="n">
        <f aca="false">'LW 2026 P&amp;L'!W13</f>
        <v>1045</v>
      </c>
      <c r="X16" s="34" t="n">
        <f aca="false">IFERROR(W16/W$20,0)</f>
        <v>0.0338136820333969</v>
      </c>
      <c r="Y16" s="24" t="n">
        <f aca="false">'LW 2026 P&amp;L'!Y13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8895</v>
      </c>
      <c r="AC16" s="34" t="n">
        <f aca="false">IFERROR(AB16/AB$20,0)</f>
        <v>0.028249731549145</v>
      </c>
    </row>
    <row r="17" customFormat="false" ht="15" hidden="false" customHeight="true" outlineLevel="0" collapsed="false">
      <c r="A17" s="5" t="s">
        <v>952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0.121136032828415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0.121136032828415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0.121136032828415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0.121136032828415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18718.3333333333</v>
      </c>
      <c r="AC17" s="34" t="n">
        <f aca="false">IFERROR(AB17/AB$20,0)</f>
        <v>0.0594477674776929</v>
      </c>
    </row>
    <row r="18" customFormat="false" ht="15" hidden="false" customHeight="true" outlineLevel="0" collapsed="false">
      <c r="A18" s="5" t="s">
        <v>185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0.0110015807572775</v>
      </c>
      <c r="S18" s="24" t="n">
        <f aca="false">'LW 2026 P&amp;L'!S14</f>
        <v>340</v>
      </c>
      <c r="T18" s="34" t="n">
        <f aca="false">IFERROR(S18/S$20,0)</f>
        <v>0.0110015807572775</v>
      </c>
      <c r="U18" s="24" t="n">
        <f aca="false">'LW 2026 P&amp;L'!U14</f>
        <v>340</v>
      </c>
      <c r="V18" s="34" t="n">
        <f aca="false">IFERROR(U18/U$20,0)</f>
        <v>0.0110015807572775</v>
      </c>
      <c r="W18" s="24" t="n">
        <f aca="false">'LW 2026 P&amp;L'!W14</f>
        <v>340</v>
      </c>
      <c r="X18" s="34" t="n">
        <f aca="false">IFERROR(W18/W$20,0)</f>
        <v>0.0110015807572775</v>
      </c>
      <c r="Y18" s="24" t="n">
        <f aca="false">'LW 2026 P&amp;L'!Y14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5648</v>
      </c>
      <c r="AC18" s="34" t="n">
        <f aca="false">IFERROR(AB18/AB$20,0)</f>
        <v>0.017937547362515</v>
      </c>
    </row>
    <row r="19" customFormat="false" ht="15" hidden="false" customHeight="true" outlineLevel="0" collapsed="false">
      <c r="A19" s="5" t="s">
        <v>953</v>
      </c>
      <c r="C19" s="24" t="n">
        <f aca="false">IF(1&gt;=MONTH($C$4),-SUM(C12:C18)*'LW Assumptions'!$C$53,'LW 2026 P&amp;L'!C15)</f>
        <v>-731</v>
      </c>
      <c r="D19" s="34" t="n">
        <f aca="false">IFERROR(C19/C$20,0)</f>
        <v>-0.040901969561325</v>
      </c>
      <c r="E19" s="24" t="n">
        <f aca="false">IF(2&gt;=MONTH($C$4),-SUM(E12:E18)*'LW Assumptions'!$C$53,'LW 2026 P&amp;L'!E15)</f>
        <v>-1024</v>
      </c>
      <c r="F19" s="34" t="n">
        <f aca="false">IFERROR(E19/E$20,0)</f>
        <v>-0.057408757077984</v>
      </c>
      <c r="G19" s="24" t="n">
        <f aca="false">IF(3&gt;=MONTH($C$4),-SUM(G12:G18)*'LW Assumptions'!$C$53,'LW 2026 P&amp;L'!G15)</f>
        <v>-2497</v>
      </c>
      <c r="H19" s="34" t="n">
        <f aca="false">IFERROR(G19/G$20,0)</f>
        <v>-0.0943973990624527</v>
      </c>
      <c r="I19" s="24" t="n">
        <f aca="false">IF(4&gt;=MONTH($C$4),-SUM(I12:I18)*'LW Assumptions'!$C$53,'LW 2026 P&amp;L'!I15)</f>
        <v>-2688</v>
      </c>
      <c r="J19" s="34" t="n">
        <f aca="false">IFERROR(I19/I$20,0)</f>
        <v>-0.130605898644381</v>
      </c>
      <c r="K19" s="24" t="n">
        <f aca="false">IF(5&gt;=MONTH($C$4),-SUM(K12:K18)*'LW Assumptions'!$C$53,'LW 2026 P&amp;L'!K15)</f>
        <v>-1521</v>
      </c>
      <c r="L19" s="34" t="n">
        <f aca="false">IFERROR(K19/K$20,0)</f>
        <v>-0.0611408127989709</v>
      </c>
      <c r="M19" s="24" t="n">
        <f aca="false">IF(6&gt;=MONTH($C$4),-SUM(M12:M18)*'LW Assumptions'!$C$53,'LW 2026 P&amp;L'!M15)</f>
        <v>-987</v>
      </c>
      <c r="N19" s="34" t="n">
        <f aca="false">IFERROR(M19/M$20,0)</f>
        <v>-0.0364758490705495</v>
      </c>
      <c r="O19" s="24" t="n">
        <f aca="false">IF(7&gt;=MONTH($C$4),-SUM(O12:O18)*'LW Assumptions'!$C$53,'LW 2026 P&amp;L'!O15)</f>
        <v>-1521</v>
      </c>
      <c r="P19" s="34" t="n">
        <f aca="false">IFERROR(O19/O$20,0)</f>
        <v>-0.0592543535003311</v>
      </c>
      <c r="Q19" s="24" t="n">
        <f aca="false">IF(8&gt;=MONTH($C$4),-SUM(Q12:Q18)*'LW Assumptions'!$C$53,'LW 2026 P&amp;L'!Q15)</f>
        <v>-792.426916666667</v>
      </c>
      <c r="R19" s="34" t="n">
        <f aca="false">IFERROR(Q19/Q$20,0)</f>
        <v>-0.0256410256410256</v>
      </c>
      <c r="S19" s="24" t="n">
        <f aca="false">IF(9&gt;=MONTH($C$4),-SUM(S12:S18)*'LW Assumptions'!$C$53,'LW 2026 P&amp;L'!S15)</f>
        <v>-792.426916666667</v>
      </c>
      <c r="T19" s="34" t="n">
        <f aca="false">IFERROR(S19/S$20,0)</f>
        <v>-0.0256410256410256</v>
      </c>
      <c r="U19" s="24" t="n">
        <f aca="false">IF(10&gt;=MONTH($C$4),-SUM(U12:U18)*'LW Assumptions'!$C$53,'LW 2026 P&amp;L'!U15)</f>
        <v>-792.426916666667</v>
      </c>
      <c r="V19" s="34" t="n">
        <f aca="false">IFERROR(U19/U$20,0)</f>
        <v>-0.0256410256410256</v>
      </c>
      <c r="W19" s="24" t="n">
        <f aca="false">IF(11&gt;=MONTH($C$4),-SUM(W12:W18)*'LW Assumptions'!$C$53,'LW 2026 P&amp;L'!W15)</f>
        <v>-792.426916666667</v>
      </c>
      <c r="X19" s="34" t="n">
        <f aca="false">IFERROR(W19/W$20,0)</f>
        <v>-0.0256410256410256</v>
      </c>
      <c r="Y19" s="24" t="n">
        <f aca="false">IF(12&gt;=MONTH($C$4),-SUM(Y12:Y18)*'LW Assumptions'!$C$53,'LW 2026 P&amp;L'!Y15)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-14931.1345833333</v>
      </c>
      <c r="AC19" s="34" t="n">
        <f aca="false">IFERROR(AB19/AB$20,0)</f>
        <v>-0.047419959944162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314870.24875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954</v>
      </c>
      <c r="C23" s="24" t="n">
        <f aca="false">IF(1&gt;=MONTH($C$4),'LW 2026 P&amp;L'!C9*'LW Assumptions'!$C$51,'LW 2026 P&amp;L'!C19)</f>
        <v>1608</v>
      </c>
      <c r="D23" s="34" t="n">
        <f aca="false">IFERROR(C23/C$12,0)</f>
        <v>0.209949079514297</v>
      </c>
      <c r="E23" s="24" t="n">
        <f aca="false">IF(2&gt;=MONTH($C$4),'LW 2026 P&amp;L'!E9*'LW Assumptions'!$C$51,'LW 2026 P&amp;L'!E19)</f>
        <v>2865</v>
      </c>
      <c r="F23" s="34" t="n">
        <f aca="false">IFERROR(E23/E$12,0)</f>
        <v>0.311243889190657</v>
      </c>
      <c r="G23" s="24" t="n">
        <f aca="false">IF(3&gt;=MONTH($C$4),'LW 2026 P&amp;L'!G9*'LW Assumptions'!$C$51,'LW 2026 P&amp;L'!G19)</f>
        <v>4719</v>
      </c>
      <c r="H23" s="34" t="n">
        <f aca="false">IFERROR(G23/G$12,0)</f>
        <v>0.377188074494445</v>
      </c>
      <c r="I23" s="24" t="n">
        <f aca="false">IF(4&gt;=MONTH($C$4),'LW 2026 P&amp;L'!I9*'LW Assumptions'!$C$51,'LW 2026 P&amp;L'!I19)</f>
        <v>3179</v>
      </c>
      <c r="J23" s="34" t="n">
        <f aca="false">IFERROR(I23/I$12,0)</f>
        <v>0.334737285458566</v>
      </c>
      <c r="K23" s="24" t="n">
        <f aca="false">IF(5&gt;=MONTH($C$4),'LW 2026 P&amp;L'!K9*'LW Assumptions'!$C$51,'LW 2026 P&amp;L'!K19)</f>
        <v>7902</v>
      </c>
      <c r="L23" s="34" t="n">
        <f aca="false">IFERROR(K23/K$12,0)</f>
        <v>0.734250139379298</v>
      </c>
      <c r="M23" s="24" t="n">
        <f aca="false">IF(6&gt;=MONTH($C$4),'LW 2026 P&amp;L'!M9*'LW Assumptions'!$C$51,'LW 2026 P&amp;L'!M19)</f>
        <v>7534</v>
      </c>
      <c r="N23" s="34" t="n">
        <f aca="false">IFERROR(M23/M$12,0)</f>
        <v>0.716772904576158</v>
      </c>
      <c r="O23" s="24" t="n">
        <f aca="false">IF(7&gt;=MONTH($C$4),'LW 2026 P&amp;L'!O9*'LW Assumptions'!$C$51,'LW 2026 P&amp;L'!O19)</f>
        <v>5809</v>
      </c>
      <c r="P23" s="34" t="n">
        <f aca="false">IFERROR(O23/O$12,0)</f>
        <v>0.52404149751917</v>
      </c>
      <c r="Q23" s="24" t="n">
        <f aca="false">IF(8&gt;=MONTH($C$4),'LW 2026 P&amp;L'!Q9*'LW Assumptions'!$C$51,'LW 2026 P&amp;L'!Q19)</f>
        <v>4434</v>
      </c>
      <c r="R23" s="34" t="n">
        <f aca="false">IFERROR(Q23/Q$12,0)</f>
        <v>0.393066812049971</v>
      </c>
      <c r="S23" s="24" t="n">
        <f aca="false">IF(9&gt;=MONTH($C$4),'LW 2026 P&amp;L'!S9*'LW Assumptions'!$C$51,'LW 2026 P&amp;L'!S19)</f>
        <v>4434</v>
      </c>
      <c r="T23" s="34" t="n">
        <f aca="false">IFERROR(S23/S$12,0)</f>
        <v>0.393066812049971</v>
      </c>
      <c r="U23" s="24" t="n">
        <f aca="false">IF(10&gt;=MONTH($C$4),'LW 2026 P&amp;L'!U9*'LW Assumptions'!$C$51,'LW 2026 P&amp;L'!U19)</f>
        <v>4434</v>
      </c>
      <c r="V23" s="34" t="n">
        <f aca="false">IFERROR(U23/U$12,0)</f>
        <v>0.393066812049971</v>
      </c>
      <c r="W23" s="24" t="n">
        <f aca="false">IF(11&gt;=MONTH($C$4),'LW 2026 P&amp;L'!W9*'LW Assumptions'!$C$51,'LW 2026 P&amp;L'!W19)</f>
        <v>4434</v>
      </c>
      <c r="X23" s="34" t="n">
        <f aca="false">IFERROR(W23/W$12,0)</f>
        <v>0.393066812049971</v>
      </c>
      <c r="Y23" s="24" t="n">
        <f aca="false">IF(12&gt;=MONTH($C$4),'LW 2026 P&amp;L'!Y9*'LW Assumptions'!$C$51,'LW 2026 P&amp;L'!Y19)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55786</v>
      </c>
      <c r="AC23" s="34" t="n">
        <f aca="false">IFERROR(AB23/AB$12,0)</f>
        <v>0.437082603292066</v>
      </c>
    </row>
    <row r="24" customFormat="false" ht="15" hidden="false" customHeight="true" outlineLevel="0" collapsed="false">
      <c r="A24" s="5" t="s">
        <v>189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190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191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192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193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1470.0077</v>
      </c>
      <c r="R28" s="34" t="n">
        <f aca="false">IFERROR(Q28/Q$17,0)</f>
        <v>0.392665221262577</v>
      </c>
      <c r="S28" s="24" t="n">
        <f aca="false">IF(9&gt;=MONTH($C$4),'LW Assumptions'!$C$36*'LW Assumptions'!$C$37/12,0)</f>
        <v>1470.0077</v>
      </c>
      <c r="T28" s="34" t="n">
        <f aca="false">IFERROR(S28/S$17,0)</f>
        <v>0.392665221262577</v>
      </c>
      <c r="U28" s="24" t="n">
        <f aca="false">IF(10&gt;=MONTH($C$4),'LW Assumptions'!$C$36*'LW Assumptions'!$C$37/12,0)</f>
        <v>1470.0077</v>
      </c>
      <c r="V28" s="34" t="n">
        <f aca="false">IFERROR(U28/U$17,0)</f>
        <v>0.392665221262577</v>
      </c>
      <c r="W28" s="24" t="n">
        <f aca="false">IF(11&gt;=MONTH($C$4),'LW Assumptions'!$C$36*'LW Assumptions'!$C$37/12,0)</f>
        <v>1470.0077</v>
      </c>
      <c r="X28" s="34" t="n">
        <f aca="false">IFERROR(W28/W$17,0)</f>
        <v>0.392665221262577</v>
      </c>
      <c r="Y28" s="24" t="n">
        <f aca="false">IF(12&gt;=MONTH($C$4),'LW Assumptions'!$C$36*'LW Assumptions'!$C$37/12,0)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7350.0385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9376.0077</v>
      </c>
      <c r="R29" s="35" t="n">
        <f aca="false">IFERROR(Q29/Q$20,0)</f>
        <v>0.303385017330604</v>
      </c>
      <c r="S29" s="27" t="n">
        <f aca="false">SUM(S23:S28)</f>
        <v>9343.0077</v>
      </c>
      <c r="T29" s="35" t="n">
        <f aca="false">IFERROR(S29/S$20,0)</f>
        <v>0.302317216845339</v>
      </c>
      <c r="U29" s="27" t="n">
        <f aca="false">SUM(U23:U28)</f>
        <v>9378.0077</v>
      </c>
      <c r="V29" s="35" t="n">
        <f aca="false">IFERROR(U29/U$20,0)</f>
        <v>0.303449732511529</v>
      </c>
      <c r="W29" s="27" t="n">
        <f aca="false">SUM(W23:W28)</f>
        <v>9365.0077</v>
      </c>
      <c r="X29" s="35" t="n">
        <f aca="false">IFERROR(W29/W$20,0)</f>
        <v>0.303029083835516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103761.0385</v>
      </c>
      <c r="AC29" s="35" t="n">
        <f aca="false">IFERROR(AB29/AB$20,0)</f>
        <v>0.329535860920236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21528.64205</v>
      </c>
      <c r="R30" s="8" t="n">
        <f aca="false">IFERROR(Q30/Q$20,0)</f>
        <v>0.696614982669396</v>
      </c>
      <c r="S30" s="7" t="n">
        <f aca="false">S20-S29</f>
        <v>21561.64205</v>
      </c>
      <c r="T30" s="8" t="n">
        <f aca="false">IFERROR(S30/S$20,0)</f>
        <v>0.697682783154661</v>
      </c>
      <c r="U30" s="7" t="n">
        <f aca="false">U20-U29</f>
        <v>21526.64205</v>
      </c>
      <c r="V30" s="8" t="n">
        <f aca="false">IFERROR(U30/U$20,0)</f>
        <v>0.696550267488471</v>
      </c>
      <c r="W30" s="7" t="n">
        <f aca="false">W20-W29</f>
        <v>21539.64205</v>
      </c>
      <c r="X30" s="8" t="n">
        <f aca="false">IFERROR(W30/W$20,0)</f>
        <v>0.696970916164484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211109.21025</v>
      </c>
      <c r="AC30" s="8" t="n">
        <f aca="false">IFERROR(AB30/AB$20,0)</f>
        <v>0.670464139079764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0.0536165273964964</v>
      </c>
      <c r="S33" s="24" t="n">
        <f aca="false">'LW 2026 P&amp;L'!S28</f>
        <v>1657</v>
      </c>
      <c r="T33" s="34" t="n">
        <f aca="false">IFERROR(S33/S$20,0)</f>
        <v>0.0536165273964964</v>
      </c>
      <c r="U33" s="24" t="n">
        <f aca="false">'LW 2026 P&amp;L'!U28</f>
        <v>1657</v>
      </c>
      <c r="V33" s="34" t="n">
        <f aca="false">IFERROR(U33/U$20,0)</f>
        <v>0.0536165273964964</v>
      </c>
      <c r="W33" s="24" t="n">
        <f aca="false">'LW 2026 P&amp;L'!W28</f>
        <v>1657</v>
      </c>
      <c r="X33" s="34" t="n">
        <f aca="false">IFERROR(W33/W$20,0)</f>
        <v>0.0536165273964964</v>
      </c>
      <c r="Y33" s="24" t="n">
        <f aca="false">'LW 2026 P&amp;L'!Y28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16685</v>
      </c>
      <c r="AC33" s="34" t="n">
        <f aca="false">IFERROR(AB33/AB$20,0)</f>
        <v>0.0529900810452483</v>
      </c>
    </row>
    <row r="34" customFormat="false" ht="15" hidden="false" customHeight="true" outlineLevel="0" collapsed="false">
      <c r="A34" s="5" t="s">
        <v>196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0.0415040027000036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0.0415040027000036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0.0415040027000036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0.0415040027000036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24119.3333333333</v>
      </c>
      <c r="AC34" s="34" t="n">
        <f aca="false">IFERROR(AB34/AB$20,0)</f>
        <v>0.0766008647342339</v>
      </c>
    </row>
    <row r="35" customFormat="false" ht="15" hidden="false" customHeight="true" outlineLevel="0" collapsed="false">
      <c r="A35" s="5" t="s">
        <v>197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0.218737311527046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0.218737311527046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0.218737311527046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0.218737311527046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92587</v>
      </c>
      <c r="AC35" s="34" t="n">
        <f aca="false">IFERROR(AB35/AB$20,0)</f>
        <v>0.294048105108565</v>
      </c>
    </row>
    <row r="36" customFormat="false" ht="15" hidden="false" customHeight="true" outlineLevel="0" collapsed="false">
      <c r="A36" s="5" t="s">
        <v>198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0.0502172546597674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0.0502172546597674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0.0502172546597674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0.0502172546597674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22086.7333333333</v>
      </c>
      <c r="AC36" s="34" t="n">
        <f aca="false">IFERROR(AB36/AB$20,0)</f>
        <v>0.0701455073034535</v>
      </c>
    </row>
    <row r="37" customFormat="false" ht="15" hidden="false" customHeight="true" outlineLevel="0" collapsed="false">
      <c r="A37" s="5" t="s">
        <v>199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11251.6133333333</v>
      </c>
      <c r="Z38" s="35" t="n">
        <f aca="false">IFERROR(Y38/Y$20,0)</f>
        <v>0.364075096283314</v>
      </c>
      <c r="AB38" s="27" t="n">
        <f aca="false">SUM(AB33:AB37)</f>
        <v>155478.066666667</v>
      </c>
      <c r="AC38" s="35" t="n">
        <f aca="false">IFERROR(AB38/AB$20,0)</f>
        <v>0.493784558191501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20627.6210333333</v>
      </c>
      <c r="R40" s="8" t="n">
        <f aca="false">IFERROR(Q40/Q$20,0)</f>
        <v>0.667460113613918</v>
      </c>
      <c r="S40" s="7" t="n">
        <f aca="false">S29+S38</f>
        <v>20594.6210333333</v>
      </c>
      <c r="T40" s="8" t="n">
        <f aca="false">IFERROR(S40/S$20,0)</f>
        <v>0.666392313128653</v>
      </c>
      <c r="U40" s="7" t="n">
        <f aca="false">U29+U38</f>
        <v>20629.6210333333</v>
      </c>
      <c r="V40" s="8" t="n">
        <f aca="false">IFERROR(U40/U$20,0)</f>
        <v>0.667524828794843</v>
      </c>
      <c r="W40" s="7" t="n">
        <f aca="false">W29+W38</f>
        <v>20616.6210333333</v>
      </c>
      <c r="X40" s="8" t="n">
        <f aca="false">IFERROR(W40/W$20,0)</f>
        <v>0.667104180118829</v>
      </c>
      <c r="Y40" s="7" t="n">
        <f aca="false">Y29+Y38</f>
        <v>20612.6210333333</v>
      </c>
      <c r="Z40" s="8" t="n">
        <f aca="false">IFERROR(Y40/Y$20,0)</f>
        <v>0.666974749756979</v>
      </c>
      <c r="AB40" s="7" t="n">
        <f aca="false">AB29+AB38</f>
        <v>259239.105166667</v>
      </c>
      <c r="AC40" s="8" t="n">
        <f aca="false">IFERROR(AB40/AB$20,0)</f>
        <v>0.823320419111736</v>
      </c>
    </row>
    <row r="41" customFormat="false" ht="15" hidden="false" customHeight="true" outlineLevel="0" collapsed="false">
      <c r="A41" s="6" t="s">
        <v>201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10277.0287166667</v>
      </c>
      <c r="R41" s="8" t="n">
        <f aca="false">IFERROR(Q41/Q$20,0)</f>
        <v>0.332539886386082</v>
      </c>
      <c r="S41" s="7" t="n">
        <f aca="false">S30-S38</f>
        <v>10310.0287166667</v>
      </c>
      <c r="T41" s="8" t="n">
        <f aca="false">IFERROR(S41/S$20,0)</f>
        <v>0.333607686871348</v>
      </c>
      <c r="U41" s="7" t="n">
        <f aca="false">U30-U38</f>
        <v>10275.0287166667</v>
      </c>
      <c r="V41" s="8" t="n">
        <f aca="false">IFERROR(U41/U$20,0)</f>
        <v>0.332475171205157</v>
      </c>
      <c r="W41" s="7" t="n">
        <f aca="false">W30-W38</f>
        <v>10288.0287166667</v>
      </c>
      <c r="X41" s="8" t="n">
        <f aca="false">IFERROR(W41/W$20,0)</f>
        <v>0.332895819881171</v>
      </c>
      <c r="Y41" s="7" t="n">
        <f aca="false">Y30-Y38</f>
        <v>10292.0287166667</v>
      </c>
      <c r="Z41" s="8" t="n">
        <f aca="false">IFERROR(Y41/Y$20,0)</f>
        <v>0.333025250243021</v>
      </c>
      <c r="AB41" s="7" t="n">
        <f aca="false">AB30-AB38</f>
        <v>55631.1435833333</v>
      </c>
      <c r="AC41" s="8" t="n">
        <f aca="false">IFERROR(AB41/AB$20,0)</f>
        <v>0.176679580888264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955</v>
      </c>
      <c r="C44" s="24" t="n">
        <f aca="false">IF(1&gt;=MONTH($C$4),C20*'LW Assumptions'!$C$48,'LW 2026 P&amp;L'!C39)</f>
        <v>3310</v>
      </c>
      <c r="D44" s="34" t="n">
        <f aca="false">IFERROR(C44/C$20,0)</f>
        <v>0.185205908683975</v>
      </c>
      <c r="E44" s="24" t="n">
        <f aca="false">IF(2&gt;=MONTH($C$4),E20*'LW Assumptions'!$C$48,'LW 2026 P&amp;L'!E39)</f>
        <v>5119</v>
      </c>
      <c r="F44" s="34" t="n">
        <f aca="false">IFERROR(E44/E$20,0)</f>
        <v>0.286987722150586</v>
      </c>
      <c r="G44" s="24" t="n">
        <f aca="false">IF(3&gt;=MONTH($C$4),G20*'LW Assumptions'!$C$48,'LW 2026 P&amp;L'!G39)</f>
        <v>1987</v>
      </c>
      <c r="H44" s="34" t="n">
        <f aca="false">IFERROR(G44/G$20,0)</f>
        <v>0.0751171934069258</v>
      </c>
      <c r="I44" s="24" t="n">
        <f aca="false">IF(4&gt;=MONTH($C$4),I20*'LW Assumptions'!$C$48,'LW 2026 P&amp;L'!I39)</f>
        <v>4160</v>
      </c>
      <c r="J44" s="34" t="n">
        <f aca="false">IFERROR(I44/I$20,0)</f>
        <v>0.202128176473446</v>
      </c>
      <c r="K44" s="24" t="n">
        <f aca="false">IF(5&gt;=MONTH($C$4),K20*'LW Assumptions'!$C$48,'LW 2026 P&amp;L'!K39)</f>
        <v>3982</v>
      </c>
      <c r="L44" s="34" t="n">
        <f aca="false">IFERROR(K44/K$20,0)</f>
        <v>0.160067532258713</v>
      </c>
      <c r="M44" s="24" t="n">
        <f aca="false">IF(6&gt;=MONTH($C$4),M20*'LW Assumptions'!$C$48,'LW 2026 P&amp;L'!M39)</f>
        <v>3744</v>
      </c>
      <c r="N44" s="34" t="n">
        <f aca="false">IFERROR(M44/M$20,0)</f>
        <v>0.138364315015337</v>
      </c>
      <c r="O44" s="24" t="n">
        <f aca="false">IF(7&gt;=MONTH($C$4),O20*'LW Assumptions'!$C$48,'LW 2026 P&amp;L'!O39)</f>
        <v>3982</v>
      </c>
      <c r="P44" s="34" t="n">
        <f aca="false">IFERROR(O44/O$20,0)</f>
        <v>0.155128754528809</v>
      </c>
      <c r="Q44" s="24" t="n">
        <f aca="false">IF(8&gt;=MONTH($C$4),Q20*'LW Assumptions'!$C$48,'LW 2026 P&amp;L'!Q39)</f>
        <v>3863.08121875</v>
      </c>
      <c r="R44" s="34" t="n">
        <f aca="false">IFERROR(Q44/Q$20,0)</f>
        <v>0.125</v>
      </c>
      <c r="S44" s="24" t="n">
        <f aca="false">IF(9&gt;=MONTH($C$4),S20*'LW Assumptions'!$C$48,'LW 2026 P&amp;L'!S39)</f>
        <v>3863.08121875</v>
      </c>
      <c r="T44" s="34" t="n">
        <f aca="false">IFERROR(S44/S$20,0)</f>
        <v>0.125</v>
      </c>
      <c r="U44" s="24" t="n">
        <f aca="false">IF(10&gt;=MONTH($C$4),U20*'LW Assumptions'!$C$48,'LW 2026 P&amp;L'!U39)</f>
        <v>3863.08121875</v>
      </c>
      <c r="V44" s="34" t="n">
        <f aca="false">IFERROR(U44/U$20,0)</f>
        <v>0.125</v>
      </c>
      <c r="W44" s="24" t="n">
        <f aca="false">IF(11&gt;=MONTH($C$4),W20*'LW Assumptions'!$C$48,'LW 2026 P&amp;L'!W39)</f>
        <v>3863.08121875</v>
      </c>
      <c r="X44" s="34" t="n">
        <f aca="false">IFERROR(W44/W$20,0)</f>
        <v>0.125</v>
      </c>
      <c r="Y44" s="24" t="n">
        <f aca="false">IF(12&gt;=MONTH($C$4),Y20*'LW Assumptions'!$C$48,'LW 2026 P&amp;L'!Y39)</f>
        <v>3863.08121875</v>
      </c>
      <c r="Z44" s="34" t="n">
        <f aca="false">IFERROR(Y44/Y$20,0)</f>
        <v>0.125</v>
      </c>
      <c r="AB44" s="24" t="n">
        <f aca="false">SUM(C44,E44,G44,I44,K44,M44,O44,Q44,S44,U44,W44,Y44)</f>
        <v>45599.40609375</v>
      </c>
      <c r="AC44" s="34" t="n">
        <f aca="false">IFERROR(AB44/AB$20,0)</f>
        <v>0.144819671832365</v>
      </c>
    </row>
    <row r="45" customFormat="false" ht="15" hidden="false" customHeight="true" outlineLevel="0" collapsed="false">
      <c r="A45" s="5" t="s">
        <v>204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7.93977840054665E-005</v>
      </c>
    </row>
    <row r="46" customFormat="false" ht="15" hidden="false" customHeight="true" outlineLevel="0" collapsed="false">
      <c r="A46" s="5" t="s">
        <v>205</v>
      </c>
      <c r="C46" s="24" t="n">
        <f aca="false">IF(1&gt;=MONTH($C$4),C20*'LW Assumptions'!$C$49,'LW 2026 P&amp;L'!C41)</f>
        <v>1883</v>
      </c>
      <c r="D46" s="34" t="n">
        <f aca="false">IFERROR(C46/C$20,0)</f>
        <v>0.105360340196956</v>
      </c>
      <c r="E46" s="24" t="n">
        <f aca="false">IF(2&gt;=MONTH($C$4),E20*'LW Assumptions'!$C$49,'LW 2026 P&amp;L'!E41)</f>
        <v>402</v>
      </c>
      <c r="F46" s="34" t="n">
        <f aca="false">IFERROR(E46/E$20,0)</f>
        <v>0.0225374222122554</v>
      </c>
      <c r="G46" s="24" t="n">
        <f aca="false">IF(3&gt;=MONTH($C$4),G20*'LW Assumptions'!$C$49,'LW 2026 P&amp;L'!G41)</f>
        <v>714</v>
      </c>
      <c r="H46" s="34" t="n">
        <f aca="false">IFERROR(G46/G$20,0)</f>
        <v>0.0269922879177378</v>
      </c>
      <c r="I46" s="24" t="n">
        <f aca="false">IF(4&gt;=MONTH($C$4),I20*'LW Assumptions'!$C$49,'LW 2026 P&amp;L'!I41)</f>
        <v>1340</v>
      </c>
      <c r="J46" s="34" t="n">
        <f aca="false">IFERROR(I46/I$20,0)</f>
        <v>0.0651085953063505</v>
      </c>
      <c r="K46" s="24" t="n">
        <f aca="false">IF(5&gt;=MONTH($C$4),K20*'LW Assumptions'!$C$49,'LW 2026 P&amp;L'!K41)</f>
        <v>628</v>
      </c>
      <c r="L46" s="34" t="n">
        <f aca="false">IFERROR(K46/K$20,0)</f>
        <v>0.0252442014712385</v>
      </c>
      <c r="M46" s="24" t="n">
        <f aca="false">IF(6&gt;=MONTH($C$4),M20*'LW Assumptions'!$C$49,'LW 2026 P&amp;L'!M41)</f>
        <v>1047</v>
      </c>
      <c r="N46" s="34" t="n">
        <f aca="false">IFERROR(M46/M$20,0)</f>
        <v>0.038693225913744</v>
      </c>
      <c r="O46" s="24" t="n">
        <f aca="false">IF(7&gt;=MONTH($C$4),O20*'LW Assumptions'!$C$49,'LW 2026 P&amp;L'!O41)</f>
        <v>628</v>
      </c>
      <c r="P46" s="34" t="n">
        <f aca="false">IFERROR(O46/O$20,0)</f>
        <v>0.0244653083485917</v>
      </c>
      <c r="Q46" s="24" t="n">
        <f aca="false">IF(8&gt;=MONTH($C$4),Q20*'LW Assumptions'!$C$49,'LW 2026 P&amp;L'!Q41)</f>
        <v>1081.66274125</v>
      </c>
      <c r="R46" s="34" t="n">
        <f aca="false">IFERROR(Q46/Q$20,0)</f>
        <v>0.035</v>
      </c>
      <c r="S46" s="24" t="n">
        <f aca="false">IF(9&gt;=MONTH($C$4),S20*'LW Assumptions'!$C$49,'LW 2026 P&amp;L'!S41)</f>
        <v>1081.66274125</v>
      </c>
      <c r="T46" s="34" t="n">
        <f aca="false">IFERROR(S46/S$20,0)</f>
        <v>0.035</v>
      </c>
      <c r="U46" s="24" t="n">
        <f aca="false">IF(10&gt;=MONTH($C$4),U20*'LW Assumptions'!$C$49,'LW 2026 P&amp;L'!U41)</f>
        <v>1081.66274125</v>
      </c>
      <c r="V46" s="34" t="n">
        <f aca="false">IFERROR(U46/U$20,0)</f>
        <v>0.035</v>
      </c>
      <c r="W46" s="24" t="n">
        <f aca="false">IF(11&gt;=MONTH($C$4),W20*'LW Assumptions'!$C$49,'LW 2026 P&amp;L'!W41)</f>
        <v>1081.66274125</v>
      </c>
      <c r="X46" s="34" t="n">
        <f aca="false">IFERROR(W46/W$20,0)</f>
        <v>0.035</v>
      </c>
      <c r="Y46" s="24" t="n">
        <f aca="false">IF(12&gt;=MONTH($C$4),Y20*'LW Assumptions'!$C$49,'LW 2026 P&amp;L'!Y41)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12050.31370625</v>
      </c>
      <c r="AC46" s="34" t="n">
        <f aca="false">IFERROR(AB46/AB$20,0)</f>
        <v>0.038270728193878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IF(1&gt;=MONTH($C$4),C20*'LW Assumptions'!$C$50,'LW 2026 P&amp;L'!C42)</f>
        <v>1662</v>
      </c>
      <c r="D47" s="34" t="n">
        <f aca="false">IFERROR(C47/C$20,0)</f>
        <v>0.0929946284691137</v>
      </c>
      <c r="E47" s="24" t="n">
        <f aca="false">IF(2&gt;=MONTH($C$4),E20*'LW Assumptions'!$C$50,'LW 2026 P&amp;L'!E42)</f>
        <v>1547</v>
      </c>
      <c r="F47" s="34" t="n">
        <f aca="false">IFERROR(E47/E$20,0)</f>
        <v>0.0867298312496496</v>
      </c>
      <c r="G47" s="24" t="n">
        <f aca="false">IF(3&gt;=MONTH($C$4),G20*'LW Assumptions'!$C$50,'LW 2026 P&amp;L'!G42)</f>
        <v>4317</v>
      </c>
      <c r="H47" s="34" t="n">
        <f aca="false">IFERROR(G47/G$20,0)</f>
        <v>0.163201270225314</v>
      </c>
      <c r="I47" s="24" t="n">
        <f aca="false">IF(4&gt;=MONTH($C$4),I20*'LW Assumptions'!$C$50,'LW 2026 P&amp;L'!I42)</f>
        <v>1832</v>
      </c>
      <c r="J47" s="34" t="n">
        <f aca="false">IFERROR(I47/I$20,0)</f>
        <v>0.0890141392546524</v>
      </c>
      <c r="K47" s="24" t="n">
        <f aca="false">IF(5&gt;=MONTH($C$4),K20*'LW Assumptions'!$C$50,'LW 2026 P&amp;L'!K42)</f>
        <v>2670</v>
      </c>
      <c r="L47" s="34" t="n">
        <f aca="false">IFERROR(K47/K$20,0)</f>
        <v>0.107328054025807</v>
      </c>
      <c r="M47" s="24" t="n">
        <f aca="false">IF(6&gt;=MONTH($C$4),M20*'LW Assumptions'!$C$50,'LW 2026 P&amp;L'!M42)</f>
        <v>3672</v>
      </c>
      <c r="N47" s="34" t="n">
        <f aca="false">IFERROR(M47/M$20,0)</f>
        <v>0.135703462803503</v>
      </c>
      <c r="O47" s="24" t="n">
        <f aca="false">IF(7&gt;=MONTH($C$4),O20*'LW Assumptions'!$C$50,'LW 2026 P&amp;L'!O42)</f>
        <v>3392</v>
      </c>
      <c r="P47" s="34" t="n">
        <f aca="false">IFERROR(O47/O$20,0)</f>
        <v>0.132143831080291</v>
      </c>
      <c r="Q47" s="24" t="n">
        <f aca="false">IF(8&gt;=MONTH($C$4),Q20*'LW Assumptions'!$C$50,'LW 2026 P&amp;L'!Q42)</f>
        <v>2626.89522875</v>
      </c>
      <c r="R47" s="34" t="n">
        <f aca="false">IFERROR(Q47/Q$20,0)</f>
        <v>0.085</v>
      </c>
      <c r="S47" s="24" t="n">
        <f aca="false">IF(9&gt;=MONTH($C$4),S20*'LW Assumptions'!$C$50,'LW 2026 P&amp;L'!S42)</f>
        <v>2626.89522875</v>
      </c>
      <c r="T47" s="34" t="n">
        <f aca="false">IFERROR(S47/S$20,0)</f>
        <v>0.085</v>
      </c>
      <c r="U47" s="24" t="n">
        <f aca="false">IF(10&gt;=MONTH($C$4),U20*'LW Assumptions'!$C$50,'LW 2026 P&amp;L'!U42)</f>
        <v>2626.89522875</v>
      </c>
      <c r="V47" s="34" t="n">
        <f aca="false">IFERROR(U47/U$20,0)</f>
        <v>0.085</v>
      </c>
      <c r="W47" s="24" t="n">
        <f aca="false">IF(11&gt;=MONTH($C$4),W20*'LW Assumptions'!$C$50,'LW 2026 P&amp;L'!W42)</f>
        <v>2626.89522875</v>
      </c>
      <c r="X47" s="34" t="n">
        <f aca="false">IFERROR(W47/W$20,0)</f>
        <v>0.085</v>
      </c>
      <c r="Y47" s="24" t="n">
        <f aca="false">IF(12&gt;=MONTH($C$4),Y20*'LW Assumptions'!$C$50,'LW 2026 P&amp;L'!Y42)</f>
        <v>2626.89522875</v>
      </c>
      <c r="Z47" s="34" t="n">
        <f aca="false">IFERROR(Y47/Y$20,0)</f>
        <v>0.085</v>
      </c>
      <c r="AB47" s="24" t="n">
        <f aca="false">SUM(C47,E47,G47,I47,K47,M47,O47,Q47,S47,U47,W47,Y47)</f>
        <v>32226.47614375</v>
      </c>
      <c r="AC47" s="34" t="n">
        <f aca="false">IFERROR(AB47/AB$20,0)</f>
        <v>0.102348431684751</v>
      </c>
    </row>
    <row r="48" customFormat="false" ht="15" hidden="false" customHeight="true" outlineLevel="0" collapsed="false">
      <c r="A48" s="5" t="s">
        <v>207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0.0023621041037684</v>
      </c>
      <c r="S48" s="24" t="n">
        <f aca="false">'LW 2026 P&amp;L'!S43</f>
        <v>73</v>
      </c>
      <c r="T48" s="34" t="n">
        <f aca="false">IFERROR(S48/S$20,0)</f>
        <v>0.0023621041037684</v>
      </c>
      <c r="U48" s="24" t="n">
        <f aca="false">'LW 2026 P&amp;L'!U43</f>
        <v>73</v>
      </c>
      <c r="V48" s="34" t="n">
        <f aca="false">IFERROR(U48/U$20,0)</f>
        <v>0.0023621041037684</v>
      </c>
      <c r="W48" s="24" t="n">
        <f aca="false">'LW 2026 P&amp;L'!W43</f>
        <v>73</v>
      </c>
      <c r="X48" s="34" t="n">
        <f aca="false">IFERROR(W48/W$20,0)</f>
        <v>0.0023621041037684</v>
      </c>
      <c r="Y48" s="24" t="n">
        <f aca="false">'LW 2026 P&amp;L'!Y43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766</v>
      </c>
      <c r="AC48" s="34" t="n">
        <f aca="false">IFERROR(AB48/AB$20,0)</f>
        <v>0.00243274810192749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90667.19594375</v>
      </c>
      <c r="AC50" s="35" t="n">
        <f aca="false">IFERROR(AB50/AB$20,0)</f>
        <v>0.287950977596927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0.00805704002518262</v>
      </c>
      <c r="S53" s="24" t="n">
        <f aca="false">'LW 2026 P&amp;L'!S47</f>
        <v>249</v>
      </c>
      <c r="T53" s="34" t="n">
        <f aca="false">IFERROR(S53/S$20,0)</f>
        <v>0.00805704002518262</v>
      </c>
      <c r="U53" s="24" t="n">
        <f aca="false">'LW 2026 P&amp;L'!U47</f>
        <v>249</v>
      </c>
      <c r="V53" s="34" t="n">
        <f aca="false">IFERROR(U53/U$20,0)</f>
        <v>0.00805704002518262</v>
      </c>
      <c r="W53" s="24" t="n">
        <f aca="false">'LW 2026 P&amp;L'!W47</f>
        <v>249</v>
      </c>
      <c r="X53" s="34" t="n">
        <f aca="false">IFERROR(W53/W$20,0)</f>
        <v>0.00805704002518262</v>
      </c>
      <c r="Y53" s="24" t="n">
        <f aca="false">'LW 2026 P&amp;L'!Y47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2948</v>
      </c>
      <c r="AC53" s="34" t="n">
        <f aca="false">IFERROR(AB53/AB$20,0)</f>
        <v>0.00936258668992461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0.0307459978782768</v>
      </c>
    </row>
    <row r="55" customFormat="false" ht="15" hidden="false" customHeight="true" outlineLevel="0" collapsed="false">
      <c r="A55" s="5" t="s">
        <v>956</v>
      </c>
      <c r="C55" s="24" t="n">
        <f aca="false">IF(1&gt;=MONTH($C$4),C20*'LW Assumptions'!$C$52,'LW 2026 P&amp;L'!C49)</f>
        <v>522</v>
      </c>
      <c r="D55" s="34" t="n">
        <f aca="false">IFERROR(C55/C$20,0)</f>
        <v>0.0292076991942704</v>
      </c>
      <c r="E55" s="24" t="n">
        <f aca="false">IF(2&gt;=MONTH($C$4),E20*'LW Assumptions'!$C$52,'LW 2026 P&amp;L'!E49)</f>
        <v>1062</v>
      </c>
      <c r="F55" s="34" t="n">
        <f aca="false">IFERROR(E55/E$20,0)</f>
        <v>0.0595391601726748</v>
      </c>
      <c r="G55" s="24" t="n">
        <f aca="false">IF(3&gt;=MONTH($C$4),G20*'LW Assumptions'!$C$52,'LW 2026 P&amp;L'!G49)</f>
        <v>1577</v>
      </c>
      <c r="H55" s="34" t="n">
        <f aca="false">IFERROR(G55/G$20,0)</f>
        <v>0.0596174202328746</v>
      </c>
      <c r="I55" s="24" t="n">
        <f aca="false">IF(4&gt;=MONTH($C$4),I20*'LW Assumptions'!$C$52,'LW 2026 P&amp;L'!I49)</f>
        <v>629</v>
      </c>
      <c r="J55" s="34" t="n">
        <f aca="false">IFERROR(I55/I$20,0)</f>
        <v>0.0305621689908168</v>
      </c>
      <c r="K55" s="24" t="n">
        <f aca="false">IF(5&gt;=MONTH($C$4),K20*'LW Assumptions'!$C$52,'LW 2026 P&amp;L'!K49)</f>
        <v>1784</v>
      </c>
      <c r="L55" s="34" t="n">
        <f aca="false">IFERROR(K55/K$20,0)</f>
        <v>0.0717128271093781</v>
      </c>
      <c r="M55" s="24" t="n">
        <f aca="false">IF(6&gt;=MONTH($C$4),M20*'LW Assumptions'!$C$52,'LW 2026 P&amp;L'!M49)</f>
        <v>1369</v>
      </c>
      <c r="N55" s="34" t="n">
        <f aca="false">IFERROR(M55/M$20,0)</f>
        <v>0.0505931483055545</v>
      </c>
      <c r="O55" s="24" t="n">
        <f aca="false">IF(7&gt;=MONTH($C$4),O20*'LW Assumptions'!$C$52,'LW 2026 P&amp;L'!O49)</f>
        <v>1618</v>
      </c>
      <c r="P55" s="34" t="n">
        <f aca="false">IFERROR(O55/O$20,0)</f>
        <v>0.0630332307452569</v>
      </c>
      <c r="Q55" s="24" t="n">
        <f aca="false">IF(8&gt;=MONTH($C$4),Q20*'LW Assumptions'!$C$52,'LW 2026 P&amp;L'!Q49)</f>
        <v>1390.70923875</v>
      </c>
      <c r="R55" s="34" t="n">
        <f aca="false">IFERROR(Q55/Q$20,0)</f>
        <v>0.045</v>
      </c>
      <c r="S55" s="24" t="n">
        <f aca="false">IF(9&gt;=MONTH($C$4),S20*'LW Assumptions'!$C$52,'LW 2026 P&amp;L'!S49)</f>
        <v>1390.70923875</v>
      </c>
      <c r="T55" s="34" t="n">
        <f aca="false">IFERROR(S55/S$20,0)</f>
        <v>0.045</v>
      </c>
      <c r="U55" s="24" t="n">
        <f aca="false">IF(10&gt;=MONTH($C$4),U20*'LW Assumptions'!$C$52,'LW 2026 P&amp;L'!U49)</f>
        <v>1390.70923875</v>
      </c>
      <c r="V55" s="34" t="n">
        <f aca="false">IFERROR(U55/U$20,0)</f>
        <v>0.045</v>
      </c>
      <c r="W55" s="24" t="n">
        <f aca="false">IF(11&gt;=MONTH($C$4),W20*'LW Assumptions'!$C$52,'LW 2026 P&amp;L'!W49)</f>
        <v>1390.70923875</v>
      </c>
      <c r="X55" s="34" t="n">
        <f aca="false">IFERROR(W55/W$20,0)</f>
        <v>0.045</v>
      </c>
      <c r="Y55" s="24" t="n">
        <f aca="false">IF(12&gt;=MONTH($C$4),Y20*'LW Assumptions'!$C$52,'LW 2026 P&amp;L'!Y49)</f>
        <v>1390.70923875</v>
      </c>
      <c r="Z55" s="34" t="n">
        <f aca="false">IFERROR(Y55/Y$20,0)</f>
        <v>0.045</v>
      </c>
      <c r="AB55" s="24" t="n">
        <f aca="false">SUM(C55,E55,G55,I55,K55,M55,O55,Q55,S55,U55,W55,Y55)</f>
        <v>15514.54619375</v>
      </c>
      <c r="AC55" s="34" t="n">
        <f aca="false">IFERROR(AB55/AB$20,0)</f>
        <v>0.0492728235053678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1236.18599</v>
      </c>
      <c r="R56" s="34" t="n">
        <f aca="false">IFERROR(Q56/Q$20,0)</f>
        <v>0.04</v>
      </c>
      <c r="S56" s="24" t="n">
        <f aca="false">IF(9&gt;=MONTH($C$4),S20*'LW Assumptions'!$C$40,'LW 2026 P&amp;L'!S50)</f>
        <v>1236.18599</v>
      </c>
      <c r="T56" s="34" t="n">
        <f aca="false">IFERROR(S56/S$20,0)</f>
        <v>0.04</v>
      </c>
      <c r="U56" s="24" t="n">
        <f aca="false">IF(10&gt;=MONTH($C$4),U20*'LW Assumptions'!$C$40,'LW 2026 P&amp;L'!U50)</f>
        <v>1236.18599</v>
      </c>
      <c r="V56" s="34" t="n">
        <f aca="false">IFERROR(U56/U$20,0)</f>
        <v>0.04</v>
      </c>
      <c r="W56" s="24" t="n">
        <f aca="false">IF(11&gt;=MONTH($C$4),W20*'LW Assumptions'!$C$40,'LW 2026 P&amp;L'!W50)</f>
        <v>1236.18599</v>
      </c>
      <c r="X56" s="34" t="n">
        <f aca="false">IFERROR(W56/W$20,0)</f>
        <v>0.04</v>
      </c>
      <c r="Y56" s="24" t="n">
        <f aca="false">IF(12&gt;=MONTH($C$4),Y20*'LW Assumptions'!$C$40,'LW 2026 P&amp;L'!Y50)</f>
        <v>1236.18599</v>
      </c>
      <c r="Z56" s="34" t="n">
        <f aca="false">IFERROR(Y56/Y$20,0)</f>
        <v>0.04</v>
      </c>
      <c r="AB56" s="24" t="n">
        <f aca="false">SUM(C56,E56,G56,I56,K56,M56,O56,Q56,S56,U56,W56,Y56)</f>
        <v>34180.92995</v>
      </c>
      <c r="AC56" s="34" t="n">
        <f aca="false">IFERROR(AB56/AB$20,0)</f>
        <v>0.108555603731043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62324.47614375</v>
      </c>
      <c r="AC60" s="35" t="n">
        <f aca="false">IFERROR(AB60/AB$20,0)</f>
        <v>0.197937011804612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-243.505700833331</v>
      </c>
      <c r="R62" s="35" t="n">
        <f aca="false">IFERROR(Q62/Q$20,0)</f>
        <v>-0.00787925774286863</v>
      </c>
      <c r="S62" s="27" t="n">
        <f aca="false">S41-S50-S60</f>
        <v>-210.505700833331</v>
      </c>
      <c r="T62" s="35" t="n">
        <f aca="false">IFERROR(S62/S$20,0)</f>
        <v>-0.00681145725760346</v>
      </c>
      <c r="U62" s="27" t="n">
        <f aca="false">U41-U50-U60</f>
        <v>-245.505700833331</v>
      </c>
      <c r="V62" s="35" t="n">
        <f aca="false">IFERROR(U62/U$20,0)</f>
        <v>-0.00794397292379379</v>
      </c>
      <c r="W62" s="27" t="n">
        <f aca="false">W41-W50-W60</f>
        <v>-232.505700833331</v>
      </c>
      <c r="X62" s="35" t="n">
        <f aca="false">IFERROR(W62/W$20,0)</f>
        <v>-0.00752332424778024</v>
      </c>
      <c r="Y62" s="27" t="n">
        <f aca="false">Y41-Y50-Y60</f>
        <v>-228.505700833331</v>
      </c>
      <c r="Z62" s="35" t="n">
        <f aca="false">IFERROR(Y62/Y$20,0)</f>
        <v>-0.00739389388592992</v>
      </c>
      <c r="AB62" s="27" t="n">
        <f aca="false">AB41-AB50-AB60</f>
        <v>-97360.5285041667</v>
      </c>
      <c r="AC62" s="35" t="n">
        <f aca="false">IFERROR(AB62/AB$20,0)</f>
        <v>-0.309208408513276</v>
      </c>
    </row>
    <row r="64" customFormat="false" ht="15" hidden="false" customHeight="true" outlineLevel="0" collapsed="false">
      <c r="A64" s="5" t="s">
        <v>219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-243.505700833331</v>
      </c>
      <c r="R66" s="8" t="n">
        <f aca="false">IFERROR(Q66/Q$20,0)</f>
        <v>-0.00787925774286863</v>
      </c>
      <c r="S66" s="7" t="n">
        <f aca="false">S62-S64</f>
        <v>-210.505700833331</v>
      </c>
      <c r="T66" s="8" t="n">
        <f aca="false">IFERROR(S66/S$20,0)</f>
        <v>-0.00681145725760346</v>
      </c>
      <c r="U66" s="7" t="n">
        <f aca="false">U62-U64</f>
        <v>-245.505700833331</v>
      </c>
      <c r="V66" s="8" t="n">
        <f aca="false">IFERROR(U66/U$20,0)</f>
        <v>-0.00794397292379379</v>
      </c>
      <c r="W66" s="7" t="n">
        <f aca="false">W62-W64</f>
        <v>-232.505700833331</v>
      </c>
      <c r="X66" s="8" t="n">
        <f aca="false">IFERROR(W66/W$20,0)</f>
        <v>-0.00752332424778024</v>
      </c>
      <c r="Y66" s="7" t="n">
        <f aca="false">Y62-Y64</f>
        <v>-228.505700833331</v>
      </c>
      <c r="Z66" s="8" t="n">
        <f aca="false">IFERROR(Y66/Y$20,0)</f>
        <v>-0.00739389388592992</v>
      </c>
      <c r="AB66" s="7" t="n">
        <f aca="false">AB62-AB64</f>
        <v>-97360.5285041667</v>
      </c>
      <c r="AC66" s="8" t="n">
        <f aca="false">IFERROR(AB66/AB$20,0)</f>
        <v>-0.309208408513276</v>
      </c>
    </row>
    <row r="68" customFormat="false" ht="15" hidden="false" customHeight="true" outlineLevel="0" collapsed="false">
      <c r="A68" s="5" t="s">
        <v>221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0.00805704002518262</v>
      </c>
      <c r="S69" s="24" t="n">
        <f aca="false">'LW 2026 P&amp;L'!S62</f>
        <v>249</v>
      </c>
      <c r="T69" s="34" t="n">
        <f aca="false">IFERROR(S69/S$20,0)</f>
        <v>0.00805704002518262</v>
      </c>
      <c r="U69" s="24" t="n">
        <f aca="false">'LW 2026 P&amp;L'!U62</f>
        <v>249</v>
      </c>
      <c r="V69" s="34" t="n">
        <f aca="false">IFERROR(U69/U$20,0)</f>
        <v>0.00805704002518262</v>
      </c>
      <c r="W69" s="24" t="n">
        <f aca="false">'LW 2026 P&amp;L'!W62</f>
        <v>249</v>
      </c>
      <c r="X69" s="34" t="n">
        <f aca="false">IFERROR(W69/W$20,0)</f>
        <v>0.00805704002518262</v>
      </c>
      <c r="Y69" s="24" t="n">
        <f aca="false">'LW 2026 P&amp;L'!Y62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3040</v>
      </c>
      <c r="AC69" s="34" t="n">
        <f aca="false">IFERROR(AB69/AB$20,0)</f>
        <v>0.00965477053506472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-492.505700833331</v>
      </c>
      <c r="R70" s="37" t="n">
        <f aca="false">IFERROR(Q70/Q$20,0)</f>
        <v>-0.0159362977680513</v>
      </c>
      <c r="S70" s="36" t="n">
        <f aca="false">S66-S68-S69</f>
        <v>-459.505700833331</v>
      </c>
      <c r="T70" s="37" t="n">
        <f aca="false">IFERROR(S70/S$20,0)</f>
        <v>-0.0148684972827861</v>
      </c>
      <c r="U70" s="36" t="n">
        <f aca="false">U66-U68-U69</f>
        <v>-494.505700833331</v>
      </c>
      <c r="V70" s="37" t="n">
        <f aca="false">IFERROR(U70/U$20,0)</f>
        <v>-0.0160010129489764</v>
      </c>
      <c r="W70" s="36" t="n">
        <f aca="false">W66-W68-W69</f>
        <v>-481.505700833331</v>
      </c>
      <c r="X70" s="37" t="n">
        <f aca="false">IFERROR(W70/W$20,0)</f>
        <v>-0.0155803642729629</v>
      </c>
      <c r="Y70" s="36" t="n">
        <f aca="false">Y66-Y68-Y69</f>
        <v>-477.505700833331</v>
      </c>
      <c r="Z70" s="37" t="n">
        <f aca="false">IFERROR(Y70/Y$20,0)</f>
        <v>-0.0154509339111125</v>
      </c>
      <c r="AB70" s="36" t="n">
        <f aca="false">AB66-AB68-AB69</f>
        <v>-100400.528504167</v>
      </c>
      <c r="AC70" s="37" t="n">
        <f aca="false">IFERROR(AB70/AB$20,0)</f>
        <v>-0.31886317904834</v>
      </c>
    </row>
    <row r="72" customFormat="false" ht="15" hidden="false" customHeight="true" outlineLevel="0" collapsed="false">
      <c r="A72" s="3" t="s">
        <v>957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958</v>
      </c>
    </row>
    <row r="3" customFormat="false" ht="15" hidden="false" customHeight="true" outlineLevel="0" collapsed="false">
      <c r="A3" s="2" t="s">
        <v>947</v>
      </c>
    </row>
    <row r="4" customFormat="false" ht="15" hidden="false" customHeight="true" outlineLevel="0" collapsed="false">
      <c r="A4" s="6" t="s">
        <v>959</v>
      </c>
      <c r="C4" s="116" t="n">
        <v>46235</v>
      </c>
      <c r="D4" s="3" t="s">
        <v>960</v>
      </c>
      <c r="E4" s="6" t="s">
        <v>961</v>
      </c>
      <c r="G4" s="116" t="n">
        <v>46266</v>
      </c>
      <c r="H4" s="3" t="s">
        <v>962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950</v>
      </c>
      <c r="P6" s="32"/>
      <c r="Q6" s="32" t="s">
        <v>950</v>
      </c>
      <c r="R6" s="32"/>
      <c r="S6" s="32" t="s">
        <v>950</v>
      </c>
      <c r="T6" s="32"/>
      <c r="U6" s="32" t="s">
        <v>950</v>
      </c>
      <c r="V6" s="32"/>
      <c r="W6" s="32" t="s">
        <v>950</v>
      </c>
      <c r="X6" s="32"/>
      <c r="Y6" s="32" t="s">
        <v>950</v>
      </c>
      <c r="Z6" s="32"/>
      <c r="AB6" s="32" t="s">
        <v>951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0.347866085356586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0.419079291183085</v>
      </c>
    </row>
    <row r="13" customFormat="false" ht="15" hidden="false" customHeight="true" outlineLevel="0" collapsed="false">
      <c r="A13" s="5" t="s">
        <v>180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0.0510379584816607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0.078372830752006</v>
      </c>
    </row>
    <row r="14" customFormat="false" ht="15" hidden="false" customHeight="true" outlineLevel="0" collapsed="false">
      <c r="A14" s="5" t="s">
        <v>181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0.135754569817207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0.131813720488277</v>
      </c>
    </row>
    <row r="15" customFormat="false" ht="15" hidden="false" customHeight="true" outlineLevel="0" collapsed="false">
      <c r="A15" s="5" t="s">
        <v>182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0.0047198112075517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0.00485954395829587</v>
      </c>
    </row>
    <row r="16" customFormat="false" ht="15" hidden="false" customHeight="true" outlineLevel="0" collapsed="false">
      <c r="A16" s="5" t="s">
        <v>183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0.0187992480300788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0.0184910721382952</v>
      </c>
    </row>
    <row r="17" customFormat="false" ht="15" hidden="false" customHeight="true" outlineLevel="0" collapsed="false">
      <c r="A17" s="5" t="s">
        <v>952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963</v>
      </c>
      <c r="C18" s="24" t="n">
        <f aca="false">IF(1&gt;=MONTH($G$4),'Vessel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IF(2&gt;=MONTH($G$4),'Vessel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IF(3&gt;=MONTH($G$4),'Vessel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IF(4&gt;=MONTH($G$4),'Vessel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IF(5&gt;=MONTH($G$4),'Vessel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IF(6&gt;=MONTH($G$4),'Vessel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IF(7&gt;=MONTH($G$4),'Vessel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IF(8&gt;=MONTH($G$4),'Vessel 2026 P&amp;L'!Q14+SUM(Q12:Q16)*'Vessel Assumptions'!$C$32,'Vessel 2026 P&amp;L'!Q14)</f>
        <v>11046</v>
      </c>
      <c r="R18" s="34" t="n">
        <f aca="false">IFERROR(Q18/Q$20,0)</f>
        <v>0.441822327106916</v>
      </c>
      <c r="S18" s="24" t="n">
        <f aca="false">IF(9&gt;=MONTH($G$4),'Vessel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IF(10&gt;=MONTH($G$4),'Vessel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IF(11&gt;=MONTH($G$4),'Vessel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IF(12&gt;=MONTH($G$4),'Vessel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124885.8</v>
      </c>
      <c r="AC18" s="34" t="n">
        <f aca="false">IFERROR(AB18/AB$20,0)</f>
        <v>0.352023222080595</v>
      </c>
    </row>
    <row r="19" customFormat="false" ht="15" hidden="false" customHeight="true" outlineLevel="0" collapsed="false">
      <c r="A19" s="5" t="s">
        <v>186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-0.00463968060055394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25001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354765.8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189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190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191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192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0.242830286788528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0.34651592684526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18930</v>
      </c>
      <c r="R30" s="8" t="n">
        <f aca="false">IFERROR(Q30/Q$20,0)</f>
        <v>0.757169713211472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231833.8</v>
      </c>
      <c r="AC30" s="8" t="n">
        <f aca="false">IFERROR(AB30/AB$20,0)</f>
        <v>0.65348407315474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0.0662773489060438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0.0485672519729918</v>
      </c>
    </row>
    <row r="34" customFormat="false" ht="15" hidden="false" customHeight="true" outlineLevel="0" collapsed="false">
      <c r="A34" s="5" t="s">
        <v>196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0.0158527118453921</v>
      </c>
    </row>
    <row r="35" customFormat="false" ht="15" hidden="false" customHeight="true" outlineLevel="0" collapsed="false">
      <c r="A35" s="5" t="s">
        <v>197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0.0999960001599936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0.129381129748132</v>
      </c>
    </row>
    <row r="36" customFormat="false" ht="15" hidden="false" customHeight="true" outlineLevel="0" collapsed="false">
      <c r="A36" s="5" t="s">
        <v>198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0.0102795888164473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0.0208560126145192</v>
      </c>
    </row>
    <row r="37" customFormat="false" ht="15" hidden="false" customHeight="true" outlineLevel="0" collapsed="false">
      <c r="A37" s="5" t="s">
        <v>199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0.00231990720371185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0.0109396114281591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0.178872845086197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0.225596717609195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0.421703131874725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0.572112644454454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14458</v>
      </c>
      <c r="R41" s="8" t="n">
        <f aca="false">IFERROR(Q41/Q$20,0)</f>
        <v>0.578296868125275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151799.8</v>
      </c>
      <c r="AC41" s="8" t="n">
        <f aca="false">IFERROR(AB41/AB$20,0)</f>
        <v>0.427887355545546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964</v>
      </c>
      <c r="C44" s="24" t="n">
        <f aca="false">IF(1&gt;=MONTH($C$4),C20*'Vessel Assumptions'!$C$34,'Vessel 2026 P&amp;L'!C39)</f>
        <v>1631</v>
      </c>
      <c r="D44" s="34" t="n">
        <f aca="false">IFERROR(C44/C$20,0)</f>
        <v>0.0427881840600241</v>
      </c>
      <c r="E44" s="24" t="n">
        <f aca="false">IF(2&gt;=MONTH($C$4),E20*'Vessel Assumptions'!$C$34,'Vessel 2026 P&amp;L'!E39)</f>
        <v>1306</v>
      </c>
      <c r="F44" s="34" t="n">
        <f aca="false">IFERROR(E44/E$20,0)</f>
        <v>0.0782410735681764</v>
      </c>
      <c r="G44" s="24" t="n">
        <f aca="false">IF(3&gt;=MONTH($C$4),G20*'Vessel Assumptions'!$C$34,'Vessel 2026 P&amp;L'!G39)</f>
        <v>3262</v>
      </c>
      <c r="H44" s="34" t="n">
        <f aca="false">IFERROR(G44/G$20,0)</f>
        <v>0.081949503831177</v>
      </c>
      <c r="I44" s="24" t="n">
        <f aca="false">IF(4&gt;=MONTH($C$4),I20*'Vessel Assumptions'!$C$34,'Vessel 2026 P&amp;L'!I39)</f>
        <v>580</v>
      </c>
      <c r="J44" s="34" t="n">
        <f aca="false">IFERROR(I44/I$20,0)</f>
        <v>0.0462999920172428</v>
      </c>
      <c r="K44" s="24" t="n">
        <f aca="false">IF(5&gt;=MONTH($C$4),K20*'Vessel Assumptions'!$C$34,'Vessel 2026 P&amp;L'!K39)</f>
        <v>947</v>
      </c>
      <c r="L44" s="34" t="n">
        <f aca="false">IFERROR(K44/K$20,0)</f>
        <v>0.0231319768435966</v>
      </c>
      <c r="M44" s="24" t="n">
        <f aca="false">IF(6&gt;=MONTH($C$4),M20*'Vessel Assumptions'!$C$34,'Vessel 2026 P&amp;L'!M39)</f>
        <v>929</v>
      </c>
      <c r="N44" s="34" t="n">
        <f aca="false">IFERROR(M44/M$20,0)</f>
        <v>0.0202736616982738</v>
      </c>
      <c r="O44" s="24" t="n">
        <f aca="false">IF(7&gt;=MONTH($C$4),O20*'Vessel Assumptions'!$C$34,'Vessel 2026 P&amp;L'!O39)</f>
        <v>1262</v>
      </c>
      <c r="P44" s="34" t="n">
        <f aca="false">IFERROR(O44/O$20,0)</f>
        <v>0.0381614756576958</v>
      </c>
      <c r="Q44" s="24" t="n">
        <f aca="false">IF(8&gt;=MONTH($C$4),Q20*'Vessel Assumptions'!$C$34,'Vessel 2026 P&amp;L'!Q39)</f>
        <v>750.03</v>
      </c>
      <c r="R44" s="34" t="n">
        <f aca="false">IFERROR(Q44/Q$20,0)</f>
        <v>0.03</v>
      </c>
      <c r="S44" s="24" t="n">
        <f aca="false">IF(9&gt;=MONTH($C$4),S20*'Vessel Assumptions'!$C$34,'Vessel 2026 P&amp;L'!S39)</f>
        <v>770.9625</v>
      </c>
      <c r="T44" s="34" t="n">
        <f aca="false">IFERROR(S44/S$20,0)</f>
        <v>0.03</v>
      </c>
      <c r="U44" s="24" t="n">
        <f aca="false">IF(10&gt;=MONTH($C$4),U20*'Vessel Assumptions'!$C$34,'Vessel 2026 P&amp;L'!U39)</f>
        <v>616.7445</v>
      </c>
      <c r="V44" s="34" t="n">
        <f aca="false">IFERROR(U44/U$20,0)</f>
        <v>0.03</v>
      </c>
      <c r="W44" s="24" t="n">
        <f aca="false">IF(11&gt;=MONTH($C$4),W20*'Vessel Assumptions'!$C$34,'Vessel 2026 P&amp;L'!W39)</f>
        <v>616.7445</v>
      </c>
      <c r="X44" s="34" t="n">
        <f aca="false">IFERROR(W44/W$20,0)</f>
        <v>0.03</v>
      </c>
      <c r="Y44" s="24" t="n">
        <f aca="false">IF(12&gt;=MONTH($C$4),Y20*'Vessel Assumptions'!$C$34,'Vessel 2026 P&amp;L'!Y39)</f>
        <v>1079.2725</v>
      </c>
      <c r="Z44" s="34" t="n">
        <f aca="false">IFERROR(Y44/Y$20,0)</f>
        <v>0.03</v>
      </c>
      <c r="AB44" s="24" t="n">
        <f aca="false">SUM(C44,E44,G44,I44,K44,M44,O44,Q44,S44,U44,W44,Y44)</f>
        <v>13750.754</v>
      </c>
      <c r="AC44" s="34" t="n">
        <f aca="false">IFERROR(AB44/AB$20,0)</f>
        <v>0.0387600890502974</v>
      </c>
    </row>
    <row r="45" customFormat="false" ht="15" hidden="false" customHeight="true" outlineLevel="0" collapsed="false">
      <c r="A45" s="5" t="s">
        <v>204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0.0577976880924763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0.0323678325250066</v>
      </c>
    </row>
    <row r="46" customFormat="false" ht="15" hidden="false" customHeight="true" outlineLevel="0" collapsed="false">
      <c r="A46" s="5" t="s">
        <v>205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0.0269589216431343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0.02970692214413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IF(1&gt;=MONTH($C$4),C20*'Vessel Assumptions'!$C$35,'Vessel 2026 P&amp;L'!C42)</f>
        <v>3621</v>
      </c>
      <c r="D47" s="34" t="n">
        <f aca="false">IFERROR(C47/C$20,0)</f>
        <v>0.0949944907917519</v>
      </c>
      <c r="E47" s="24" t="n">
        <f aca="false">IF(2&gt;=MONTH($C$4),E20*'Vessel Assumptions'!$C$35,'Vessel 2026 P&amp;L'!E42)</f>
        <v>3804</v>
      </c>
      <c r="F47" s="34" t="n">
        <f aca="false">IFERROR(E47/E$20,0)</f>
        <v>0.227893601725377</v>
      </c>
      <c r="G47" s="24" t="n">
        <f aca="false">IF(3&gt;=MONTH($C$4),G20*'Vessel Assumptions'!$C$35,'Vessel 2026 P&amp;L'!G42)</f>
        <v>5208</v>
      </c>
      <c r="H47" s="34" t="n">
        <f aca="false">IFERROR(G47/G$20,0)</f>
        <v>0.130837834442909</v>
      </c>
      <c r="I47" s="24" t="n">
        <f aca="false">IF(4&gt;=MONTH($C$4),I20*'Vessel Assumptions'!$C$35,'Vessel 2026 P&amp;L'!I42)</f>
        <v>2705</v>
      </c>
      <c r="J47" s="34" t="n">
        <f aca="false">IFERROR(I47/I$20,0)</f>
        <v>0.215933583459727</v>
      </c>
      <c r="K47" s="24" t="n">
        <f aca="false">IF(5&gt;=MONTH($C$4),K20*'Vessel Assumptions'!$C$35,'Vessel 2026 P&amp;L'!K42)</f>
        <v>4709</v>
      </c>
      <c r="L47" s="34" t="n">
        <f aca="false">IFERROR(K47/K$20,0)</f>
        <v>0.115024792984685</v>
      </c>
      <c r="M47" s="24" t="n">
        <f aca="false">IF(6&gt;=MONTH($C$4),M20*'Vessel Assumptions'!$C$35,'Vessel 2026 P&amp;L'!M42)</f>
        <v>2584</v>
      </c>
      <c r="N47" s="34" t="n">
        <f aca="false">IFERROR(M47/M$20,0)</f>
        <v>0.0563908954018724</v>
      </c>
      <c r="O47" s="24" t="n">
        <f aca="false">IF(7&gt;=MONTH($C$4),O20*'Vessel Assumptions'!$C$35,'Vessel 2026 P&amp;L'!O42)</f>
        <v>3340</v>
      </c>
      <c r="P47" s="34" t="n">
        <f aca="false">IFERROR(O47/O$20,0)</f>
        <v>0.100997883277895</v>
      </c>
      <c r="Q47" s="24" t="n">
        <f aca="false">IF(8&gt;=MONTH($C$4),Q20*'Vessel Assumptions'!$C$35,'Vessel 2026 P&amp;L'!Q42)</f>
        <v>1000.04</v>
      </c>
      <c r="R47" s="34" t="n">
        <f aca="false">IFERROR(Q47/Q$20,0)</f>
        <v>0.04</v>
      </c>
      <c r="S47" s="24" t="n">
        <f aca="false">IF(9&gt;=MONTH($C$4),S20*'Vessel Assumptions'!$C$35,'Vessel 2026 P&amp;L'!S42)</f>
        <v>1027.95</v>
      </c>
      <c r="T47" s="34" t="n">
        <f aca="false">IFERROR(S47/S$20,0)</f>
        <v>0.04</v>
      </c>
      <c r="U47" s="24" t="n">
        <f aca="false">IF(10&gt;=MONTH($C$4),U20*'Vessel Assumptions'!$C$35,'Vessel 2026 P&amp;L'!U42)</f>
        <v>822.326</v>
      </c>
      <c r="V47" s="34" t="n">
        <f aca="false">IFERROR(U47/U$20,0)</f>
        <v>0.04</v>
      </c>
      <c r="W47" s="24" t="n">
        <f aca="false">IF(11&gt;=MONTH($C$4),W20*'Vessel Assumptions'!$C$35,'Vessel 2026 P&amp;L'!W42)</f>
        <v>822.326</v>
      </c>
      <c r="X47" s="34" t="n">
        <f aca="false">IFERROR(W47/W$20,0)</f>
        <v>0.04</v>
      </c>
      <c r="Y47" s="24" t="n">
        <f aca="false">IF(12&gt;=MONTH($C$4),Y20*'Vessel Assumptions'!$C$35,'Vessel 2026 P&amp;L'!Y42)</f>
        <v>1439.03</v>
      </c>
      <c r="Z47" s="34" t="n">
        <f aca="false">IFERROR(Y47/Y$20,0)</f>
        <v>0.04</v>
      </c>
      <c r="AB47" s="24" t="n">
        <f aca="false">SUM(C47,E47,G47,I47,K47,M47,O47,Q47,S47,U47,W47,Y47)</f>
        <v>31082.672</v>
      </c>
      <c r="AC47" s="34" t="n">
        <f aca="false">IFERROR(AB47/AB$20,0)</f>
        <v>0.08761462350655</v>
      </c>
    </row>
    <row r="48" customFormat="false" ht="15" hidden="false" customHeight="true" outlineLevel="0" collapsed="false">
      <c r="A48" s="5" t="s">
        <v>207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0.00675093258707576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3869.07</v>
      </c>
      <c r="R50" s="35" t="n">
        <f aca="false">IFERROR(Q50/Q$20,0)</f>
        <v>0.154756609735611</v>
      </c>
      <c r="S50" s="27" t="n">
        <f aca="false">SUM(S44:S49)</f>
        <v>3917.9125</v>
      </c>
      <c r="T50" s="35" t="n">
        <f aca="false">IFERROR(S50/S$20,0)</f>
        <v>0.152455372343013</v>
      </c>
      <c r="U50" s="27" t="n">
        <f aca="false">SUM(U44:U49)</f>
        <v>3558.0705</v>
      </c>
      <c r="V50" s="35" t="n">
        <f aca="false">IFERROR(U50/U$20,0)</f>
        <v>0.173073476942235</v>
      </c>
      <c r="W50" s="27" t="n">
        <f aca="false">SUM(W44:W49)</f>
        <v>3558.0705</v>
      </c>
      <c r="X50" s="35" t="n">
        <f aca="false">IFERROR(W50/W$20,0)</f>
        <v>0.173073476942235</v>
      </c>
      <c r="Y50" s="27" t="n">
        <f aca="false">SUM(Y44:Y49)</f>
        <v>4637.3025</v>
      </c>
      <c r="Z50" s="35" t="n">
        <f aca="false">IFERROR(Y50/Y$20,0)</f>
        <v>0.128900787335914</v>
      </c>
      <c r="AB50" s="27" t="n">
        <f aca="false">SUM(AB44:AB49)</f>
        <v>69250.426</v>
      </c>
      <c r="AC50" s="35" t="n">
        <f aca="false">IFERROR(AB50/AB$20,0)</f>
        <v>0.19520039981306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0.0191592336306548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0.0160302937881836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0</v>
      </c>
      <c r="R54" s="34" t="n">
        <f aca="false">IFERROR(Q54/Q$20,0)</f>
        <v>0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13841</v>
      </c>
      <c r="AC54" s="34" t="n">
        <f aca="false">IFERROR(AB54/AB$20,0)</f>
        <v>0.0390144709552048</v>
      </c>
    </row>
    <row r="55" customFormat="false" ht="15" hidden="false" customHeight="true" outlineLevel="0" collapsed="false">
      <c r="A55" s="5" t="s">
        <v>213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0.0199992000319987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0.0193310629153092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1000.04</v>
      </c>
      <c r="R56" s="34" t="n">
        <f aca="false">IFERROR(Q56/Q$20,0)</f>
        <v>0.04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33111.672</v>
      </c>
      <c r="AC56" s="34" t="n">
        <f aca="false">IFERROR(AB56/AB$20,0)</f>
        <v>0.0933338895688367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1979.04</v>
      </c>
      <c r="R60" s="35" t="n">
        <f aca="false">IFERROR(Q60/Q$20,0)</f>
        <v>0.0791584336626535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59497.672</v>
      </c>
      <c r="AC60" s="35" t="n">
        <f aca="false">IFERROR(AB60/AB$20,0)</f>
        <v>0.167709717227534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8609.89</v>
      </c>
      <c r="R62" s="35" t="n">
        <f aca="false">IFERROR(Q62/Q$20,0)</f>
        <v>0.344381824727011</v>
      </c>
      <c r="S62" s="27" t="n">
        <f aca="false">S41-S50-S60</f>
        <v>9230.8875</v>
      </c>
      <c r="T62" s="35" t="n">
        <f aca="false">IFERROR(S62/S$20,0)</f>
        <v>0.359195972566759</v>
      </c>
      <c r="U62" s="27" t="n">
        <f aca="false">U41-U50-U60</f>
        <v>6469.7535</v>
      </c>
      <c r="V62" s="35" t="n">
        <f aca="false">IFERROR(U62/U$20,0)</f>
        <v>0.314705043984989</v>
      </c>
      <c r="W62" s="27" t="n">
        <f aca="false">W41-W50-W60</f>
        <v>6469.7535</v>
      </c>
      <c r="X62" s="35" t="n">
        <f aca="false">IFERROR(W62/W$20,0)</f>
        <v>0.314705043984989</v>
      </c>
      <c r="Y62" s="27" t="n">
        <f aca="false">Y41-Y50-Y60</f>
        <v>14749.4175</v>
      </c>
      <c r="Z62" s="35" t="n">
        <f aca="false">IFERROR(Y62/Y$20,0)</f>
        <v>0.409982210238842</v>
      </c>
      <c r="AB62" s="27" t="n">
        <f aca="false">AB41-AB50-AB60</f>
        <v>23051.702</v>
      </c>
      <c r="AC62" s="35" t="n">
        <f aca="false">IFERROR(AB62/AB$20,0)</f>
        <v>0.0649772385049517</v>
      </c>
    </row>
    <row r="64" customFormat="false" ht="15" hidden="false" customHeight="true" outlineLevel="0" collapsed="false">
      <c r="A64" s="5" t="s">
        <v>219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8609.89</v>
      </c>
      <c r="R66" s="8" t="n">
        <f aca="false">IFERROR(Q66/Q$20,0)</f>
        <v>0.344381824727011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23051.702</v>
      </c>
      <c r="AC66" s="8" t="n">
        <f aca="false">IFERROR(AB66/AB$20,0)</f>
        <v>0.0649772385049517</v>
      </c>
    </row>
    <row r="68" customFormat="false" ht="15" hidden="false" customHeight="true" outlineLevel="0" collapsed="false">
      <c r="A68" s="5" t="s">
        <v>221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0.016359345626175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0.0139105855186718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8200.89</v>
      </c>
      <c r="R70" s="37" t="n">
        <f aca="false">IFERROR(Q70/Q$20,0)</f>
        <v>0.328022479100836</v>
      </c>
      <c r="S70" s="36" t="n">
        <f aca="false">S66-S68-S69</f>
        <v>8821.8875</v>
      </c>
      <c r="T70" s="37" t="n">
        <f aca="false">IFERROR(S70/S$20,0)</f>
        <v>0.343280801595408</v>
      </c>
      <c r="U70" s="36" t="n">
        <f aca="false">U66-U68-U69</f>
        <v>6060.7535</v>
      </c>
      <c r="V70" s="37" t="n">
        <f aca="false">IFERROR(U70/U$20,0)</f>
        <v>0.294810257732335</v>
      </c>
      <c r="W70" s="36" t="n">
        <f aca="false">W66-W68-W69</f>
        <v>6060.7535</v>
      </c>
      <c r="X70" s="37" t="n">
        <f aca="false">IFERROR(W70/W$20,0)</f>
        <v>0.294810257732335</v>
      </c>
      <c r="Y70" s="36" t="n">
        <f aca="false">Y66-Y68-Y69</f>
        <v>14340.4175</v>
      </c>
      <c r="Z70" s="37" t="n">
        <f aca="false">IFERROR(Y70/Y$20,0)</f>
        <v>0.39861344099845</v>
      </c>
      <c r="AB70" s="36" t="n">
        <f aca="false">AB66-AB68-AB69</f>
        <v>18116.702</v>
      </c>
      <c r="AC70" s="37" t="n">
        <f aca="false">IFERROR(AB70/AB$20,0)</f>
        <v>0.0510666529862799</v>
      </c>
    </row>
    <row r="72" customFormat="false" ht="15" hidden="false" customHeight="true" outlineLevel="0" collapsed="false">
      <c r="A72" s="3" t="s">
        <v>965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966</v>
      </c>
      <c r="B1" s="40"/>
      <c r="C1" s="40"/>
      <c r="D1" s="40"/>
    </row>
    <row r="2" customFormat="false" ht="15" hidden="false" customHeight="true" outlineLevel="0" collapsed="false">
      <c r="A2" s="41" t="s">
        <v>967</v>
      </c>
      <c r="B2" s="41"/>
      <c r="C2" s="41"/>
      <c r="D2" s="41"/>
    </row>
    <row r="4" customFormat="false" ht="19.5" hidden="false" customHeight="true" outlineLevel="0" collapsed="false">
      <c r="B4" s="61" t="s">
        <v>968</v>
      </c>
      <c r="C4" s="61"/>
      <c r="D4" s="61"/>
    </row>
    <row r="5" customFormat="false" ht="15" hidden="false" customHeight="true" outlineLevel="0" collapsed="false">
      <c r="B5" s="47" t="s">
        <v>969</v>
      </c>
      <c r="C5" s="62" t="n">
        <v>106838.2</v>
      </c>
    </row>
    <row r="6" customFormat="false" ht="15" hidden="false" customHeight="true" outlineLevel="0" collapsed="false">
      <c r="B6" s="47" t="s">
        <v>970</v>
      </c>
      <c r="C6" s="62" t="n">
        <v>131727.36</v>
      </c>
      <c r="D6" s="63" t="s">
        <v>971</v>
      </c>
    </row>
    <row r="7" customFormat="false" ht="15" hidden="false" customHeight="true" outlineLevel="0" collapsed="false">
      <c r="B7" s="47" t="s">
        <v>972</v>
      </c>
      <c r="C7" s="62" t="n">
        <v>13996.3</v>
      </c>
    </row>
    <row r="8" customFormat="false" ht="15" hidden="false" customHeight="true" outlineLevel="0" collapsed="false">
      <c r="B8" s="47" t="s">
        <v>973</v>
      </c>
      <c r="C8" s="62" t="n">
        <v>5847.56</v>
      </c>
    </row>
    <row r="9" customFormat="false" ht="15" hidden="false" customHeight="true" outlineLevel="0" collapsed="false">
      <c r="B9" s="47" t="s">
        <v>974</v>
      </c>
      <c r="C9" s="62" t="n">
        <v>7792.6</v>
      </c>
      <c r="D9" s="1" t="s">
        <v>975</v>
      </c>
    </row>
    <row r="10" customFormat="false" ht="15" hidden="false" customHeight="true" outlineLevel="0" collapsed="false">
      <c r="B10" s="66" t="s">
        <v>976</v>
      </c>
      <c r="C10" s="67" t="n">
        <f aca="false">SUM(C5:C9)</f>
        <v>266202.02</v>
      </c>
    </row>
    <row r="12" customFormat="false" ht="19.5" hidden="false" customHeight="true" outlineLevel="0" collapsed="false">
      <c r="B12" s="61" t="s">
        <v>977</v>
      </c>
      <c r="C12" s="61"/>
      <c r="D12" s="61"/>
    </row>
    <row r="13" customFormat="false" ht="15" hidden="false" customHeight="true" outlineLevel="0" collapsed="false">
      <c r="B13" s="47" t="s">
        <v>978</v>
      </c>
      <c r="C13" s="64" t="n">
        <v>0.4407</v>
      </c>
      <c r="D13" s="1" t="s">
        <v>979</v>
      </c>
    </row>
    <row r="14" customFormat="false" ht="15" hidden="false" customHeight="true" outlineLevel="0" collapsed="false">
      <c r="B14" s="47" t="s">
        <v>980</v>
      </c>
      <c r="C14" s="64" t="n">
        <v>0.2216</v>
      </c>
    </row>
    <row r="15" customFormat="false" ht="15" hidden="false" customHeight="true" outlineLevel="0" collapsed="false">
      <c r="B15" s="47" t="s">
        <v>981</v>
      </c>
      <c r="C15" s="64" t="n">
        <v>0.3328</v>
      </c>
    </row>
    <row r="16" customFormat="false" ht="15" hidden="false" customHeight="true" outlineLevel="0" collapsed="false">
      <c r="B16" s="47" t="s">
        <v>982</v>
      </c>
      <c r="C16" s="64" t="n">
        <v>0</v>
      </c>
      <c r="D16" s="1" t="s">
        <v>983</v>
      </c>
    </row>
    <row r="17" customFormat="false" ht="15" hidden="false" customHeight="true" outlineLevel="0" collapsed="false">
      <c r="B17" s="47" t="s">
        <v>984</v>
      </c>
      <c r="C17" s="64" t="n">
        <v>0</v>
      </c>
      <c r="D17" s="1" t="s">
        <v>985</v>
      </c>
    </row>
    <row r="19" customFormat="false" ht="19.5" hidden="false" customHeight="true" outlineLevel="0" collapsed="false">
      <c r="B19" s="61" t="s">
        <v>986</v>
      </c>
      <c r="C19" s="61"/>
      <c r="D19" s="61"/>
    </row>
    <row r="20" customFormat="false" ht="15" hidden="false" customHeight="true" outlineLevel="0" collapsed="false">
      <c r="B20" s="47" t="s">
        <v>987</v>
      </c>
      <c r="C20" s="65" t="n">
        <v>10</v>
      </c>
      <c r="D20" s="63" t="s">
        <v>988</v>
      </c>
    </row>
    <row r="21" customFormat="false" ht="15" hidden="false" customHeight="true" outlineLevel="0" collapsed="false">
      <c r="B21" s="47" t="s">
        <v>989</v>
      </c>
      <c r="C21" s="65" t="n">
        <f aca="false">2*4/7</f>
        <v>1.14285714285714</v>
      </c>
      <c r="D21" s="63" t="s">
        <v>990</v>
      </c>
    </row>
    <row r="22" customFormat="false" ht="15" hidden="false" customHeight="true" outlineLevel="0" collapsed="false">
      <c r="B22" s="47" t="s">
        <v>991</v>
      </c>
      <c r="C22" s="65" t="n">
        <v>7</v>
      </c>
    </row>
    <row r="23" customFormat="false" ht="15" hidden="false" customHeight="true" outlineLevel="0" collapsed="false">
      <c r="B23" s="47" t="s">
        <v>992</v>
      </c>
      <c r="C23" s="62" t="n">
        <v>20</v>
      </c>
      <c r="D23" s="63" t="s">
        <v>993</v>
      </c>
    </row>
    <row r="24" customFormat="false" ht="15" hidden="false" customHeight="true" outlineLevel="0" collapsed="false">
      <c r="B24" s="47" t="s">
        <v>299</v>
      </c>
      <c r="C24" s="64" t="n">
        <v>0.16</v>
      </c>
    </row>
    <row r="25" customFormat="false" ht="15" hidden="false" customHeight="true" outlineLevel="0" collapsed="false">
      <c r="B25" s="66" t="s">
        <v>994</v>
      </c>
      <c r="C25" s="67" t="n">
        <f aca="false">(C20+C21)*C22*52*C23*(1+C24)+C26*52*(1+C24)</f>
        <v>111953.92</v>
      </c>
      <c r="D25" s="63" t="s">
        <v>995</v>
      </c>
    </row>
    <row r="26" customFormat="false" ht="15" hidden="false" customHeight="true" outlineLevel="0" collapsed="false">
      <c r="B26" s="47" t="s">
        <v>996</v>
      </c>
      <c r="C26" s="62" t="n">
        <v>296</v>
      </c>
      <c r="D26" s="1" t="s">
        <v>997</v>
      </c>
    </row>
    <row r="27" customFormat="false" ht="19.5" hidden="false" customHeight="true" outlineLevel="0" collapsed="false">
      <c r="B27" s="61" t="s">
        <v>998</v>
      </c>
      <c r="C27" s="61"/>
      <c r="D27" s="61"/>
    </row>
    <row r="28" customFormat="false" ht="15" hidden="false" customHeight="true" outlineLevel="0" collapsed="false">
      <c r="B28" s="47" t="s">
        <v>999</v>
      </c>
      <c r="C28" s="62" t="n">
        <v>164857</v>
      </c>
      <c r="D28" s="63" t="s">
        <v>1000</v>
      </c>
    </row>
    <row r="30" customFormat="false" ht="19.5" hidden="false" customHeight="true" outlineLevel="0" collapsed="false">
      <c r="B30" s="61" t="s">
        <v>1001</v>
      </c>
      <c r="C30" s="61"/>
      <c r="D30" s="61"/>
    </row>
    <row r="31" customFormat="false" ht="15" hidden="false" customHeight="true" outlineLevel="0" collapsed="false">
      <c r="B31" s="47" t="s">
        <v>304</v>
      </c>
      <c r="C31" s="64" t="n">
        <v>0.025</v>
      </c>
      <c r="D31" s="63" t="s">
        <v>1002</v>
      </c>
    </row>
    <row r="32" customFormat="false" ht="15" hidden="false" customHeight="true" outlineLevel="0" collapsed="false">
      <c r="B32" s="47" t="s">
        <v>1003</v>
      </c>
      <c r="C32" s="62" t="n">
        <v>89675</v>
      </c>
      <c r="D32" s="63" t="s">
        <v>1004</v>
      </c>
    </row>
    <row r="33" customFormat="false" ht="15" hidden="false" customHeight="true" outlineLevel="0" collapsed="false">
      <c r="B33" s="47" t="s">
        <v>270</v>
      </c>
      <c r="C33" s="62" t="n">
        <v>5657</v>
      </c>
      <c r="D33" s="63" t="s">
        <v>1005</v>
      </c>
    </row>
    <row r="35" customFormat="false" ht="19.5" hidden="false" customHeight="true" outlineLevel="0" collapsed="false">
      <c r="B35" s="61" t="s">
        <v>1006</v>
      </c>
      <c r="C35" s="61"/>
      <c r="D35" s="61"/>
    </row>
    <row r="36" customFormat="false" ht="15" hidden="false" customHeight="true" outlineLevel="0" collapsed="false">
      <c r="B36" s="47" t="s">
        <v>1007</v>
      </c>
      <c r="C36" s="62" t="n">
        <f aca="false">'LW Retail Plan'!$C$19</f>
        <v>42000.22</v>
      </c>
      <c r="D36" s="1" t="s">
        <v>1008</v>
      </c>
    </row>
    <row r="37" customFormat="false" ht="15" hidden="false" customHeight="true" outlineLevel="0" collapsed="false">
      <c r="B37" s="47" t="s">
        <v>1009</v>
      </c>
      <c r="C37" s="117" t="n">
        <f aca="false">'LW Retail Plan'!$C$20</f>
        <v>0.42</v>
      </c>
      <c r="D37" s="1" t="s">
        <v>1010</v>
      </c>
    </row>
    <row r="39" customFormat="false" ht="15" hidden="false" customHeight="true" outlineLevel="0" collapsed="false">
      <c r="B39" s="118" t="s">
        <v>1011</v>
      </c>
      <c r="C39" s="118"/>
      <c r="D39" s="118"/>
    </row>
    <row r="40" customFormat="false" ht="15" hidden="false" customHeight="true" outlineLevel="0" collapsed="false">
      <c r="B40" s="47" t="s">
        <v>1012</v>
      </c>
      <c r="C40" s="119" t="n">
        <v>0.04</v>
      </c>
      <c r="D40" s="63" t="s">
        <v>1013</v>
      </c>
    </row>
    <row r="41" customFormat="false" ht="15" hidden="false" customHeight="true" outlineLevel="0" collapsed="false">
      <c r="B41" s="47" t="s">
        <v>1014</v>
      </c>
      <c r="C41" s="119" t="n">
        <v>0</v>
      </c>
      <c r="D41" s="63" t="s">
        <v>1015</v>
      </c>
    </row>
    <row r="42" customFormat="false" ht="15" hidden="false" customHeight="true" outlineLevel="0" collapsed="false">
      <c r="B42" s="47" t="s">
        <v>1016</v>
      </c>
      <c r="C42" s="45" t="n">
        <v>10012</v>
      </c>
      <c r="D42" s="63" t="s">
        <v>1017</v>
      </c>
    </row>
    <row r="43" customFormat="false" ht="15" hidden="false" customHeight="true" outlineLevel="0" collapsed="false">
      <c r="B43" s="47" t="s">
        <v>1018</v>
      </c>
      <c r="C43" s="45" t="n">
        <f aca="false">'LW Menu Pricing'!$C$53</f>
        <v>9160.92</v>
      </c>
      <c r="D43" s="63" t="s">
        <v>1019</v>
      </c>
    </row>
    <row r="44" customFormat="false" ht="15" hidden="false" customHeight="true" outlineLevel="0" collapsed="false">
      <c r="B44" s="47" t="s">
        <v>1020</v>
      </c>
      <c r="C44" s="120" t="n">
        <v>1</v>
      </c>
      <c r="D44" s="63" t="s">
        <v>1021</v>
      </c>
    </row>
    <row r="45" customFormat="false" ht="15" hidden="false" customHeight="true" outlineLevel="0" collapsed="false">
      <c r="B45" s="47" t="s">
        <v>1022</v>
      </c>
      <c r="C45" s="45" t="n">
        <v>12880</v>
      </c>
      <c r="D45" s="63" t="s">
        <v>1023</v>
      </c>
    </row>
    <row r="46" customFormat="false" ht="15" hidden="false" customHeight="true" outlineLevel="0" collapsed="false">
      <c r="B46" s="1" t="s">
        <v>1024</v>
      </c>
      <c r="C46" s="121" t="n">
        <v>0.5</v>
      </c>
      <c r="D46" s="1" t="s">
        <v>1025</v>
      </c>
    </row>
    <row r="47" customFormat="false" ht="15" hidden="false" customHeight="true" outlineLevel="0" collapsed="false">
      <c r="B47" s="1" t="s">
        <v>1026</v>
      </c>
      <c r="C47" s="84" t="n">
        <f aca="false">'LW Assumptions'!$C$8*'LW Assumptions'!$C$46</f>
        <v>2923.78</v>
      </c>
    </row>
    <row r="48" customFormat="false" ht="15" hidden="false" customHeight="true" outlineLevel="0" collapsed="false">
      <c r="B48" s="47" t="s">
        <v>313</v>
      </c>
      <c r="C48" s="119" t="n">
        <v>0.125</v>
      </c>
      <c r="D48" s="63" t="s">
        <v>1027</v>
      </c>
    </row>
    <row r="49" customFormat="false" ht="15" hidden="false" customHeight="true" outlineLevel="0" collapsed="false">
      <c r="B49" s="47" t="s">
        <v>1028</v>
      </c>
      <c r="C49" s="119" t="n">
        <v>0.035</v>
      </c>
      <c r="D49" s="63"/>
    </row>
    <row r="50" customFormat="false" ht="15" hidden="false" customHeight="true" outlineLevel="0" collapsed="false">
      <c r="B50" s="47" t="s">
        <v>315</v>
      </c>
      <c r="C50" s="119" t="n">
        <v>0.085</v>
      </c>
      <c r="D50" s="63"/>
    </row>
    <row r="51" customFormat="false" ht="15" hidden="false" customHeight="true" outlineLevel="0" collapsed="false">
      <c r="B51" s="47" t="s">
        <v>1029</v>
      </c>
      <c r="C51" s="119" t="n">
        <v>0.4</v>
      </c>
      <c r="D51" s="63" t="s">
        <v>1030</v>
      </c>
    </row>
    <row r="52" customFormat="false" ht="15" hidden="false" customHeight="true" outlineLevel="0" collapsed="false">
      <c r="B52" s="47" t="s">
        <v>1031</v>
      </c>
      <c r="C52" s="119" t="n">
        <v>0.045</v>
      </c>
      <c r="D52" s="63" t="s">
        <v>1032</v>
      </c>
    </row>
    <row r="53" customFormat="false" ht="15" hidden="false" customHeight="true" outlineLevel="0" collapsed="false">
      <c r="B53" s="47" t="s">
        <v>1033</v>
      </c>
      <c r="C53" s="119" t="n">
        <v>0.025</v>
      </c>
      <c r="D53" s="63" t="s">
        <v>1034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1035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1036</v>
      </c>
      <c r="D5" s="30"/>
      <c r="E5" s="31"/>
      <c r="F5" s="30" t="s">
        <v>1037</v>
      </c>
      <c r="G5" s="30"/>
      <c r="H5" s="31"/>
      <c r="I5" s="30" t="s">
        <v>1038</v>
      </c>
      <c r="J5" s="30"/>
    </row>
    <row r="6" customFormat="false" ht="15" hidden="false" customHeight="true" outlineLevel="0" collapsed="false">
      <c r="C6" s="32" t="s">
        <v>353</v>
      </c>
      <c r="D6" s="32"/>
      <c r="E6" s="33"/>
      <c r="F6" s="32" t="s">
        <v>353</v>
      </c>
      <c r="G6" s="32"/>
      <c r="H6" s="33"/>
      <c r="I6" s="32" t="s">
        <v>353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180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181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182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183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184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185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189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190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191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192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193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196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197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198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199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206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208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1039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213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1040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1041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0.365010608152904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0.365010608152904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0.365010608152904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0.365010608152904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0.365010608152904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0.365010608152904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0.365010608152904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0.365010608152904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0.365010608152904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0.365010608152904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0.365010608152904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135366.3</v>
      </c>
      <c r="AC12" s="34" t="n">
        <f aca="false">IFERROR(AB12/AB$20,0)</f>
        <v>0.365010608152904</v>
      </c>
    </row>
    <row r="13" customFormat="false" ht="15" hidden="false" customHeight="true" outlineLevel="0" collapsed="false">
      <c r="A13" s="5" t="s">
        <v>180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0.455073431142833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0.455073431142833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0.455073431142833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0.455073431142833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0.455073431142833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0.455073431142833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0.455073431142833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0.455073431142833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0.455073431142833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0.455073431142833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0.455073431142833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168766.62</v>
      </c>
      <c r="AC13" s="34" t="n">
        <f aca="false">IFERROR(AB13/AB$20,0)</f>
        <v>0.455073431142833</v>
      </c>
    </row>
    <row r="14" customFormat="false" ht="15" hidden="false" customHeight="true" outlineLevel="0" collapsed="false">
      <c r="A14" s="5" t="s">
        <v>181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0.0197057725917117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0.0197057725917117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0.0197057725917117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0.0197057725917117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0.0197057725917117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0.0197057725917117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0.0197057725917117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0.0197057725917117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0.0197057725917117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0.0197057725917117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0.0197057725917117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7308</v>
      </c>
      <c r="AC14" s="34" t="n">
        <f aca="false">IFERROR(AB14/AB$20,0)</f>
        <v>0.0197057725917117</v>
      </c>
    </row>
    <row r="15" customFormat="false" ht="15" hidden="false" customHeight="true" outlineLevel="0" collapsed="false">
      <c r="A15" s="5" t="s">
        <v>182</v>
      </c>
      <c r="C15" s="24" t="n">
        <f aca="false">'LW 2026 P&amp;L'!$Y$12</f>
        <v>615</v>
      </c>
      <c r="D15" s="34" t="n">
        <f aca="false">IFERROR(C15/C$20,0)</f>
        <v>0.0198999181344872</v>
      </c>
      <c r="E15" s="24" t="n">
        <f aca="false">'LW 2026 P&amp;L'!$Y$12</f>
        <v>615</v>
      </c>
      <c r="F15" s="34" t="n">
        <f aca="false">IFERROR(E15/E$20,0)</f>
        <v>0.0198999181344872</v>
      </c>
      <c r="G15" s="24" t="n">
        <f aca="false">'LW 2026 P&amp;L'!$Y$12</f>
        <v>615</v>
      </c>
      <c r="H15" s="34" t="n">
        <f aca="false">IFERROR(G15/G$20,0)</f>
        <v>0.0198999181344872</v>
      </c>
      <c r="I15" s="24" t="n">
        <f aca="false">'LW 2026 P&amp;L'!$Y$12</f>
        <v>615</v>
      </c>
      <c r="J15" s="34" t="n">
        <f aca="false">IFERROR(I15/I$20,0)</f>
        <v>0.0198999181344872</v>
      </c>
      <c r="K15" s="24" t="n">
        <f aca="false">'LW 2026 P&amp;L'!$Y$12</f>
        <v>615</v>
      </c>
      <c r="L15" s="34" t="n">
        <f aca="false">IFERROR(K15/K$20,0)</f>
        <v>0.0198999181344872</v>
      </c>
      <c r="M15" s="24" t="n">
        <f aca="false">'LW 2026 P&amp;L'!$Y$12</f>
        <v>615</v>
      </c>
      <c r="N15" s="34" t="n">
        <f aca="false">IFERROR(M15/M$20,0)</f>
        <v>0.0198999181344872</v>
      </c>
      <c r="O15" s="24" t="n">
        <f aca="false">'LW 2026 P&amp;L'!$Y$12</f>
        <v>615</v>
      </c>
      <c r="P15" s="34" t="n">
        <f aca="false">IFERROR(O15/O$20,0)</f>
        <v>0.0198999181344872</v>
      </c>
      <c r="Q15" s="24" t="n">
        <f aca="false">'LW 2026 P&amp;L'!$Y$12</f>
        <v>615</v>
      </c>
      <c r="R15" s="34" t="n">
        <f aca="false">IFERROR(Q15/Q$20,0)</f>
        <v>0.0198999181344872</v>
      </c>
      <c r="S15" s="24" t="n">
        <f aca="false">'LW 2026 P&amp;L'!$Y$12</f>
        <v>615</v>
      </c>
      <c r="T15" s="34" t="n">
        <f aca="false">IFERROR(S15/S$20,0)</f>
        <v>0.0198999181344872</v>
      </c>
      <c r="U15" s="24" t="n">
        <f aca="false">'LW 2026 P&amp;L'!$Y$12</f>
        <v>615</v>
      </c>
      <c r="V15" s="34" t="n">
        <f aca="false">IFERROR(U15/U$20,0)</f>
        <v>0.0198999181344872</v>
      </c>
      <c r="W15" s="24" t="n">
        <f aca="false">'LW 2026 P&amp;L'!$Y$12</f>
        <v>615</v>
      </c>
      <c r="X15" s="34" t="n">
        <f aca="false">IFERROR(W15/W$20,0)</f>
        <v>0.0198999181344872</v>
      </c>
      <c r="Y15" s="24" t="n">
        <f aca="false">'LW 2026 P&amp;L'!$Y$12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7380</v>
      </c>
      <c r="AC15" s="34" t="n">
        <f aca="false">IFERROR(AB15/AB$20,0)</f>
        <v>0.0198999181344872</v>
      </c>
    </row>
    <row r="16" customFormat="false" ht="15" hidden="false" customHeight="true" outlineLevel="0" collapsed="false">
      <c r="A16" s="5" t="s">
        <v>183</v>
      </c>
      <c r="C16" s="24" t="n">
        <f aca="false">'LW 2026 P&amp;L'!$Y$13</f>
        <v>1045</v>
      </c>
      <c r="D16" s="34" t="n">
        <f aca="false">IFERROR(C16/C$20,0)</f>
        <v>0.0338136820333969</v>
      </c>
      <c r="E16" s="24" t="n">
        <f aca="false">'LW 2026 P&amp;L'!$Y$13</f>
        <v>1045</v>
      </c>
      <c r="F16" s="34" t="n">
        <f aca="false">IFERROR(E16/E$20,0)</f>
        <v>0.0338136820333969</v>
      </c>
      <c r="G16" s="24" t="n">
        <f aca="false">'LW 2026 P&amp;L'!$Y$13</f>
        <v>1045</v>
      </c>
      <c r="H16" s="34" t="n">
        <f aca="false">IFERROR(G16/G$20,0)</f>
        <v>0.0338136820333969</v>
      </c>
      <c r="I16" s="24" t="n">
        <f aca="false">'LW 2026 P&amp;L'!$Y$13</f>
        <v>1045</v>
      </c>
      <c r="J16" s="34" t="n">
        <f aca="false">IFERROR(I16/I$20,0)</f>
        <v>0.0338136820333969</v>
      </c>
      <c r="K16" s="24" t="n">
        <f aca="false">'LW 2026 P&amp;L'!$Y$13</f>
        <v>1045</v>
      </c>
      <c r="L16" s="34" t="n">
        <f aca="false">IFERROR(K16/K$20,0)</f>
        <v>0.0338136820333969</v>
      </c>
      <c r="M16" s="24" t="n">
        <f aca="false">'LW 2026 P&amp;L'!$Y$13</f>
        <v>1045</v>
      </c>
      <c r="N16" s="34" t="n">
        <f aca="false">IFERROR(M16/M$20,0)</f>
        <v>0.0338136820333969</v>
      </c>
      <c r="O16" s="24" t="n">
        <f aca="false">'LW 2026 P&amp;L'!$Y$13</f>
        <v>1045</v>
      </c>
      <c r="P16" s="34" t="n">
        <f aca="false">IFERROR(O16/O$20,0)</f>
        <v>0.0338136820333969</v>
      </c>
      <c r="Q16" s="24" t="n">
        <f aca="false">'LW 2026 P&amp;L'!$Y$13</f>
        <v>1045</v>
      </c>
      <c r="R16" s="34" t="n">
        <f aca="false">IFERROR(Q16/Q$20,0)</f>
        <v>0.0338136820333969</v>
      </c>
      <c r="S16" s="24" t="n">
        <f aca="false">'LW 2026 P&amp;L'!$Y$13</f>
        <v>1045</v>
      </c>
      <c r="T16" s="34" t="n">
        <f aca="false">IFERROR(S16/S$20,0)</f>
        <v>0.0338136820333969</v>
      </c>
      <c r="U16" s="24" t="n">
        <f aca="false">'LW 2026 P&amp;L'!$Y$13</f>
        <v>1045</v>
      </c>
      <c r="V16" s="34" t="n">
        <f aca="false">IFERROR(U16/U$20,0)</f>
        <v>0.0338136820333969</v>
      </c>
      <c r="W16" s="24" t="n">
        <f aca="false">'LW 2026 P&amp;L'!$Y$13</f>
        <v>1045</v>
      </c>
      <c r="X16" s="34" t="n">
        <f aca="false">IFERROR(W16/W$20,0)</f>
        <v>0.0338136820333969</v>
      </c>
      <c r="Y16" s="24" t="n">
        <f aca="false">'LW 2026 P&amp;L'!$Y$13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12540</v>
      </c>
      <c r="AC16" s="34" t="n">
        <f aca="false">IFERROR(AB16/AB$20,0)</f>
        <v>0.0338136820333969</v>
      </c>
    </row>
    <row r="17" customFormat="false" ht="15" hidden="false" customHeight="true" outlineLevel="0" collapsed="false">
      <c r="A17" s="5" t="s">
        <v>952</v>
      </c>
      <c r="C17" s="24" t="n">
        <f aca="false">('LW Assumptions'!$C$47+'LW Assumptions'!$C$36)/12</f>
        <v>3743.66666666667</v>
      </c>
      <c r="D17" s="34" t="n">
        <f aca="false">IFERROR(C17/C$20,0)</f>
        <v>0.121136032828415</v>
      </c>
      <c r="E17" s="24" t="n">
        <f aca="false">('LW Assumptions'!$C$47+'LW Assumptions'!$C$36)/12</f>
        <v>3743.66666666667</v>
      </c>
      <c r="F17" s="34" t="n">
        <f aca="false">IFERROR(E17/E$20,0)</f>
        <v>0.121136032828415</v>
      </c>
      <c r="G17" s="24" t="n">
        <f aca="false">('LW Assumptions'!$C$47+'LW Assumptions'!$C$36)/12</f>
        <v>3743.66666666667</v>
      </c>
      <c r="H17" s="34" t="n">
        <f aca="false">IFERROR(G17/G$20,0)</f>
        <v>0.121136032828415</v>
      </c>
      <c r="I17" s="24" t="n">
        <f aca="false">('LW Assumptions'!$C$47+'LW Assumptions'!$C$36)/12</f>
        <v>3743.66666666667</v>
      </c>
      <c r="J17" s="34" t="n">
        <f aca="false">IFERROR(I17/I$20,0)</f>
        <v>0.121136032828415</v>
      </c>
      <c r="K17" s="24" t="n">
        <f aca="false">('LW Assumptions'!$C$47+'LW Assumptions'!$C$36)/12</f>
        <v>3743.66666666667</v>
      </c>
      <c r="L17" s="34" t="n">
        <f aca="false">IFERROR(K17/K$20,0)</f>
        <v>0.121136032828415</v>
      </c>
      <c r="M17" s="24" t="n">
        <f aca="false">('LW Assumptions'!$C$47+'LW Assumptions'!$C$36)/12</f>
        <v>3743.66666666667</v>
      </c>
      <c r="N17" s="34" t="n">
        <f aca="false">IFERROR(M17/M$20,0)</f>
        <v>0.121136032828415</v>
      </c>
      <c r="O17" s="24" t="n">
        <f aca="false">('LW Assumptions'!$C$47+'LW Assumptions'!$C$36)/12</f>
        <v>3743.66666666667</v>
      </c>
      <c r="P17" s="34" t="n">
        <f aca="false">IFERROR(O17/O$20,0)</f>
        <v>0.121136032828415</v>
      </c>
      <c r="Q17" s="24" t="n">
        <f aca="false">('LW Assumptions'!$C$47+'LW Assumptions'!$C$36)/12</f>
        <v>3743.66666666667</v>
      </c>
      <c r="R17" s="34" t="n">
        <f aca="false">IFERROR(Q17/Q$20,0)</f>
        <v>0.121136032828415</v>
      </c>
      <c r="S17" s="24" t="n">
        <f aca="false">('LW Assumptions'!$C$47+'LW Assumptions'!$C$36)/12</f>
        <v>3743.66666666667</v>
      </c>
      <c r="T17" s="34" t="n">
        <f aca="false">IFERROR(S17/S$20,0)</f>
        <v>0.121136032828415</v>
      </c>
      <c r="U17" s="24" t="n">
        <f aca="false">('LW Assumptions'!$C$47+'LW Assumptions'!$C$36)/12</f>
        <v>3743.66666666667</v>
      </c>
      <c r="V17" s="34" t="n">
        <f aca="false">IFERROR(U17/U$20,0)</f>
        <v>0.121136032828415</v>
      </c>
      <c r="W17" s="24" t="n">
        <f aca="false">('LW Assumptions'!$C$47+'LW Assumptions'!$C$36)/12</f>
        <v>3743.66666666667</v>
      </c>
      <c r="X17" s="34" t="n">
        <f aca="false">IFERROR(W17/W$20,0)</f>
        <v>0.121136032828415</v>
      </c>
      <c r="Y17" s="24" t="n">
        <f aca="false">('LW Assumptions'!$C$47+'LW Assumptions'!$C$36)/12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44924</v>
      </c>
      <c r="AC17" s="34" t="n">
        <f aca="false">IFERROR(AB17/AB$20,0)</f>
        <v>0.121136032828415</v>
      </c>
    </row>
    <row r="18" customFormat="false" ht="15" hidden="false" customHeight="true" outlineLevel="0" collapsed="false">
      <c r="A18" s="5" t="s">
        <v>185</v>
      </c>
      <c r="C18" s="24" t="n">
        <f aca="false">'LW 2026 P&amp;L'!$Y$14</f>
        <v>340</v>
      </c>
      <c r="D18" s="34" t="n">
        <f aca="false">IFERROR(C18/C$20,0)</f>
        <v>0.0110015807572775</v>
      </c>
      <c r="E18" s="24" t="n">
        <f aca="false">'LW 2026 P&amp;L'!$Y$14</f>
        <v>340</v>
      </c>
      <c r="F18" s="34" t="n">
        <f aca="false">IFERROR(E18/E$20,0)</f>
        <v>0.0110015807572775</v>
      </c>
      <c r="G18" s="24" t="n">
        <f aca="false">'LW 2026 P&amp;L'!$Y$14</f>
        <v>340</v>
      </c>
      <c r="H18" s="34" t="n">
        <f aca="false">IFERROR(G18/G$20,0)</f>
        <v>0.0110015807572775</v>
      </c>
      <c r="I18" s="24" t="n">
        <f aca="false">'LW 2026 P&amp;L'!$Y$14</f>
        <v>340</v>
      </c>
      <c r="J18" s="34" t="n">
        <f aca="false">IFERROR(I18/I$20,0)</f>
        <v>0.0110015807572775</v>
      </c>
      <c r="K18" s="24" t="n">
        <f aca="false">'LW 2026 P&amp;L'!$Y$14</f>
        <v>340</v>
      </c>
      <c r="L18" s="34" t="n">
        <f aca="false">IFERROR(K18/K$20,0)</f>
        <v>0.0110015807572775</v>
      </c>
      <c r="M18" s="24" t="n">
        <f aca="false">'LW 2026 P&amp;L'!$Y$14</f>
        <v>340</v>
      </c>
      <c r="N18" s="34" t="n">
        <f aca="false">IFERROR(M18/M$20,0)</f>
        <v>0.0110015807572775</v>
      </c>
      <c r="O18" s="24" t="n">
        <f aca="false">'LW 2026 P&amp;L'!$Y$14</f>
        <v>340</v>
      </c>
      <c r="P18" s="34" t="n">
        <f aca="false">IFERROR(O18/O$20,0)</f>
        <v>0.0110015807572775</v>
      </c>
      <c r="Q18" s="24" t="n">
        <f aca="false">'LW 2026 P&amp;L'!$Y$14</f>
        <v>340</v>
      </c>
      <c r="R18" s="34" t="n">
        <f aca="false">IFERROR(Q18/Q$20,0)</f>
        <v>0.0110015807572775</v>
      </c>
      <c r="S18" s="24" t="n">
        <f aca="false">'LW 2026 P&amp;L'!$Y$14</f>
        <v>340</v>
      </c>
      <c r="T18" s="34" t="n">
        <f aca="false">IFERROR(S18/S$20,0)</f>
        <v>0.0110015807572775</v>
      </c>
      <c r="U18" s="24" t="n">
        <f aca="false">'LW 2026 P&amp;L'!$Y$14</f>
        <v>340</v>
      </c>
      <c r="V18" s="34" t="n">
        <f aca="false">IFERROR(U18/U$20,0)</f>
        <v>0.0110015807572775</v>
      </c>
      <c r="W18" s="24" t="n">
        <f aca="false">'LW 2026 P&amp;L'!$Y$14</f>
        <v>340</v>
      </c>
      <c r="X18" s="34" t="n">
        <f aca="false">IFERROR(W18/W$20,0)</f>
        <v>0.0110015807572775</v>
      </c>
      <c r="Y18" s="24" t="n">
        <f aca="false">'LW 2026 P&amp;L'!$Y$14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4080</v>
      </c>
      <c r="AC18" s="34" t="n">
        <f aca="false">IFERROR(AB18/AB$20,0)</f>
        <v>0.0110015807572775</v>
      </c>
    </row>
    <row r="19" customFormat="false" ht="15" hidden="false" customHeight="true" outlineLevel="0" collapsed="false">
      <c r="A19" s="5" t="s">
        <v>1042</v>
      </c>
      <c r="C19" s="24" t="n">
        <f aca="false">-SUM(C12:C18)*'LW Assumptions'!$C$53</f>
        <v>-792.426916666667</v>
      </c>
      <c r="D19" s="34" t="n">
        <f aca="false">IFERROR(C19/C$20,0)</f>
        <v>-0.0256410256410256</v>
      </c>
      <c r="E19" s="24" t="n">
        <f aca="false">-SUM(E12:E18)*'LW Assumptions'!$C$53</f>
        <v>-792.426916666667</v>
      </c>
      <c r="F19" s="34" t="n">
        <f aca="false">IFERROR(E19/E$20,0)</f>
        <v>-0.0256410256410256</v>
      </c>
      <c r="G19" s="24" t="n">
        <f aca="false">-SUM(G12:G18)*'LW Assumptions'!$C$53</f>
        <v>-792.426916666667</v>
      </c>
      <c r="H19" s="34" t="n">
        <f aca="false">IFERROR(G19/G$20,0)</f>
        <v>-0.0256410256410256</v>
      </c>
      <c r="I19" s="24" t="n">
        <f aca="false">-SUM(I12:I18)*'LW Assumptions'!$C$53</f>
        <v>-792.426916666667</v>
      </c>
      <c r="J19" s="34" t="n">
        <f aca="false">IFERROR(I19/I$20,0)</f>
        <v>-0.0256410256410256</v>
      </c>
      <c r="K19" s="24" t="n">
        <f aca="false">-SUM(K12:K18)*'LW Assumptions'!$C$53</f>
        <v>-792.426916666667</v>
      </c>
      <c r="L19" s="34" t="n">
        <f aca="false">IFERROR(K19/K$20,0)</f>
        <v>-0.0256410256410256</v>
      </c>
      <c r="M19" s="24" t="n">
        <f aca="false">-SUM(M12:M18)*'LW Assumptions'!$C$53</f>
        <v>-792.426916666667</v>
      </c>
      <c r="N19" s="34" t="n">
        <f aca="false">IFERROR(M19/M$20,0)</f>
        <v>-0.0256410256410256</v>
      </c>
      <c r="O19" s="24" t="n">
        <f aca="false">-SUM(O12:O18)*'LW Assumptions'!$C$53</f>
        <v>-792.426916666667</v>
      </c>
      <c r="P19" s="34" t="n">
        <f aca="false">IFERROR(O19/O$20,0)</f>
        <v>-0.0256410256410256</v>
      </c>
      <c r="Q19" s="24" t="n">
        <f aca="false">-SUM(Q12:Q18)*'LW Assumptions'!$C$53</f>
        <v>-792.426916666667</v>
      </c>
      <c r="R19" s="34" t="n">
        <f aca="false">IFERROR(Q19/Q$20,0)</f>
        <v>-0.0256410256410256</v>
      </c>
      <c r="S19" s="24" t="n">
        <f aca="false">-SUM(S12:S18)*'LW Assumptions'!$C$53</f>
        <v>-792.426916666667</v>
      </c>
      <c r="T19" s="34" t="n">
        <f aca="false">IFERROR(S19/S$20,0)</f>
        <v>-0.0256410256410256</v>
      </c>
      <c r="U19" s="24" t="n">
        <f aca="false">-SUM(U12:U18)*'LW Assumptions'!$C$53</f>
        <v>-792.426916666667</v>
      </c>
      <c r="V19" s="34" t="n">
        <f aca="false">IFERROR(U19/U$20,0)</f>
        <v>-0.0256410256410256</v>
      </c>
      <c r="W19" s="24" t="n">
        <f aca="false">-SUM(W12:W18)*'LW Assumptions'!$C$53</f>
        <v>-792.426916666667</v>
      </c>
      <c r="X19" s="34" t="n">
        <f aca="false">IFERROR(W19/W$20,0)</f>
        <v>-0.0256410256410256</v>
      </c>
      <c r="Y19" s="24" t="n">
        <f aca="false">-SUM(Y12:Y18)*'LW Assumptions'!$C$53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-9509.123</v>
      </c>
      <c r="AC19" s="34" t="n">
        <f aca="false">IFERROR(AB19/AB$20,0)</f>
        <v>-0.0256410256410256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30904.64975</v>
      </c>
      <c r="D20" s="35" t="n">
        <f aca="false">IFERROR(C20/C$20,0)</f>
        <v>1</v>
      </c>
      <c r="E20" s="27" t="n">
        <f aca="false">SUM(E12:E19)</f>
        <v>30904.64975</v>
      </c>
      <c r="F20" s="35" t="n">
        <f aca="false">IFERROR(E20/E$20,0)</f>
        <v>1</v>
      </c>
      <c r="G20" s="27" t="n">
        <f aca="false">SUM(G12:G19)</f>
        <v>30904.64975</v>
      </c>
      <c r="H20" s="35" t="n">
        <f aca="false">IFERROR(G20/G$20,0)</f>
        <v>1</v>
      </c>
      <c r="I20" s="27" t="n">
        <f aca="false">SUM(I12:I19)</f>
        <v>30904.64975</v>
      </c>
      <c r="J20" s="35" t="n">
        <f aca="false">IFERROR(I20/I$20,0)</f>
        <v>1</v>
      </c>
      <c r="K20" s="27" t="n">
        <f aca="false">SUM(K12:K19)</f>
        <v>30904.64975</v>
      </c>
      <c r="L20" s="35" t="n">
        <f aca="false">IFERROR(K20/K$20,0)</f>
        <v>1</v>
      </c>
      <c r="M20" s="27" t="n">
        <f aca="false">SUM(M12:M19)</f>
        <v>30904.64975</v>
      </c>
      <c r="N20" s="35" t="n">
        <f aca="false">IFERROR(M20/M$20,0)</f>
        <v>1</v>
      </c>
      <c r="O20" s="27" t="n">
        <f aca="false">SUM(O12:O19)</f>
        <v>30904.64975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370855.797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1043</v>
      </c>
      <c r="C23" s="24" t="n">
        <f aca="false">'LW 2026 P&amp;L'!$Y$9*'LW Assumptions'!$C$51</f>
        <v>4434</v>
      </c>
      <c r="D23" s="34" t="n">
        <f aca="false">IFERROR(C23/C$12,0)</f>
        <v>0.393066812049971</v>
      </c>
      <c r="E23" s="24" t="n">
        <f aca="false">'LW 2026 P&amp;L'!$Y$9*'LW Assumptions'!$C$51</f>
        <v>4434</v>
      </c>
      <c r="F23" s="34" t="n">
        <f aca="false">IFERROR(E23/E$12,0)</f>
        <v>0.393066812049971</v>
      </c>
      <c r="G23" s="24" t="n">
        <f aca="false">'LW 2026 P&amp;L'!$Y$9*'LW Assumptions'!$C$51</f>
        <v>4434</v>
      </c>
      <c r="H23" s="34" t="n">
        <f aca="false">IFERROR(G23/G$12,0)</f>
        <v>0.393066812049971</v>
      </c>
      <c r="I23" s="24" t="n">
        <f aca="false">'LW 2026 P&amp;L'!$Y$9*'LW Assumptions'!$C$51</f>
        <v>4434</v>
      </c>
      <c r="J23" s="34" t="n">
        <f aca="false">IFERROR(I23/I$12,0)</f>
        <v>0.393066812049971</v>
      </c>
      <c r="K23" s="24" t="n">
        <f aca="false">'LW 2026 P&amp;L'!$Y$9*'LW Assumptions'!$C$51</f>
        <v>4434</v>
      </c>
      <c r="L23" s="34" t="n">
        <f aca="false">IFERROR(K23/K$12,0)</f>
        <v>0.393066812049971</v>
      </c>
      <c r="M23" s="24" t="n">
        <f aca="false">'LW 2026 P&amp;L'!$Y$9*'LW Assumptions'!$C$51</f>
        <v>4434</v>
      </c>
      <c r="N23" s="34" t="n">
        <f aca="false">IFERROR(M23/M$12,0)</f>
        <v>0.393066812049971</v>
      </c>
      <c r="O23" s="24" t="n">
        <f aca="false">'LW 2026 P&amp;L'!$Y$9*'LW Assumptions'!$C$51</f>
        <v>4434</v>
      </c>
      <c r="P23" s="34" t="n">
        <f aca="false">IFERROR(O23/O$12,0)</f>
        <v>0.393066812049971</v>
      </c>
      <c r="Q23" s="24" t="n">
        <f aca="false">'LW 2026 P&amp;L'!$Y$9*'LW Assumptions'!$C$51</f>
        <v>4434</v>
      </c>
      <c r="R23" s="34" t="n">
        <f aca="false">IFERROR(Q23/Q$12,0)</f>
        <v>0.393066812049971</v>
      </c>
      <c r="S23" s="24" t="n">
        <f aca="false">'LW 2026 P&amp;L'!$Y$9*'LW Assumptions'!$C$51</f>
        <v>4434</v>
      </c>
      <c r="T23" s="34" t="n">
        <f aca="false">IFERROR(S23/S$12,0)</f>
        <v>0.393066812049971</v>
      </c>
      <c r="U23" s="24" t="n">
        <f aca="false">'LW 2026 P&amp;L'!$Y$9*'LW Assumptions'!$C$51</f>
        <v>4434</v>
      </c>
      <c r="V23" s="34" t="n">
        <f aca="false">IFERROR(U23/U$12,0)</f>
        <v>0.393066812049971</v>
      </c>
      <c r="W23" s="24" t="n">
        <f aca="false">'LW 2026 P&amp;L'!$Y$9*'LW Assumptions'!$C$51</f>
        <v>4434</v>
      </c>
      <c r="X23" s="34" t="n">
        <f aca="false">IFERROR(W23/W$12,0)</f>
        <v>0.393066812049971</v>
      </c>
      <c r="Y23" s="24" t="n">
        <f aca="false">'LW 2026 P&amp;L'!$Y$9*'LW Assumptions'!$C$51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53208</v>
      </c>
      <c r="AC23" s="34" t="n">
        <f aca="false">IFERROR(AB23/AB$12,0)</f>
        <v>0.393066812049971</v>
      </c>
    </row>
    <row r="24" customFormat="false" ht="15" hidden="false" customHeight="true" outlineLevel="0" collapsed="false">
      <c r="A24" s="5" t="s">
        <v>189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190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191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192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193</v>
      </c>
      <c r="C28" s="24" t="n">
        <f aca="false">'LW Assumptions'!$C$36*'LW Assumptions'!$C$37/12</f>
        <v>1470.0077</v>
      </c>
      <c r="D28" s="34" t="n">
        <f aca="false">IFERROR(C28/C$17,0)</f>
        <v>0.392665221262577</v>
      </c>
      <c r="E28" s="24" t="n">
        <f aca="false">'LW Assumptions'!$C$36*'LW Assumptions'!$C$37/12</f>
        <v>1470.0077</v>
      </c>
      <c r="F28" s="34" t="n">
        <f aca="false">IFERROR(E28/E$17,0)</f>
        <v>0.392665221262577</v>
      </c>
      <c r="G28" s="24" t="n">
        <f aca="false">'LW Assumptions'!$C$36*'LW Assumptions'!$C$37/12</f>
        <v>1470.0077</v>
      </c>
      <c r="H28" s="34" t="n">
        <f aca="false">IFERROR(G28/G$17,0)</f>
        <v>0.392665221262577</v>
      </c>
      <c r="I28" s="24" t="n">
        <f aca="false">'LW Assumptions'!$C$36*'LW Assumptions'!$C$37/12</f>
        <v>1470.0077</v>
      </c>
      <c r="J28" s="34" t="n">
        <f aca="false">IFERROR(I28/I$17,0)</f>
        <v>0.392665221262577</v>
      </c>
      <c r="K28" s="24" t="n">
        <f aca="false">'LW Assumptions'!$C$36*'LW Assumptions'!$C$37/12</f>
        <v>1470.0077</v>
      </c>
      <c r="L28" s="34" t="n">
        <f aca="false">IFERROR(K28/K$17,0)</f>
        <v>0.392665221262577</v>
      </c>
      <c r="M28" s="24" t="n">
        <f aca="false">'LW Assumptions'!$C$36*'LW Assumptions'!$C$37/12</f>
        <v>1470.0077</v>
      </c>
      <c r="N28" s="34" t="n">
        <f aca="false">IFERROR(M28/M$17,0)</f>
        <v>0.392665221262577</v>
      </c>
      <c r="O28" s="24" t="n">
        <f aca="false">'LW Assumptions'!$C$36*'LW Assumptions'!$C$37/12</f>
        <v>1470.0077</v>
      </c>
      <c r="P28" s="34" t="n">
        <f aca="false">IFERROR(O28/O$17,0)</f>
        <v>0.392665221262577</v>
      </c>
      <c r="Q28" s="24" t="n">
        <f aca="false">'LW Assumptions'!$C$36*'LW Assumptions'!$C$37/12</f>
        <v>1470.0077</v>
      </c>
      <c r="R28" s="34" t="n">
        <f aca="false">IFERROR(Q28/Q$17,0)</f>
        <v>0.392665221262577</v>
      </c>
      <c r="S28" s="24" t="n">
        <f aca="false">'LW Assumptions'!$C$36*'LW Assumptions'!$C$37/12</f>
        <v>1470.0077</v>
      </c>
      <c r="T28" s="34" t="n">
        <f aca="false">IFERROR(S28/S$17,0)</f>
        <v>0.392665221262577</v>
      </c>
      <c r="U28" s="24" t="n">
        <f aca="false">'LW Assumptions'!$C$36*'LW Assumptions'!$C$37/12</f>
        <v>1470.0077</v>
      </c>
      <c r="V28" s="34" t="n">
        <f aca="false">IFERROR(U28/U$17,0)</f>
        <v>0.392665221262577</v>
      </c>
      <c r="W28" s="24" t="n">
        <f aca="false">'LW Assumptions'!$C$36*'LW Assumptions'!$C$37/12</f>
        <v>1470.0077</v>
      </c>
      <c r="X28" s="34" t="n">
        <f aca="false">IFERROR(W28/W$17,0)</f>
        <v>0.392665221262577</v>
      </c>
      <c r="Y28" s="24" t="n">
        <f aca="false">'LW Assumptions'!$C$36*'LW Assumptions'!$C$37/12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9361.0077</v>
      </c>
      <c r="D29" s="35" t="n">
        <f aca="false">IFERROR(C29/C$20,0)</f>
        <v>0.302899653473665</v>
      </c>
      <c r="E29" s="27" t="n">
        <f aca="false">SUM(E23:E28)</f>
        <v>9361.0077</v>
      </c>
      <c r="F29" s="35" t="n">
        <f aca="false">IFERROR(E29/E$20,0)</f>
        <v>0.302899653473665</v>
      </c>
      <c r="G29" s="27" t="n">
        <f aca="false">SUM(G23:G28)</f>
        <v>9361.0077</v>
      </c>
      <c r="H29" s="35" t="n">
        <f aca="false">IFERROR(G29/G$20,0)</f>
        <v>0.302899653473665</v>
      </c>
      <c r="I29" s="27" t="n">
        <f aca="false">SUM(I23:I28)</f>
        <v>9361.0077</v>
      </c>
      <c r="J29" s="35" t="n">
        <f aca="false">IFERROR(I29/I$20,0)</f>
        <v>0.302899653473665</v>
      </c>
      <c r="K29" s="27" t="n">
        <f aca="false">SUM(K23:K28)</f>
        <v>9361.0077</v>
      </c>
      <c r="L29" s="35" t="n">
        <f aca="false">IFERROR(K29/K$20,0)</f>
        <v>0.302899653473665</v>
      </c>
      <c r="M29" s="27" t="n">
        <f aca="false">SUM(M23:M28)</f>
        <v>9361.0077</v>
      </c>
      <c r="N29" s="35" t="n">
        <f aca="false">IFERROR(M29/M$20,0)</f>
        <v>0.302899653473665</v>
      </c>
      <c r="O29" s="27" t="n">
        <f aca="false">SUM(O23:O28)</f>
        <v>9361.0077</v>
      </c>
      <c r="P29" s="35" t="n">
        <f aca="false">IFERROR(O29/O$20,0)</f>
        <v>0.302899653473665</v>
      </c>
      <c r="Q29" s="27" t="n">
        <f aca="false">SUM(Q23:Q28)</f>
        <v>9361.0077</v>
      </c>
      <c r="R29" s="35" t="n">
        <f aca="false">IFERROR(Q29/Q$20,0)</f>
        <v>0.302899653473665</v>
      </c>
      <c r="S29" s="27" t="n">
        <f aca="false">SUM(S23:S28)</f>
        <v>9361.0077</v>
      </c>
      <c r="T29" s="35" t="n">
        <f aca="false">IFERROR(S29/S$20,0)</f>
        <v>0.302899653473665</v>
      </c>
      <c r="U29" s="27" t="n">
        <f aca="false">SUM(U23:U28)</f>
        <v>9361.0077</v>
      </c>
      <c r="V29" s="35" t="n">
        <f aca="false">IFERROR(U29/U$20,0)</f>
        <v>0.302899653473665</v>
      </c>
      <c r="W29" s="27" t="n">
        <f aca="false">SUM(W23:W28)</f>
        <v>9361.0077</v>
      </c>
      <c r="X29" s="35" t="n">
        <f aca="false">IFERROR(W29/W$20,0)</f>
        <v>0.302899653473665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112332.0924</v>
      </c>
      <c r="AC29" s="35" t="n">
        <f aca="false">IFERROR(AB29/AB$20,0)</f>
        <v>0.302899653473665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21543.64205</v>
      </c>
      <c r="D30" s="8" t="n">
        <f aca="false">IFERROR(C30/C$20,0)</f>
        <v>0.697100346526335</v>
      </c>
      <c r="E30" s="7" t="n">
        <f aca="false">E20-E29</f>
        <v>21543.64205</v>
      </c>
      <c r="F30" s="8" t="n">
        <f aca="false">IFERROR(E30/E$20,0)</f>
        <v>0.697100346526335</v>
      </c>
      <c r="G30" s="7" t="n">
        <f aca="false">G20-G29</f>
        <v>21543.64205</v>
      </c>
      <c r="H30" s="8" t="n">
        <f aca="false">IFERROR(G30/G$20,0)</f>
        <v>0.697100346526335</v>
      </c>
      <c r="I30" s="7" t="n">
        <f aca="false">I20-I29</f>
        <v>21543.64205</v>
      </c>
      <c r="J30" s="8" t="n">
        <f aca="false">IFERROR(I30/I$20,0)</f>
        <v>0.697100346526335</v>
      </c>
      <c r="K30" s="7" t="n">
        <f aca="false">K20-K29</f>
        <v>21543.64205</v>
      </c>
      <c r="L30" s="8" t="n">
        <f aca="false">IFERROR(K30/K$20,0)</f>
        <v>0.697100346526335</v>
      </c>
      <c r="M30" s="7" t="n">
        <f aca="false">M20-M29</f>
        <v>21543.64205</v>
      </c>
      <c r="N30" s="8" t="n">
        <f aca="false">IFERROR(M30/M$20,0)</f>
        <v>0.697100346526335</v>
      </c>
      <c r="O30" s="7" t="n">
        <f aca="false">O20-O29</f>
        <v>21543.64205</v>
      </c>
      <c r="P30" s="8" t="n">
        <f aca="false">IFERROR(O30/O$20,0)</f>
        <v>0.697100346526335</v>
      </c>
      <c r="Q30" s="7" t="n">
        <f aca="false">Q20-Q29</f>
        <v>21543.64205</v>
      </c>
      <c r="R30" s="8" t="n">
        <f aca="false">IFERROR(Q30/Q$20,0)</f>
        <v>0.697100346526335</v>
      </c>
      <c r="S30" s="7" t="n">
        <f aca="false">S20-S29</f>
        <v>21543.64205</v>
      </c>
      <c r="T30" s="8" t="n">
        <f aca="false">IFERROR(S30/S$20,0)</f>
        <v>0.697100346526335</v>
      </c>
      <c r="U30" s="7" t="n">
        <f aca="false">U20-U29</f>
        <v>21543.64205</v>
      </c>
      <c r="V30" s="8" t="n">
        <f aca="false">IFERROR(U30/U$20,0)</f>
        <v>0.697100346526335</v>
      </c>
      <c r="W30" s="7" t="n">
        <f aca="false">W20-W29</f>
        <v>21543.64205</v>
      </c>
      <c r="X30" s="8" t="n">
        <f aca="false">IFERROR(W30/W$20,0)</f>
        <v>0.697100346526335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258523.7046</v>
      </c>
      <c r="AC30" s="8" t="n">
        <f aca="false">IFERROR(AB30/AB$20,0)</f>
        <v>0.697100346526335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P&amp;L'!$Y$28</f>
        <v>1657</v>
      </c>
      <c r="D33" s="34" t="n">
        <f aca="false">IFERROR(C33/C$20,0)</f>
        <v>0.0536165273964964</v>
      </c>
      <c r="E33" s="24" t="n">
        <f aca="false">'LW 2026 P&amp;L'!$Y$28</f>
        <v>1657</v>
      </c>
      <c r="F33" s="34" t="n">
        <f aca="false">IFERROR(E33/E$20,0)</f>
        <v>0.0536165273964964</v>
      </c>
      <c r="G33" s="24" t="n">
        <f aca="false">'LW 2026 P&amp;L'!$Y$28</f>
        <v>1657</v>
      </c>
      <c r="H33" s="34" t="n">
        <f aca="false">IFERROR(G33/G$20,0)</f>
        <v>0.0536165273964964</v>
      </c>
      <c r="I33" s="24" t="n">
        <f aca="false">'LW 2026 P&amp;L'!$Y$28</f>
        <v>1657</v>
      </c>
      <c r="J33" s="34" t="n">
        <f aca="false">IFERROR(I33/I$20,0)</f>
        <v>0.0536165273964964</v>
      </c>
      <c r="K33" s="24" t="n">
        <f aca="false">'LW 2026 P&amp;L'!$Y$28</f>
        <v>1657</v>
      </c>
      <c r="L33" s="34" t="n">
        <f aca="false">IFERROR(K33/K$20,0)</f>
        <v>0.0536165273964964</v>
      </c>
      <c r="M33" s="24" t="n">
        <f aca="false">'LW 2026 P&amp;L'!$Y$28</f>
        <v>1657</v>
      </c>
      <c r="N33" s="34" t="n">
        <f aca="false">IFERROR(M33/M$20,0)</f>
        <v>0.0536165273964964</v>
      </c>
      <c r="O33" s="24" t="n">
        <f aca="false">'LW 2026 P&amp;L'!$Y$28</f>
        <v>1657</v>
      </c>
      <c r="P33" s="34" t="n">
        <f aca="false">IFERROR(O33/O$20,0)</f>
        <v>0.0536165273964964</v>
      </c>
      <c r="Q33" s="24" t="n">
        <f aca="false">'LW 2026 P&amp;L'!$Y$28</f>
        <v>1657</v>
      </c>
      <c r="R33" s="34" t="n">
        <f aca="false">IFERROR(Q33/Q$20,0)</f>
        <v>0.0536165273964964</v>
      </c>
      <c r="S33" s="24" t="n">
        <f aca="false">'LW 2026 P&amp;L'!$Y$28</f>
        <v>1657</v>
      </c>
      <c r="T33" s="34" t="n">
        <f aca="false">IFERROR(S33/S$20,0)</f>
        <v>0.0536165273964964</v>
      </c>
      <c r="U33" s="24" t="n">
        <f aca="false">'LW 2026 P&amp;L'!$Y$28</f>
        <v>1657</v>
      </c>
      <c r="V33" s="34" t="n">
        <f aca="false">IFERROR(U33/U$20,0)</f>
        <v>0.0536165273964964</v>
      </c>
      <c r="W33" s="24" t="n">
        <f aca="false">'LW 2026 P&amp;L'!$Y$28</f>
        <v>1657</v>
      </c>
      <c r="X33" s="34" t="n">
        <f aca="false">IFERROR(W33/W$20,0)</f>
        <v>0.0536165273964964</v>
      </c>
      <c r="Y33" s="24" t="n">
        <f aca="false">'LW 2026 P&amp;L'!$Y$28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19884</v>
      </c>
      <c r="AC33" s="34" t="n">
        <f aca="false">IFERROR(AB33/AB$20,0)</f>
        <v>0.0536165273964964</v>
      </c>
    </row>
    <row r="34" customFormat="false" ht="15" hidden="false" customHeight="true" outlineLevel="0" collapsed="false">
      <c r="A34" s="5" t="s">
        <v>196</v>
      </c>
      <c r="C34" s="24" t="n">
        <f aca="false">'LW Assumptions'!$C$26*52/12</f>
        <v>1282.66666666667</v>
      </c>
      <c r="D34" s="34" t="n">
        <f aca="false">IFERROR(C34/C$20,0)</f>
        <v>0.0415040027000036</v>
      </c>
      <c r="E34" s="24" t="n">
        <f aca="false">'LW Assumptions'!$C$26*52/12</f>
        <v>1282.66666666667</v>
      </c>
      <c r="F34" s="34" t="n">
        <f aca="false">IFERROR(E34/E$20,0)</f>
        <v>0.0415040027000036</v>
      </c>
      <c r="G34" s="24" t="n">
        <f aca="false">'LW Assumptions'!$C$26*52/12</f>
        <v>1282.66666666667</v>
      </c>
      <c r="H34" s="34" t="n">
        <f aca="false">IFERROR(G34/G$20,0)</f>
        <v>0.0415040027000036</v>
      </c>
      <c r="I34" s="24" t="n">
        <f aca="false">'LW Assumptions'!$C$26*52/12</f>
        <v>1282.66666666667</v>
      </c>
      <c r="J34" s="34" t="n">
        <f aca="false">IFERROR(I34/I$20,0)</f>
        <v>0.0415040027000036</v>
      </c>
      <c r="K34" s="24" t="n">
        <f aca="false">'LW Assumptions'!$C$26*52/12</f>
        <v>1282.66666666667</v>
      </c>
      <c r="L34" s="34" t="n">
        <f aca="false">IFERROR(K34/K$20,0)</f>
        <v>0.0415040027000036</v>
      </c>
      <c r="M34" s="24" t="n">
        <f aca="false">'LW Assumptions'!$C$26*52/12</f>
        <v>1282.66666666667</v>
      </c>
      <c r="N34" s="34" t="n">
        <f aca="false">IFERROR(M34/M$20,0)</f>
        <v>0.0415040027000036</v>
      </c>
      <c r="O34" s="24" t="n">
        <f aca="false">'LW Assumptions'!$C$26*52/12</f>
        <v>1282.66666666667</v>
      </c>
      <c r="P34" s="34" t="n">
        <f aca="false">IFERROR(O34/O$20,0)</f>
        <v>0.0415040027000036</v>
      </c>
      <c r="Q34" s="24" t="n">
        <f aca="false">'LW Assumptions'!$C$26*52/12</f>
        <v>1282.66666666667</v>
      </c>
      <c r="R34" s="34" t="n">
        <f aca="false">IFERROR(Q34/Q$20,0)</f>
        <v>0.0415040027000036</v>
      </c>
      <c r="S34" s="24" t="n">
        <f aca="false">'LW Assumptions'!$C$26*52/12</f>
        <v>1282.66666666667</v>
      </c>
      <c r="T34" s="34" t="n">
        <f aca="false">IFERROR(S34/S$20,0)</f>
        <v>0.0415040027000036</v>
      </c>
      <c r="U34" s="24" t="n">
        <f aca="false">'LW Assumptions'!$C$26*52/12</f>
        <v>1282.66666666667</v>
      </c>
      <c r="V34" s="34" t="n">
        <f aca="false">IFERROR(U34/U$20,0)</f>
        <v>0.0415040027000036</v>
      </c>
      <c r="W34" s="24" t="n">
        <f aca="false">'LW Assumptions'!$C$26*52/12</f>
        <v>1282.66666666667</v>
      </c>
      <c r="X34" s="34" t="n">
        <f aca="false">IFERROR(W34/W$20,0)</f>
        <v>0.0415040027000036</v>
      </c>
      <c r="Y34" s="24" t="n">
        <f aca="false">'LW Assumptions'!$C$26*52/12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15392</v>
      </c>
      <c r="AC34" s="34" t="n">
        <f aca="false">IFERROR(AB34/AB$20,0)</f>
        <v>0.0415040027000036</v>
      </c>
    </row>
    <row r="35" customFormat="false" ht="15" hidden="false" customHeight="true" outlineLevel="0" collapsed="false">
      <c r="A35" s="5" t="s">
        <v>197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0.218737311527046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0.218737311527046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0.218737311527046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0.218737311527046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0.218737311527046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0.218737311527046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0.218737311527046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0.218737311527046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0.218737311527046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0.218737311527046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0.218737311527046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81120</v>
      </c>
      <c r="AC35" s="34" t="n">
        <f aca="false">IFERROR(AB35/AB$20,0)</f>
        <v>0.218737311527046</v>
      </c>
    </row>
    <row r="36" customFormat="false" ht="15" hidden="false" customHeight="true" outlineLevel="0" collapsed="false">
      <c r="A36" s="5" t="s">
        <v>198</v>
      </c>
      <c r="C36" s="24" t="n">
        <f aca="false">(C33+C34+C35)*'LW Assumptions'!$C$24</f>
        <v>1551.94666666667</v>
      </c>
      <c r="D36" s="34" t="n">
        <f aca="false">IFERROR(C36/C$20,0)</f>
        <v>0.0502172546597674</v>
      </c>
      <c r="E36" s="24" t="n">
        <f aca="false">(E33+E34+E35)*'LW Assumptions'!$C$24</f>
        <v>1551.94666666667</v>
      </c>
      <c r="F36" s="34" t="n">
        <f aca="false">IFERROR(E36/E$20,0)</f>
        <v>0.0502172546597674</v>
      </c>
      <c r="G36" s="24" t="n">
        <f aca="false">(G33+G34+G35)*'LW Assumptions'!$C$24</f>
        <v>1551.94666666667</v>
      </c>
      <c r="H36" s="34" t="n">
        <f aca="false">IFERROR(G36/G$20,0)</f>
        <v>0.0502172546597674</v>
      </c>
      <c r="I36" s="24" t="n">
        <f aca="false">(I33+I34+I35)*'LW Assumptions'!$C$24</f>
        <v>1551.94666666667</v>
      </c>
      <c r="J36" s="34" t="n">
        <f aca="false">IFERROR(I36/I$20,0)</f>
        <v>0.0502172546597674</v>
      </c>
      <c r="K36" s="24" t="n">
        <f aca="false">(K33+K34+K35)*'LW Assumptions'!$C$24</f>
        <v>1551.94666666667</v>
      </c>
      <c r="L36" s="34" t="n">
        <f aca="false">IFERROR(K36/K$20,0)</f>
        <v>0.0502172546597674</v>
      </c>
      <c r="M36" s="24" t="n">
        <f aca="false">(M33+M34+M35)*'LW Assumptions'!$C$24</f>
        <v>1551.94666666667</v>
      </c>
      <c r="N36" s="34" t="n">
        <f aca="false">IFERROR(M36/M$20,0)</f>
        <v>0.0502172546597674</v>
      </c>
      <c r="O36" s="24" t="n">
        <f aca="false">(O33+O34+O35)*'LW Assumptions'!$C$24</f>
        <v>1551.94666666667</v>
      </c>
      <c r="P36" s="34" t="n">
        <f aca="false">IFERROR(O36/O$20,0)</f>
        <v>0.0502172546597674</v>
      </c>
      <c r="Q36" s="24" t="n">
        <f aca="false">(Q33+Q34+Q35)*'LW Assumptions'!$C$24</f>
        <v>1551.94666666667</v>
      </c>
      <c r="R36" s="34" t="n">
        <f aca="false">IFERROR(Q36/Q$20,0)</f>
        <v>0.0502172546597674</v>
      </c>
      <c r="S36" s="24" t="n">
        <f aca="false">(S33+S34+S35)*'LW Assumptions'!$C$24</f>
        <v>1551.94666666667</v>
      </c>
      <c r="T36" s="34" t="n">
        <f aca="false">IFERROR(S36/S$20,0)</f>
        <v>0.0502172546597674</v>
      </c>
      <c r="U36" s="24" t="n">
        <f aca="false">(U33+U34+U35)*'LW Assumptions'!$C$24</f>
        <v>1551.94666666667</v>
      </c>
      <c r="V36" s="34" t="n">
        <f aca="false">IFERROR(U36/U$20,0)</f>
        <v>0.0502172546597674</v>
      </c>
      <c r="W36" s="24" t="n">
        <f aca="false">(W33+W34+W35)*'LW Assumptions'!$C$24</f>
        <v>1551.94666666667</v>
      </c>
      <c r="X36" s="34" t="n">
        <f aca="false">IFERROR(W36/W$20,0)</f>
        <v>0.0502172546597674</v>
      </c>
      <c r="Y36" s="24" t="n">
        <f aca="false">(Y33+Y34+Y35)*'LW Assumptions'!$C$24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18623.36</v>
      </c>
      <c r="AC36" s="34" t="n">
        <f aca="false">IFERROR(AB36/AB$20,0)</f>
        <v>0.0502172546597674</v>
      </c>
    </row>
    <row r="37" customFormat="false" ht="15" hidden="false" customHeight="true" outlineLevel="0" collapsed="false">
      <c r="A37" s="5" t="s">
        <v>1044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-0.12219520462289</v>
      </c>
      <c r="AB37" s="24" t="n">
        <f aca="false">SUM(C37,E37,G37,I37,K37,M37,O37,Q37,S37,U37,W37,Y37)</f>
        <v>-3776.39999999999</v>
      </c>
      <c r="AC37" s="34" t="n">
        <f aca="false">IFERROR(AB37/AB$20,0)</f>
        <v>-0.0101829337185742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11251.6133333333</v>
      </c>
      <c r="D38" s="35" t="n">
        <f aca="false">IFERROR(C38/C$20,0)</f>
        <v>0.364075096283314</v>
      </c>
      <c r="E38" s="27" t="n">
        <f aca="false">SUM(E33:E37)</f>
        <v>11251.6133333333</v>
      </c>
      <c r="F38" s="35" t="n">
        <f aca="false">IFERROR(E38/E$20,0)</f>
        <v>0.364075096283314</v>
      </c>
      <c r="G38" s="27" t="n">
        <f aca="false">SUM(G33:G37)</f>
        <v>11251.6133333333</v>
      </c>
      <c r="H38" s="35" t="n">
        <f aca="false">IFERROR(G38/G$20,0)</f>
        <v>0.364075096283314</v>
      </c>
      <c r="I38" s="27" t="n">
        <f aca="false">SUM(I33:I37)</f>
        <v>11251.6133333333</v>
      </c>
      <c r="J38" s="35" t="n">
        <f aca="false">IFERROR(I38/I$20,0)</f>
        <v>0.364075096283314</v>
      </c>
      <c r="K38" s="27" t="n">
        <f aca="false">SUM(K33:K37)</f>
        <v>11251.6133333333</v>
      </c>
      <c r="L38" s="35" t="n">
        <f aca="false">IFERROR(K38/K$20,0)</f>
        <v>0.364075096283314</v>
      </c>
      <c r="M38" s="27" t="n">
        <f aca="false">SUM(M33:M37)</f>
        <v>11251.6133333333</v>
      </c>
      <c r="N38" s="35" t="n">
        <f aca="false">IFERROR(M38/M$20,0)</f>
        <v>0.364075096283314</v>
      </c>
      <c r="O38" s="27" t="n">
        <f aca="false">SUM(O33:O37)</f>
        <v>11251.6133333333</v>
      </c>
      <c r="P38" s="35" t="n">
        <f aca="false">IFERROR(O38/O$20,0)</f>
        <v>0.364075096283314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7475.21333333334</v>
      </c>
      <c r="Z38" s="35" t="n">
        <f aca="false">IFERROR(Y38/Y$20,0)</f>
        <v>0.241879891660424</v>
      </c>
      <c r="AB38" s="27" t="n">
        <f aca="false">SUM(AB33:AB37)</f>
        <v>131242.96</v>
      </c>
      <c r="AC38" s="35" t="n">
        <f aca="false">IFERROR(AB38/AB$20,0)</f>
        <v>0.35389216256474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20612.6210333333</v>
      </c>
      <c r="D40" s="8" t="n">
        <f aca="false">IFERROR(C40/C$20,0)</f>
        <v>0.666974749756979</v>
      </c>
      <c r="E40" s="7" t="n">
        <f aca="false">E29+E38</f>
        <v>20612.6210333333</v>
      </c>
      <c r="F40" s="8" t="n">
        <f aca="false">IFERROR(E40/E$20,0)</f>
        <v>0.666974749756979</v>
      </c>
      <c r="G40" s="7" t="n">
        <f aca="false">G29+G38</f>
        <v>20612.6210333333</v>
      </c>
      <c r="H40" s="8" t="n">
        <f aca="false">IFERROR(G40/G$20,0)</f>
        <v>0.666974749756979</v>
      </c>
      <c r="I40" s="7" t="n">
        <f aca="false">I29+I38</f>
        <v>20612.6210333333</v>
      </c>
      <c r="J40" s="8" t="n">
        <f aca="false">IFERROR(I40/I$20,0)</f>
        <v>0.666974749756979</v>
      </c>
      <c r="K40" s="7" t="n">
        <f aca="false">K29+K38</f>
        <v>20612.6210333333</v>
      </c>
      <c r="L40" s="8" t="n">
        <f aca="false">IFERROR(K40/K$20,0)</f>
        <v>0.666974749756979</v>
      </c>
      <c r="M40" s="7" t="n">
        <f aca="false">M29+M38</f>
        <v>20612.6210333333</v>
      </c>
      <c r="N40" s="8" t="n">
        <f aca="false">IFERROR(M40/M$20,0)</f>
        <v>0.666974749756979</v>
      </c>
      <c r="O40" s="7" t="n">
        <f aca="false">O29+O38</f>
        <v>20612.6210333333</v>
      </c>
      <c r="P40" s="8" t="n">
        <f aca="false">IFERROR(O40/O$20,0)</f>
        <v>0.666974749756979</v>
      </c>
      <c r="Q40" s="7" t="n">
        <f aca="false">Q29+Q38</f>
        <v>20612.6210333333</v>
      </c>
      <c r="R40" s="8" t="n">
        <f aca="false">IFERROR(Q40/Q$20,0)</f>
        <v>0.666974749756979</v>
      </c>
      <c r="S40" s="7" t="n">
        <f aca="false">S29+S38</f>
        <v>20612.6210333333</v>
      </c>
      <c r="T40" s="8" t="n">
        <f aca="false">IFERROR(S40/S$20,0)</f>
        <v>0.666974749756979</v>
      </c>
      <c r="U40" s="7" t="n">
        <f aca="false">U29+U38</f>
        <v>20612.6210333333</v>
      </c>
      <c r="V40" s="8" t="n">
        <f aca="false">IFERROR(U40/U$20,0)</f>
        <v>0.666974749756979</v>
      </c>
      <c r="W40" s="7" t="n">
        <f aca="false">W29+W38</f>
        <v>20612.6210333333</v>
      </c>
      <c r="X40" s="8" t="n">
        <f aca="false">IFERROR(W40/W$20,0)</f>
        <v>0.666974749756979</v>
      </c>
      <c r="Y40" s="7" t="n">
        <f aca="false">Y29+Y38</f>
        <v>16836.2210333333</v>
      </c>
      <c r="Z40" s="8" t="n">
        <f aca="false">IFERROR(Y40/Y$20,0)</f>
        <v>0.544779545134089</v>
      </c>
      <c r="AB40" s="7" t="n">
        <f aca="false">AB29+AB38</f>
        <v>243575.0524</v>
      </c>
      <c r="AC40" s="8" t="n">
        <f aca="false">IFERROR(AB40/AB$20,0)</f>
        <v>0.656791816038405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10292.0287166667</v>
      </c>
      <c r="D41" s="8" t="n">
        <f aca="false">IFERROR(C41/C$20,0)</f>
        <v>0.333025250243021</v>
      </c>
      <c r="E41" s="7" t="n">
        <f aca="false">E30-E38</f>
        <v>10292.0287166667</v>
      </c>
      <c r="F41" s="8" t="n">
        <f aca="false">IFERROR(E41/E$20,0)</f>
        <v>0.333025250243021</v>
      </c>
      <c r="G41" s="7" t="n">
        <f aca="false">G30-G38</f>
        <v>10292.0287166667</v>
      </c>
      <c r="H41" s="8" t="n">
        <f aca="false">IFERROR(G41/G$20,0)</f>
        <v>0.333025250243021</v>
      </c>
      <c r="I41" s="7" t="n">
        <f aca="false">I30-I38</f>
        <v>10292.0287166667</v>
      </c>
      <c r="J41" s="8" t="n">
        <f aca="false">IFERROR(I41/I$20,0)</f>
        <v>0.333025250243021</v>
      </c>
      <c r="K41" s="7" t="n">
        <f aca="false">K30-K38</f>
        <v>10292.0287166667</v>
      </c>
      <c r="L41" s="8" t="n">
        <f aca="false">IFERROR(K41/K$20,0)</f>
        <v>0.333025250243021</v>
      </c>
      <c r="M41" s="7" t="n">
        <f aca="false">M30-M38</f>
        <v>10292.0287166667</v>
      </c>
      <c r="N41" s="8" t="n">
        <f aca="false">IFERROR(M41/M$20,0)</f>
        <v>0.333025250243021</v>
      </c>
      <c r="O41" s="7" t="n">
        <f aca="false">O30-O38</f>
        <v>10292.0287166667</v>
      </c>
      <c r="P41" s="8" t="n">
        <f aca="false">IFERROR(O41/O$20,0)</f>
        <v>0.333025250243021</v>
      </c>
      <c r="Q41" s="7" t="n">
        <f aca="false">Q30-Q38</f>
        <v>10292.0287166667</v>
      </c>
      <c r="R41" s="8" t="n">
        <f aca="false">IFERROR(Q41/Q$20,0)</f>
        <v>0.333025250243021</v>
      </c>
      <c r="S41" s="7" t="n">
        <f aca="false">S30-S38</f>
        <v>10292.0287166667</v>
      </c>
      <c r="T41" s="8" t="n">
        <f aca="false">IFERROR(S41/S$20,0)</f>
        <v>0.333025250243021</v>
      </c>
      <c r="U41" s="7" t="n">
        <f aca="false">U30-U38</f>
        <v>10292.0287166667</v>
      </c>
      <c r="V41" s="8" t="n">
        <f aca="false">IFERROR(U41/U$20,0)</f>
        <v>0.333025250243021</v>
      </c>
      <c r="W41" s="7" t="n">
        <f aca="false">W30-W38</f>
        <v>10292.0287166667</v>
      </c>
      <c r="X41" s="8" t="n">
        <f aca="false">IFERROR(W41/W$20,0)</f>
        <v>0.333025250243021</v>
      </c>
      <c r="Y41" s="7" t="n">
        <f aca="false">Y30-Y38</f>
        <v>14068.4287166667</v>
      </c>
      <c r="Z41" s="8" t="n">
        <f aca="false">IFERROR(Y41/Y$20,0)</f>
        <v>0.455220454865911</v>
      </c>
      <c r="AB41" s="7" t="n">
        <f aca="false">AB30-AB38</f>
        <v>127280.7446</v>
      </c>
      <c r="AC41" s="8" t="n">
        <f aca="false">IFERROR(AB41/AB$20,0)</f>
        <v>0.343208183961595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1045</v>
      </c>
      <c r="C44" s="24" t="n">
        <f aca="false">C20*'LW Assumptions'!$C$48</f>
        <v>3863.08121875</v>
      </c>
      <c r="D44" s="34" t="n">
        <f aca="false">IFERROR(C44/C$20,0)</f>
        <v>0.125</v>
      </c>
      <c r="E44" s="24" t="n">
        <f aca="false">E20*'LW Assumptions'!$C$48</f>
        <v>3863.08121875</v>
      </c>
      <c r="F44" s="34" t="n">
        <f aca="false">IFERROR(E44/E$20,0)</f>
        <v>0.125</v>
      </c>
      <c r="G44" s="24" t="n">
        <f aca="false">G20*'LW Assumptions'!$C$48</f>
        <v>3863.08121875</v>
      </c>
      <c r="H44" s="34" t="n">
        <f aca="false">IFERROR(G44/G$20,0)</f>
        <v>0.125</v>
      </c>
      <c r="I44" s="24" t="n">
        <f aca="false">I20*'LW Assumptions'!$C$48</f>
        <v>3863.08121875</v>
      </c>
      <c r="J44" s="34" t="n">
        <f aca="false">IFERROR(I44/I$20,0)</f>
        <v>0.125</v>
      </c>
      <c r="K44" s="24" t="n">
        <f aca="false">K20*'LW Assumptions'!$C$48</f>
        <v>3863.08121875</v>
      </c>
      <c r="L44" s="34" t="n">
        <f aca="false">IFERROR(K44/K$20,0)</f>
        <v>0.125</v>
      </c>
      <c r="M44" s="24" t="n">
        <f aca="false">M20*'LW Assumptions'!$C$48</f>
        <v>3863.08121875</v>
      </c>
      <c r="N44" s="34" t="n">
        <f aca="false">IFERROR(M44/M$20,0)</f>
        <v>0.125</v>
      </c>
      <c r="O44" s="24" t="n">
        <f aca="false">O20*'LW Assumptions'!$C$48</f>
        <v>3863.08121875</v>
      </c>
      <c r="P44" s="34" t="n">
        <f aca="false">IFERROR(O44/O$20,0)</f>
        <v>0.125</v>
      </c>
      <c r="Q44" s="24" t="n">
        <f aca="false">Q20*'LW Assumptions'!$C$48</f>
        <v>3863.08121875</v>
      </c>
      <c r="R44" s="34" t="n">
        <f aca="false">IFERROR(Q44/Q$20,0)</f>
        <v>0.125</v>
      </c>
      <c r="S44" s="24" t="n">
        <f aca="false">S20*'LW Assumptions'!$C$48</f>
        <v>3863.08121875</v>
      </c>
      <c r="T44" s="34" t="n">
        <f aca="false">IFERROR(S44/S$20,0)</f>
        <v>0.125</v>
      </c>
      <c r="U44" s="24" t="n">
        <f aca="false">U20*'LW Assumptions'!$C$48</f>
        <v>3863.08121875</v>
      </c>
      <c r="V44" s="34" t="n">
        <f aca="false">IFERROR(U44/U$20,0)</f>
        <v>0.125</v>
      </c>
      <c r="W44" s="24" t="n">
        <f aca="false">W20*'LW Assumptions'!$C$48</f>
        <v>3863.08121875</v>
      </c>
      <c r="X44" s="34" t="n">
        <f aca="false">IFERROR(W44/W$20,0)</f>
        <v>0.125</v>
      </c>
      <c r="Y44" s="24" t="n">
        <f aca="false">Y20*'LW Assumptions'!$C$48</f>
        <v>3863.08121875</v>
      </c>
      <c r="Z44" s="34" t="n">
        <f aca="false">IFERROR(Y44/Y$20,0)</f>
        <v>0.125</v>
      </c>
      <c r="AB44" s="24" t="n">
        <f aca="false">SUM(C44,E44,G44,I44,K44,M44,O44,Q44,S44,U44,W44,Y44)</f>
        <v>46356.974625</v>
      </c>
      <c r="AC44" s="34" t="n">
        <f aca="false">IFERROR(AB44/AB$20,0)</f>
        <v>0.125</v>
      </c>
    </row>
    <row r="45" customFormat="false" ht="15" hidden="false" customHeight="true" outlineLevel="0" collapsed="false">
      <c r="A45" s="5" t="s">
        <v>204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C20*'LW Assumptions'!$C$49</f>
        <v>1081.66274125</v>
      </c>
      <c r="D46" s="34" t="n">
        <f aca="false">IFERROR(C46/C$20,0)</f>
        <v>0.035</v>
      </c>
      <c r="E46" s="24" t="n">
        <f aca="false">E20*'LW Assumptions'!$C$49</f>
        <v>1081.66274125</v>
      </c>
      <c r="F46" s="34" t="n">
        <f aca="false">IFERROR(E46/E$20,0)</f>
        <v>0.035</v>
      </c>
      <c r="G46" s="24" t="n">
        <f aca="false">G20*'LW Assumptions'!$C$49</f>
        <v>1081.66274125</v>
      </c>
      <c r="H46" s="34" t="n">
        <f aca="false">IFERROR(G46/G$20,0)</f>
        <v>0.035</v>
      </c>
      <c r="I46" s="24" t="n">
        <f aca="false">I20*'LW Assumptions'!$C$49</f>
        <v>1081.66274125</v>
      </c>
      <c r="J46" s="34" t="n">
        <f aca="false">IFERROR(I46/I$20,0)</f>
        <v>0.035</v>
      </c>
      <c r="K46" s="24" t="n">
        <f aca="false">K20*'LW Assumptions'!$C$49</f>
        <v>1081.66274125</v>
      </c>
      <c r="L46" s="34" t="n">
        <f aca="false">IFERROR(K46/K$20,0)</f>
        <v>0.035</v>
      </c>
      <c r="M46" s="24" t="n">
        <f aca="false">M20*'LW Assumptions'!$C$49</f>
        <v>1081.66274125</v>
      </c>
      <c r="N46" s="34" t="n">
        <f aca="false">IFERROR(M46/M$20,0)</f>
        <v>0.035</v>
      </c>
      <c r="O46" s="24" t="n">
        <f aca="false">O20*'LW Assumptions'!$C$49</f>
        <v>1081.66274125</v>
      </c>
      <c r="P46" s="34" t="n">
        <f aca="false">IFERROR(O46/O$20,0)</f>
        <v>0.035</v>
      </c>
      <c r="Q46" s="24" t="n">
        <f aca="false">Q20*'LW Assumptions'!$C$49</f>
        <v>1081.66274125</v>
      </c>
      <c r="R46" s="34" t="n">
        <f aca="false">IFERROR(Q46/Q$20,0)</f>
        <v>0.035</v>
      </c>
      <c r="S46" s="24" t="n">
        <f aca="false">S20*'LW Assumptions'!$C$49</f>
        <v>1081.66274125</v>
      </c>
      <c r="T46" s="34" t="n">
        <f aca="false">IFERROR(S46/S$20,0)</f>
        <v>0.035</v>
      </c>
      <c r="U46" s="24" t="n">
        <f aca="false">U20*'LW Assumptions'!$C$49</f>
        <v>1081.66274125</v>
      </c>
      <c r="V46" s="34" t="n">
        <f aca="false">IFERROR(U46/U$20,0)</f>
        <v>0.035</v>
      </c>
      <c r="W46" s="24" t="n">
        <f aca="false">W20*'LW Assumptions'!$C$49</f>
        <v>1081.66274125</v>
      </c>
      <c r="X46" s="34" t="n">
        <f aca="false">IFERROR(W46/W$20,0)</f>
        <v>0.035</v>
      </c>
      <c r="Y46" s="24" t="n">
        <f aca="false">Y20*'LW Assumptions'!$C$49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12979.952895</v>
      </c>
      <c r="AC46" s="34" t="n">
        <f aca="false">IFERROR(AB46/AB$20,0)</f>
        <v>0.035</v>
      </c>
    </row>
    <row r="47" customFormat="false" ht="15" hidden="false" customHeight="true" outlineLevel="0" collapsed="false">
      <c r="A47" s="5" t="s">
        <v>206</v>
      </c>
      <c r="C47" s="24" t="n">
        <f aca="false">C20*'LW Assumptions'!$C$50</f>
        <v>2626.89522875</v>
      </c>
      <c r="D47" s="34" t="n">
        <f aca="false">IFERROR(C47/C$20,0)</f>
        <v>0.085</v>
      </c>
      <c r="E47" s="24" t="n">
        <f aca="false">E20*'LW Assumptions'!$C$50</f>
        <v>2626.89522875</v>
      </c>
      <c r="F47" s="34" t="n">
        <f aca="false">IFERROR(E47/E$20,0)</f>
        <v>0.085</v>
      </c>
      <c r="G47" s="24" t="n">
        <f aca="false">G20*'LW Assumptions'!$C$50</f>
        <v>2626.89522875</v>
      </c>
      <c r="H47" s="34" t="n">
        <f aca="false">IFERROR(G47/G$20,0)</f>
        <v>0.085</v>
      </c>
      <c r="I47" s="24" t="n">
        <f aca="false">I20*'LW Assumptions'!$C$50</f>
        <v>2626.89522875</v>
      </c>
      <c r="J47" s="34" t="n">
        <f aca="false">IFERROR(I47/I$20,0)</f>
        <v>0.085</v>
      </c>
      <c r="K47" s="24" t="n">
        <f aca="false">K20*'LW Assumptions'!$C$50</f>
        <v>2626.89522875</v>
      </c>
      <c r="L47" s="34" t="n">
        <f aca="false">IFERROR(K47/K$20,0)</f>
        <v>0.085</v>
      </c>
      <c r="M47" s="24" t="n">
        <f aca="false">M20*'LW Assumptions'!$C$50</f>
        <v>2626.89522875</v>
      </c>
      <c r="N47" s="34" t="n">
        <f aca="false">IFERROR(M47/M$20,0)</f>
        <v>0.085</v>
      </c>
      <c r="O47" s="24" t="n">
        <f aca="false">O20*'LW Assumptions'!$C$50</f>
        <v>2626.89522875</v>
      </c>
      <c r="P47" s="34" t="n">
        <f aca="false">IFERROR(O47/O$20,0)</f>
        <v>0.085</v>
      </c>
      <c r="Q47" s="24" t="n">
        <f aca="false">Q20*'LW Assumptions'!$C$50</f>
        <v>2626.89522875</v>
      </c>
      <c r="R47" s="34" t="n">
        <f aca="false">IFERROR(Q47/Q$20,0)</f>
        <v>0.085</v>
      </c>
      <c r="S47" s="24" t="n">
        <f aca="false">S20*'LW Assumptions'!$C$50</f>
        <v>2626.89522875</v>
      </c>
      <c r="T47" s="34" t="n">
        <f aca="false">IFERROR(S47/S$20,0)</f>
        <v>0.085</v>
      </c>
      <c r="U47" s="24" t="n">
        <f aca="false">U20*'LW Assumptions'!$C$50</f>
        <v>2626.89522875</v>
      </c>
      <c r="V47" s="34" t="n">
        <f aca="false">IFERROR(U47/U$20,0)</f>
        <v>0.085</v>
      </c>
      <c r="W47" s="24" t="n">
        <f aca="false">W20*'LW Assumptions'!$C$50</f>
        <v>2626.89522875</v>
      </c>
      <c r="X47" s="34" t="n">
        <f aca="false">IFERROR(W47/W$20,0)</f>
        <v>0.085</v>
      </c>
      <c r="Y47" s="24" t="n">
        <f aca="false">Y20*'LW Assumptions'!$C$50</f>
        <v>2626.89522875</v>
      </c>
      <c r="Z47" s="34" t="n">
        <f aca="false">IFERROR(Y47/Y$20,0)</f>
        <v>0.085</v>
      </c>
      <c r="AB47" s="24" t="n">
        <f aca="false">SUM(C47,E47,G47,I47,K47,M47,O47,Q47,S47,U47,W47,Y47)</f>
        <v>31522.742745</v>
      </c>
      <c r="AC47" s="34" t="n">
        <f aca="false">IFERROR(AB47/AB$20,0)</f>
        <v>0.085</v>
      </c>
    </row>
    <row r="48" customFormat="false" ht="15" hidden="false" customHeight="true" outlineLevel="0" collapsed="false">
      <c r="A48" s="5" t="s">
        <v>207</v>
      </c>
      <c r="C48" s="24" t="n">
        <f aca="false">'LW 2026 P&amp;L'!$Y$43</f>
        <v>73</v>
      </c>
      <c r="D48" s="34" t="n">
        <f aca="false">IFERROR(C48/C$20,0)</f>
        <v>0.0023621041037684</v>
      </c>
      <c r="E48" s="24" t="n">
        <f aca="false">'LW 2026 P&amp;L'!$Y$43</f>
        <v>73</v>
      </c>
      <c r="F48" s="34" t="n">
        <f aca="false">IFERROR(E48/E$20,0)</f>
        <v>0.0023621041037684</v>
      </c>
      <c r="G48" s="24" t="n">
        <f aca="false">'LW 2026 P&amp;L'!$Y$43</f>
        <v>73</v>
      </c>
      <c r="H48" s="34" t="n">
        <f aca="false">IFERROR(G48/G$20,0)</f>
        <v>0.0023621041037684</v>
      </c>
      <c r="I48" s="24" t="n">
        <f aca="false">'LW 2026 P&amp;L'!$Y$43</f>
        <v>73</v>
      </c>
      <c r="J48" s="34" t="n">
        <f aca="false">IFERROR(I48/I$20,0)</f>
        <v>0.0023621041037684</v>
      </c>
      <c r="K48" s="24" t="n">
        <f aca="false">'LW 2026 P&amp;L'!$Y$43</f>
        <v>73</v>
      </c>
      <c r="L48" s="34" t="n">
        <f aca="false">IFERROR(K48/K$20,0)</f>
        <v>0.0023621041037684</v>
      </c>
      <c r="M48" s="24" t="n">
        <f aca="false">'LW 2026 P&amp;L'!$Y$43</f>
        <v>73</v>
      </c>
      <c r="N48" s="34" t="n">
        <f aca="false">IFERROR(M48/M$20,0)</f>
        <v>0.0023621041037684</v>
      </c>
      <c r="O48" s="24" t="n">
        <f aca="false">'LW 2026 P&amp;L'!$Y$43</f>
        <v>73</v>
      </c>
      <c r="P48" s="34" t="n">
        <f aca="false">IFERROR(O48/O$20,0)</f>
        <v>0.0023621041037684</v>
      </c>
      <c r="Q48" s="24" t="n">
        <f aca="false">'LW 2026 P&amp;L'!$Y$43</f>
        <v>73</v>
      </c>
      <c r="R48" s="34" t="n">
        <f aca="false">IFERROR(Q48/Q$20,0)</f>
        <v>0.0023621041037684</v>
      </c>
      <c r="S48" s="24" t="n">
        <f aca="false">'LW 2026 P&amp;L'!$Y$43</f>
        <v>73</v>
      </c>
      <c r="T48" s="34" t="n">
        <f aca="false">IFERROR(S48/S$20,0)</f>
        <v>0.0023621041037684</v>
      </c>
      <c r="U48" s="24" t="n">
        <f aca="false">'LW 2026 P&amp;L'!$Y$43</f>
        <v>73</v>
      </c>
      <c r="V48" s="34" t="n">
        <f aca="false">IFERROR(U48/U$20,0)</f>
        <v>0.0023621041037684</v>
      </c>
      <c r="W48" s="24" t="n">
        <f aca="false">'LW 2026 P&amp;L'!$Y$43</f>
        <v>73</v>
      </c>
      <c r="X48" s="34" t="n">
        <f aca="false">IFERROR(W48/W$20,0)</f>
        <v>0.0023621041037684</v>
      </c>
      <c r="Y48" s="24" t="n">
        <f aca="false">'LW 2026 P&amp;L'!$Y$43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876</v>
      </c>
      <c r="AC48" s="34" t="n">
        <f aca="false">IFERROR(AB48/AB$20,0)</f>
        <v>0.0023621041037684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7644.63918875</v>
      </c>
      <c r="D50" s="35" t="n">
        <f aca="false">IFERROR(C50/C$20,0)</f>
        <v>0.247362104103768</v>
      </c>
      <c r="E50" s="27" t="n">
        <f aca="false">SUM(E44:E49)</f>
        <v>7644.63918875</v>
      </c>
      <c r="F50" s="35" t="n">
        <f aca="false">IFERROR(E50/E$20,0)</f>
        <v>0.247362104103768</v>
      </c>
      <c r="G50" s="27" t="n">
        <f aca="false">SUM(G44:G49)</f>
        <v>7644.63918875</v>
      </c>
      <c r="H50" s="35" t="n">
        <f aca="false">IFERROR(G50/G$20,0)</f>
        <v>0.247362104103768</v>
      </c>
      <c r="I50" s="27" t="n">
        <f aca="false">SUM(I44:I49)</f>
        <v>7644.63918875</v>
      </c>
      <c r="J50" s="35" t="n">
        <f aca="false">IFERROR(I50/I$20,0)</f>
        <v>0.247362104103768</v>
      </c>
      <c r="K50" s="27" t="n">
        <f aca="false">SUM(K44:K49)</f>
        <v>7644.63918875</v>
      </c>
      <c r="L50" s="35" t="n">
        <f aca="false">IFERROR(K50/K$20,0)</f>
        <v>0.247362104103768</v>
      </c>
      <c r="M50" s="27" t="n">
        <f aca="false">SUM(M44:M49)</f>
        <v>7644.63918875</v>
      </c>
      <c r="N50" s="35" t="n">
        <f aca="false">IFERROR(M50/M$20,0)</f>
        <v>0.247362104103768</v>
      </c>
      <c r="O50" s="27" t="n">
        <f aca="false">SUM(O44:O49)</f>
        <v>7644.63918875</v>
      </c>
      <c r="P50" s="35" t="n">
        <f aca="false">IFERROR(O50/O$20,0)</f>
        <v>0.247362104103768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91735.670265</v>
      </c>
      <c r="AC50" s="35" t="n">
        <f aca="false">IFERROR(AB50/AB$20,0)</f>
        <v>0.247362104103768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P&amp;L'!$Y$47</f>
        <v>249</v>
      </c>
      <c r="D53" s="34" t="n">
        <f aca="false">IFERROR(C53/C$20,0)</f>
        <v>0.00805704002518262</v>
      </c>
      <c r="E53" s="24" t="n">
        <f aca="false">'LW 2026 P&amp;L'!$Y$47</f>
        <v>249</v>
      </c>
      <c r="F53" s="34" t="n">
        <f aca="false">IFERROR(E53/E$20,0)</f>
        <v>0.00805704002518262</v>
      </c>
      <c r="G53" s="24" t="n">
        <f aca="false">'LW 2026 P&amp;L'!$Y$47</f>
        <v>249</v>
      </c>
      <c r="H53" s="34" t="n">
        <f aca="false">IFERROR(G53/G$20,0)</f>
        <v>0.00805704002518262</v>
      </c>
      <c r="I53" s="24" t="n">
        <f aca="false">'LW 2026 P&amp;L'!$Y$47</f>
        <v>249</v>
      </c>
      <c r="J53" s="34" t="n">
        <f aca="false">IFERROR(I53/I$20,0)</f>
        <v>0.00805704002518262</v>
      </c>
      <c r="K53" s="24" t="n">
        <f aca="false">'LW 2026 P&amp;L'!$Y$47</f>
        <v>249</v>
      </c>
      <c r="L53" s="34" t="n">
        <f aca="false">IFERROR(K53/K$20,0)</f>
        <v>0.00805704002518262</v>
      </c>
      <c r="M53" s="24" t="n">
        <f aca="false">'LW 2026 P&amp;L'!$Y$47</f>
        <v>249</v>
      </c>
      <c r="N53" s="34" t="n">
        <f aca="false">IFERROR(M53/M$20,0)</f>
        <v>0.00805704002518262</v>
      </c>
      <c r="O53" s="24" t="n">
        <f aca="false">'LW 2026 P&amp;L'!$Y$47</f>
        <v>249</v>
      </c>
      <c r="P53" s="34" t="n">
        <f aca="false">IFERROR(O53/O$20,0)</f>
        <v>0.00805704002518262</v>
      </c>
      <c r="Q53" s="24" t="n">
        <f aca="false">'LW 2026 P&amp;L'!$Y$47</f>
        <v>249</v>
      </c>
      <c r="R53" s="34" t="n">
        <f aca="false">IFERROR(Q53/Q$20,0)</f>
        <v>0.00805704002518262</v>
      </c>
      <c r="S53" s="24" t="n">
        <f aca="false">'LW 2026 P&amp;L'!$Y$47</f>
        <v>249</v>
      </c>
      <c r="T53" s="34" t="n">
        <f aca="false">IFERROR(S53/S$20,0)</f>
        <v>0.00805704002518262</v>
      </c>
      <c r="U53" s="24" t="n">
        <f aca="false">'LW 2026 P&amp;L'!$Y$47</f>
        <v>249</v>
      </c>
      <c r="V53" s="34" t="n">
        <f aca="false">IFERROR(U53/U$20,0)</f>
        <v>0.00805704002518262</v>
      </c>
      <c r="W53" s="24" t="n">
        <f aca="false">'LW 2026 P&amp;L'!$Y$47</f>
        <v>249</v>
      </c>
      <c r="X53" s="34" t="n">
        <f aca="false">IFERROR(W53/W$20,0)</f>
        <v>0.00805704002518262</v>
      </c>
      <c r="Y53" s="24" t="n">
        <f aca="false">'LW 2026 P&amp;L'!$Y$47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2988</v>
      </c>
      <c r="AC53" s="34" t="n">
        <f aca="false">IFERROR(AB53/AB$20,0)</f>
        <v>0.00805704002518262</v>
      </c>
    </row>
    <row r="54" customFormat="false" ht="15" hidden="false" customHeight="true" outlineLevel="0" collapsed="false">
      <c r="A54" s="5" t="s">
        <v>212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1046</v>
      </c>
      <c r="C55" s="24" t="n">
        <f aca="false">C20*'LW Assumptions'!$C$52</f>
        <v>1390.70923875</v>
      </c>
      <c r="D55" s="34" t="n">
        <f aca="false">IFERROR(C55/C$20,0)</f>
        <v>0.045</v>
      </c>
      <c r="E55" s="24" t="n">
        <f aca="false">E20*'LW Assumptions'!$C$52</f>
        <v>1390.70923875</v>
      </c>
      <c r="F55" s="34" t="n">
        <f aca="false">IFERROR(E55/E$20,0)</f>
        <v>0.045</v>
      </c>
      <c r="G55" s="24" t="n">
        <f aca="false">G20*'LW Assumptions'!$C$52</f>
        <v>1390.70923875</v>
      </c>
      <c r="H55" s="34" t="n">
        <f aca="false">IFERROR(G55/G$20,0)</f>
        <v>0.045</v>
      </c>
      <c r="I55" s="24" t="n">
        <f aca="false">I20*'LW Assumptions'!$C$52</f>
        <v>1390.70923875</v>
      </c>
      <c r="J55" s="34" t="n">
        <f aca="false">IFERROR(I55/I$20,0)</f>
        <v>0.045</v>
      </c>
      <c r="K55" s="24" t="n">
        <f aca="false">K20*'LW Assumptions'!$C$52</f>
        <v>1390.70923875</v>
      </c>
      <c r="L55" s="34" t="n">
        <f aca="false">IFERROR(K55/K$20,0)</f>
        <v>0.045</v>
      </c>
      <c r="M55" s="24" t="n">
        <f aca="false">M20*'LW Assumptions'!$C$52</f>
        <v>1390.70923875</v>
      </c>
      <c r="N55" s="34" t="n">
        <f aca="false">IFERROR(M55/M$20,0)</f>
        <v>0.045</v>
      </c>
      <c r="O55" s="24" t="n">
        <f aca="false">O20*'LW Assumptions'!$C$52</f>
        <v>1390.70923875</v>
      </c>
      <c r="P55" s="34" t="n">
        <f aca="false">IFERROR(O55/O$20,0)</f>
        <v>0.045</v>
      </c>
      <c r="Q55" s="24" t="n">
        <f aca="false">Q20*'LW Assumptions'!$C$52</f>
        <v>1390.70923875</v>
      </c>
      <c r="R55" s="34" t="n">
        <f aca="false">IFERROR(Q55/Q$20,0)</f>
        <v>0.045</v>
      </c>
      <c r="S55" s="24" t="n">
        <f aca="false">S20*'LW Assumptions'!$C$52</f>
        <v>1390.70923875</v>
      </c>
      <c r="T55" s="34" t="n">
        <f aca="false">IFERROR(S55/S$20,0)</f>
        <v>0.045</v>
      </c>
      <c r="U55" s="24" t="n">
        <f aca="false">U20*'LW Assumptions'!$C$52</f>
        <v>1390.70923875</v>
      </c>
      <c r="V55" s="34" t="n">
        <f aca="false">IFERROR(U55/U$20,0)</f>
        <v>0.045</v>
      </c>
      <c r="W55" s="24" t="n">
        <f aca="false">W20*'LW Assumptions'!$C$52</f>
        <v>1390.70923875</v>
      </c>
      <c r="X55" s="34" t="n">
        <f aca="false">IFERROR(W55/W$20,0)</f>
        <v>0.045</v>
      </c>
      <c r="Y55" s="24" t="n">
        <f aca="false">Y20*'LW Assumptions'!$C$52</f>
        <v>1390.70923875</v>
      </c>
      <c r="Z55" s="34" t="n">
        <f aca="false">IFERROR(Y55/Y$20,0)</f>
        <v>0.045</v>
      </c>
      <c r="AB55" s="24" t="n">
        <f aca="false">SUM(C55,E55,G55,I55,K55,M55,O55,Q55,S55,U55,W55,Y55)</f>
        <v>16688.510865</v>
      </c>
      <c r="AC55" s="34" t="n">
        <f aca="false">IFERROR(AB55/AB$20,0)</f>
        <v>0.045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1236.18599</v>
      </c>
      <c r="D56" s="34" t="n">
        <f aca="false">IFERROR(C56/C$20,0)</f>
        <v>0.04</v>
      </c>
      <c r="E56" s="24" t="n">
        <f aca="false">E20*'LW Assumptions'!$C$40</f>
        <v>1236.18599</v>
      </c>
      <c r="F56" s="34" t="n">
        <f aca="false">IFERROR(E56/E$20,0)</f>
        <v>0.04</v>
      </c>
      <c r="G56" s="24" t="n">
        <f aca="false">G20*'LW Assumptions'!$C$40</f>
        <v>1236.18599</v>
      </c>
      <c r="H56" s="34" t="n">
        <f aca="false">IFERROR(G56/G$20,0)</f>
        <v>0.04</v>
      </c>
      <c r="I56" s="24" t="n">
        <f aca="false">I20*'LW Assumptions'!$C$40</f>
        <v>1236.18599</v>
      </c>
      <c r="J56" s="34" t="n">
        <f aca="false">IFERROR(I56/I$20,0)</f>
        <v>0.04</v>
      </c>
      <c r="K56" s="24" t="n">
        <f aca="false">K20*'LW Assumptions'!$C$40</f>
        <v>1236.18599</v>
      </c>
      <c r="L56" s="34" t="n">
        <f aca="false">IFERROR(K56/K$20,0)</f>
        <v>0.04</v>
      </c>
      <c r="M56" s="24" t="n">
        <f aca="false">M20*'LW Assumptions'!$C$40</f>
        <v>1236.18599</v>
      </c>
      <c r="N56" s="34" t="n">
        <f aca="false">IFERROR(M56/M$20,0)</f>
        <v>0.04</v>
      </c>
      <c r="O56" s="24" t="n">
        <f aca="false">O20*'LW Assumptions'!$C$40</f>
        <v>1236.18599</v>
      </c>
      <c r="P56" s="34" t="n">
        <f aca="false">IFERROR(O56/O$20,0)</f>
        <v>0.04</v>
      </c>
      <c r="Q56" s="24" t="n">
        <f aca="false">Q20*'LW Assumptions'!$C$40</f>
        <v>1236.18599</v>
      </c>
      <c r="R56" s="34" t="n">
        <f aca="false">IFERROR(Q56/Q$20,0)</f>
        <v>0.04</v>
      </c>
      <c r="S56" s="24" t="n">
        <f aca="false">S20*'LW Assumptions'!$C$40</f>
        <v>1236.18599</v>
      </c>
      <c r="T56" s="34" t="n">
        <f aca="false">IFERROR(S56/S$20,0)</f>
        <v>0.04</v>
      </c>
      <c r="U56" s="24" t="n">
        <f aca="false">U20*'LW Assumptions'!$C$40</f>
        <v>1236.18599</v>
      </c>
      <c r="V56" s="34" t="n">
        <f aca="false">IFERROR(U56/U$20,0)</f>
        <v>0.04</v>
      </c>
      <c r="W56" s="24" t="n">
        <f aca="false">W20*'LW Assumptions'!$C$40</f>
        <v>1236.18599</v>
      </c>
      <c r="X56" s="34" t="n">
        <f aca="false">IFERROR(W56/W$20,0)</f>
        <v>0.04</v>
      </c>
      <c r="Y56" s="24" t="n">
        <f aca="false">Y20*'LW Assumptions'!$C$40</f>
        <v>1236.18599</v>
      </c>
      <c r="Z56" s="34" t="n">
        <f aca="false">IFERROR(Y56/Y$20,0)</f>
        <v>0.04</v>
      </c>
      <c r="AB56" s="24" t="n">
        <f aca="false">SUM(C56,E56,G56,I56,K56,M56,O56,Q56,S56,U56,W56,Y56)</f>
        <v>14834.23188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2875.89522875</v>
      </c>
      <c r="D60" s="35" t="n">
        <f aca="false">IFERROR(C60/C$20,0)</f>
        <v>0.0930570400251826</v>
      </c>
      <c r="E60" s="27" t="n">
        <f aca="false">SUM(E53:E59)</f>
        <v>2875.89522875</v>
      </c>
      <c r="F60" s="35" t="n">
        <f aca="false">IFERROR(E60/E$20,0)</f>
        <v>0.0930570400251826</v>
      </c>
      <c r="G60" s="27" t="n">
        <f aca="false">SUM(G53:G59)</f>
        <v>2875.89522875</v>
      </c>
      <c r="H60" s="35" t="n">
        <f aca="false">IFERROR(G60/G$20,0)</f>
        <v>0.0930570400251826</v>
      </c>
      <c r="I60" s="27" t="n">
        <f aca="false">SUM(I53:I59)</f>
        <v>2875.89522875</v>
      </c>
      <c r="J60" s="35" t="n">
        <f aca="false">IFERROR(I60/I$20,0)</f>
        <v>0.0930570400251826</v>
      </c>
      <c r="K60" s="27" t="n">
        <f aca="false">SUM(K53:K59)</f>
        <v>2875.89522875</v>
      </c>
      <c r="L60" s="35" t="n">
        <f aca="false">IFERROR(K60/K$20,0)</f>
        <v>0.0930570400251826</v>
      </c>
      <c r="M60" s="27" t="n">
        <f aca="false">SUM(M53:M59)</f>
        <v>2875.89522875</v>
      </c>
      <c r="N60" s="35" t="n">
        <f aca="false">IFERROR(M60/M$20,0)</f>
        <v>0.0930570400251826</v>
      </c>
      <c r="O60" s="27" t="n">
        <f aca="false">SUM(O53:O59)</f>
        <v>2875.89522875</v>
      </c>
      <c r="P60" s="35" t="n">
        <f aca="false">IFERROR(O60/O$20,0)</f>
        <v>0.0930570400251826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34510.742745</v>
      </c>
      <c r="AC60" s="35" t="n">
        <f aca="false">IFERROR(AB60/AB$20,0)</f>
        <v>0.0930570400251826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-228.505700833331</v>
      </c>
      <c r="D62" s="35" t="n">
        <f aca="false">IFERROR(C62/C$20,0)</f>
        <v>-0.00739389388592992</v>
      </c>
      <c r="E62" s="27" t="n">
        <f aca="false">E41-E50-E60</f>
        <v>-228.505700833331</v>
      </c>
      <c r="F62" s="35" t="n">
        <f aca="false">IFERROR(E62/E$20,0)</f>
        <v>-0.00739389388592992</v>
      </c>
      <c r="G62" s="27" t="n">
        <f aca="false">G41-G50-G60</f>
        <v>-228.505700833331</v>
      </c>
      <c r="H62" s="35" t="n">
        <f aca="false">IFERROR(G62/G$20,0)</f>
        <v>-0.00739389388592992</v>
      </c>
      <c r="I62" s="27" t="n">
        <f aca="false">I41-I50-I60</f>
        <v>-228.505700833331</v>
      </c>
      <c r="J62" s="35" t="n">
        <f aca="false">IFERROR(I62/I$20,0)</f>
        <v>-0.00739389388592992</v>
      </c>
      <c r="K62" s="27" t="n">
        <f aca="false">K41-K50-K60</f>
        <v>-228.505700833331</v>
      </c>
      <c r="L62" s="35" t="n">
        <f aca="false">IFERROR(K62/K$20,0)</f>
        <v>-0.00739389388592992</v>
      </c>
      <c r="M62" s="27" t="n">
        <f aca="false">M41-M50-M60</f>
        <v>-228.505700833331</v>
      </c>
      <c r="N62" s="35" t="n">
        <f aca="false">IFERROR(M62/M$20,0)</f>
        <v>-0.00739389388592992</v>
      </c>
      <c r="O62" s="27" t="n">
        <f aca="false">O41-O50-O60</f>
        <v>-228.505700833331</v>
      </c>
      <c r="P62" s="35" t="n">
        <f aca="false">IFERROR(O62/O$20,0)</f>
        <v>-0.00739389388592992</v>
      </c>
      <c r="Q62" s="27" t="n">
        <f aca="false">Q41-Q50-Q60</f>
        <v>-228.505700833331</v>
      </c>
      <c r="R62" s="35" t="n">
        <f aca="false">IFERROR(Q62/Q$20,0)</f>
        <v>-0.00739389388592992</v>
      </c>
      <c r="S62" s="27" t="n">
        <f aca="false">S41-S50-S60</f>
        <v>-228.505700833331</v>
      </c>
      <c r="T62" s="35" t="n">
        <f aca="false">IFERROR(S62/S$20,0)</f>
        <v>-0.00739389388592992</v>
      </c>
      <c r="U62" s="27" t="n">
        <f aca="false">U41-U50-U60</f>
        <v>-228.505700833331</v>
      </c>
      <c r="V62" s="35" t="n">
        <f aca="false">IFERROR(U62/U$20,0)</f>
        <v>-0.00739389388592992</v>
      </c>
      <c r="W62" s="27" t="n">
        <f aca="false">W41-W50-W60</f>
        <v>-228.505700833331</v>
      </c>
      <c r="X62" s="35" t="n">
        <f aca="false">IFERROR(W62/W$20,0)</f>
        <v>-0.00739389388592992</v>
      </c>
      <c r="Y62" s="27" t="n">
        <f aca="false">Y41-Y50-Y60</f>
        <v>3547.89429916666</v>
      </c>
      <c r="Z62" s="35" t="n">
        <f aca="false">IFERROR(Y62/Y$20,0)</f>
        <v>0.11480131073696</v>
      </c>
      <c r="AB62" s="27" t="n">
        <f aca="false">AB41-AB50-AB60</f>
        <v>1034.33158999994</v>
      </c>
      <c r="AC62" s="35" t="n">
        <f aca="false">IFERROR(AB62/AB$20,0)</f>
        <v>0.00278903983264402</v>
      </c>
    </row>
    <row r="64" customFormat="false" ht="15" hidden="false" customHeight="true" outlineLevel="0" collapsed="false">
      <c r="A64" s="5" t="s">
        <v>219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-228.505700833331</v>
      </c>
      <c r="D66" s="8" t="n">
        <f aca="false">IFERROR(C66/C$20,0)</f>
        <v>-0.00739389388592992</v>
      </c>
      <c r="E66" s="7" t="n">
        <f aca="false">E62-E64</f>
        <v>-228.505700833331</v>
      </c>
      <c r="F66" s="8" t="n">
        <f aca="false">IFERROR(E66/E$20,0)</f>
        <v>-0.00739389388592992</v>
      </c>
      <c r="G66" s="7" t="n">
        <f aca="false">G62-G64</f>
        <v>-228.505700833331</v>
      </c>
      <c r="H66" s="8" t="n">
        <f aca="false">IFERROR(G66/G$20,0)</f>
        <v>-0.00739389388592992</v>
      </c>
      <c r="I66" s="7" t="n">
        <f aca="false">I62-I64</f>
        <v>-228.505700833331</v>
      </c>
      <c r="J66" s="8" t="n">
        <f aca="false">IFERROR(I66/I$20,0)</f>
        <v>-0.00739389388592992</v>
      </c>
      <c r="K66" s="7" t="n">
        <f aca="false">K62-K64</f>
        <v>-228.505700833331</v>
      </c>
      <c r="L66" s="8" t="n">
        <f aca="false">IFERROR(K66/K$20,0)</f>
        <v>-0.00739389388592992</v>
      </c>
      <c r="M66" s="7" t="n">
        <f aca="false">M62-M64</f>
        <v>-228.505700833331</v>
      </c>
      <c r="N66" s="8" t="n">
        <f aca="false">IFERROR(M66/M$20,0)</f>
        <v>-0.00739389388592992</v>
      </c>
      <c r="O66" s="7" t="n">
        <f aca="false">O62-O64</f>
        <v>-228.505700833331</v>
      </c>
      <c r="P66" s="8" t="n">
        <f aca="false">IFERROR(O66/O$20,0)</f>
        <v>-0.00739389388592992</v>
      </c>
      <c r="Q66" s="7" t="n">
        <f aca="false">Q62-Q64</f>
        <v>-228.505700833331</v>
      </c>
      <c r="R66" s="8" t="n">
        <f aca="false">IFERROR(Q66/Q$20,0)</f>
        <v>-0.00739389388592992</v>
      </c>
      <c r="S66" s="7" t="n">
        <f aca="false">S62-S64</f>
        <v>-228.505700833331</v>
      </c>
      <c r="T66" s="8" t="n">
        <f aca="false">IFERROR(S66/S$20,0)</f>
        <v>-0.00739389388592992</v>
      </c>
      <c r="U66" s="7" t="n">
        <f aca="false">U62-U64</f>
        <v>-228.505700833331</v>
      </c>
      <c r="V66" s="8" t="n">
        <f aca="false">IFERROR(U66/U$20,0)</f>
        <v>-0.00739389388592992</v>
      </c>
      <c r="W66" s="7" t="n">
        <f aca="false">W62-W64</f>
        <v>-228.505700833331</v>
      </c>
      <c r="X66" s="8" t="n">
        <f aca="false">IFERROR(W66/W$20,0)</f>
        <v>-0.00739389388592992</v>
      </c>
      <c r="Y66" s="7" t="n">
        <f aca="false">Y62-Y64</f>
        <v>3547.89429916666</v>
      </c>
      <c r="Z66" s="8" t="n">
        <f aca="false">IFERROR(Y66/Y$20,0)</f>
        <v>0.11480131073696</v>
      </c>
      <c r="AB66" s="7" t="n">
        <f aca="false">AB62-AB64</f>
        <v>1034.33158999994</v>
      </c>
      <c r="AC66" s="8" t="n">
        <f aca="false">IFERROR(AB66/AB$20,0)</f>
        <v>0.00278903983264402</v>
      </c>
    </row>
    <row r="68" customFormat="false" ht="15" hidden="false" customHeight="true" outlineLevel="0" collapsed="false">
      <c r="A68" s="5" t="s">
        <v>221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P&amp;L'!$Y$62</f>
        <v>249</v>
      </c>
      <c r="D69" s="34" t="n">
        <f aca="false">IFERROR(C69/C$20,0)</f>
        <v>0.00805704002518262</v>
      </c>
      <c r="E69" s="24" t="n">
        <f aca="false">'LW 2026 P&amp;L'!$Y$62</f>
        <v>249</v>
      </c>
      <c r="F69" s="34" t="n">
        <f aca="false">IFERROR(E69/E$20,0)</f>
        <v>0.00805704002518262</v>
      </c>
      <c r="G69" s="24" t="n">
        <f aca="false">'LW 2026 P&amp;L'!$Y$62</f>
        <v>249</v>
      </c>
      <c r="H69" s="34" t="n">
        <f aca="false">IFERROR(G69/G$20,0)</f>
        <v>0.00805704002518262</v>
      </c>
      <c r="I69" s="24" t="n">
        <f aca="false">'LW 2026 P&amp;L'!$Y$62</f>
        <v>249</v>
      </c>
      <c r="J69" s="34" t="n">
        <f aca="false">IFERROR(I69/I$20,0)</f>
        <v>0.00805704002518262</v>
      </c>
      <c r="K69" s="24" t="n">
        <f aca="false">'LW 2026 P&amp;L'!$Y$62</f>
        <v>249</v>
      </c>
      <c r="L69" s="34" t="n">
        <f aca="false">IFERROR(K69/K$20,0)</f>
        <v>0.00805704002518262</v>
      </c>
      <c r="M69" s="24" t="n">
        <f aca="false">'LW 2026 P&amp;L'!$Y$62</f>
        <v>249</v>
      </c>
      <c r="N69" s="34" t="n">
        <f aca="false">IFERROR(M69/M$20,0)</f>
        <v>0.00805704002518262</v>
      </c>
      <c r="O69" s="24" t="n">
        <f aca="false">'LW 2026 P&amp;L'!$Y$62</f>
        <v>249</v>
      </c>
      <c r="P69" s="34" t="n">
        <f aca="false">IFERROR(O69/O$20,0)</f>
        <v>0.00805704002518262</v>
      </c>
      <c r="Q69" s="24" t="n">
        <f aca="false">'LW 2026 P&amp;L'!$Y$62</f>
        <v>249</v>
      </c>
      <c r="R69" s="34" t="n">
        <f aca="false">IFERROR(Q69/Q$20,0)</f>
        <v>0.00805704002518262</v>
      </c>
      <c r="S69" s="24" t="n">
        <f aca="false">'LW 2026 P&amp;L'!$Y$62</f>
        <v>249</v>
      </c>
      <c r="T69" s="34" t="n">
        <f aca="false">IFERROR(S69/S$20,0)</f>
        <v>0.00805704002518262</v>
      </c>
      <c r="U69" s="24" t="n">
        <f aca="false">'LW 2026 P&amp;L'!$Y$62</f>
        <v>249</v>
      </c>
      <c r="V69" s="34" t="n">
        <f aca="false">IFERROR(U69/U$20,0)</f>
        <v>0.00805704002518262</v>
      </c>
      <c r="W69" s="24" t="n">
        <f aca="false">'LW 2026 P&amp;L'!$Y$62</f>
        <v>249</v>
      </c>
      <c r="X69" s="34" t="n">
        <f aca="false">IFERROR(W69/W$20,0)</f>
        <v>0.00805704002518262</v>
      </c>
      <c r="Y69" s="24" t="n">
        <f aca="false">'LW 2026 P&amp;L'!$Y$62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2988</v>
      </c>
      <c r="AC69" s="34" t="n">
        <f aca="false">IFERROR(AB69/AB$20,0)</f>
        <v>0.00805704002518262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-477.505700833331</v>
      </c>
      <c r="D70" s="37" t="n">
        <f aca="false">IFERROR(C70/C$20,0)</f>
        <v>-0.0154509339111125</v>
      </c>
      <c r="E70" s="36" t="n">
        <f aca="false">E66-E68-E69</f>
        <v>-477.505700833331</v>
      </c>
      <c r="F70" s="37" t="n">
        <f aca="false">IFERROR(E70/E$20,0)</f>
        <v>-0.0154509339111125</v>
      </c>
      <c r="G70" s="36" t="n">
        <f aca="false">G66-G68-G69</f>
        <v>-477.505700833331</v>
      </c>
      <c r="H70" s="37" t="n">
        <f aca="false">IFERROR(G70/G$20,0)</f>
        <v>-0.0154509339111125</v>
      </c>
      <c r="I70" s="36" t="n">
        <f aca="false">I66-I68-I69</f>
        <v>-477.505700833331</v>
      </c>
      <c r="J70" s="37" t="n">
        <f aca="false">IFERROR(I70/I$20,0)</f>
        <v>-0.0154509339111125</v>
      </c>
      <c r="K70" s="36" t="n">
        <f aca="false">K66-K68-K69</f>
        <v>-477.505700833331</v>
      </c>
      <c r="L70" s="37" t="n">
        <f aca="false">IFERROR(K70/K$20,0)</f>
        <v>-0.0154509339111125</v>
      </c>
      <c r="M70" s="36" t="n">
        <f aca="false">M66-M68-M69</f>
        <v>-477.505700833331</v>
      </c>
      <c r="N70" s="37" t="n">
        <f aca="false">IFERROR(M70/M$20,0)</f>
        <v>-0.0154509339111125</v>
      </c>
      <c r="O70" s="36" t="n">
        <f aca="false">O66-O68-O69</f>
        <v>-477.505700833331</v>
      </c>
      <c r="P70" s="37" t="n">
        <f aca="false">IFERROR(O70/O$20,0)</f>
        <v>-0.0154509339111125</v>
      </c>
      <c r="Q70" s="36" t="n">
        <f aca="false">Q66-Q68-Q69</f>
        <v>-477.505700833331</v>
      </c>
      <c r="R70" s="37" t="n">
        <f aca="false">IFERROR(Q70/Q$20,0)</f>
        <v>-0.0154509339111125</v>
      </c>
      <c r="S70" s="36" t="n">
        <f aca="false">S66-S68-S69</f>
        <v>-477.505700833331</v>
      </c>
      <c r="T70" s="37" t="n">
        <f aca="false">IFERROR(S70/S$20,0)</f>
        <v>-0.0154509339111125</v>
      </c>
      <c r="U70" s="36" t="n">
        <f aca="false">U66-U68-U69</f>
        <v>-477.505700833331</v>
      </c>
      <c r="V70" s="37" t="n">
        <f aca="false">IFERROR(U70/U$20,0)</f>
        <v>-0.0154509339111125</v>
      </c>
      <c r="W70" s="36" t="n">
        <f aca="false">W66-W68-W69</f>
        <v>-477.505700833331</v>
      </c>
      <c r="X70" s="37" t="n">
        <f aca="false">IFERROR(W70/W$20,0)</f>
        <v>-0.0154509339111125</v>
      </c>
      <c r="Y70" s="36" t="n">
        <f aca="false">Y66-Y68-Y69</f>
        <v>3298.89429916666</v>
      </c>
      <c r="Z70" s="37" t="n">
        <f aca="false">IFERROR(Y70/Y$20,0)</f>
        <v>0.106744270711777</v>
      </c>
      <c r="AB70" s="36" t="n">
        <f aca="false">AB66-AB68-AB69</f>
        <v>-1953.66841000006</v>
      </c>
      <c r="AC70" s="37" t="n">
        <f aca="false">IFERROR(AB70/AB$20,0)</f>
        <v>-0.0052680001925386</v>
      </c>
    </row>
    <row r="72" customFormat="false" ht="15" hidden="false" customHeight="true" outlineLevel="0" collapsed="false">
      <c r="A72" s="3" t="s">
        <v>1047</v>
      </c>
    </row>
    <row r="74" customFormat="false" ht="15" hidden="false" customHeight="true" outlineLevel="0" collapsed="false">
      <c r="A74" s="6" t="s">
        <v>1048</v>
      </c>
    </row>
    <row r="75" customFormat="false" ht="15" hidden="false" customHeight="true" outlineLevel="0" collapsed="false">
      <c r="A75" s="6" t="s">
        <v>1049</v>
      </c>
      <c r="C75" s="6" t="s">
        <v>1050</v>
      </c>
      <c r="E75" s="6" t="s">
        <v>348</v>
      </c>
    </row>
    <row r="76" customFormat="false" ht="15" hidden="false" customHeight="true" outlineLevel="0" collapsed="false">
      <c r="A76" s="5" t="s">
        <v>1051</v>
      </c>
      <c r="C76" s="74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1034.33158999994</v>
      </c>
    </row>
    <row r="77" customFormat="false" ht="15" hidden="false" customHeight="true" outlineLevel="0" collapsed="false">
      <c r="A77" s="5" t="s">
        <v>1052</v>
      </c>
      <c r="C77" s="74" t="n">
        <v>8</v>
      </c>
      <c r="E77" s="24" t="n">
        <f aca="false">$AB$62-((C77-('LW Assumptions'!$C$20+'LW Assumptions'!$C$21))*'LW Assumptions'!$C$22*52*'LW Assumptions'!$C$23*(1+'LW Assumptions'!$C$24))</f>
        <v>27575.1315899999</v>
      </c>
    </row>
    <row r="78" customFormat="false" ht="15" hidden="false" customHeight="true" outlineLevel="0" collapsed="false">
      <c r="A78" s="5" t="s">
        <v>1053</v>
      </c>
      <c r="C78" s="74" t="n">
        <v>13.5</v>
      </c>
      <c r="E78" s="24" t="n">
        <f aca="false">$AB$62-((C78-('LW Assumptions'!$C$20+'LW Assumptions'!$C$21))*'LW Assumptions'!$C$22*52*'LW Assumptions'!$C$23*(1+'LW Assumptions'!$C$24))</f>
        <v>-18871.2684100001</v>
      </c>
    </row>
    <row r="79" customFormat="false" ht="15" hidden="false" customHeight="true" outlineLevel="0" collapsed="false">
      <c r="A79" s="5" t="s">
        <v>1054</v>
      </c>
      <c r="C79" s="74" t="n">
        <v>16</v>
      </c>
      <c r="E79" s="24" t="n">
        <f aca="false">$AB$62-((C79-('LW Assumptions'!$C$20+'LW Assumptions'!$C$21))*'LW Assumptions'!$C$22*52*'LW Assumptions'!$C$23*(1+'LW Assumptions'!$C$24))</f>
        <v>-39983.2684100001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1055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41" t="s">
        <v>1056</v>
      </c>
      <c r="B2" s="41"/>
      <c r="C2" s="41"/>
      <c r="D2" s="41"/>
      <c r="E2" s="41"/>
      <c r="F2" s="41"/>
      <c r="G2" s="41"/>
      <c r="H2" s="41"/>
    </row>
    <row r="4" customFormat="false" ht="15" hidden="false" customHeight="true" outlineLevel="0" collapsed="false">
      <c r="B4" s="42" t="s">
        <v>1057</v>
      </c>
      <c r="F4" s="42" t="s">
        <v>1058</v>
      </c>
    </row>
    <row r="5" customFormat="false" ht="15" hidden="false" customHeight="true" outlineLevel="0" collapsed="false">
      <c r="B5" s="83" t="s">
        <v>1059</v>
      </c>
      <c r="C5" s="43" t="s">
        <v>353</v>
      </c>
      <c r="D5" s="43" t="s">
        <v>1060</v>
      </c>
      <c r="F5" s="83" t="s">
        <v>1061</v>
      </c>
      <c r="G5" s="43" t="s">
        <v>1062</v>
      </c>
      <c r="H5" s="43" t="s">
        <v>1063</v>
      </c>
    </row>
    <row r="6" customFormat="false" ht="15" hidden="false" customHeight="true" outlineLevel="0" collapsed="false">
      <c r="B6" s="47" t="s">
        <v>1064</v>
      </c>
      <c r="C6" s="50" t="n">
        <v>42998</v>
      </c>
      <c r="D6" s="51" t="n">
        <f aca="false">C6/'LW Assumptions'!C10</f>
        <v>0.161523943357004</v>
      </c>
      <c r="F6" s="47" t="s">
        <v>1065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1066</v>
      </c>
      <c r="C7" s="50" t="n">
        <v>54634</v>
      </c>
      <c r="D7" s="51" t="n">
        <f aca="false">C7/'LW Assumptions'!C10</f>
        <v>0.205235106780933</v>
      </c>
      <c r="F7" s="47" t="s">
        <v>1067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1068</v>
      </c>
      <c r="C8" s="50" t="n">
        <v>30727</v>
      </c>
      <c r="D8" s="51" t="n">
        <f aca="false">C8/'LW Assumptions'!C10</f>
        <v>0.115427373541343</v>
      </c>
      <c r="F8" s="122" t="s">
        <v>1069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1070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1071</v>
      </c>
      <c r="C10" s="50" t="n">
        <v>886</v>
      </c>
      <c r="D10" s="51" t="n">
        <f aca="false">C10/'LW Assumptions'!C10</f>
        <v>0.00332829931192859</v>
      </c>
      <c r="F10" s="63" t="s">
        <v>1072</v>
      </c>
    </row>
    <row r="11" customFormat="false" ht="15" hidden="false" customHeight="true" outlineLevel="0" collapsed="false">
      <c r="B11" s="47" t="s">
        <v>1073</v>
      </c>
      <c r="C11" s="50" t="n">
        <v>22733</v>
      </c>
      <c r="D11" s="51" t="n">
        <f aca="false">C11/'LW Assumptions'!C10</f>
        <v>0.0853975488240097</v>
      </c>
      <c r="F11" s="63" t="s">
        <v>1074</v>
      </c>
    </row>
    <row r="12" customFormat="false" ht="15" hidden="false" customHeight="true" outlineLevel="0" collapsed="false">
      <c r="B12" s="122" t="s">
        <v>1075</v>
      </c>
      <c r="C12" s="45" t="n">
        <f aca="false">SUM(C6:C11)</f>
        <v>164858</v>
      </c>
      <c r="D12" s="46" t="n">
        <f aca="false">C12/'LW Assumptions'!C10</f>
        <v>0.619296577839642</v>
      </c>
      <c r="F12" s="63" t="s">
        <v>1076</v>
      </c>
    </row>
    <row r="14" customFormat="false" ht="15" hidden="false" customHeight="true" outlineLevel="0" collapsed="false">
      <c r="B14" s="42" t="s">
        <v>1077</v>
      </c>
    </row>
    <row r="15" customFormat="false" ht="15" hidden="false" customHeight="true" outlineLevel="0" collapsed="false">
      <c r="B15" s="47" t="s">
        <v>1078</v>
      </c>
      <c r="C15" s="123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1079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1080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1081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1082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1083</v>
      </c>
      <c r="C20" s="54" t="n">
        <f aca="false">C17+C18+C19</f>
        <v>111953.92</v>
      </c>
    </row>
    <row r="21" customFormat="false" ht="15" hidden="false" customHeight="true" outlineLevel="0" collapsed="false">
      <c r="B21" s="124" t="s">
        <v>1084</v>
      </c>
      <c r="C21" s="125" t="n">
        <f aca="false">C12-C20</f>
        <v>52904.08</v>
      </c>
    </row>
    <row r="23" customFormat="false" ht="15" hidden="false" customHeight="true" outlineLevel="0" collapsed="false">
      <c r="B23" s="60" t="s">
        <v>1085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26" t="s">
        <v>1086</v>
      </c>
      <c r="B1" s="38"/>
      <c r="C1" s="38"/>
      <c r="D1" s="38"/>
    </row>
    <row r="2" customFormat="false" ht="15" hidden="false" customHeight="true" outlineLevel="0" collapsed="false">
      <c r="A2" s="127" t="s">
        <v>1087</v>
      </c>
      <c r="B2" s="127"/>
      <c r="C2" s="127"/>
      <c r="D2" s="127"/>
    </row>
    <row r="4" customFormat="false" ht="15" hidden="false" customHeight="true" outlineLevel="0" collapsed="false">
      <c r="A4" s="83"/>
      <c r="B4" s="43" t="s">
        <v>1088</v>
      </c>
      <c r="C4" s="43" t="s">
        <v>1089</v>
      </c>
      <c r="D4" s="43" t="s">
        <v>1090</v>
      </c>
    </row>
    <row r="5" customFormat="false" ht="15" hidden="false" customHeight="true" outlineLevel="0" collapsed="false">
      <c r="A5" s="122" t="s">
        <v>1091</v>
      </c>
      <c r="B5" s="128"/>
      <c r="C5" s="128"/>
      <c r="D5" s="128"/>
    </row>
    <row r="6" customFormat="false" ht="15" hidden="false" customHeight="true" outlineLevel="0" collapsed="false">
      <c r="A6" s="129" t="s">
        <v>1092</v>
      </c>
      <c r="B6" s="130" t="s">
        <v>1093</v>
      </c>
      <c r="C6" s="130" t="n">
        <f aca="false">'LW Assumptions'!$C$20+'LW Assumptions'!$C$21</f>
        <v>11.1428571428571</v>
      </c>
    </row>
    <row r="7" customFormat="false" ht="15" hidden="false" customHeight="true" outlineLevel="0" collapsed="false">
      <c r="A7" s="129" t="s">
        <v>1094</v>
      </c>
      <c r="B7" s="131" t="n">
        <v>7</v>
      </c>
      <c r="C7" s="131" t="n">
        <f aca="false">'LW Assumptions'!$C$22</f>
        <v>7</v>
      </c>
    </row>
    <row r="9" customFormat="false" ht="15" hidden="false" customHeight="true" outlineLevel="0" collapsed="false">
      <c r="A9" s="122" t="s">
        <v>1095</v>
      </c>
      <c r="B9" s="128"/>
      <c r="C9" s="128"/>
      <c r="D9" s="128"/>
    </row>
    <row r="10" customFormat="false" ht="15" hidden="false" customHeight="true" outlineLevel="0" collapsed="false">
      <c r="A10" s="129" t="s">
        <v>1096</v>
      </c>
      <c r="B10" s="132" t="n">
        <v>111.8</v>
      </c>
      <c r="C10" s="132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29" t="s">
        <v>1097</v>
      </c>
      <c r="B11" s="132" t="n">
        <v>13.3</v>
      </c>
      <c r="C11" s="132" t="n">
        <f aca="false">B11</f>
        <v>13.3</v>
      </c>
    </row>
    <row r="12" customFormat="false" ht="15" hidden="false" customHeight="true" outlineLevel="0" collapsed="false">
      <c r="A12" s="133" t="s">
        <v>1098</v>
      </c>
      <c r="B12" s="134" t="n">
        <v>125.1</v>
      </c>
      <c r="C12" s="134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35"/>
      <c r="B13" s="136"/>
      <c r="C13" s="136"/>
    </row>
    <row r="14" customFormat="false" ht="15" hidden="false" customHeight="true" outlineLevel="0" collapsed="false">
      <c r="A14" s="122" t="s">
        <v>1099</v>
      </c>
      <c r="B14" s="128"/>
      <c r="C14" s="128"/>
      <c r="D14" s="128"/>
    </row>
    <row r="15" customFormat="false" ht="15" hidden="false" customHeight="true" outlineLevel="0" collapsed="false">
      <c r="A15" s="129" t="s">
        <v>1100</v>
      </c>
      <c r="B15" s="137" t="n">
        <v>2207</v>
      </c>
      <c r="C15" s="137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29" t="s">
        <v>1101</v>
      </c>
      <c r="B16" s="137" t="n">
        <v>296</v>
      </c>
      <c r="C16" s="137" t="n">
        <f aca="false">'LW Assumptions'!$C$26</f>
        <v>296</v>
      </c>
    </row>
    <row r="17" customFormat="false" ht="15" hidden="false" customHeight="true" outlineLevel="0" collapsed="false">
      <c r="A17" s="135" t="s">
        <v>1102</v>
      </c>
      <c r="B17" s="85" t="n">
        <v>2503</v>
      </c>
      <c r="C17" s="85" t="n">
        <f aca="false">C15+C16</f>
        <v>1856</v>
      </c>
    </row>
    <row r="18" customFormat="false" ht="15" hidden="false" customHeight="true" outlineLevel="0" collapsed="false">
      <c r="A18" s="129" t="s">
        <v>1103</v>
      </c>
      <c r="B18" s="137" t="n">
        <f aca="false">'LW Assumptions'!$C$45/52</f>
        <v>247.692307692308</v>
      </c>
      <c r="C18" s="137" t="n">
        <f aca="false">'LW Assumptions'!$C$45/52</f>
        <v>247.692307692308</v>
      </c>
    </row>
    <row r="19" customFormat="false" ht="15" hidden="false" customHeight="true" outlineLevel="0" collapsed="false">
      <c r="A19" s="129" t="s">
        <v>1104</v>
      </c>
      <c r="B19" s="137" t="n">
        <f aca="false">(B17+B18)*'LW Assumptions'!$C$24</f>
        <v>440.110769230769</v>
      </c>
      <c r="C19" s="137" t="n">
        <f aca="false">(C17+C18)*'LW Assumptions'!$C$24</f>
        <v>336.590769230769</v>
      </c>
    </row>
    <row r="20" customFormat="false" ht="15" hidden="false" customHeight="true" outlineLevel="0" collapsed="false">
      <c r="A20" s="138" t="s">
        <v>1105</v>
      </c>
      <c r="B20" s="139" t="n">
        <f aca="false">B17+B18+B19</f>
        <v>3190.80307692308</v>
      </c>
      <c r="C20" s="139" t="n">
        <f aca="false">C17+C18+C19</f>
        <v>2440.28307692308</v>
      </c>
      <c r="D20" s="139" t="n">
        <f aca="false">C20-B20</f>
        <v>-750.52</v>
      </c>
    </row>
    <row r="21" customFormat="false" ht="15" hidden="false" customHeight="true" outlineLevel="0" collapsed="false">
      <c r="A21" s="140"/>
      <c r="B21" s="141"/>
      <c r="C21" s="141"/>
      <c r="D21" s="141"/>
    </row>
    <row r="22" customFormat="false" ht="15" hidden="false" customHeight="true" outlineLevel="0" collapsed="false">
      <c r="A22" s="135" t="s">
        <v>1106</v>
      </c>
      <c r="B22" s="85" t="n">
        <f aca="false">B20*52</f>
        <v>165921.76</v>
      </c>
      <c r="C22" s="85" t="n">
        <f aca="false">C20*52</f>
        <v>126894.72</v>
      </c>
      <c r="D22" s="85" t="n">
        <f aca="false">C22-B22</f>
        <v>-39027.04</v>
      </c>
    </row>
    <row r="23" customFormat="false" ht="15" hidden="false" customHeight="true" outlineLevel="0" collapsed="false">
      <c r="A23" s="135"/>
      <c r="B23" s="85"/>
      <c r="C23" s="85"/>
      <c r="D23" s="85"/>
    </row>
    <row r="24" customFormat="false" ht="15" hidden="false" customHeight="true" outlineLevel="0" collapsed="false">
      <c r="A24" s="122" t="s">
        <v>1107</v>
      </c>
      <c r="B24" s="128"/>
      <c r="C24" s="128"/>
      <c r="D24" s="128"/>
    </row>
    <row r="25" customFormat="false" ht="15" hidden="false" customHeight="true" outlineLevel="0" collapsed="false">
      <c r="A25" s="129" t="s">
        <v>1108</v>
      </c>
      <c r="B25" s="137" t="n">
        <v>5888.94</v>
      </c>
      <c r="C25" s="137" t="n">
        <v>5888.94</v>
      </c>
    </row>
    <row r="26" customFormat="false" ht="15" hidden="false" customHeight="true" outlineLevel="0" collapsed="false">
      <c r="A26" s="135" t="s">
        <v>1109</v>
      </c>
      <c r="B26" s="142" t="n">
        <f aca="false">B20/B25</f>
        <v>0.541829782086942</v>
      </c>
      <c r="C26" s="142" t="n">
        <f aca="false">C20/C25</f>
        <v>0.414384095766484</v>
      </c>
      <c r="D26" s="142" t="n">
        <f aca="false">C26-B26</f>
        <v>-0.127445686320458</v>
      </c>
    </row>
    <row r="27" customFormat="false" ht="15" hidden="false" customHeight="true" outlineLevel="0" collapsed="false">
      <c r="A27" s="135"/>
      <c r="B27" s="142"/>
      <c r="C27" s="142"/>
      <c r="D27" s="142"/>
    </row>
    <row r="28" customFormat="false" ht="15" hidden="false" customHeight="true" outlineLevel="0" collapsed="false">
      <c r="A28" s="143" t="s">
        <v>1110</v>
      </c>
      <c r="B28" s="143"/>
      <c r="C28" s="143"/>
      <c r="D28" s="143"/>
    </row>
    <row r="29" customFormat="false" ht="15" hidden="false" customHeight="true" outlineLevel="0" collapsed="false">
      <c r="A29" s="135" t="s">
        <v>1111</v>
      </c>
      <c r="C29" s="85" t="n">
        <f aca="false">B20-C20</f>
        <v>750.52</v>
      </c>
      <c r="D29" s="85" t="n">
        <f aca="false">C22-B22</f>
        <v>-39027.04</v>
      </c>
    </row>
    <row r="31" customFormat="false" ht="15" hidden="false" customHeight="true" outlineLevel="0" collapsed="false">
      <c r="A31" s="144" t="s">
        <v>1112</v>
      </c>
    </row>
    <row r="32" customFormat="false" ht="15" hidden="false" customHeight="true" outlineLevel="0" collapsed="false">
      <c r="A32" s="145" t="s">
        <v>1113</v>
      </c>
      <c r="B32" s="145"/>
      <c r="C32" s="145"/>
      <c r="D32" s="145"/>
    </row>
    <row r="33" customFormat="false" ht="15" hidden="false" customHeight="true" outlineLevel="0" collapsed="false">
      <c r="A33" s="145"/>
      <c r="B33" s="145"/>
      <c r="C33" s="145"/>
      <c r="D33" s="145"/>
    </row>
    <row r="35" customFormat="false" ht="15" hidden="false" customHeight="true" outlineLevel="0" collapsed="false">
      <c r="A35" s="144" t="s">
        <v>1114</v>
      </c>
    </row>
    <row r="36" customFormat="false" ht="15" hidden="false" customHeight="true" outlineLevel="0" collapsed="false">
      <c r="A36" s="145" t="s">
        <v>1115</v>
      </c>
      <c r="B36" s="145"/>
      <c r="C36" s="145"/>
      <c r="D36" s="145"/>
    </row>
    <row r="37" customFormat="false" ht="15" hidden="false" customHeight="true" outlineLevel="0" collapsed="false">
      <c r="A37" s="145"/>
      <c r="B37" s="145"/>
      <c r="C37" s="145"/>
      <c r="D37" s="145"/>
    </row>
    <row r="39" customFormat="false" ht="15" hidden="false" customHeight="true" outlineLevel="0" collapsed="false">
      <c r="A39" s="146" t="s">
        <v>1116</v>
      </c>
    </row>
    <row r="40" customFormat="false" ht="15" hidden="false" customHeight="true" outlineLevel="0" collapsed="false">
      <c r="A40" s="145" t="s">
        <v>1117</v>
      </c>
      <c r="B40" s="145"/>
      <c r="C40" s="145"/>
      <c r="D40" s="145"/>
    </row>
    <row r="41" customFormat="false" ht="15" hidden="false" customHeight="true" outlineLevel="0" collapsed="false">
      <c r="A41" s="145"/>
      <c r="B41" s="145"/>
      <c r="C41" s="145"/>
      <c r="D41" s="145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1118</v>
      </c>
    </row>
    <row r="4" customFormat="false" ht="15" hidden="false" customHeight="true" outlineLevel="0" collapsed="false">
      <c r="A4" s="4" t="s">
        <v>1119</v>
      </c>
      <c r="B4" s="4"/>
      <c r="C4" s="4" t="s">
        <v>256</v>
      </c>
      <c r="D4" s="4" t="s">
        <v>1120</v>
      </c>
    </row>
    <row r="5" customFormat="false" ht="15" hidden="false" customHeight="true" outlineLevel="0" collapsed="false">
      <c r="A5" s="5" t="s">
        <v>1121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1122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1123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1124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1125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1126</v>
      </c>
    </row>
    <row r="12" customFormat="false" ht="15" hidden="false" customHeight="true" outlineLevel="0" collapsed="false">
      <c r="A12" s="4" t="s">
        <v>1127</v>
      </c>
      <c r="B12" s="4"/>
      <c r="C12" s="4" t="s">
        <v>1128</v>
      </c>
      <c r="D12" s="4" t="s">
        <v>1129</v>
      </c>
      <c r="E12" s="4" t="s">
        <v>1130</v>
      </c>
    </row>
    <row r="13" customFormat="false" ht="15" hidden="false" customHeight="true" outlineLevel="0" collapsed="false">
      <c r="A13" s="5" t="s">
        <v>227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228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229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230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231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232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1131</v>
      </c>
    </row>
    <row r="21" customFormat="false" ht="15" hidden="false" customHeight="true" outlineLevel="0" collapsed="false">
      <c r="A21" s="4" t="s">
        <v>1132</v>
      </c>
      <c r="B21" s="4"/>
      <c r="C21" s="4" t="s">
        <v>256</v>
      </c>
      <c r="D21" s="4" t="s">
        <v>1133</v>
      </c>
      <c r="E21" s="4" t="s">
        <v>1134</v>
      </c>
    </row>
    <row r="22" customFormat="false" ht="15" hidden="false" customHeight="true" outlineLevel="0" collapsed="false">
      <c r="A22" s="5" t="s">
        <v>1135</v>
      </c>
      <c r="C22" s="24" t="n">
        <v>5637</v>
      </c>
      <c r="D22" s="34" t="n">
        <f aca="false">C22/$C$8</f>
        <v>0.20214444524134</v>
      </c>
      <c r="E22" s="5" t="s">
        <v>1136</v>
      </c>
    </row>
    <row r="23" customFormat="false" ht="15" hidden="false" customHeight="true" outlineLevel="0" collapsed="false">
      <c r="A23" s="5" t="s">
        <v>1137</v>
      </c>
      <c r="C23" s="24" t="n">
        <v>3913</v>
      </c>
      <c r="D23" s="34" t="n">
        <f aca="false">C23/$C$8</f>
        <v>0.140321308183318</v>
      </c>
      <c r="E23" s="5" t="s">
        <v>1136</v>
      </c>
    </row>
    <row r="24" customFormat="false" ht="15" hidden="false" customHeight="true" outlineLevel="0" collapsed="false">
      <c r="A24" s="5" t="s">
        <v>1138</v>
      </c>
      <c r="C24" s="24" t="n">
        <v>3678</v>
      </c>
      <c r="D24" s="34" t="n">
        <f aca="false">C24/$C$8</f>
        <v>0.131894140428889</v>
      </c>
      <c r="E24" s="5" t="s">
        <v>1136</v>
      </c>
    </row>
    <row r="25" customFormat="false" ht="15" hidden="false" customHeight="true" outlineLevel="0" collapsed="false">
      <c r="A25" s="5" t="s">
        <v>1139</v>
      </c>
      <c r="C25" s="24" t="n">
        <v>2744</v>
      </c>
      <c r="D25" s="34" t="n">
        <f aca="false">C25/$C$8</f>
        <v>0.0984006311410744</v>
      </c>
      <c r="E25" s="6" t="s">
        <v>1140</v>
      </c>
    </row>
    <row r="26" customFormat="false" ht="15" hidden="false" customHeight="true" outlineLevel="0" collapsed="false">
      <c r="A26" s="5" t="s">
        <v>1141</v>
      </c>
      <c r="C26" s="24" t="n">
        <v>2071</v>
      </c>
      <c r="D26" s="34" t="n">
        <f aca="false">C26/$C$8</f>
        <v>0.0742666571039231</v>
      </c>
      <c r="E26" s="5" t="s">
        <v>1136</v>
      </c>
    </row>
    <row r="27" customFormat="false" ht="15" hidden="false" customHeight="true" outlineLevel="0" collapsed="false">
      <c r="A27" s="5" t="s">
        <v>1142</v>
      </c>
      <c r="C27" s="24" t="n">
        <v>1937</v>
      </c>
      <c r="D27" s="34" t="n">
        <f aca="false">C27/$C$8</f>
        <v>0.0694613784694829</v>
      </c>
      <c r="E27" s="5" t="s">
        <v>1136</v>
      </c>
    </row>
    <row r="28" customFormat="false" ht="15" hidden="false" customHeight="true" outlineLevel="0" collapsed="false">
      <c r="A28" s="5" t="s">
        <v>1143</v>
      </c>
      <c r="C28" s="24" t="n">
        <v>1726</v>
      </c>
      <c r="D28" s="34" t="n">
        <f aca="false">C28/$C$8</f>
        <v>0.0618948576346554</v>
      </c>
      <c r="E28" s="5" t="s">
        <v>1136</v>
      </c>
    </row>
    <row r="29" customFormat="false" ht="15" hidden="false" customHeight="true" outlineLevel="0" collapsed="false">
      <c r="A29" s="5" t="s">
        <v>1144</v>
      </c>
      <c r="C29" s="24" t="n">
        <v>1029</v>
      </c>
      <c r="D29" s="34" t="n">
        <f aca="false">C29/$C$8</f>
        <v>0.0369002366779029</v>
      </c>
      <c r="E29" s="5" t="s">
        <v>1136</v>
      </c>
    </row>
    <row r="30" customFormat="false" ht="15" hidden="false" customHeight="true" outlineLevel="0" collapsed="false">
      <c r="A30" s="5" t="s">
        <v>1145</v>
      </c>
      <c r="C30" s="24" t="n">
        <v>902</v>
      </c>
      <c r="D30" s="34" t="n">
        <f aca="false">C30/$C$8</f>
        <v>0.0323459800616797</v>
      </c>
      <c r="E30" s="5" t="s">
        <v>1136</v>
      </c>
    </row>
    <row r="31" customFormat="false" ht="15" hidden="false" customHeight="true" outlineLevel="0" collapsed="false">
      <c r="A31" s="5" t="s">
        <v>1146</v>
      </c>
      <c r="C31" s="24" t="n">
        <v>612</v>
      </c>
      <c r="D31" s="34" t="n">
        <f aca="false">C31/$C$8</f>
        <v>0.0219464964498315</v>
      </c>
      <c r="E31" s="5" t="s">
        <v>1136</v>
      </c>
    </row>
    <row r="32" customFormat="false" ht="15" hidden="false" customHeight="true" outlineLevel="0" collapsed="false">
      <c r="A32" s="5" t="s">
        <v>1147</v>
      </c>
      <c r="C32" s="24" t="n">
        <v>514</v>
      </c>
      <c r="D32" s="34" t="n">
        <f aca="false">C32/$C$8</f>
        <v>0.0184321881947931</v>
      </c>
      <c r="E32" s="5" t="s">
        <v>1136</v>
      </c>
    </row>
    <row r="33" customFormat="false" ht="15" hidden="false" customHeight="true" outlineLevel="0" collapsed="false">
      <c r="A33" s="5" t="s">
        <v>1148</v>
      </c>
      <c r="C33" s="24" t="n">
        <v>501</v>
      </c>
      <c r="D33" s="34" t="n">
        <f aca="false">C33/$C$8</f>
        <v>0.0179660044466758</v>
      </c>
      <c r="E33" s="6" t="s">
        <v>1140</v>
      </c>
    </row>
    <row r="34" customFormat="false" ht="15" hidden="false" customHeight="true" outlineLevel="0" collapsed="false">
      <c r="A34" s="5" t="s">
        <v>1149</v>
      </c>
      <c r="C34" s="24" t="n">
        <v>378</v>
      </c>
      <c r="D34" s="34" t="n">
        <f aca="false">C34/$C$8</f>
        <v>0.0135551889837194</v>
      </c>
      <c r="E34" s="6" t="s">
        <v>1140</v>
      </c>
    </row>
    <row r="35" customFormat="false" ht="15" hidden="false" customHeight="true" outlineLevel="0" collapsed="false">
      <c r="A35" s="5" t="s">
        <v>1150</v>
      </c>
      <c r="C35" s="24" t="n">
        <v>335</v>
      </c>
      <c r="D35" s="34" t="n">
        <f aca="false">C35/$C$8</f>
        <v>0.0120131965861006</v>
      </c>
      <c r="E35" s="5" t="s">
        <v>1136</v>
      </c>
    </row>
    <row r="36" customFormat="false" ht="15" hidden="false" customHeight="true" outlineLevel="0" collapsed="false">
      <c r="A36" s="5" t="s">
        <v>1151</v>
      </c>
      <c r="C36" s="24" t="n">
        <v>333</v>
      </c>
      <c r="D36" s="34" t="n">
        <f aca="false">C36/$C$8</f>
        <v>0.0119414760094671</v>
      </c>
      <c r="E36" s="6" t="s">
        <v>1140</v>
      </c>
    </row>
    <row r="37" customFormat="false" ht="15" hidden="false" customHeight="true" outlineLevel="0" collapsed="false">
      <c r="A37" s="5" t="s">
        <v>1152</v>
      </c>
      <c r="C37" s="24" t="n">
        <v>267</v>
      </c>
      <c r="D37" s="34" t="n">
        <f aca="false">C37/$C$8</f>
        <v>0.00957469698056373</v>
      </c>
      <c r="E37" s="6" t="s">
        <v>1140</v>
      </c>
    </row>
    <row r="38" customFormat="false" ht="15" hidden="false" customHeight="true" outlineLevel="0" collapsed="false">
      <c r="A38" s="5" t="s">
        <v>1153</v>
      </c>
      <c r="C38" s="24" t="n">
        <v>260</v>
      </c>
      <c r="D38" s="34" t="n">
        <f aca="false">C38/$C$8</f>
        <v>0.0093236749623467</v>
      </c>
      <c r="E38" s="5" t="s">
        <v>1136</v>
      </c>
    </row>
    <row r="39" customFormat="false" ht="15" hidden="false" customHeight="true" outlineLevel="0" collapsed="false">
      <c r="A39" s="5" t="s">
        <v>1154</v>
      </c>
      <c r="C39" s="24" t="n">
        <v>337</v>
      </c>
      <c r="D39" s="34" t="n">
        <f aca="false">C39/$C$8</f>
        <v>0.012084917162734</v>
      </c>
      <c r="E39" s="6" t="s">
        <v>1140</v>
      </c>
    </row>
    <row r="40" customFormat="false" ht="15" hidden="false" customHeight="true" outlineLevel="0" collapsed="false">
      <c r="A40" s="5" t="s">
        <v>1155</v>
      </c>
      <c r="C40" s="24" t="n">
        <v>712</v>
      </c>
      <c r="D40" s="34" t="n">
        <f aca="false">C40/$C$8</f>
        <v>0.0255325252815033</v>
      </c>
      <c r="E40" s="5" t="s">
        <v>1136</v>
      </c>
    </row>
    <row r="41" customFormat="false" ht="15" hidden="false" customHeight="true" outlineLevel="0" collapsed="false">
      <c r="A41" s="6" t="s">
        <v>1156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1157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1158</v>
      </c>
      <c r="B44" s="4"/>
      <c r="C44" s="4"/>
      <c r="D44" s="4"/>
    </row>
    <row r="45" customFormat="false" ht="15" hidden="false" customHeight="true" outlineLevel="0" collapsed="false">
      <c r="A45" s="5" t="s">
        <v>1159</v>
      </c>
      <c r="C45" s="24" t="n">
        <f aca="false">C41*2</f>
        <v>9120</v>
      </c>
    </row>
    <row r="46" customFormat="false" ht="15" hidden="false" customHeight="true" outlineLevel="0" collapsed="false">
      <c r="A46" s="5" t="s">
        <v>1160</v>
      </c>
      <c r="C46" s="147" t="n">
        <v>0.5</v>
      </c>
    </row>
    <row r="47" customFormat="false" ht="15" hidden="false" customHeight="true" outlineLevel="0" collapsed="false">
      <c r="A47" s="5" t="s">
        <v>1161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1162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1163</v>
      </c>
      <c r="C49" s="148" t="n">
        <v>0.25</v>
      </c>
      <c r="D49" s="148" t="n">
        <v>0.5</v>
      </c>
      <c r="E49" s="148" t="n">
        <v>0.75</v>
      </c>
      <c r="F49" s="148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1164</v>
      </c>
      <c r="B52" s="4"/>
      <c r="C52" s="4"/>
      <c r="D52" s="4"/>
    </row>
    <row r="53" customFormat="false" ht="15" hidden="false" customHeight="true" outlineLevel="0" collapsed="false">
      <c r="A53" s="5" t="s">
        <v>1165</v>
      </c>
      <c r="C53" s="24" t="n">
        <v>2411</v>
      </c>
    </row>
    <row r="54" customFormat="false" ht="15" hidden="false" customHeight="true" outlineLevel="0" collapsed="false">
      <c r="A54" s="5" t="s">
        <v>1166</v>
      </c>
      <c r="C54" s="24" t="n">
        <f aca="false">C53*2</f>
        <v>4822</v>
      </c>
    </row>
    <row r="56" customFormat="false" ht="15" hidden="false" customHeight="true" outlineLevel="0" collapsed="false">
      <c r="A56" s="3" t="s">
        <v>1167</v>
      </c>
    </row>
    <row r="58" customFormat="false" ht="15" hidden="false" customHeight="true" outlineLevel="0" collapsed="false">
      <c r="A58" s="4" t="s">
        <v>1168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1169</v>
      </c>
      <c r="C59" s="24" t="n">
        <v>42319</v>
      </c>
      <c r="D59" s="34" t="n">
        <v>0.173</v>
      </c>
      <c r="E59" s="3" t="s">
        <v>1170</v>
      </c>
    </row>
    <row r="60" customFormat="false" ht="15" hidden="false" customHeight="true" outlineLevel="0" collapsed="false">
      <c r="A60" s="5" t="s">
        <v>1171</v>
      </c>
      <c r="C60" s="24" t="n">
        <v>9118</v>
      </c>
      <c r="D60" s="34" t="n">
        <v>0.215</v>
      </c>
      <c r="E60" s="3" t="s">
        <v>1172</v>
      </c>
    </row>
    <row r="61" customFormat="false" ht="15" hidden="false" customHeight="true" outlineLevel="0" collapsed="false">
      <c r="A61" s="5" t="s">
        <v>1173</v>
      </c>
      <c r="C61" s="24" t="n">
        <v>33201</v>
      </c>
      <c r="D61" s="34" t="n">
        <v>0.785</v>
      </c>
      <c r="E61" s="3" t="s">
        <v>1174</v>
      </c>
    </row>
    <row r="62" customFormat="false" ht="15" hidden="false" customHeight="true" outlineLevel="0" collapsed="false">
      <c r="A62" s="6" t="s">
        <v>1175</v>
      </c>
      <c r="C62" s="24" t="n">
        <v>14404</v>
      </c>
      <c r="D62" s="34" t="n">
        <v>0.059</v>
      </c>
      <c r="E62" s="3" t="s">
        <v>1176</v>
      </c>
    </row>
    <row r="63" customFormat="false" ht="15" hidden="false" customHeight="true" outlineLevel="0" collapsed="false">
      <c r="A63" s="6" t="s">
        <v>1177</v>
      </c>
      <c r="C63" s="24" t="n">
        <v>3007</v>
      </c>
      <c r="D63" s="34" t="n">
        <v>0.012</v>
      </c>
      <c r="E63" s="3" t="s">
        <v>1178</v>
      </c>
    </row>
    <row r="65" customFormat="false" ht="15" hidden="false" customHeight="true" outlineLevel="0" collapsed="false">
      <c r="A65" s="3" t="s">
        <v>1179</v>
      </c>
    </row>
    <row r="67" customFormat="false" ht="15" hidden="false" customHeight="true" outlineLevel="0" collapsed="false">
      <c r="A67" s="4" t="s">
        <v>1180</v>
      </c>
      <c r="B67" s="38"/>
      <c r="C67" s="38"/>
      <c r="D67" s="38"/>
      <c r="E67" s="38"/>
      <c r="F67" s="38"/>
    </row>
    <row r="68" customFormat="false" ht="15" hidden="false" customHeight="true" outlineLevel="0" collapsed="false">
      <c r="A68" s="5" t="s">
        <v>1181</v>
      </c>
      <c r="C68" s="24" t="n">
        <f aca="false">4*7*52*'LW Assumptions'!$C$23*(1+'LW Assumptions'!$C$24)</f>
        <v>33779.2</v>
      </c>
    </row>
    <row r="69" customFormat="false" ht="15" hidden="false" customHeight="true" outlineLevel="0" collapsed="false">
      <c r="A69" s="5" t="s">
        <v>1182</v>
      </c>
      <c r="C69" s="24" t="n">
        <f aca="false">C60*0.685</f>
        <v>6245.83</v>
      </c>
    </row>
    <row r="70" customFormat="false" ht="15" hidden="false" customHeight="true" outlineLevel="0" collapsed="false">
      <c r="A70" s="6" t="s">
        <v>1183</v>
      </c>
      <c r="C70" s="7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49" t="s">
        <v>1184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127" t="s">
        <v>1185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4" customFormat="false" ht="15" hidden="false" customHeight="true" outlineLevel="0" collapsed="false">
      <c r="A4" s="144" t="s">
        <v>1186</v>
      </c>
      <c r="B4" s="150" t="s">
        <v>1187</v>
      </c>
      <c r="C4" s="151" t="n">
        <f aca="false">'LW Assumptions'!$C$23</f>
        <v>20</v>
      </c>
      <c r="D4" s="150" t="s">
        <v>1188</v>
      </c>
      <c r="E4" s="151" t="n">
        <v>25</v>
      </c>
    </row>
    <row r="6" customFormat="false" ht="15" hidden="false" customHeight="true" outlineLevel="0" collapsed="false">
      <c r="A6" s="42" t="s">
        <v>1189</v>
      </c>
    </row>
    <row r="7" customFormat="false" ht="15" hidden="false" customHeight="true" outlineLevel="0" collapsed="false">
      <c r="A7" s="152" t="s">
        <v>1190</v>
      </c>
      <c r="B7" s="152" t="s">
        <v>1059</v>
      </c>
      <c r="C7" s="153" t="s">
        <v>1191</v>
      </c>
      <c r="D7" s="153" t="s">
        <v>1192</v>
      </c>
      <c r="E7" s="153" t="s">
        <v>1193</v>
      </c>
      <c r="F7" s="153" t="s">
        <v>1194</v>
      </c>
      <c r="G7" s="153" t="s">
        <v>1195</v>
      </c>
      <c r="H7" s="153" t="s">
        <v>1196</v>
      </c>
      <c r="I7" s="153" t="s">
        <v>1197</v>
      </c>
      <c r="J7" s="153" t="s">
        <v>1198</v>
      </c>
      <c r="K7" s="153" t="s">
        <v>1199</v>
      </c>
      <c r="L7" s="153" t="s">
        <v>1200</v>
      </c>
    </row>
    <row r="8" customFormat="false" ht="15" hidden="false" customHeight="true" outlineLevel="0" collapsed="false">
      <c r="A8" s="154" t="s">
        <v>1201</v>
      </c>
      <c r="B8" s="155" t="s">
        <v>1202</v>
      </c>
      <c r="C8" s="156" t="n">
        <v>18.29</v>
      </c>
      <c r="D8" s="157" t="n">
        <f aca="false">6*$C8</f>
        <v>109.74</v>
      </c>
      <c r="E8" s="157" t="n">
        <f aca="false">7.75*$C8</f>
        <v>141.7475</v>
      </c>
      <c r="F8" s="158" t="n">
        <v>0</v>
      </c>
      <c r="G8" s="158" t="n">
        <v>0</v>
      </c>
      <c r="H8" s="158" t="n">
        <v>0</v>
      </c>
      <c r="I8" s="158" t="n">
        <v>0</v>
      </c>
      <c r="J8" s="158" t="n">
        <v>0</v>
      </c>
      <c r="K8" s="159" t="n">
        <v>13.75</v>
      </c>
      <c r="L8" s="160" t="n">
        <f aca="false">SUM(D8:J8)</f>
        <v>251.4875</v>
      </c>
    </row>
    <row r="9" customFormat="false" ht="15" hidden="false" customHeight="true" outlineLevel="0" collapsed="false">
      <c r="A9" s="154" t="s">
        <v>1201</v>
      </c>
      <c r="B9" s="155" t="s">
        <v>1203</v>
      </c>
      <c r="C9" s="156" t="n">
        <v>21.03</v>
      </c>
      <c r="D9" s="157" t="n">
        <f aca="false">1.75*$C9</f>
        <v>36.8025</v>
      </c>
      <c r="E9" s="157" t="n">
        <f aca="false">1.75*$C9</f>
        <v>36.8025</v>
      </c>
      <c r="F9" s="157" t="n">
        <f aca="false">7.75*$C9</f>
        <v>162.9825</v>
      </c>
      <c r="G9" s="158" t="n">
        <v>0</v>
      </c>
      <c r="H9" s="158" t="n">
        <v>0</v>
      </c>
      <c r="I9" s="158" t="n">
        <v>0</v>
      </c>
      <c r="J9" s="158" t="n">
        <v>0</v>
      </c>
      <c r="K9" s="159" t="n">
        <v>11.25</v>
      </c>
      <c r="L9" s="160" t="n">
        <f aca="false">SUM(D9:J9)</f>
        <v>236.5875</v>
      </c>
      <c r="M9" s="161" t="s">
        <v>1204</v>
      </c>
    </row>
    <row r="10" customFormat="false" ht="15" hidden="false" customHeight="true" outlineLevel="0" collapsed="false">
      <c r="A10" s="154" t="s">
        <v>1205</v>
      </c>
      <c r="B10" s="155" t="s">
        <v>1202</v>
      </c>
      <c r="C10" s="156" t="n">
        <v>17.79</v>
      </c>
      <c r="D10" s="158" t="n">
        <v>0</v>
      </c>
      <c r="E10" s="158" t="n">
        <v>0</v>
      </c>
      <c r="F10" s="158" t="n">
        <v>0</v>
      </c>
      <c r="G10" s="158" t="n">
        <v>0</v>
      </c>
      <c r="H10" s="157" t="n">
        <f aca="false">8*$C10</f>
        <v>142.32</v>
      </c>
      <c r="I10" s="157" t="n">
        <f aca="false">8*$C10</f>
        <v>142.32</v>
      </c>
      <c r="J10" s="157" t="n">
        <f aca="false">8*$C10</f>
        <v>142.32</v>
      </c>
      <c r="K10" s="159" t="n">
        <v>24</v>
      </c>
      <c r="L10" s="160" t="n">
        <f aca="false">SUM(D10:J10)</f>
        <v>426.96</v>
      </c>
    </row>
    <row r="11" customFormat="false" ht="15" hidden="false" customHeight="true" outlineLevel="0" collapsed="false">
      <c r="A11" s="154" t="s">
        <v>1206</v>
      </c>
      <c r="B11" s="155" t="s">
        <v>1207</v>
      </c>
      <c r="C11" s="156" t="n">
        <v>19.79</v>
      </c>
      <c r="D11" s="157" t="n">
        <f aca="false">8*$C11</f>
        <v>158.32</v>
      </c>
      <c r="E11" s="157" t="n">
        <f aca="false">8*$C11</f>
        <v>158.32</v>
      </c>
      <c r="F11" s="157" t="n">
        <f aca="false">8*$C11</f>
        <v>158.32</v>
      </c>
      <c r="G11" s="157" t="n">
        <f aca="false">8*$C11</f>
        <v>158.32</v>
      </c>
      <c r="H11" s="158" t="n">
        <v>0</v>
      </c>
      <c r="I11" s="158" t="n">
        <v>0</v>
      </c>
      <c r="J11" s="157" t="n">
        <f aca="false">3*$C11</f>
        <v>59.37</v>
      </c>
      <c r="K11" s="159" t="n">
        <v>35</v>
      </c>
      <c r="L11" s="160" t="n">
        <f aca="false">SUM(D11:J11)</f>
        <v>692.65</v>
      </c>
      <c r="M11" s="161" t="s">
        <v>1208</v>
      </c>
    </row>
    <row r="12" customFormat="false" ht="15" hidden="false" customHeight="true" outlineLevel="0" collapsed="false">
      <c r="A12" s="154" t="s">
        <v>1209</v>
      </c>
      <c r="B12" s="155" t="s">
        <v>1207</v>
      </c>
      <c r="C12" s="156" t="n">
        <v>21.21</v>
      </c>
      <c r="D12" s="158" t="n">
        <v>0</v>
      </c>
      <c r="E12" s="158" t="n">
        <v>0</v>
      </c>
      <c r="F12" s="157" t="n">
        <f aca="false">8*$C12</f>
        <v>169.68</v>
      </c>
      <c r="G12" s="157" t="n">
        <f aca="false">8*$C12</f>
        <v>169.68</v>
      </c>
      <c r="H12" s="157" t="n">
        <f aca="false">8*$C12</f>
        <v>169.68</v>
      </c>
      <c r="I12" s="157" t="n">
        <f aca="false">8*$C12</f>
        <v>169.68</v>
      </c>
      <c r="J12" s="157" t="n">
        <f aca="false">8*$C12</f>
        <v>169.68</v>
      </c>
      <c r="K12" s="159" t="n">
        <v>40</v>
      </c>
      <c r="L12" s="160" t="n">
        <f aca="false">SUM(D12:J12)</f>
        <v>848.4</v>
      </c>
    </row>
    <row r="13" customFormat="false" ht="15" hidden="false" customHeight="true" outlineLevel="0" collapsed="false">
      <c r="A13" s="154" t="s">
        <v>1210</v>
      </c>
      <c r="B13" s="155" t="s">
        <v>1211</v>
      </c>
      <c r="C13" s="156" t="n">
        <v>25</v>
      </c>
      <c r="D13" s="158" t="n">
        <v>0</v>
      </c>
      <c r="E13" s="158" t="n">
        <v>0</v>
      </c>
      <c r="F13" s="158" t="n">
        <v>0</v>
      </c>
      <c r="G13" s="157" t="n">
        <f aca="false">8*$C13</f>
        <v>200</v>
      </c>
      <c r="H13" s="157" t="n">
        <f aca="false">8*$C13</f>
        <v>200</v>
      </c>
      <c r="I13" s="158" t="n">
        <v>0</v>
      </c>
      <c r="J13" s="158" t="n">
        <v>0</v>
      </c>
      <c r="K13" s="159" t="n">
        <v>16</v>
      </c>
      <c r="L13" s="160" t="n">
        <f aca="false">SUM(D13:J13)</f>
        <v>400</v>
      </c>
      <c r="M13" s="161" t="s">
        <v>1212</v>
      </c>
    </row>
    <row r="14" customFormat="false" ht="15" hidden="false" customHeight="true" outlineLevel="0" collapsed="false">
      <c r="A14" s="122" t="s">
        <v>1213</v>
      </c>
      <c r="B14" s="128"/>
      <c r="C14" s="162"/>
      <c r="D14" s="162" t="n">
        <f aca="false">SUM(D8:D13)</f>
        <v>304.8625</v>
      </c>
      <c r="E14" s="162" t="n">
        <f aca="false">SUM(E8:E13)</f>
        <v>336.87</v>
      </c>
      <c r="F14" s="162" t="n">
        <f aca="false">SUM(F8:F13)</f>
        <v>490.9825</v>
      </c>
      <c r="G14" s="162" t="n">
        <f aca="false">SUM(G8:G13)</f>
        <v>528</v>
      </c>
      <c r="H14" s="162" t="n">
        <f aca="false">SUM(H8:H13)</f>
        <v>512</v>
      </c>
      <c r="I14" s="162" t="n">
        <f aca="false">SUM(I8:I13)</f>
        <v>312</v>
      </c>
      <c r="J14" s="162" t="n">
        <f aca="false">SUM(J8:J13)</f>
        <v>371.37</v>
      </c>
      <c r="K14" s="163" t="n">
        <f aca="false">SUM(K8:K13)</f>
        <v>140</v>
      </c>
      <c r="L14" s="45" t="n">
        <f aca="false">SUM(L8:L13)</f>
        <v>2856.085</v>
      </c>
      <c r="M14" s="155" t="s">
        <v>1214</v>
      </c>
    </row>
    <row r="17" customFormat="false" ht="15" hidden="false" customHeight="true" outlineLevel="0" collapsed="false">
      <c r="A17" s="164" t="s">
        <v>1215</v>
      </c>
      <c r="B17" s="164"/>
      <c r="C17" s="164"/>
      <c r="D17" s="164"/>
      <c r="E17" s="164"/>
      <c r="F17" s="164"/>
      <c r="G17" s="164"/>
      <c r="H17" s="164"/>
      <c r="I17" s="164"/>
      <c r="J17" s="164"/>
      <c r="K17" s="164"/>
    </row>
    <row r="18" customFormat="false" ht="15" hidden="false" customHeight="true" outlineLevel="0" collapsed="false">
      <c r="A18" s="152"/>
      <c r="B18" s="152" t="s">
        <v>1216</v>
      </c>
      <c r="D18" s="153" t="s">
        <v>1217</v>
      </c>
      <c r="F18" s="153" t="s">
        <v>1218</v>
      </c>
      <c r="G18" s="153" t="s">
        <v>1219</v>
      </c>
      <c r="H18" s="153" t="s">
        <v>1220</v>
      </c>
      <c r="J18" s="153" t="s">
        <v>1221</v>
      </c>
    </row>
    <row r="19" customFormat="false" ht="15" hidden="false" customHeight="true" outlineLevel="0" collapsed="false">
      <c r="A19" s="144" t="s">
        <v>1222</v>
      </c>
      <c r="B19" s="154" t="s">
        <v>1223</v>
      </c>
      <c r="D19" s="165" t="s">
        <v>1224</v>
      </c>
      <c r="F19" s="166" t="s">
        <v>1225</v>
      </c>
      <c r="G19" s="167" t="n">
        <v>8</v>
      </c>
      <c r="H19" s="157" t="n">
        <f aca="false">8*$C$4</f>
        <v>160</v>
      </c>
      <c r="J19" s="160" t="n">
        <f aca="false">H19*7</f>
        <v>1120</v>
      </c>
    </row>
    <row r="20" customFormat="false" ht="15" hidden="false" customHeight="true" outlineLevel="0" collapsed="false">
      <c r="A20" s="144"/>
      <c r="B20" s="154" t="s">
        <v>1226</v>
      </c>
      <c r="D20" s="165" t="s">
        <v>1227</v>
      </c>
      <c r="F20" s="166" t="s">
        <v>1225</v>
      </c>
      <c r="G20" s="167" t="n">
        <v>8</v>
      </c>
      <c r="H20" s="157" t="n">
        <f aca="false">8*$C$4</f>
        <v>160</v>
      </c>
      <c r="J20" s="160" t="n">
        <f aca="false">H20*7</f>
        <v>1120</v>
      </c>
    </row>
    <row r="21" customFormat="false" ht="15" hidden="false" customHeight="true" outlineLevel="0" collapsed="false">
      <c r="A21" s="144"/>
      <c r="B21" s="154" t="s">
        <v>1228</v>
      </c>
      <c r="D21" s="165" t="s">
        <v>1229</v>
      </c>
      <c r="F21" s="166" t="s">
        <v>1230</v>
      </c>
      <c r="G21" s="167" t="n">
        <v>4</v>
      </c>
      <c r="H21" s="157" t="n">
        <f aca="false">4*$E$4</f>
        <v>100</v>
      </c>
      <c r="J21" s="160" t="n">
        <f aca="false">H21*7</f>
        <v>700</v>
      </c>
    </row>
    <row r="22" customFormat="false" ht="15" hidden="false" customHeight="true" outlineLevel="0" collapsed="false">
      <c r="A22" s="168" t="s">
        <v>1231</v>
      </c>
      <c r="B22" s="128"/>
      <c r="D22" s="128"/>
      <c r="F22" s="128"/>
      <c r="G22" s="163" t="n">
        <f aca="false">G19+G20+G21</f>
        <v>20</v>
      </c>
      <c r="H22" s="162" t="n">
        <f aca="false">H19+H20+H21</f>
        <v>420</v>
      </c>
      <c r="J22" s="162" t="n">
        <f aca="false">H22*7</f>
        <v>2940</v>
      </c>
    </row>
    <row r="24" customFormat="false" ht="15" hidden="false" customHeight="true" outlineLevel="0" collapsed="false">
      <c r="A24" s="168" t="s">
        <v>1232</v>
      </c>
      <c r="B24" s="169" t="s">
        <v>1233</v>
      </c>
      <c r="C24" s="128"/>
      <c r="D24" s="170" t="s">
        <v>1234</v>
      </c>
      <c r="E24" s="128"/>
      <c r="F24" s="171" t="s">
        <v>1235</v>
      </c>
      <c r="G24" s="172" t="n">
        <v>10</v>
      </c>
      <c r="H24" s="173" t="n">
        <f aca="false">10*$C$4</f>
        <v>200</v>
      </c>
      <c r="I24" s="128"/>
      <c r="J24" s="162" t="n">
        <f aca="false">H24*7</f>
        <v>1400</v>
      </c>
    </row>
    <row r="25" customFormat="false" ht="15" hidden="false" customHeight="true" outlineLevel="0" collapsed="false">
      <c r="A25" s="174"/>
      <c r="B25" s="175" t="s">
        <v>1236</v>
      </c>
      <c r="C25" s="176"/>
      <c r="D25" s="177" t="s">
        <v>1237</v>
      </c>
      <c r="E25" s="176"/>
      <c r="F25" s="178" t="s">
        <v>1238</v>
      </c>
      <c r="G25" s="179" t="n">
        <v>0</v>
      </c>
      <c r="H25" s="180" t="n">
        <v>0</v>
      </c>
      <c r="I25" s="176"/>
      <c r="J25" s="181" t="n">
        <f aca="false">H25*7</f>
        <v>0</v>
      </c>
    </row>
    <row r="26" customFormat="false" ht="15" hidden="false" customHeight="true" outlineLevel="0" collapsed="false">
      <c r="A26" s="168" t="s">
        <v>1239</v>
      </c>
      <c r="B26" s="128"/>
      <c r="D26" s="128"/>
      <c r="F26" s="128"/>
      <c r="G26" s="163" t="n">
        <v>10</v>
      </c>
      <c r="H26" s="162" t="n">
        <f aca="false">10*$C$4</f>
        <v>200</v>
      </c>
      <c r="J26" s="162" t="n">
        <f aca="false">H26*7</f>
        <v>1400</v>
      </c>
    </row>
    <row r="28" customFormat="false" ht="15" hidden="false" customHeight="true" outlineLevel="0" collapsed="false">
      <c r="A28" s="182" t="s">
        <v>1240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</row>
    <row r="29" customFormat="false" ht="15" hidden="false" customHeight="true" outlineLevel="0" collapsed="false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83" t="s">
        <v>1241</v>
      </c>
      <c r="B1" s="38"/>
      <c r="C1" s="38"/>
      <c r="D1" s="38"/>
    </row>
    <row r="2" customFormat="false" ht="15" hidden="false" customHeight="true" outlineLevel="0" collapsed="false">
      <c r="A2" s="184" t="s">
        <v>1242</v>
      </c>
      <c r="B2" s="184"/>
      <c r="C2" s="184"/>
      <c r="D2" s="184"/>
    </row>
    <row r="4" customFormat="false" ht="15" hidden="false" customHeight="true" outlineLevel="0" collapsed="false">
      <c r="A4" s="83" t="s">
        <v>1243</v>
      </c>
      <c r="B4" s="43" t="s">
        <v>353</v>
      </c>
      <c r="C4" s="43" t="s">
        <v>354</v>
      </c>
      <c r="D4" s="43" t="s">
        <v>1244</v>
      </c>
    </row>
    <row r="5" customFormat="false" ht="15" hidden="false" customHeight="true" outlineLevel="0" collapsed="false">
      <c r="A5" s="44" t="s">
        <v>1245</v>
      </c>
      <c r="B5" s="128"/>
      <c r="C5" s="128"/>
      <c r="D5" s="128"/>
    </row>
    <row r="6" customFormat="false" ht="15" hidden="false" customHeight="true" outlineLevel="0" collapsed="false">
      <c r="A6" s="129" t="s">
        <v>1246</v>
      </c>
      <c r="B6" s="137" t="n">
        <v>119121</v>
      </c>
      <c r="C6" s="137" t="n">
        <f aca="false">B6/12</f>
        <v>9926.75</v>
      </c>
      <c r="D6" s="185" t="n">
        <f aca="false">B6/258287</f>
        <v>0.461196266169029</v>
      </c>
    </row>
    <row r="7" customFormat="false" ht="15" hidden="false" customHeight="true" outlineLevel="0" collapsed="false">
      <c r="A7" s="129" t="s">
        <v>1247</v>
      </c>
      <c r="B7" s="137" t="n">
        <v>133545</v>
      </c>
      <c r="C7" s="137" t="n">
        <f aca="false">B7/12</f>
        <v>11128.75</v>
      </c>
      <c r="D7" s="185" t="n">
        <f aca="false">B7/258287</f>
        <v>0.517041120923624</v>
      </c>
    </row>
    <row r="8" customFormat="false" ht="15" hidden="false" customHeight="true" outlineLevel="0" collapsed="false">
      <c r="A8" s="129" t="s">
        <v>1248</v>
      </c>
      <c r="B8" s="137" t="n">
        <v>17887</v>
      </c>
      <c r="C8" s="137" t="n">
        <f aca="false">B8/12</f>
        <v>1490.58333333333</v>
      </c>
      <c r="D8" s="185" t="n">
        <f aca="false">B8/258287</f>
        <v>0.0692524207567551</v>
      </c>
    </row>
    <row r="9" customFormat="false" ht="15" hidden="false" customHeight="true" outlineLevel="0" collapsed="false">
      <c r="A9" s="129" t="s">
        <v>1249</v>
      </c>
      <c r="B9" s="137" t="n">
        <v>6836</v>
      </c>
      <c r="C9" s="137" t="n">
        <f aca="false">B9/12</f>
        <v>569.666666666667</v>
      </c>
      <c r="D9" s="185" t="n">
        <f aca="false">B9/258287</f>
        <v>0.026466682411426</v>
      </c>
    </row>
    <row r="10" customFormat="false" ht="15" hidden="false" customHeight="true" outlineLevel="0" collapsed="false">
      <c r="A10" s="129" t="s">
        <v>1250</v>
      </c>
      <c r="B10" s="137" t="n">
        <v>-20307</v>
      </c>
      <c r="C10" s="137" t="n">
        <f aca="false">B10/12</f>
        <v>-1692.25</v>
      </c>
      <c r="D10" s="185" t="n">
        <f aca="false">B10/258287</f>
        <v>-0.0786218431434799</v>
      </c>
    </row>
    <row r="11" customFormat="false" ht="15" hidden="false" customHeight="true" outlineLevel="0" collapsed="false">
      <c r="A11" s="129" t="s">
        <v>1251</v>
      </c>
      <c r="B11" s="137" t="n">
        <v>1204</v>
      </c>
      <c r="C11" s="137" t="n">
        <f aca="false">B11/12</f>
        <v>100.333333333333</v>
      </c>
      <c r="D11" s="185" t="n">
        <f aca="false">B11/258287</f>
        <v>0.00466148122050277</v>
      </c>
    </row>
    <row r="12" customFormat="false" ht="15" hidden="false" customHeight="true" outlineLevel="0" collapsed="false">
      <c r="A12" s="44" t="s">
        <v>1252</v>
      </c>
      <c r="B12" s="45" t="n">
        <v>258287</v>
      </c>
      <c r="C12" s="186" t="n">
        <f aca="false">B12/12</f>
        <v>21523.9166666667</v>
      </c>
      <c r="D12" s="187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1253</v>
      </c>
      <c r="B14" s="188"/>
      <c r="C14" s="189"/>
      <c r="D14" s="189"/>
    </row>
    <row r="15" customFormat="false" ht="15" hidden="false" customHeight="true" outlineLevel="0" collapsed="false">
      <c r="A15" s="129" t="s">
        <v>1254</v>
      </c>
      <c r="B15" s="137" t="n">
        <v>48655</v>
      </c>
      <c r="C15" s="137" t="n">
        <f aca="false">B15/12</f>
        <v>4054.58333333333</v>
      </c>
      <c r="D15" s="185" t="n">
        <f aca="false">B15/258287</f>
        <v>0.188375721581032</v>
      </c>
    </row>
    <row r="16" customFormat="false" ht="15" hidden="false" customHeight="true" outlineLevel="0" collapsed="false">
      <c r="A16" s="129" t="s">
        <v>1255</v>
      </c>
      <c r="B16" s="137" t="n">
        <v>27428</v>
      </c>
      <c r="C16" s="137" t="n">
        <f aca="false">B16/12</f>
        <v>2285.66666666667</v>
      </c>
      <c r="D16" s="185" t="n">
        <f aca="false">B16/258287</f>
        <v>0.106191949265739</v>
      </c>
    </row>
    <row r="17" customFormat="false" ht="15" hidden="false" customHeight="true" outlineLevel="0" collapsed="false">
      <c r="A17" s="129" t="s">
        <v>1256</v>
      </c>
      <c r="B17" s="137" t="n">
        <v>5516</v>
      </c>
      <c r="C17" s="137" t="n">
        <f aca="false">B17/12</f>
        <v>459.666666666667</v>
      </c>
      <c r="D17" s="185" t="n">
        <f aca="false">B17/258287</f>
        <v>0.0213560883823034</v>
      </c>
    </row>
    <row r="18" customFormat="false" ht="15" hidden="false" customHeight="true" outlineLevel="0" collapsed="false">
      <c r="A18" s="129" t="s">
        <v>1257</v>
      </c>
      <c r="B18" s="137" t="n">
        <v>0</v>
      </c>
      <c r="C18" s="137" t="n">
        <f aca="false">B18/12</f>
        <v>0</v>
      </c>
      <c r="D18" s="185" t="n">
        <f aca="false">B18/258287</f>
        <v>0</v>
      </c>
    </row>
    <row r="19" customFormat="false" ht="15" hidden="false" customHeight="true" outlineLevel="0" collapsed="false">
      <c r="A19" s="44" t="s">
        <v>1258</v>
      </c>
      <c r="B19" s="45" t="n">
        <v>81599</v>
      </c>
      <c r="C19" s="186" t="n">
        <f aca="false">B19/12</f>
        <v>6799.91666666667</v>
      </c>
      <c r="D19" s="187" t="n">
        <f aca="false">B19/258287</f>
        <v>0.315923759229075</v>
      </c>
    </row>
    <row r="20" customFormat="false" ht="15" hidden="false" customHeight="true" outlineLevel="0" collapsed="false">
      <c r="A20" s="44" t="s">
        <v>1259</v>
      </c>
      <c r="B20" s="45" t="n">
        <v>176688</v>
      </c>
      <c r="C20" s="186" t="n">
        <f aca="false">B20/12</f>
        <v>14724</v>
      </c>
      <c r="D20" s="187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291</v>
      </c>
      <c r="B22" s="188"/>
      <c r="C22" s="189"/>
      <c r="D22" s="189"/>
    </row>
    <row r="23" customFormat="false" ht="15" hidden="false" customHeight="true" outlineLevel="0" collapsed="false">
      <c r="A23" s="129" t="s">
        <v>1260</v>
      </c>
      <c r="B23" s="137" t="n">
        <v>142124</v>
      </c>
      <c r="C23" s="137" t="n">
        <f aca="false">B23/12</f>
        <v>11843.6666666667</v>
      </c>
      <c r="D23" s="185" t="n">
        <f aca="false">B23/258287</f>
        <v>0.550256110450778</v>
      </c>
    </row>
    <row r="24" customFormat="false" ht="15" hidden="false" customHeight="true" outlineLevel="0" collapsed="false">
      <c r="A24" s="129" t="s">
        <v>1261</v>
      </c>
      <c r="B24" s="137" t="n">
        <v>16219</v>
      </c>
      <c r="C24" s="137" t="n">
        <f aca="false">B24/12</f>
        <v>1351.58333333333</v>
      </c>
      <c r="D24" s="185" t="n">
        <f aca="false">B24/258287</f>
        <v>0.0627944883017728</v>
      </c>
    </row>
    <row r="25" customFormat="false" ht="15" hidden="false" customHeight="true" outlineLevel="0" collapsed="false">
      <c r="A25" s="129" t="s">
        <v>1262</v>
      </c>
      <c r="B25" s="137" t="n">
        <v>6514</v>
      </c>
      <c r="C25" s="137" t="n">
        <f aca="false">B25/12</f>
        <v>542.833333333333</v>
      </c>
      <c r="D25" s="185" t="n">
        <f aca="false">B25/258287</f>
        <v>0.0252200072012916</v>
      </c>
    </row>
    <row r="26" customFormat="false" ht="15" hidden="false" customHeight="true" outlineLevel="0" collapsed="false">
      <c r="A26" s="44" t="s">
        <v>1263</v>
      </c>
      <c r="B26" s="45" t="n">
        <v>164857</v>
      </c>
      <c r="C26" s="186" t="n">
        <f aca="false">B26/12</f>
        <v>13738.0833333333</v>
      </c>
      <c r="D26" s="187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1264</v>
      </c>
      <c r="B28" s="188"/>
      <c r="C28" s="189"/>
      <c r="D28" s="189"/>
    </row>
    <row r="29" customFormat="false" ht="15" hidden="false" customHeight="true" outlineLevel="0" collapsed="false">
      <c r="A29" s="129" t="s">
        <v>1265</v>
      </c>
      <c r="B29" s="137" t="n">
        <v>44540</v>
      </c>
      <c r="C29" s="137" t="n">
        <f aca="false">B29/12</f>
        <v>3711.66666666667</v>
      </c>
      <c r="D29" s="185" t="n">
        <f aca="false">B29/258287</f>
        <v>0.172443831861456</v>
      </c>
    </row>
    <row r="30" customFormat="false" ht="15" hidden="false" customHeight="true" outlineLevel="0" collapsed="false">
      <c r="A30" s="129" t="s">
        <v>1266</v>
      </c>
      <c r="B30" s="137" t="n">
        <v>11918</v>
      </c>
      <c r="C30" s="137" t="n">
        <f aca="false">B30/12</f>
        <v>993.166666666667</v>
      </c>
      <c r="D30" s="185" t="n">
        <f aca="false">B30/258287</f>
        <v>0.0461424694235482</v>
      </c>
    </row>
    <row r="31" customFormat="false" ht="15" hidden="false" customHeight="true" outlineLevel="0" collapsed="false">
      <c r="A31" s="129" t="s">
        <v>1267</v>
      </c>
      <c r="B31" s="137" t="n">
        <v>2912</v>
      </c>
      <c r="C31" s="137" t="n">
        <f aca="false">B31/12</f>
        <v>242.666666666667</v>
      </c>
      <c r="D31" s="185" t="n">
        <f aca="false">B31/258287</f>
        <v>0.011274280161216</v>
      </c>
    </row>
    <row r="32" customFormat="false" ht="15" hidden="false" customHeight="true" outlineLevel="0" collapsed="false">
      <c r="A32" s="129" t="s">
        <v>1268</v>
      </c>
      <c r="B32" s="137" t="n">
        <v>30305</v>
      </c>
      <c r="C32" s="137" t="n">
        <f aca="false">B32/12</f>
        <v>2525.41666666667</v>
      </c>
      <c r="D32" s="185" t="n">
        <f aca="false">B32/258287</f>
        <v>0.117330721251941</v>
      </c>
    </row>
    <row r="33" customFormat="false" ht="15" hidden="false" customHeight="true" outlineLevel="0" collapsed="false">
      <c r="A33" s="44" t="s">
        <v>1269</v>
      </c>
      <c r="B33" s="45" t="n">
        <v>89675</v>
      </c>
      <c r="C33" s="186" t="n">
        <f aca="false">B33/12</f>
        <v>7472.91666666667</v>
      </c>
      <c r="D33" s="187" t="n">
        <f aca="false">B33/258287</f>
        <v>0.347191302698161</v>
      </c>
    </row>
    <row r="34" customFormat="false" ht="15" hidden="false" customHeight="true" outlineLevel="0" collapsed="false">
      <c r="A34" s="190" t="s">
        <v>1270</v>
      </c>
      <c r="B34" s="137" t="n">
        <v>10012</v>
      </c>
      <c r="C34" s="137" t="n">
        <f aca="false">B34/12</f>
        <v>834.333333333333</v>
      </c>
      <c r="D34" s="185" t="n">
        <f aca="false">B34/258287</f>
        <v>0.0387630813784666</v>
      </c>
    </row>
    <row r="35" customFormat="false" ht="15" hidden="false" customHeight="true" outlineLevel="0" collapsed="false">
      <c r="A35" s="191" t="s">
        <v>1271</v>
      </c>
      <c r="B35" s="85" t="n">
        <v>5657</v>
      </c>
      <c r="C35" s="137" t="n">
        <f aca="false">B35/12</f>
        <v>471.416666666667</v>
      </c>
      <c r="D35" s="185" t="n">
        <f aca="false">B35/258287</f>
        <v>0.0219019927445051</v>
      </c>
    </row>
    <row r="37" customFormat="false" ht="15" hidden="false" customHeight="true" outlineLevel="0" collapsed="false">
      <c r="A37" s="192" t="s">
        <v>1272</v>
      </c>
      <c r="B37" s="139" t="n">
        <v>-93513</v>
      </c>
      <c r="C37" s="193" t="n">
        <f aca="false">B37/12</f>
        <v>-7792.75</v>
      </c>
      <c r="D37" s="187" t="n">
        <f aca="false">B37/258287</f>
        <v>-0.36205074200405</v>
      </c>
    </row>
    <row r="38" customFormat="false" ht="15" hidden="false" customHeight="true" outlineLevel="0" collapsed="false">
      <c r="A38" s="129" t="s">
        <v>1273</v>
      </c>
      <c r="B38" s="137" t="n">
        <v>-48000</v>
      </c>
      <c r="C38" s="137" t="n">
        <f aca="false">B38/12</f>
        <v>-4000</v>
      </c>
    </row>
    <row r="39" customFormat="false" ht="15" hidden="false" customHeight="true" outlineLevel="0" collapsed="false">
      <c r="A39" s="129" t="s">
        <v>1274</v>
      </c>
      <c r="B39" s="137" t="n">
        <v>-15642</v>
      </c>
      <c r="C39" s="137" t="n">
        <f aca="false">B39/12</f>
        <v>-1303.5</v>
      </c>
    </row>
    <row r="40" customFormat="false" ht="15" hidden="false" customHeight="true" outlineLevel="0" collapsed="false">
      <c r="A40" s="192" t="s">
        <v>1275</v>
      </c>
      <c r="B40" s="139" t="n">
        <v>-157155</v>
      </c>
      <c r="C40" s="193" t="n">
        <f aca="false">B40/12</f>
        <v>-13096.25</v>
      </c>
      <c r="D40" s="187" t="n">
        <f aca="false">B40/258287</f>
        <v>-0.60845106412634</v>
      </c>
    </row>
    <row r="42" customFormat="false" ht="15" hidden="false" customHeight="true" outlineLevel="0" collapsed="false">
      <c r="A42" s="194" t="s">
        <v>1276</v>
      </c>
      <c r="B42" s="194"/>
      <c r="C42" s="194"/>
      <c r="D42" s="194"/>
    </row>
    <row r="43" customFormat="false" ht="15" hidden="false" customHeight="true" outlineLevel="0" collapsed="false">
      <c r="A43" s="194"/>
      <c r="B43" s="194"/>
      <c r="C43" s="194"/>
      <c r="D43" s="194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26" t="s">
        <v>1277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127" t="s">
        <v>1278</v>
      </c>
      <c r="B2" s="127"/>
      <c r="C2" s="127"/>
      <c r="D2" s="127"/>
      <c r="E2" s="127"/>
      <c r="F2" s="127"/>
      <c r="G2" s="127"/>
      <c r="H2" s="127"/>
      <c r="I2" s="127"/>
    </row>
    <row r="4" customFormat="false" ht="15" hidden="false" customHeight="true" outlineLevel="0" collapsed="false">
      <c r="A4" s="152" t="s">
        <v>1279</v>
      </c>
      <c r="B4" s="152" t="s">
        <v>1280</v>
      </c>
      <c r="C4" s="153" t="s">
        <v>1281</v>
      </c>
      <c r="D4" s="153" t="s">
        <v>1282</v>
      </c>
      <c r="E4" s="153" t="s">
        <v>1283</v>
      </c>
      <c r="F4" s="153" t="s">
        <v>447</v>
      </c>
      <c r="G4" s="153" t="s">
        <v>1284</v>
      </c>
      <c r="H4" s="153" t="s">
        <v>1285</v>
      </c>
      <c r="I4" s="153" t="s">
        <v>1286</v>
      </c>
    </row>
    <row r="5" customFormat="false" ht="15" hidden="false" customHeight="true" outlineLevel="0" collapsed="false">
      <c r="A5" s="195" t="s">
        <v>1287</v>
      </c>
      <c r="B5" s="196"/>
      <c r="C5" s="197"/>
      <c r="D5" s="197"/>
      <c r="E5" s="197"/>
      <c r="F5" s="197"/>
      <c r="G5" s="197"/>
      <c r="H5" s="197"/>
      <c r="I5" s="197"/>
    </row>
    <row r="6" customFormat="false" ht="15" hidden="false" customHeight="true" outlineLevel="0" collapsed="false">
      <c r="A6" s="154" t="s">
        <v>1288</v>
      </c>
      <c r="B6" s="150" t="s">
        <v>1289</v>
      </c>
      <c r="C6" s="198" t="n">
        <v>5728</v>
      </c>
      <c r="D6" s="199" t="n">
        <f aca="false">IF(C6=0,0,E6/C6)</f>
        <v>4.5</v>
      </c>
      <c r="E6" s="137" t="n">
        <v>25776</v>
      </c>
      <c r="F6" s="200" t="n">
        <v>0.5</v>
      </c>
      <c r="G6" s="199" t="n">
        <f aca="false">D6+F6</f>
        <v>5</v>
      </c>
      <c r="H6" s="137" t="n">
        <f aca="false">E6+I6</f>
        <v>28640</v>
      </c>
      <c r="I6" s="85" t="n">
        <f aca="false">C6*F6</f>
        <v>2864</v>
      </c>
    </row>
    <row r="7" customFormat="false" ht="15" hidden="false" customHeight="true" outlineLevel="0" collapsed="false">
      <c r="A7" s="154" t="s">
        <v>455</v>
      </c>
      <c r="B7" s="150" t="s">
        <v>1289</v>
      </c>
      <c r="C7" s="198" t="n">
        <v>3537</v>
      </c>
      <c r="D7" s="199" t="n">
        <f aca="false">IF(C7=0,0,E7/C7)</f>
        <v>3</v>
      </c>
      <c r="E7" s="137" t="n">
        <v>10611</v>
      </c>
      <c r="F7" s="200" t="n">
        <v>0.5</v>
      </c>
      <c r="G7" s="199" t="n">
        <f aca="false">D7+F7</f>
        <v>3.5</v>
      </c>
      <c r="H7" s="137" t="n">
        <f aca="false">E7+I7</f>
        <v>12379.5</v>
      </c>
      <c r="I7" s="85" t="n">
        <f aca="false">C7*F7</f>
        <v>1768.5</v>
      </c>
    </row>
    <row r="8" customFormat="false" ht="15" hidden="false" customHeight="true" outlineLevel="0" collapsed="false">
      <c r="A8" s="154" t="s">
        <v>1290</v>
      </c>
      <c r="B8" s="150" t="s">
        <v>1289</v>
      </c>
      <c r="C8" s="198" t="n">
        <v>1869</v>
      </c>
      <c r="D8" s="199" t="n">
        <f aca="false">IF(C8=0,0,E8/C8)</f>
        <v>4.5</v>
      </c>
      <c r="E8" s="137" t="n">
        <v>8410.5</v>
      </c>
      <c r="F8" s="200" t="n">
        <v>0.45</v>
      </c>
      <c r="G8" s="199" t="n">
        <f aca="false">D8+F8</f>
        <v>4.95</v>
      </c>
      <c r="H8" s="137" t="n">
        <f aca="false">E8+I8</f>
        <v>9251.55</v>
      </c>
      <c r="I8" s="85" t="n">
        <f aca="false">C8*F8</f>
        <v>841.05</v>
      </c>
    </row>
    <row r="9" customFormat="false" ht="15" hidden="false" customHeight="true" outlineLevel="0" collapsed="false">
      <c r="A9" s="154" t="s">
        <v>461</v>
      </c>
      <c r="B9" s="150" t="s">
        <v>1289</v>
      </c>
      <c r="C9" s="198" t="n">
        <v>1305</v>
      </c>
      <c r="D9" s="199" t="n">
        <f aca="false">IF(C9=0,0,E9/C9)</f>
        <v>4.75</v>
      </c>
      <c r="E9" s="137" t="n">
        <v>6198.75</v>
      </c>
      <c r="F9" s="200" t="n">
        <v>0.5</v>
      </c>
      <c r="G9" s="199" t="n">
        <f aca="false">D9+F9</f>
        <v>5.25</v>
      </c>
      <c r="H9" s="137" t="n">
        <f aca="false">E9+I9</f>
        <v>6851.25</v>
      </c>
      <c r="I9" s="85" t="n">
        <f aca="false">C9*F9</f>
        <v>652.5</v>
      </c>
    </row>
    <row r="10" customFormat="false" ht="15" hidden="false" customHeight="true" outlineLevel="0" collapsed="false">
      <c r="A10" s="154" t="s">
        <v>460</v>
      </c>
      <c r="B10" s="150" t="s">
        <v>1289</v>
      </c>
      <c r="C10" s="198" t="n">
        <v>1212</v>
      </c>
      <c r="D10" s="199" t="n">
        <f aca="false">IF(C10=0,0,E10/C10)</f>
        <v>4</v>
      </c>
      <c r="E10" s="137" t="n">
        <v>4848</v>
      </c>
      <c r="F10" s="200" t="n">
        <v>0.25</v>
      </c>
      <c r="G10" s="199" t="n">
        <f aca="false">D10+F10</f>
        <v>4.25</v>
      </c>
      <c r="H10" s="137" t="n">
        <f aca="false">E10+I10</f>
        <v>5151</v>
      </c>
      <c r="I10" s="85" t="n">
        <f aca="false">C10*F10</f>
        <v>303</v>
      </c>
    </row>
    <row r="11" customFormat="false" ht="15" hidden="false" customHeight="true" outlineLevel="0" collapsed="false">
      <c r="A11" s="154" t="s">
        <v>457</v>
      </c>
      <c r="B11" s="150" t="s">
        <v>1289</v>
      </c>
      <c r="C11" s="198" t="n">
        <v>888</v>
      </c>
      <c r="D11" s="199" t="n">
        <f aca="false">IF(C11=0,0,E11/C11)</f>
        <v>6</v>
      </c>
      <c r="E11" s="137" t="n">
        <v>5328</v>
      </c>
      <c r="F11" s="200" t="n">
        <v>0.5</v>
      </c>
      <c r="G11" s="199" t="n">
        <f aca="false">D11+F11</f>
        <v>6.5</v>
      </c>
      <c r="H11" s="137" t="n">
        <f aca="false">E11+I11</f>
        <v>5772</v>
      </c>
      <c r="I11" s="85" t="n">
        <f aca="false">C11*F11</f>
        <v>444</v>
      </c>
    </row>
    <row r="12" customFormat="false" ht="15" hidden="false" customHeight="true" outlineLevel="0" collapsed="false">
      <c r="A12" s="154" t="s">
        <v>470</v>
      </c>
      <c r="B12" s="150" t="s">
        <v>1289</v>
      </c>
      <c r="C12" s="198" t="n">
        <v>319</v>
      </c>
      <c r="D12" s="199" t="n">
        <f aca="false">IF(C12=0,0,E12/C12)</f>
        <v>5.25</v>
      </c>
      <c r="E12" s="137" t="n">
        <v>1674.75</v>
      </c>
      <c r="F12" s="200" t="n">
        <v>0.25</v>
      </c>
      <c r="G12" s="199" t="n">
        <f aca="false">D12+F12</f>
        <v>5.5</v>
      </c>
      <c r="H12" s="137" t="n">
        <f aca="false">E12+I12</f>
        <v>1754.5</v>
      </c>
      <c r="I12" s="85" t="n">
        <f aca="false">C12*F12</f>
        <v>79.75</v>
      </c>
    </row>
    <row r="13" customFormat="false" ht="15" hidden="false" customHeight="true" outlineLevel="0" collapsed="false">
      <c r="A13" s="154" t="s">
        <v>1291</v>
      </c>
      <c r="B13" s="150" t="s">
        <v>969</v>
      </c>
      <c r="C13" s="198" t="n">
        <v>2352</v>
      </c>
      <c r="D13" s="199" t="n">
        <f aca="false">IF(C13=0,0,E13/C13)</f>
        <v>10</v>
      </c>
      <c r="E13" s="137" t="n">
        <v>23520</v>
      </c>
      <c r="F13" s="200" t="n">
        <v>1</v>
      </c>
      <c r="G13" s="199" t="n">
        <f aca="false">D13+F13</f>
        <v>11</v>
      </c>
      <c r="H13" s="137" t="n">
        <f aca="false">E13+I13</f>
        <v>25872</v>
      </c>
      <c r="I13" s="85" t="n">
        <f aca="false">C13*F13</f>
        <v>2352</v>
      </c>
    </row>
    <row r="14" customFormat="false" ht="15" hidden="false" customHeight="true" outlineLevel="0" collapsed="false">
      <c r="A14" s="154" t="s">
        <v>1292</v>
      </c>
      <c r="B14" s="150" t="s">
        <v>1289</v>
      </c>
      <c r="C14" s="198" t="n">
        <v>619</v>
      </c>
      <c r="D14" s="201" t="n">
        <f aca="false">IF(C14=0,0,E14/C14)</f>
        <v>8</v>
      </c>
      <c r="E14" s="137" t="n">
        <v>4952</v>
      </c>
      <c r="F14" s="202" t="n">
        <v>1</v>
      </c>
      <c r="G14" s="201" t="n">
        <f aca="false">D14+F14</f>
        <v>9</v>
      </c>
      <c r="H14" s="137" t="n">
        <f aca="false">E14+I14</f>
        <v>5571</v>
      </c>
      <c r="I14" s="85" t="n">
        <f aca="false">C14*F14</f>
        <v>619</v>
      </c>
    </row>
    <row r="15" customFormat="false" ht="15" hidden="false" customHeight="true" outlineLevel="0" collapsed="false">
      <c r="A15" s="154" t="s">
        <v>1293</v>
      </c>
      <c r="B15" s="150" t="s">
        <v>969</v>
      </c>
      <c r="C15" s="203" t="n">
        <v>510</v>
      </c>
      <c r="D15" s="201" t="n">
        <f aca="false">IF(C15=0,0,E15/C15)</f>
        <v>6</v>
      </c>
      <c r="E15" s="204" t="n">
        <v>3060</v>
      </c>
      <c r="F15" s="202" t="n">
        <v>0.5</v>
      </c>
      <c r="G15" s="201" t="n">
        <f aca="false">D15+F15</f>
        <v>6.5</v>
      </c>
      <c r="H15" s="204" t="n">
        <f aca="false">E15+I15</f>
        <v>3315</v>
      </c>
      <c r="I15" s="205" t="n">
        <f aca="false">C15*F15</f>
        <v>255</v>
      </c>
    </row>
    <row r="16" customFormat="false" ht="15" hidden="false" customHeight="true" outlineLevel="0" collapsed="false">
      <c r="A16" s="195" t="s">
        <v>1294</v>
      </c>
      <c r="B16" s="196"/>
      <c r="C16" s="196"/>
      <c r="D16" s="196"/>
      <c r="E16" s="196"/>
      <c r="F16" s="196"/>
      <c r="G16" s="196"/>
      <c r="H16" s="196"/>
      <c r="I16" s="196"/>
    </row>
    <row r="17" customFormat="false" ht="15" hidden="false" customHeight="true" outlineLevel="0" collapsed="false">
      <c r="A17" s="154" t="s">
        <v>1295</v>
      </c>
      <c r="B17" s="150" t="s">
        <v>1289</v>
      </c>
      <c r="C17" s="198" t="n">
        <v>5211</v>
      </c>
      <c r="D17" s="201" t="n">
        <f aca="false">IF(C17=0,0,E17/C17)</f>
        <v>5</v>
      </c>
      <c r="E17" s="204" t="n">
        <v>26055</v>
      </c>
      <c r="F17" s="202" t="n">
        <v>0</v>
      </c>
      <c r="G17" s="201" t="n">
        <f aca="false">D17+F17</f>
        <v>5</v>
      </c>
      <c r="H17" s="204" t="n">
        <f aca="false">E17+I17</f>
        <v>26055</v>
      </c>
      <c r="I17" s="205" t="n">
        <f aca="false">C17*F17</f>
        <v>0</v>
      </c>
    </row>
    <row r="18" customFormat="false" ht="15" hidden="false" customHeight="true" outlineLevel="0" collapsed="false">
      <c r="A18" s="154" t="s">
        <v>1296</v>
      </c>
      <c r="B18" s="150" t="s">
        <v>969</v>
      </c>
      <c r="C18" s="198" t="n">
        <v>1198</v>
      </c>
      <c r="D18" s="201" t="n">
        <f aca="false">IF(C18=0,0,E18/C18)</f>
        <v>11.5</v>
      </c>
      <c r="E18" s="204" t="n">
        <v>13777</v>
      </c>
      <c r="F18" s="202" t="n">
        <v>0</v>
      </c>
      <c r="G18" s="201" t="n">
        <f aca="false">D18+F18</f>
        <v>11.5</v>
      </c>
      <c r="H18" s="204" t="n">
        <f aca="false">E18+I18</f>
        <v>13777</v>
      </c>
      <c r="I18" s="205" t="n">
        <f aca="false">C18*F18</f>
        <v>0</v>
      </c>
    </row>
    <row r="19" customFormat="false" ht="15" hidden="false" customHeight="true" outlineLevel="0" collapsed="false">
      <c r="A19" s="154" t="s">
        <v>1297</v>
      </c>
      <c r="B19" s="150" t="s">
        <v>969</v>
      </c>
      <c r="C19" s="198" t="n">
        <v>4396</v>
      </c>
      <c r="D19" s="201" t="n">
        <f aca="false">IF(C19=0,0,E19/C19)</f>
        <v>4.31</v>
      </c>
      <c r="E19" s="204" t="n">
        <v>18946.76</v>
      </c>
      <c r="F19" s="202" t="n">
        <v>0</v>
      </c>
      <c r="G19" s="201" t="n">
        <f aca="false">D19+F19</f>
        <v>4.31</v>
      </c>
      <c r="H19" s="204" t="n">
        <f aca="false">E19+I19</f>
        <v>18946.76</v>
      </c>
      <c r="I19" s="205" t="n">
        <f aca="false">C19*F19</f>
        <v>0</v>
      </c>
    </row>
    <row r="20" customFormat="false" ht="15" hidden="false" customHeight="true" outlineLevel="0" collapsed="false">
      <c r="A20" s="154" t="s">
        <v>1142</v>
      </c>
      <c r="B20" s="150" t="s">
        <v>969</v>
      </c>
      <c r="C20" s="198" t="n">
        <v>1757</v>
      </c>
      <c r="D20" s="201" t="n">
        <f aca="false">IF(C20=0,0,E20/C20)</f>
        <v>5.96</v>
      </c>
      <c r="E20" s="204" t="n">
        <v>10471.72</v>
      </c>
      <c r="F20" s="202" t="n">
        <v>0</v>
      </c>
      <c r="G20" s="201" t="n">
        <f aca="false">D20+F20</f>
        <v>5.96</v>
      </c>
      <c r="H20" s="204" t="n">
        <f aca="false">E20+I20</f>
        <v>10471.72</v>
      </c>
      <c r="I20" s="205" t="n">
        <f aca="false">C20*F20</f>
        <v>0</v>
      </c>
    </row>
    <row r="21" customFormat="false" ht="15" hidden="false" customHeight="true" outlineLevel="0" collapsed="false">
      <c r="A21" s="154" t="s">
        <v>1138</v>
      </c>
      <c r="B21" s="150" t="s">
        <v>969</v>
      </c>
      <c r="C21" s="203" t="n">
        <v>2519</v>
      </c>
      <c r="D21" s="201" t="n">
        <f aca="false">IF(C21=0,0,E21/C21)</f>
        <v>4.43</v>
      </c>
      <c r="E21" s="204" t="n">
        <v>11159.17</v>
      </c>
      <c r="F21" s="202" t="n">
        <v>0</v>
      </c>
      <c r="G21" s="201" t="n">
        <f aca="false">D21+F21</f>
        <v>4.43</v>
      </c>
      <c r="H21" s="204" t="n">
        <f aca="false">E21+I21</f>
        <v>11159.17</v>
      </c>
      <c r="I21" s="205" t="n">
        <f aca="false">C21*F21</f>
        <v>0</v>
      </c>
    </row>
    <row r="22" customFormat="false" ht="15" hidden="false" customHeight="true" outlineLevel="0" collapsed="false">
      <c r="A22" s="154" t="s">
        <v>1298</v>
      </c>
      <c r="B22" s="150" t="s">
        <v>1289</v>
      </c>
      <c r="C22" s="203" t="n">
        <v>4935</v>
      </c>
      <c r="D22" s="201" t="n">
        <f aca="false">IF(C22=0,0,E22/C22)</f>
        <v>4.69</v>
      </c>
      <c r="E22" s="204" t="n">
        <v>23145.15</v>
      </c>
      <c r="F22" s="202" t="n">
        <v>0</v>
      </c>
      <c r="G22" s="201" t="n">
        <f aca="false">D22+F22</f>
        <v>4.69</v>
      </c>
      <c r="H22" s="204" t="n">
        <f aca="false">E22+I22</f>
        <v>23145.15</v>
      </c>
      <c r="I22" s="205" t="n">
        <f aca="false">C22*F22</f>
        <v>0</v>
      </c>
    </row>
    <row r="23" customFormat="false" ht="15" hidden="false" customHeight="true" outlineLevel="0" collapsed="false">
      <c r="A23" s="154" t="s">
        <v>1299</v>
      </c>
      <c r="B23" s="150" t="s">
        <v>1300</v>
      </c>
      <c r="C23" s="198" t="n">
        <v>1309</v>
      </c>
      <c r="D23" s="201" t="n">
        <f aca="false">IF(C23=0,0,E23/C23)</f>
        <v>13.1</v>
      </c>
      <c r="E23" s="204" t="n">
        <v>17147.9</v>
      </c>
      <c r="F23" s="202" t="n">
        <v>0</v>
      </c>
      <c r="G23" s="201" t="n">
        <f aca="false">D23+F23</f>
        <v>13.1</v>
      </c>
      <c r="H23" s="204" t="n">
        <f aca="false">E23+I23</f>
        <v>17147.9</v>
      </c>
      <c r="I23" s="205" t="n">
        <f aca="false">C23*F23</f>
        <v>0</v>
      </c>
    </row>
    <row r="24" customFormat="false" ht="15" hidden="false" customHeight="true" outlineLevel="0" collapsed="false">
      <c r="A24" s="154" t="s">
        <v>1301</v>
      </c>
      <c r="B24" s="150" t="s">
        <v>969</v>
      </c>
      <c r="C24" s="198" t="n">
        <v>845</v>
      </c>
      <c r="D24" s="201" t="n">
        <f aca="false">IF(C24=0,0,E24/C24)</f>
        <v>6.05</v>
      </c>
      <c r="E24" s="204" t="n">
        <v>5112.25</v>
      </c>
      <c r="F24" s="202" t="n">
        <v>0</v>
      </c>
      <c r="G24" s="201" t="n">
        <f aca="false">D24+F24</f>
        <v>6.05</v>
      </c>
      <c r="H24" s="204" t="n">
        <f aca="false">E24+I24</f>
        <v>5112.25</v>
      </c>
      <c r="I24" s="205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206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122" t="s">
        <v>1302</v>
      </c>
      <c r="B29" s="196"/>
      <c r="C29" s="207" t="n">
        <f aca="false">SUM(C6:C28)</f>
        <v>40509</v>
      </c>
      <c r="D29" s="197"/>
      <c r="E29" s="45" t="n">
        <f aca="false">SUM(E6:E28)</f>
        <v>220193.95</v>
      </c>
      <c r="F29" s="196"/>
      <c r="G29" s="196"/>
      <c r="H29" s="208" t="n">
        <f aca="false">SUM(H6:H28)</f>
        <v>230372.75</v>
      </c>
      <c r="I29" s="208" t="n">
        <f aca="false">SUM(I6:I28)</f>
        <v>10178.8</v>
      </c>
    </row>
    <row r="30" customFormat="false" ht="15" hidden="false" customHeight="true" outlineLevel="0" collapsed="false">
      <c r="A30" s="150" t="s">
        <v>1303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64" t="s">
        <v>1304</v>
      </c>
      <c r="B32" s="164"/>
      <c r="C32" s="164"/>
      <c r="D32" s="164"/>
      <c r="E32" s="164"/>
      <c r="F32" s="164"/>
      <c r="G32" s="164"/>
      <c r="H32" s="164"/>
      <c r="I32" s="164"/>
    </row>
    <row r="33" customFormat="false" ht="15" hidden="false" customHeight="true" outlineLevel="0" collapsed="false">
      <c r="A33" s="66" t="s">
        <v>1305</v>
      </c>
      <c r="B33" s="19"/>
      <c r="C33" s="85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6" t="s">
        <v>1306</v>
      </c>
      <c r="B34" s="19"/>
      <c r="C34" s="85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6" t="s">
        <v>1307</v>
      </c>
      <c r="B35" s="19"/>
      <c r="C35" s="85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50" t="s">
        <v>1308</v>
      </c>
      <c r="B36" s="19"/>
      <c r="C36" s="209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6" t="s">
        <v>1309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54" t="s">
        <v>1310</v>
      </c>
      <c r="B39" s="19"/>
      <c r="C39" s="204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54" t="s">
        <v>1311</v>
      </c>
      <c r="B40" s="19"/>
      <c r="C40" s="204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210" t="s">
        <v>1312</v>
      </c>
      <c r="B41" s="19"/>
      <c r="C41" s="204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211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212" t="s">
        <v>1313</v>
      </c>
      <c r="B43" s="212"/>
      <c r="C43" s="212"/>
      <c r="D43" s="212"/>
      <c r="E43" s="212"/>
      <c r="F43" s="212"/>
      <c r="G43" s="212"/>
      <c r="H43" s="212"/>
      <c r="I43" s="212"/>
    </row>
    <row r="44" customFormat="false" ht="30" hidden="false" customHeight="true" outlineLevel="0" collapsed="false">
      <c r="A44" s="213" t="s">
        <v>1314</v>
      </c>
      <c r="B44" s="213"/>
      <c r="C44" s="213"/>
      <c r="D44" s="213"/>
      <c r="E44" s="213"/>
      <c r="F44" s="213"/>
      <c r="G44" s="213"/>
      <c r="H44" s="213"/>
      <c r="I44" s="213"/>
    </row>
    <row r="45" customFormat="false" ht="30" hidden="false" customHeight="true" outlineLevel="0" collapsed="false">
      <c r="A45" s="213" t="s">
        <v>1315</v>
      </c>
      <c r="B45" s="213"/>
      <c r="C45" s="213"/>
      <c r="D45" s="213"/>
      <c r="E45" s="213"/>
      <c r="F45" s="213"/>
      <c r="G45" s="213"/>
      <c r="H45" s="213"/>
      <c r="I45" s="213"/>
    </row>
    <row r="46" customFormat="false" ht="30" hidden="false" customHeight="true" outlineLevel="0" collapsed="false">
      <c r="A46" s="213" t="s">
        <v>1316</v>
      </c>
      <c r="B46" s="213"/>
      <c r="C46" s="213"/>
      <c r="D46" s="213"/>
      <c r="E46" s="213"/>
      <c r="F46" s="213"/>
      <c r="G46" s="213"/>
      <c r="H46" s="213"/>
      <c r="I46" s="213"/>
    </row>
    <row r="47" customFormat="false" ht="30" hidden="false" customHeight="true" outlineLevel="0" collapsed="false">
      <c r="A47" s="213" t="s">
        <v>1317</v>
      </c>
      <c r="B47" s="213"/>
      <c r="C47" s="213"/>
      <c r="D47" s="213"/>
      <c r="E47" s="213"/>
      <c r="F47" s="213"/>
      <c r="G47" s="213"/>
      <c r="H47" s="213"/>
      <c r="I47" s="213"/>
    </row>
    <row r="48" customFormat="false" ht="30" hidden="false" customHeight="true" outlineLevel="0" collapsed="false">
      <c r="A48" s="213" t="s">
        <v>1318</v>
      </c>
      <c r="B48" s="213"/>
      <c r="C48" s="213"/>
      <c r="D48" s="213"/>
      <c r="E48" s="213"/>
      <c r="F48" s="213"/>
      <c r="G48" s="213"/>
      <c r="H48" s="213"/>
      <c r="I48" s="213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6" t="s">
        <v>1319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54" t="s">
        <v>1320</v>
      </c>
      <c r="B51" s="19"/>
      <c r="C51" s="204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54" t="s">
        <v>1321</v>
      </c>
      <c r="B52" s="19"/>
      <c r="C52" s="121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6" t="s">
        <v>1322</v>
      </c>
      <c r="B53" s="19"/>
      <c r="C53" s="205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1323</v>
      </c>
    </row>
    <row r="4" customFormat="false" ht="15" hidden="false" customHeight="true" outlineLevel="0" collapsed="false">
      <c r="A4" s="4" t="s">
        <v>1324</v>
      </c>
      <c r="B4" s="4" t="s">
        <v>1325</v>
      </c>
      <c r="C4" s="4" t="s">
        <v>1326</v>
      </c>
      <c r="D4" s="4" t="s">
        <v>1327</v>
      </c>
      <c r="E4" s="4" t="s">
        <v>1328</v>
      </c>
      <c r="F4" s="4" t="s">
        <v>1329</v>
      </c>
    </row>
    <row r="5" customFormat="false" ht="15" hidden="false" customHeight="true" outlineLevel="0" collapsed="false">
      <c r="A5" s="5" t="s">
        <v>1330</v>
      </c>
      <c r="B5" s="24" t="n">
        <v>35102</v>
      </c>
      <c r="C5" s="214" t="n">
        <v>4000</v>
      </c>
      <c r="D5" s="147" t="n">
        <v>0.42</v>
      </c>
      <c r="E5" s="24" t="n">
        <f aca="false">B5+C5</f>
        <v>39102</v>
      </c>
      <c r="F5" s="24" t="n">
        <f aca="false">C5*(1-D5)</f>
        <v>2320</v>
      </c>
    </row>
    <row r="6" customFormat="false" ht="15" hidden="false" customHeight="true" outlineLevel="0" collapsed="false">
      <c r="A6" s="5" t="s">
        <v>1331</v>
      </c>
      <c r="B6" s="24" t="n">
        <v>18308</v>
      </c>
      <c r="C6" s="214" t="n">
        <v>12000</v>
      </c>
      <c r="D6" s="147" t="n">
        <v>0.42</v>
      </c>
      <c r="E6" s="24" t="n">
        <f aca="false">B6+C6</f>
        <v>30308</v>
      </c>
      <c r="F6" s="24" t="n">
        <f aca="false">C6*(1-D6)</f>
        <v>6960</v>
      </c>
    </row>
    <row r="7" customFormat="false" ht="15" hidden="false" customHeight="true" outlineLevel="0" collapsed="false">
      <c r="A7" s="5" t="s">
        <v>1332</v>
      </c>
      <c r="B7" s="24" t="n">
        <v>13158</v>
      </c>
      <c r="C7" s="214" t="n">
        <v>8000</v>
      </c>
      <c r="D7" s="147" t="n">
        <v>0.42</v>
      </c>
      <c r="E7" s="24" t="n">
        <f aca="false">B7+C7</f>
        <v>21158</v>
      </c>
      <c r="F7" s="24" t="n">
        <f aca="false">C7*(1-D7)</f>
        <v>4640</v>
      </c>
    </row>
    <row r="8" customFormat="false" ht="15" hidden="false" customHeight="true" outlineLevel="0" collapsed="false">
      <c r="A8" s="5" t="s">
        <v>1333</v>
      </c>
      <c r="B8" s="24" t="n">
        <v>1416</v>
      </c>
      <c r="C8" s="214" t="n">
        <v>4000</v>
      </c>
      <c r="D8" s="147" t="n">
        <v>0.42</v>
      </c>
      <c r="E8" s="24" t="n">
        <f aca="false">B8+C8</f>
        <v>5416</v>
      </c>
      <c r="F8" s="24" t="n">
        <f aca="false">C8*(1-D8)</f>
        <v>2320</v>
      </c>
    </row>
    <row r="9" customFormat="false" ht="15" hidden="false" customHeight="true" outlineLevel="0" collapsed="false">
      <c r="A9" s="5" t="s">
        <v>1334</v>
      </c>
      <c r="B9" s="24" t="n">
        <v>857</v>
      </c>
      <c r="C9" s="214" t="n">
        <v>4000</v>
      </c>
      <c r="D9" s="147" t="n">
        <v>0.42</v>
      </c>
      <c r="E9" s="24" t="n">
        <f aca="false">B9+C9</f>
        <v>4857</v>
      </c>
      <c r="F9" s="24" t="n">
        <f aca="false">C9*(1-D9)</f>
        <v>2320</v>
      </c>
    </row>
    <row r="10" customFormat="false" ht="15" hidden="false" customHeight="true" outlineLevel="0" collapsed="false">
      <c r="A10" s="5" t="s">
        <v>1335</v>
      </c>
      <c r="B10" s="24" t="n">
        <v>570</v>
      </c>
      <c r="C10" s="214" t="n">
        <v>3000</v>
      </c>
      <c r="D10" s="147" t="n">
        <v>0.42</v>
      </c>
      <c r="E10" s="24" t="n">
        <f aca="false">B10+C10</f>
        <v>3570</v>
      </c>
      <c r="F10" s="24" t="n">
        <f aca="false">C10*(1-D10)</f>
        <v>1740</v>
      </c>
    </row>
    <row r="11" customFormat="false" ht="15" hidden="false" customHeight="true" outlineLevel="0" collapsed="false">
      <c r="A11" s="5" t="s">
        <v>1336</v>
      </c>
      <c r="B11" s="24" t="n">
        <v>387</v>
      </c>
      <c r="C11" s="214" t="n">
        <v>6000</v>
      </c>
      <c r="D11" s="147" t="n">
        <v>0.42</v>
      </c>
      <c r="E11" s="24" t="n">
        <f aca="false">B11+C11</f>
        <v>6387</v>
      </c>
      <c r="F11" s="24" t="n">
        <f aca="false">C11*(1-D11)</f>
        <v>3480</v>
      </c>
    </row>
    <row r="12" customFormat="false" ht="15" hidden="false" customHeight="true" outlineLevel="0" collapsed="false">
      <c r="A12" s="5" t="s">
        <v>1337</v>
      </c>
      <c r="B12" s="24" t="n">
        <v>198</v>
      </c>
      <c r="C12" s="214" t="n">
        <v>1500</v>
      </c>
      <c r="D12" s="147" t="n">
        <v>0.42</v>
      </c>
      <c r="E12" s="24" t="n">
        <f aca="false">B12+C12</f>
        <v>1698</v>
      </c>
      <c r="F12" s="24" t="n">
        <f aca="false">C12*(1-D12)</f>
        <v>870</v>
      </c>
    </row>
    <row r="13" customFormat="false" ht="15" hidden="false" customHeight="true" outlineLevel="0" collapsed="false">
      <c r="A13" s="5" t="s">
        <v>1338</v>
      </c>
      <c r="B13" s="24" t="n">
        <v>0</v>
      </c>
      <c r="C13" s="214" t="n">
        <v>1500</v>
      </c>
      <c r="D13" s="147" t="n">
        <v>0.42</v>
      </c>
      <c r="E13" s="24" t="n">
        <f aca="false">B13+C13</f>
        <v>1500</v>
      </c>
      <c r="F13" s="24" t="n">
        <f aca="false">C13*(1-D13)</f>
        <v>870</v>
      </c>
    </row>
    <row r="14" customFormat="false" ht="15" hidden="false" customHeight="true" outlineLevel="0" collapsed="false">
      <c r="A14" s="5" t="s">
        <v>1339</v>
      </c>
      <c r="B14" s="24" t="n">
        <v>0</v>
      </c>
      <c r="C14" s="214" t="n">
        <v>924</v>
      </c>
      <c r="D14" s="147" t="n">
        <v>0.42</v>
      </c>
      <c r="E14" s="24" t="n">
        <f aca="false">B14+C14</f>
        <v>924</v>
      </c>
      <c r="F14" s="24" t="n">
        <f aca="false">C14*(1-D14)</f>
        <v>535.92</v>
      </c>
    </row>
    <row r="15" customFormat="false" ht="15" hidden="false" customHeight="true" outlineLevel="0" collapsed="false">
      <c r="A15" s="6" t="s">
        <v>1302</v>
      </c>
      <c r="B15" s="27" t="n">
        <f aca="false">SUM(B5:B14)</f>
        <v>69996</v>
      </c>
      <c r="C15" s="27" t="n">
        <f aca="false">SUM(C5:C14)</f>
        <v>44924</v>
      </c>
      <c r="D15" s="215" t="n">
        <f aca="false">SUMPRODUCT(C5:C14,D5:D14)/C15</f>
        <v>0.42</v>
      </c>
      <c r="E15" s="27" t="n">
        <f aca="false">SUM(E5:E14)</f>
        <v>114920</v>
      </c>
      <c r="F15" s="27" t="n">
        <f aca="false">SUM(F5:F14)</f>
        <v>26055.92</v>
      </c>
    </row>
    <row r="16" customFormat="false" ht="15" hidden="false" customHeight="true" outlineLevel="0" collapsed="false">
      <c r="A16" s="3" t="s">
        <v>1340</v>
      </c>
    </row>
    <row r="17" customFormat="false" ht="15" hidden="false" customHeight="true" outlineLevel="0" collapsed="false">
      <c r="A17" s="6" t="s">
        <v>1341</v>
      </c>
    </row>
    <row r="18" customFormat="false" ht="15" hidden="false" customHeight="true" outlineLevel="0" collapsed="false">
      <c r="A18" s="5" t="s">
        <v>1342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1343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1344</v>
      </c>
      <c r="C20" s="216" t="n">
        <f aca="false">D15</f>
        <v>0.42</v>
      </c>
    </row>
    <row r="22" customFormat="false" ht="15" hidden="false" customHeight="true" outlineLevel="0" collapsed="false">
      <c r="A22" s="3" t="s">
        <v>1345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2026-07-20T18:40:24Z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