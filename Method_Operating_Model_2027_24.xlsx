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 Tie-Out (LW)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2026 Bridge" sheetId="3" state="visible" r:id="rId3"/>
    <sheet xmlns:r="http://schemas.openxmlformats.org/officeDocument/2006/relationships" name="Consolidated P&amp;L" sheetId="4" state="visible" r:id="rId4"/>
    <sheet xmlns:r="http://schemas.openxmlformats.org/officeDocument/2006/relationships" name="Combined 12-Mo P&amp;L" sheetId="5" state="visible" r:id="rId5"/>
    <sheet xmlns:r="http://schemas.openxmlformats.org/officeDocument/2006/relationships" name="Vessel Summary" sheetId="6" state="visible" r:id="rId6"/>
    <sheet xmlns:r="http://schemas.openxmlformats.org/officeDocument/2006/relationships" name="Vessel Assumptions" sheetId="7" state="visible" r:id="rId7"/>
    <sheet xmlns:r="http://schemas.openxmlformats.org/officeDocument/2006/relationships" name="Vessel Budget" sheetId="8" state="visible" r:id="rId8"/>
    <sheet xmlns:r="http://schemas.openxmlformats.org/officeDocument/2006/relationships" name="Vessel GL Basis" sheetId="9" state="visible" r:id="rId9"/>
    <sheet xmlns:r="http://schemas.openxmlformats.org/officeDocument/2006/relationships" name="Vessel 2026 P&amp;L" sheetId="10" state="visible" r:id="rId10"/>
    <sheet xmlns:r="http://schemas.openxmlformats.org/officeDocument/2006/relationships" name="LW 2026 P&amp;L" sheetId="11" state="visible" r:id="rId11"/>
    <sheet xmlns:r="http://schemas.openxmlformats.org/officeDocument/2006/relationships" name="LW 2026 Modified" sheetId="12" state="visible" r:id="rId12"/>
    <sheet xmlns:r="http://schemas.openxmlformats.org/officeDocument/2006/relationships" name="Vessel 2026 Modified" sheetId="13" state="visible" r:id="rId13"/>
    <sheet xmlns:r="http://schemas.openxmlformats.org/officeDocument/2006/relationships" name="LW Assumptions" sheetId="14" state="visible" r:id="rId14"/>
    <sheet xmlns:r="http://schemas.openxmlformats.org/officeDocument/2006/relationships" name="LW P&amp;L" sheetId="15" state="visible" r:id="rId15"/>
    <sheet xmlns:r="http://schemas.openxmlformats.org/officeDocument/2006/relationships" name="LW Budget" sheetId="16" state="visible" r:id="rId16"/>
    <sheet xmlns:r="http://schemas.openxmlformats.org/officeDocument/2006/relationships" name="LW Labor Model" sheetId="17" state="visible" r:id="rId17"/>
    <sheet xmlns:r="http://schemas.openxmlformats.org/officeDocument/2006/relationships" name="LW Weekly Compare" sheetId="18" state="visible" r:id="rId18"/>
    <sheet xmlns:r="http://schemas.openxmlformats.org/officeDocument/2006/relationships" name="LW Daypart Analysis" sheetId="19" state="visible" r:id="rId19"/>
    <sheet xmlns:r="http://schemas.openxmlformats.org/officeDocument/2006/relationships" name="LW Shift Detail" sheetId="20" state="visible" r:id="rId20"/>
    <sheet xmlns:r="http://schemas.openxmlformats.org/officeDocument/2006/relationships" name="LW GL Basis" sheetId="21" state="visible" r:id="rId21"/>
    <sheet xmlns:r="http://schemas.openxmlformats.org/officeDocument/2006/relationships" name="LW Menu Pricing" sheetId="22" state="visible" r:id="rId22"/>
    <sheet xmlns:r="http://schemas.openxmlformats.org/officeDocument/2006/relationships" name="LW Retail Plan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;&quot;($&quot;#,##0\)"/>
    <numFmt numFmtId="165" formatCode="0.0%;\-0.0%"/>
    <numFmt numFmtId="166" formatCode="0.0%"/>
    <numFmt numFmtId="167" formatCode="yyyy\-mm\-dd"/>
    <numFmt numFmtId="168" formatCode="\$#,##0"/>
    <numFmt numFmtId="169" formatCode="0.0"/>
    <numFmt numFmtId="170" formatCode="\$#,##0.00"/>
    <numFmt numFmtId="171" formatCode="\$#,##0;;\–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808080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b val="1"/>
      <color rgb="FFC0392B"/>
      <sz val="9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sz val="11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DDEBF7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b val="1"/>
      <i val="1"/>
      <color rgb="FF1F3864"/>
      <sz val="9"/>
    </font>
    <font>
      <name val="Calibri"/>
      <charset val="1"/>
      <family val="0"/>
      <color rgb="FF1A1A1A"/>
      <sz val="10"/>
    </font>
    <font>
      <name val="Calibri"/>
      <charset val="1"/>
      <family val="0"/>
      <i val="1"/>
      <color rgb="FF6B6459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FF"/>
      <sz val="9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15C43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DDEBF7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9B2D2D"/>
      <sz val="9"/>
    </font>
    <font>
      <name val="Calibri"/>
      <charset val="1"/>
      <family val="0"/>
      <b val="1"/>
      <color rgb="FFFFFFFF"/>
      <sz val="17"/>
    </font>
    <font>
      <name val="Calibri"/>
      <charset val="1"/>
      <family val="0"/>
      <color rgb="FF6B6459"/>
      <sz val="9"/>
    </font>
    <font>
      <name val="Calibri"/>
      <charset val="1"/>
      <family val="0"/>
      <i val="1"/>
      <color rgb="FF6B6459"/>
      <sz val="8"/>
    </font>
    <font>
      <name val="Calibri"/>
      <charset val="1"/>
      <family val="0"/>
      <i val="1"/>
      <color rgb="FF9B2D2D"/>
      <sz val="8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color rgb="FF1F3864"/>
      <sz val="11"/>
    </font>
    <font>
      <name val="Calibri"/>
      <charset val="1"/>
      <family val="0"/>
      <i val="1"/>
      <color rgb="FF1F3864"/>
      <sz val="8"/>
    </font>
    <font>
      <name val="Calibri"/>
      <charset val="1"/>
      <family val="0"/>
      <b val="1"/>
      <color rgb="FF2F549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8" fontId="25" fillId="4" borderId="3" applyAlignment="1" pivotButton="0" quotePrefix="0" xfId="0">
      <alignment horizontal="right" vertical="bottom"/>
    </xf>
    <xf numFmtId="10" fontId="25" fillId="4" borderId="3" applyAlignment="1" pivotButton="0" quotePrefix="0" xfId="0">
      <alignment horizontal="right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79" min="1" max="1"/>
    <col width="40" customWidth="1" style="179" min="2" max="2"/>
    <col width="18" customWidth="1" style="179" min="3" max="3"/>
    <col width="38" customWidth="1" style="179" min="4" max="4"/>
    <col width="16" customWidth="1" style="179" min="5" max="5"/>
    <col width="58" customWidth="1" style="179" min="6" max="6"/>
  </cols>
  <sheetData>
    <row r="1" ht="15" customHeight="1" s="180">
      <c r="A1" s="181" t="inlineStr">
        <is>
          <t>LITTLE WING — DECK TIE-OUT</t>
        </is>
      </c>
    </row>
    <row r="2" ht="15" customHeight="1" s="180">
      <c r="A2" s="182" t="inlineStr">
        <is>
          <t>Every financial claim in LW_Vessel_Plan_of_Action → its live model source. Model values recalculate; if a Status turns ⚠, deck and model have diverged.</t>
        </is>
      </c>
    </row>
    <row r="4" ht="15" customHeight="1" s="180">
      <c r="A4" s="183" t="inlineStr">
        <is>
          <t>Slide</t>
        </is>
      </c>
      <c r="B4" s="183" t="inlineStr">
        <is>
          <t>Claim in deck</t>
        </is>
      </c>
      <c r="C4" s="183" t="inlineStr">
        <is>
          <t>Deck value</t>
        </is>
      </c>
      <c r="D4" s="183" t="inlineStr">
        <is>
          <t>Model source</t>
        </is>
      </c>
      <c r="E4" s="183" t="inlineStr">
        <is>
          <t>Model value (live)</t>
        </is>
      </c>
      <c r="F4" s="183" t="inlineStr">
        <is>
          <t>Status / note</t>
        </is>
      </c>
    </row>
    <row r="5" ht="15" customHeight="1" s="180">
      <c r="A5" s="184" t="inlineStr">
        <is>
          <t>2</t>
        </is>
      </c>
      <c r="B5" s="184" t="inlineStr">
        <is>
          <t>2026 revenue (Act/For)</t>
        </is>
      </c>
      <c r="C5" s="185" t="inlineStr">
        <is>
          <t>$288.7K</t>
        </is>
      </c>
      <c r="D5" s="182" t="inlineStr">
        <is>
          <t>LW 2026 P&amp;L AB16</t>
        </is>
      </c>
      <c r="E5" s="186">
        <f>'LW 2026 P&amp;L'!$AB$16</f>
        <v/>
      </c>
      <c r="F5" s="184" t="inlineStr">
        <is>
          <t>✓</t>
        </is>
      </c>
    </row>
    <row r="6" ht="15" customHeight="1" s="180">
      <c r="A6" s="184" t="inlineStr">
        <is>
          <t>2</t>
        </is>
      </c>
      <c r="B6" s="184" t="inlineStr">
        <is>
          <t>2026 net operating loss</t>
        </is>
      </c>
      <c r="C6" s="185" t="inlineStr">
        <is>
          <t>($164.0K)</t>
        </is>
      </c>
      <c r="D6" s="182" t="inlineStr">
        <is>
          <t>LW 2026 P&amp;L AB55</t>
        </is>
      </c>
      <c r="E6" s="186">
        <f>'LW 2026 P&amp;L'!$AB$55</f>
        <v/>
      </c>
      <c r="F6" s="184" t="inlineStr">
        <is>
          <t>✓</t>
        </is>
      </c>
    </row>
    <row r="7" ht="15" customHeight="1" s="180">
      <c r="A7" s="184" t="inlineStr">
        <is>
          <t>2</t>
        </is>
      </c>
      <c r="B7" s="184" t="inlineStr">
        <is>
          <t>Labor as % of revenue</t>
        </is>
      </c>
      <c r="C7" s="185" t="inlineStr">
        <is>
          <t>59%</t>
        </is>
      </c>
      <c r="D7" s="182" t="inlineStr">
        <is>
          <t>AB33 / AB16</t>
        </is>
      </c>
      <c r="E7" s="187">
        <f>'LW 2026 P&amp;L'!$AB$33/'LW 2026 P&amp;L'!$AB$16</f>
        <v/>
      </c>
      <c r="F7" s="184" t="inlineStr">
        <is>
          <t>✓</t>
        </is>
      </c>
    </row>
    <row r="8" ht="15" customHeight="1" s="180">
      <c r="A8" s="184" t="inlineStr">
        <is>
          <t>2</t>
        </is>
      </c>
      <c r="B8" s="184" t="inlineStr">
        <is>
          <t>Prime cost %</t>
        </is>
      </c>
      <c r="C8" s="185" t="inlineStr">
        <is>
          <t>95.2%</t>
        </is>
      </c>
      <c r="D8" s="182" t="inlineStr">
        <is>
          <t>(AB24+AB33)/AB16</t>
        </is>
      </c>
      <c r="E8" s="187">
        <f>('LW 2026 P&amp;L'!$AB$24+'LW 2026 P&amp;L'!$AB$33)/'LW 2026 P&amp;L'!$AB$16</f>
        <v/>
      </c>
      <c r="F8" s="184" t="inlineStr">
        <is>
          <t>✓</t>
        </is>
      </c>
    </row>
    <row r="9" ht="15" customHeight="1" s="180">
      <c r="A9" s="184" t="inlineStr">
        <is>
          <t>2</t>
        </is>
      </c>
      <c r="B9" s="184" t="inlineStr">
        <is>
          <t>Flat mgmt fee + rent today</t>
        </is>
      </c>
      <c r="C9" s="185" t="inlineStr">
        <is>
          <t>$65.4K</t>
        </is>
      </c>
      <c r="D9" s="182" t="inlineStr">
        <is>
          <t>AB50 + AB48</t>
        </is>
      </c>
      <c r="E9" s="186">
        <f>'LW 2026 P&amp;L'!$AB$50+'LW 2026 P&amp;L'!$AB$48</f>
        <v/>
      </c>
      <c r="F9" s="184" t="inlineStr">
        <is>
          <t>✓</t>
        </is>
      </c>
    </row>
    <row r="10" ht="15" customHeight="1" s="180">
      <c r="A10" s="184" t="inlineStr">
        <is>
          <t>2</t>
        </is>
      </c>
      <c r="B10" s="184" t="inlineStr">
        <is>
          <t>Discounts &amp; comps</t>
        </is>
      </c>
      <c r="C10" s="185" t="inlineStr">
        <is>
          <t>($18.6K)</t>
        </is>
      </c>
      <c r="D10" s="182" t="inlineStr">
        <is>
          <t>LW 2026 P&amp;L AB15</t>
        </is>
      </c>
      <c r="E10" s="186">
        <f>'LW 2026 P&amp;L'!$AB$15</f>
        <v/>
      </c>
      <c r="F10" s="184" t="inlineStr">
        <is>
          <t>✓</t>
        </is>
      </c>
    </row>
    <row r="11" ht="15" customHeight="1" s="180">
      <c r="A11" s="184" t="inlineStr">
        <is>
          <t>4</t>
        </is>
      </c>
      <c r="B11" s="184" t="inlineStr">
        <is>
          <t>Product mix by group (8 categories)</t>
        </is>
      </c>
      <c r="C11" s="185" t="inlineStr">
        <is>
          <t>$250.5K total</t>
        </is>
      </c>
      <c r="D11" s="182" t="inlineStr">
        <is>
          <t>TTM PMIX export (external workbook)</t>
        </is>
      </c>
      <c r="F11" s="184" t="inlineStr">
        <is>
          <t>≈ ties within mapping of $10.6K uncategorized rings — rebuild from TTM export for exact figures</t>
        </is>
      </c>
    </row>
    <row r="12" ht="15" customHeight="1" s="180">
      <c r="A12" s="184" t="inlineStr">
        <is>
          <t>5</t>
        </is>
      </c>
      <c r="B12" s="184" t="inlineStr">
        <is>
          <t>Self-serve window share of sales</t>
        </is>
      </c>
      <c r="C12" s="185" t="inlineStr">
        <is>
          <t>17%</t>
        </is>
      </c>
      <c r="D12" s="182" t="inlineStr">
        <is>
          <t>Daypart Analysis — TTM post-4pm %</t>
        </is>
      </c>
      <c r="E12" s="187">
        <f>'LW Daypart Analysis'!$D$59</f>
        <v/>
      </c>
      <c r="F12" s="184" t="inlineStr">
        <is>
          <t>✓ (17.3%)</t>
        </is>
      </c>
    </row>
    <row r="13" ht="15" customHeight="1" s="180">
      <c r="A13" s="184" t="inlineStr">
        <is>
          <t>5</t>
        </is>
      </c>
      <c r="B13" s="184" t="inlineStr">
        <is>
          <t>"Three biggest hours ~39% of the day"</t>
        </is>
      </c>
      <c r="C13" s="185" t="inlineStr">
        <is>
          <t>~39%</t>
        </is>
      </c>
      <c r="D13" s="182" t="inlineStr">
        <is>
          <t>TTM: 8–10am = $87.2K of $254.9K</t>
        </is>
      </c>
      <c r="E13" s="187">
        <f>87226/254946</f>
        <v/>
      </c>
      <c r="F13" s="188" t="inlineStr">
        <is>
          <t>⚠ TTM says 34.2% — fix deck copy</t>
        </is>
      </c>
    </row>
    <row r="14" ht="15" customHeight="1" s="180">
      <c r="A14" s="184" t="inlineStr">
        <is>
          <t>6</t>
        </is>
      </c>
      <c r="B14" s="184" t="inlineStr">
        <is>
          <t>Labor lever (chip)</t>
        </is>
      </c>
      <c r="C14" s="185" t="inlineStr">
        <is>
          <t>+$39K/yr</t>
        </is>
      </c>
      <c r="D14" s="182" t="inlineStr">
        <is>
          <t>Weekly Compare D29 (annualized savings)</t>
        </is>
      </c>
      <c r="E14" s="186">
        <f>-'LW Weekly Compare'!$D$29</f>
        <v/>
      </c>
      <c r="F14" s="184" t="inlineStr">
        <is>
          <t>✓ · plan-year P&amp;L now ties exactly: December true-up in LW Budget Y37 reconciles to the Weekly Compare basis</t>
        </is>
      </c>
    </row>
    <row r="15" ht="15" customHeight="1" s="180">
      <c r="A15" s="184" t="inlineStr">
        <is>
          <t>6</t>
        </is>
      </c>
      <c r="B15" s="184" t="inlineStr">
        <is>
          <t>Pricing lever (chip)</t>
        </is>
      </c>
      <c r="C15" s="185" t="inlineStr">
        <is>
          <t>+$9K/yr</t>
        </is>
      </c>
      <c r="D15" s="182" t="inlineStr">
        <is>
          <t>Menu Pricing C53 (net @90% capture)</t>
        </is>
      </c>
      <c r="E15" s="186">
        <f>'LW Menu Pricing'!$C$53</f>
        <v/>
      </c>
      <c r="F15" s="184" t="inlineStr">
        <is>
          <t>✓</t>
        </is>
      </c>
    </row>
    <row r="16" ht="15" customHeight="1" s="180">
      <c r="A16" s="184" t="inlineStr">
        <is>
          <t>6</t>
        </is>
      </c>
      <c r="B16" s="184" t="inlineStr">
        <is>
          <t>Retail lever (chip)</t>
        </is>
      </c>
      <c r="C16" s="185" t="inlineStr">
        <is>
          <t>+$24K GP/yr</t>
        </is>
      </c>
      <c r="D16" s="182" t="inlineStr">
        <is>
          <t>base uplift + programming × margin</t>
        </is>
      </c>
      <c r="E16" s="186">
        <f>'LW Assumptions'!$C$47+'LW Assumptions'!$C$36*(1-'LW Assumptions'!$C$37)</f>
        <v/>
      </c>
      <c r="F16" s="184" t="inlineStr">
        <is>
          <t>✓ ($23.9K)</t>
        </is>
      </c>
    </row>
    <row r="17" ht="15" customHeight="1" s="180">
      <c r="A17" s="184" t="inlineStr">
        <is>
          <t>6</t>
        </is>
      </c>
      <c r="B17" s="184" t="inlineStr">
        <is>
          <t>Owner charges today → plan</t>
        </is>
      </c>
      <c r="C17" s="185" t="inlineStr">
        <is>
          <t>$65.4K → $14.8K</t>
        </is>
      </c>
      <c r="D17" s="182" t="inlineStr">
        <is>
          <t>LW 2026 P&amp;L AB50+AB48 → LW Budget AB56</t>
        </is>
      </c>
      <c r="E17" s="186">
        <f>'LW Budget'!$AB$56</f>
        <v/>
      </c>
      <c r="F17" s="184" t="inlineStr">
        <is>
          <t>✓ (plan side; today side row above)</t>
        </is>
      </c>
    </row>
    <row r="18" ht="15" customHeight="1" s="180">
      <c r="A18" s="184" t="inlineStr">
        <is>
          <t>6</t>
        </is>
      </c>
      <c r="B18" s="184" t="inlineStr">
        <is>
          <t>Owner charges saving (chip)</t>
        </is>
      </c>
      <c r="C18" s="185" t="inlineStr">
        <is>
          <t>−$51K/yr</t>
        </is>
      </c>
      <c r="D18" s="182" t="inlineStr">
        <is>
          <t>difference of the two</t>
        </is>
      </c>
      <c r="E18" s="186">
        <f>('LW 2026 P&amp;L'!$AB$50+'LW 2026 P&amp;L'!$AB$48)-'LW Budget'!$AB$56</f>
        <v/>
      </c>
      <c r="F18" s="184" t="inlineStr">
        <is>
          <t>✓ ($50.9K)</t>
        </is>
      </c>
    </row>
    <row r="19" ht="15" customHeight="1" s="180">
      <c r="A19" s="184" t="inlineStr">
        <is>
          <t>6</t>
        </is>
      </c>
      <c r="B19" s="184" t="inlineStr">
        <is>
          <t>Owner charges % of revenue</t>
        </is>
      </c>
      <c r="C19" s="185" t="inlineStr">
        <is>
          <t>22.6% → 4.0%</t>
        </is>
      </c>
      <c r="D19" s="182" t="inlineStr">
        <is>
          <t>fee+rent ÷ revenue, both years</t>
        </is>
      </c>
      <c r="E19" s="187">
        <f>'LW Budget'!$AB$56/'LW Budget'!$AB$20</f>
        <v/>
      </c>
      <c r="F19" s="184" t="inlineStr">
        <is>
          <t>✓ (plan side 4.0%)</t>
        </is>
      </c>
    </row>
    <row r="20" ht="15" customHeight="1" s="180">
      <c r="A20" s="184" t="inlineStr">
        <is>
          <t>6</t>
        </is>
      </c>
      <c r="B20" s="184" t="inlineStr">
        <is>
          <t>Programming lever</t>
        </is>
      </c>
      <c r="C20" s="185" t="inlineStr">
        <is>
          <t>+$500/wk</t>
        </is>
      </c>
      <c r="D20" s="182" t="inlineStr">
        <is>
          <t>assumption — baked into the revenue base</t>
        </is>
      </c>
      <c r="F20" s="184" t="inlineStr">
        <is>
          <t>✓ by convention: 2x/month activations assumed to sustain ~$500/wk of traffic already counted in the Act/For-based revenue; no separate lever, no double-count</t>
        </is>
      </c>
    </row>
    <row r="21" ht="15" customHeight="1" s="180">
      <c r="A21" s="184" t="inlineStr">
        <is>
          <t>7</t>
        </is>
      </c>
      <c r="B21" s="184" t="inlineStr">
        <is>
          <t>Post-4pm share of sales (TTM)</t>
        </is>
      </c>
      <c r="C21" s="185" t="inlineStr">
        <is>
          <t>17.3%</t>
        </is>
      </c>
      <c r="D21" s="182" t="inlineStr">
        <is>
          <t>Daypart Analysis TTM block</t>
        </is>
      </c>
      <c r="E21" s="187">
        <f>'LW Daypart Analysis'!$D$59</f>
        <v/>
      </c>
      <c r="F21" s="184" t="inlineStr">
        <is>
          <t>✓</t>
        </is>
      </c>
    </row>
    <row r="22" ht="15" customHeight="1" s="180">
      <c r="A22" s="184" t="inlineStr">
        <is>
          <t>7</t>
        </is>
      </c>
      <c r="B22" s="184" t="inlineStr">
        <is>
          <t>Barista-required share of post-4pm</t>
        </is>
      </c>
      <c r="C22" s="185" t="inlineStr">
        <is>
          <t>21.5%</t>
        </is>
      </c>
      <c r="D22" s="182" t="inlineStr">
        <is>
          <t>Daypart Analysis TTM block</t>
        </is>
      </c>
      <c r="E22" s="187">
        <f>'LW Daypart Analysis'!$D$60</f>
        <v/>
      </c>
      <c r="F22" s="184" t="inlineStr">
        <is>
          <t>✓</t>
        </is>
      </c>
    </row>
    <row r="23" ht="15" customHeight="1" s="180">
      <c r="A23" s="184" t="inlineStr">
        <is>
          <t>7</t>
        </is>
      </c>
      <c r="B23" s="184" t="inlineStr">
        <is>
          <t>Net sales at risk</t>
        </is>
      </c>
      <c r="C23" s="185" t="inlineStr">
        <is>
          <t>~3.7%</t>
        </is>
      </c>
      <c r="D23" s="182" t="inlineStr">
        <is>
          <t>barista-required ÷ TTM total</t>
        </is>
      </c>
      <c r="E23" s="187">
        <f>'LW Daypart Analysis'!$C$60/244323</f>
        <v/>
      </c>
      <c r="F23" s="184" t="inlineStr">
        <is>
          <t>✓</t>
        </is>
      </c>
    </row>
    <row r="24" ht="15" customHeight="1" s="180">
      <c r="A24" s="184" t="inlineStr">
        <is>
          <t>8</t>
        </is>
      </c>
      <c r="B24" s="184" t="inlineStr">
        <is>
          <t>Proposed loaded labor / week</t>
        </is>
      </c>
      <c r="C24" s="185" t="inlineStr">
        <is>
          <t>$2,441</t>
        </is>
      </c>
      <c r="D24" s="182" t="inlineStr">
        <is>
          <t>Weekly Compare C20</t>
        </is>
      </c>
      <c r="E24" s="186">
        <f>'LW Weekly Compare'!$C$20</f>
        <v/>
      </c>
      <c r="F24" s="184" t="inlineStr">
        <is>
          <t>✓ whole table = Weekly Compare tab, cols B (current) &amp; C (proposed)</t>
        </is>
      </c>
    </row>
    <row r="25" ht="15" customHeight="1" s="180">
      <c r="A25" s="184" t="inlineStr">
        <is>
          <t>8</t>
        </is>
      </c>
      <c r="B25" s="184" t="inlineStr">
        <is>
          <t>Weekly savings → annualized</t>
        </is>
      </c>
      <c r="C25" s="185" t="inlineStr">
        <is>
          <t>−$750 / ~$39.0K</t>
        </is>
      </c>
      <c r="D25" s="182" t="inlineStr">
        <is>
          <t>Weekly Compare C29 / D29</t>
        </is>
      </c>
      <c r="E25" s="186">
        <f>'LW Weekly Compare'!$C$29</f>
        <v/>
      </c>
      <c r="F25" s="184" t="inlineStr">
        <is>
          <t>✓</t>
        </is>
      </c>
    </row>
    <row r="26" ht="15" customHeight="1" s="180">
      <c r="A26" s="184" t="inlineStr">
        <is>
          <t>9</t>
        </is>
      </c>
      <c r="B26" s="184" t="inlineStr">
        <is>
          <t>Item prices, units &amp; bumps (10 rows)</t>
        </is>
      </c>
      <c r="C26" s="185" t="inlineStr">
        <is>
          <t>per deck</t>
        </is>
      </c>
      <c r="D26" s="182" t="inlineStr">
        <is>
          <t>LW Menu Pricing rows 6–15</t>
        </is>
      </c>
      <c r="F26" s="184" t="inlineStr">
        <is>
          <t>✓ tab rebuilt FROM the deck (TTM units, list prices) — deck is source of truth</t>
        </is>
      </c>
    </row>
    <row r="27" ht="15" customHeight="1" s="180">
      <c r="A27" s="184" t="inlineStr">
        <is>
          <t>11</t>
        </is>
      </c>
      <c r="B27" s="184" t="inlineStr">
        <is>
          <t>Today shelf run-rate</t>
        </is>
      </c>
      <c r="C27" s="185" t="inlineStr">
        <is>
          <t>$1,346/wk</t>
        </is>
      </c>
      <c r="D27" s="182" t="inlineStr">
        <is>
          <t>Retail Plan B15 ÷ 52</t>
        </is>
      </c>
      <c r="E27" s="186">
        <f>'LW Retail Plan'!$B$15/52</f>
        <v/>
      </c>
      <c r="F27" s="184" t="inlineStr">
        <is>
          <t>✓</t>
        </is>
      </c>
    </row>
    <row r="28" ht="15" customHeight="1" s="180">
      <c r="A28" s="184" t="inlineStr">
        <is>
          <t>11</t>
        </is>
      </c>
      <c r="B28" s="184" t="inlineStr">
        <is>
          <t>Plan-year shelf revenue</t>
        </is>
      </c>
      <c r="C28" s="185" t="inlineStr">
        <is>
          <t>$114.9K</t>
        </is>
      </c>
      <c r="D28" s="182" t="inlineStr">
        <is>
          <t>Retail Plan E15</t>
        </is>
      </c>
      <c r="E28" s="186">
        <f>'LW Retail Plan'!$E$15</f>
        <v/>
      </c>
      <c r="F28" s="184" t="inlineStr">
        <is>
          <t>✓</t>
        </is>
      </c>
    </row>
    <row r="29" ht="15" customHeight="1" s="180">
      <c r="A29" s="184" t="inlineStr">
        <is>
          <t>11</t>
        </is>
      </c>
      <c r="B29" s="184" t="inlineStr">
        <is>
          <t>Shelf % of go-forward top line</t>
        </is>
      </c>
      <c r="C29" s="185" t="inlineStr">
        <is>
          <t>31.7%</t>
        </is>
      </c>
      <c r="D29" s="182" t="inlineStr">
        <is>
          <t>Retail Plan E15 ÷ LW Budget AB20</t>
        </is>
      </c>
      <c r="E29" s="187">
        <f>'LW Retail Plan'!$E$15/'LW Budget'!$AB$20</f>
        <v/>
      </c>
      <c r="F29" s="184" t="inlineStr">
        <is>
          <t>✓</t>
        </is>
      </c>
    </row>
    <row r="30" ht="15" customHeight="1" s="180">
      <c r="A30" s="184" t="inlineStr">
        <is>
          <t>11</t>
        </is>
      </c>
      <c r="B30" s="184" t="inlineStr">
        <is>
          <t>Incremental gross profit</t>
        </is>
      </c>
      <c r="C30" s="185" t="inlineStr">
        <is>
          <t>$23.9K/yr</t>
        </is>
      </c>
      <c r="D30" s="182" t="inlineStr">
        <is>
          <t>base uplift (0% COGS) + programming margin</t>
        </is>
      </c>
      <c r="E30" s="186">
        <f>'LW Assumptions'!$C$47+'LW Assumptions'!$C$36*(1-'LW Assumptions'!$C$37)</f>
        <v/>
      </c>
      <c r="F30" s="184" t="inlineStr">
        <is>
          <t>✓ note: Retail Plan F15 shows $22.5K because it applies blended COGS to the base uplift too — model is the truth</t>
        </is>
      </c>
    </row>
    <row r="31" ht="15" customHeight="1" s="180">
      <c r="A31" s="184" t="inlineStr">
        <is>
          <t>14</t>
        </is>
      </c>
      <c r="B31" s="184" t="inlineStr">
        <is>
          <t>Total income (Act/For → Mod → 2027)</t>
        </is>
      </c>
      <c r="C31" s="185" t="inlineStr">
        <is>
          <t>$288.7/311.2/362.1K</t>
        </is>
      </c>
      <c r="D31" s="182" t="inlineStr">
        <is>
          <t>Scenario Summary row 6 (C/D/E)</t>
        </is>
      </c>
      <c r="E31" s="186">
        <f>'Scenario Summary'!$E$6</f>
        <v/>
      </c>
      <c r="F31" s="184" t="inlineStr">
        <is>
          <t>✓ (2027 shown; whole table = Scenario Summary LW block)</t>
        </is>
      </c>
    </row>
    <row r="32" ht="15" customHeight="1" s="180">
      <c r="A32" s="184" t="inlineStr">
        <is>
          <t>14</t>
        </is>
      </c>
      <c r="B32" s="184" t="inlineStr">
        <is>
          <t>NOP (Act/For → Mod → 2027)</t>
        </is>
      </c>
      <c r="C32" s="185" t="inlineStr">
        <is>
          <t>(164.0)/(97.4)/+1.0K</t>
        </is>
      </c>
      <c r="D32" s="182" t="inlineStr">
        <is>
          <t>Scenario Summary row 14</t>
        </is>
      </c>
      <c r="E32" s="186">
        <f>'Scenario Summary'!$E$14</f>
        <v/>
      </c>
      <c r="F32" s="184" t="inlineStr">
        <is>
          <t>✓</t>
        </is>
      </c>
    </row>
    <row r="33" ht="15" customHeight="1" s="180">
      <c r="A33" s="184" t="inlineStr">
        <is>
          <t>14</t>
        </is>
      </c>
      <c r="B33" s="184" t="inlineStr">
        <is>
          <t>Loss cut vs Act/For</t>
        </is>
      </c>
      <c r="C33" s="185" t="inlineStr">
        <is>
          <t>loss eliminated</t>
        </is>
      </c>
      <c r="D33" s="182" t="inlineStr">
        <is>
          <t>1 − E14/C14</t>
        </is>
      </c>
      <c r="E33" s="187">
        <f>1-'Scenario Summary'!$E$14/'Scenario Summary'!$C$14</f>
        <v/>
      </c>
      <c r="F33" s="184" t="inlineStr">
        <is>
          <t>✓</t>
        </is>
      </c>
    </row>
    <row r="34" ht="15" customHeight="1" s="180">
      <c r="A34" s="184" t="inlineStr">
        <is>
          <t>14</t>
        </is>
      </c>
      <c r="B34" s="184" t="inlineStr">
        <is>
          <t>Combined 2027 (with Vessel)</t>
        </is>
      </c>
      <c r="C34" s="185" t="inlineStr">
        <is>
          <t>+$97.1K</t>
        </is>
      </c>
      <c r="D34" s="182" t="inlineStr">
        <is>
          <t>Scenario Summary E40</t>
        </is>
      </c>
      <c r="E34" s="186">
        <f>'Scenario Summary'!$E$40</f>
        <v/>
      </c>
      <c r="F34" s="184" t="inlineStr">
        <is>
          <t>✓</t>
        </is>
      </c>
    </row>
    <row r="35" ht="15" customHeight="1" s="180">
      <c r="A35" s="184" t="inlineStr">
        <is>
          <t>14</t>
        </is>
      </c>
      <c r="B35" s="184" t="inlineStr">
        <is>
          <t>Immediate impact note: Aug–Dec with vs without changes</t>
        </is>
      </c>
      <c r="C35" s="185" t="inlineStr">
        <is>
          <t>+$66.6K</t>
        </is>
      </c>
      <c r="D35" s="182" t="inlineStr">
        <is>
          <t>2026 Bridge D19</t>
        </is>
      </c>
      <c r="E35" s="186">
        <f>'2026 Bridge'!$D$19</f>
        <v/>
      </c>
      <c r="F35" s="184" t="inlineStr">
        <is>
          <t>✓</t>
        </is>
      </c>
    </row>
    <row r="36" ht="15" customHeight="1" s="180">
      <c r="A36" s="184" t="inlineStr">
        <is>
          <t>18</t>
        </is>
      </c>
      <c r="B36" s="184" t="inlineStr">
        <is>
          <t>Vessel go-forward: Aug–Dec immediate impact</t>
        </is>
      </c>
      <c r="C36" s="185" t="inlineStr">
        <is>
          <t>+$37.2K</t>
        </is>
      </c>
      <c r="D36" s="182" t="inlineStr">
        <is>
          <t>2026 Bridge D20</t>
        </is>
      </c>
      <c r="E36" s="186">
        <f>'2026 Bridge'!$D$20</f>
        <v/>
      </c>
      <c r="F36" s="184" t="inlineStr">
        <is>
          <t>✓ (Vessel slide)</t>
        </is>
      </c>
    </row>
    <row r="37" ht="15" customHeight="1" s="180">
      <c r="A37" s="184" t="inlineStr">
        <is>
          <t>7</t>
        </is>
      </c>
      <c r="B37" s="184" t="inlineStr">
        <is>
          <t>Point 3: 4pm-close trade — labor saved vs worst-case margin lost</t>
        </is>
      </c>
      <c r="C37" s="185" t="inlineStr">
        <is>
          <t>+$27.5K worst case</t>
        </is>
      </c>
      <c r="D37" s="182" t="inlineStr">
        <is>
          <t>Daypart Analysis C68–C70</t>
        </is>
      </c>
      <c r="E37" s="186">
        <f>'LW Daypart Analysis'!$C$70</f>
        <v/>
      </c>
      <c r="F37" s="184" t="inlineStr">
        <is>
          <t>✓</t>
        </is>
      </c>
    </row>
    <row r="38" ht="15" customHeight="1" s="180">
      <c r="A38" s="182" t="n"/>
    </row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9" min="1" max="1"/>
    <col width="15" customWidth="1" style="179" min="2" max="5"/>
  </cols>
  <sheetData>
    <row r="1" ht="17.25" customHeight="1" s="180">
      <c r="A1" s="189" t="inlineStr">
        <is>
          <t>Method Terrapin</t>
        </is>
      </c>
    </row>
    <row r="2" ht="15" customHeight="1" s="180">
      <c r="A2" s="190" t="inlineStr">
        <is>
          <t>Scenario Summary — T12 · 2026 Forecast · 2026 Modified (changes from effective dates) · 2027 Plan</t>
        </is>
      </c>
    </row>
    <row r="4" ht="15" customHeight="1" s="180">
      <c r="A4" s="191" t="inlineStr">
        <is>
          <t>LITTLE WING</t>
        </is>
      </c>
    </row>
    <row r="5" ht="15" customHeight="1" s="180">
      <c r="B5" s="192" t="inlineStr">
        <is>
          <t>T12 (GL actual)</t>
        </is>
      </c>
      <c r="C5" s="192" t="inlineStr">
        <is>
          <t>2026 Act/For (unmodified)</t>
        </is>
      </c>
      <c r="D5" s="192" t="inlineStr">
        <is>
          <t>2026 Act/For MODIFIED</t>
        </is>
      </c>
      <c r="E5" s="192" t="inlineStr">
        <is>
          <t>2027 Plan</t>
        </is>
      </c>
    </row>
    <row r="6" ht="15" customHeight="1" s="180">
      <c r="A6" s="179" t="inlineStr">
        <is>
          <t>Total Income</t>
        </is>
      </c>
      <c r="B6" s="193" t="n">
        <v>258287</v>
      </c>
      <c r="C6" s="193">
        <f>'LW 2026 P&amp;L'!$AB$16</f>
        <v/>
      </c>
      <c r="D6" s="194">
        <f>'LW 2026 Modified'!$AB$20</f>
        <v/>
      </c>
      <c r="E6" s="194">
        <f>'LW Budget'!$AB$20</f>
        <v/>
      </c>
    </row>
    <row r="7" ht="15" customHeight="1" s="180">
      <c r="A7" s="179" t="inlineStr">
        <is>
          <t>Total COGS</t>
        </is>
      </c>
      <c r="B7" s="193" t="n">
        <v>81599</v>
      </c>
      <c r="C7" s="193">
        <f>'LW 2026 P&amp;L'!$AB$24</f>
        <v/>
      </c>
      <c r="D7" s="194">
        <f>'LW 2026 Modified'!$AB$29</f>
        <v/>
      </c>
      <c r="E7" s="194">
        <f>'LW Budget'!$AB$29</f>
        <v/>
      </c>
    </row>
    <row r="8" ht="15" customHeight="1" s="180">
      <c r="A8" s="195" t="inlineStr">
        <is>
          <t>Gross Profit</t>
        </is>
      </c>
      <c r="B8" s="196">
        <f>B6-B7</f>
        <v/>
      </c>
      <c r="C8" s="196">
        <f>C6-C7</f>
        <v/>
      </c>
      <c r="D8" s="196">
        <f>D6-D7</f>
        <v/>
      </c>
      <c r="E8" s="196">
        <f>E6-E7</f>
        <v/>
      </c>
    </row>
    <row r="9" ht="15" customHeight="1" s="180">
      <c r="A9" s="179" t="inlineStr">
        <is>
          <t>Total Labor Cost</t>
        </is>
      </c>
      <c r="B9" s="193" t="n">
        <v>164857</v>
      </c>
      <c r="C9" s="193">
        <f>'LW 2026 P&amp;L'!$AB$33</f>
        <v/>
      </c>
      <c r="D9" s="194">
        <f>'LW 2026 Modified'!$AB$38</f>
        <v/>
      </c>
      <c r="E9" s="194">
        <f>'LW Budget'!$AB$38</f>
        <v/>
      </c>
    </row>
    <row r="10" ht="15" customHeight="1" s="180">
      <c r="A10" s="179" t="inlineStr">
        <is>
          <t>Operating Expenses (excl fees &amp; occupancy)</t>
        </is>
      </c>
      <c r="B10" s="193" t="n">
        <v>105344</v>
      </c>
      <c r="C10" s="193">
        <f>'LW 2026 P&amp;L'!$AB$44+'LW 2026 P&amp;L'!$AB$53-'LW 2026 P&amp;L'!$AB$50-'LW 2026 P&amp;L'!$AB$48</f>
        <v/>
      </c>
      <c r="D10" s="194">
        <f>'LW 2026 Modified'!$AB$50+'LW 2026 Modified'!$AB$60-'LW 2026 Modified'!$AB$54-'LW 2026 Modified'!$AB$56-'LW 2026 Modified'!$AB$57</f>
        <v/>
      </c>
      <c r="E10" s="194">
        <f>'LW Budget'!$AB$50+'LW Budget'!$AB$60-'LW Budget'!$AB$54-'LW Budget'!$AB$56-'LW Budget'!$AB$57</f>
        <v/>
      </c>
    </row>
    <row r="11" ht="15" customHeight="1" s="180">
      <c r="A11" s="179" t="inlineStr">
        <is>
          <t>Management Fee</t>
        </is>
      </c>
      <c r="B11" s="193" t="n">
        <v>48000</v>
      </c>
      <c r="C11" s="193">
        <f>'LW 2026 P&amp;L'!$AB$50</f>
        <v/>
      </c>
      <c r="D11" s="194">
        <f>'LW 2026 Modified'!$AB$56</f>
        <v/>
      </c>
      <c r="E11" s="194">
        <f>'LW Budget'!$AB$56</f>
        <v/>
      </c>
    </row>
    <row r="12" ht="15" customHeight="1" s="180">
      <c r="A12" s="179" t="inlineStr">
        <is>
          <t>Admin Fee (Vessel — billed to clients, in income)</t>
        </is>
      </c>
      <c r="B12" s="193" t="n">
        <v>0</v>
      </c>
      <c r="C12" s="193" t="n">
        <v>0</v>
      </c>
      <c r="D12" s="194">
        <f>'LW 2026 Modified'!$AB$57</f>
        <v/>
      </c>
      <c r="E12" s="194">
        <f>0</f>
        <v/>
      </c>
    </row>
    <row r="13" ht="15" customHeight="1" s="180">
      <c r="A13" s="179" t="inlineStr">
        <is>
          <t>Occupancy / Rent</t>
        </is>
      </c>
      <c r="B13" s="193" t="n">
        <v>15642</v>
      </c>
      <c r="C13" s="193">
        <f>'LW 2026 P&amp;L'!$AB$48</f>
        <v/>
      </c>
      <c r="D13" s="194">
        <f>'LW 2026 Modified'!$AB$54</f>
        <v/>
      </c>
      <c r="E13" s="194">
        <f>'LW Budget'!$AB$54</f>
        <v/>
      </c>
    </row>
    <row r="14" ht="15" customHeight="1" s="180">
      <c r="A14" s="195" t="inlineStr">
        <is>
          <t>Net Operating Profit</t>
        </is>
      </c>
      <c r="B14" s="196">
        <f>B6-B7-B9-B10-B11-B12-B13</f>
        <v/>
      </c>
      <c r="C14" s="196">
        <f>C6-C7-C9-C10-C11-C12-C13</f>
        <v/>
      </c>
      <c r="D14" s="196">
        <f>D6-D7-D9-D10-D11-D12-D13</f>
        <v/>
      </c>
      <c r="E14" s="196">
        <f>E6-E7-E9-E10-E11-E12-E13</f>
        <v/>
      </c>
    </row>
    <row r="15" ht="15" customHeight="1" s="180">
      <c r="A15" s="179" t="inlineStr">
        <is>
          <t>NOP margin</t>
        </is>
      </c>
      <c r="B15" s="197">
        <f>B14/B6</f>
        <v/>
      </c>
      <c r="C15" s="197">
        <f>C14/C6</f>
        <v/>
      </c>
      <c r="D15" s="197">
        <f>D14/D6</f>
        <v/>
      </c>
      <c r="E15" s="197">
        <f>E14/E6</f>
        <v/>
      </c>
    </row>
    <row r="17" ht="15" customHeight="1" s="180">
      <c r="A17" s="191" t="inlineStr">
        <is>
          <t>VESSEL</t>
        </is>
      </c>
    </row>
    <row r="18" ht="15" customHeight="1" s="180">
      <c r="B18" s="192" t="inlineStr">
        <is>
          <t>T12 (GL actual)</t>
        </is>
      </c>
      <c r="C18" s="192" t="inlineStr">
        <is>
          <t>2026 Act/For (unmodified)</t>
        </is>
      </c>
      <c r="D18" s="192" t="inlineStr">
        <is>
          <t>2026 Act/For MODIFIED</t>
        </is>
      </c>
      <c r="E18" s="192" t="inlineStr">
        <is>
          <t>2027 Plan</t>
        </is>
      </c>
    </row>
    <row r="19" ht="15" customHeight="1" s="180">
      <c r="A19" s="179" t="inlineStr">
        <is>
          <t>Total Income</t>
        </is>
      </c>
      <c r="B19" s="193">
        <f>'Vessel 2026 P&amp;L'!$AB$16</f>
        <v/>
      </c>
      <c r="C19" s="193">
        <f>'Vessel 2026 P&amp;L'!$AB$16</f>
        <v/>
      </c>
      <c r="D19" s="194">
        <f>'Vessel 2026 Modified'!$AB$20</f>
        <v/>
      </c>
      <c r="E19" s="194">
        <f>'Vessel Budget'!$AB$20</f>
        <v/>
      </c>
    </row>
    <row r="20" ht="15" customHeight="1" s="180">
      <c r="A20" s="179" t="inlineStr">
        <is>
          <t>Total COGS</t>
        </is>
      </c>
      <c r="B20" s="193">
        <f>'Vessel 2026 P&amp;L'!$AB$24</f>
        <v/>
      </c>
      <c r="C20" s="193">
        <f>'Vessel 2026 P&amp;L'!$AB$24</f>
        <v/>
      </c>
      <c r="D20" s="194">
        <f>'Vessel 2026 Modified'!$AB$29</f>
        <v/>
      </c>
      <c r="E20" s="194">
        <f>'Vessel Budget'!$AB$29</f>
        <v/>
      </c>
    </row>
    <row r="21" ht="15" customHeight="1" s="180">
      <c r="A21" s="195" t="inlineStr">
        <is>
          <t>Gross Profit</t>
        </is>
      </c>
      <c r="B21" s="196">
        <f>B19-B20</f>
        <v/>
      </c>
      <c r="C21" s="196">
        <f>C19-C20</f>
        <v/>
      </c>
      <c r="D21" s="196">
        <f>D19-D20</f>
        <v/>
      </c>
      <c r="E21" s="196">
        <f>E19-E20</f>
        <v/>
      </c>
    </row>
    <row r="22" ht="15" customHeight="1" s="180">
      <c r="A22" s="179" t="inlineStr">
        <is>
          <t>Total Labor Cost</t>
        </is>
      </c>
      <c r="B22" s="193">
        <f>'Vessel 2026 P&amp;L'!$AB$33</f>
        <v/>
      </c>
      <c r="C22" s="193">
        <f>'Vessel 2026 P&amp;L'!$AB$33</f>
        <v/>
      </c>
      <c r="D22" s="194">
        <f>'Vessel 2026 Modified'!$AB$38</f>
        <v/>
      </c>
      <c r="E22" s="194">
        <f>'Vessel Budget'!$AB$38</f>
        <v/>
      </c>
    </row>
    <row r="23" ht="15" customHeight="1" s="180">
      <c r="A23" s="179" t="inlineStr">
        <is>
          <t>Operating Expenses (excl fees &amp; occupancy)</t>
        </is>
      </c>
      <c r="B23" s="193">
        <f>'Vessel 2026 P&amp;L'!$AB$44+'Vessel 2026 P&amp;L'!$AB$53-'Vessel 2026 P&amp;L'!$AB$50-'Vessel 2026 P&amp;L'!$AB$48</f>
        <v/>
      </c>
      <c r="C23" s="193">
        <f>'Vessel 2026 P&amp;L'!$AB$44+'Vessel 2026 P&amp;L'!$AB$53-'Vessel 2026 P&amp;L'!$AB$50-'Vessel 2026 P&amp;L'!$AB$48</f>
        <v/>
      </c>
      <c r="D23" s="194">
        <f>'Vessel 2026 Modified'!$AB$50+'Vessel 2026 Modified'!$AB$60-'Vessel 2026 Modified'!$AB$54-'Vessel 2026 Modified'!$AB$56-'Vessel 2026 Modified'!$AB$57</f>
        <v/>
      </c>
      <c r="E23" s="194">
        <f>'Vessel Budget'!$AB$50+'Vessel Budget'!$AB$60-'Vessel Budget'!$AB$54-'Vessel Budget'!$AB$56-'Vessel Budget'!$AB$57</f>
        <v/>
      </c>
    </row>
    <row r="24" ht="15" customHeight="1" s="180">
      <c r="A24" s="179" t="inlineStr">
        <is>
          <t>Management Fee</t>
        </is>
      </c>
      <c r="B24" s="193">
        <f>'Vessel 2026 P&amp;L'!$AB$50</f>
        <v/>
      </c>
      <c r="C24" s="193">
        <f>'Vessel 2026 P&amp;L'!$AB$50</f>
        <v/>
      </c>
      <c r="D24" s="194">
        <f>'Vessel 2026 Modified'!$AB$56</f>
        <v/>
      </c>
      <c r="E24" s="194">
        <f>'Vessel Budget'!$AB$56</f>
        <v/>
      </c>
    </row>
    <row r="25" ht="15" customHeight="1" s="180">
      <c r="A25" s="179" t="inlineStr">
        <is>
          <t>Admin Fee (Vessel — billed to clients, in income)</t>
        </is>
      </c>
      <c r="B25" s="193" t="n">
        <v>0</v>
      </c>
      <c r="C25" s="193" t="n">
        <v>0</v>
      </c>
      <c r="D25" s="194">
        <f>'Vessel 2026 Modified'!$AB$57</f>
        <v/>
      </c>
      <c r="E25" s="194">
        <f>'Vessel Budget'!$AB$57</f>
        <v/>
      </c>
    </row>
    <row r="26" ht="15" customHeight="1" s="180">
      <c r="A26" s="179" t="inlineStr">
        <is>
          <t>Occupancy / Rent</t>
        </is>
      </c>
      <c r="B26" s="193">
        <f>'Vessel 2026 P&amp;L'!$AB$48</f>
        <v/>
      </c>
      <c r="C26" s="193">
        <f>'Vessel 2026 P&amp;L'!$AB$48</f>
        <v/>
      </c>
      <c r="D26" s="194">
        <f>'Vessel 2026 Modified'!$AB$54</f>
        <v/>
      </c>
      <c r="E26" s="194">
        <f>'Vessel Budget'!$AB$54</f>
        <v/>
      </c>
    </row>
    <row r="27" ht="15" customHeight="1" s="180">
      <c r="A27" s="195" t="inlineStr">
        <is>
          <t>Net Operating Profit</t>
        </is>
      </c>
      <c r="B27" s="196">
        <f>B19-B20-B22-B23-B24-B25-B26</f>
        <v/>
      </c>
      <c r="C27" s="196">
        <f>C19-C20-C22-C23-C24-C25-C26</f>
        <v/>
      </c>
      <c r="D27" s="196">
        <f>D19-D20-D22-D23-D24-D25-D26</f>
        <v/>
      </c>
      <c r="E27" s="196">
        <f>E19-E20-E22-E23-E24-E25-E26</f>
        <v/>
      </c>
    </row>
    <row r="28" ht="15" customHeight="1" s="180">
      <c r="A28" s="179" t="inlineStr">
        <is>
          <t>NOP margin</t>
        </is>
      </c>
      <c r="B28" s="197">
        <f>B27/B19</f>
        <v/>
      </c>
      <c r="C28" s="197">
        <f>C27/C19</f>
        <v/>
      </c>
      <c r="D28" s="197">
        <f>D27/D19</f>
        <v/>
      </c>
      <c r="E28" s="197">
        <f>E27/E19</f>
        <v/>
      </c>
    </row>
    <row r="30" ht="15" customHeight="1" s="180">
      <c r="A30" s="191" t="inlineStr">
        <is>
          <t>COMBINED</t>
        </is>
      </c>
    </row>
    <row r="31" ht="15" customHeight="1" s="180">
      <c r="B31" s="192" t="inlineStr">
        <is>
          <t>T12 (GL actual)</t>
        </is>
      </c>
      <c r="C31" s="192" t="inlineStr">
        <is>
          <t>2026 Act/For (unmodified)</t>
        </is>
      </c>
      <c r="D31" s="192" t="inlineStr">
        <is>
          <t>2026 Act/For MODIFIED</t>
        </is>
      </c>
      <c r="E31" s="192" t="inlineStr">
        <is>
          <t>2027 Plan</t>
        </is>
      </c>
    </row>
    <row r="32" ht="15" customHeight="1" s="180">
      <c r="A32" s="179" t="inlineStr">
        <is>
          <t>Total Income</t>
        </is>
      </c>
      <c r="B32" s="194">
        <f>B6+B19</f>
        <v/>
      </c>
      <c r="C32" s="194">
        <f>C6+C19</f>
        <v/>
      </c>
      <c r="D32" s="194">
        <f>D6+D19</f>
        <v/>
      </c>
      <c r="E32" s="194">
        <f>E6+E19</f>
        <v/>
      </c>
    </row>
    <row r="33" ht="15" customHeight="1" s="180">
      <c r="A33" s="179" t="inlineStr">
        <is>
          <t>Total COGS</t>
        </is>
      </c>
      <c r="B33" s="194">
        <f>B7+B20</f>
        <v/>
      </c>
      <c r="C33" s="194">
        <f>C7+C20</f>
        <v/>
      </c>
      <c r="D33" s="194">
        <f>D7+D20</f>
        <v/>
      </c>
      <c r="E33" s="194">
        <f>E7+E20</f>
        <v/>
      </c>
    </row>
    <row r="34" ht="15" customHeight="1" s="180">
      <c r="A34" s="195" t="inlineStr">
        <is>
          <t>Gross Profit</t>
        </is>
      </c>
      <c r="B34" s="196">
        <f>B32-B33</f>
        <v/>
      </c>
      <c r="C34" s="196">
        <f>C32-C33</f>
        <v/>
      </c>
      <c r="D34" s="196">
        <f>D32-D33</f>
        <v/>
      </c>
      <c r="E34" s="196">
        <f>E32-E33</f>
        <v/>
      </c>
    </row>
    <row r="35" ht="15" customHeight="1" s="180">
      <c r="A35" s="179" t="inlineStr">
        <is>
          <t>Total Labor Cost</t>
        </is>
      </c>
      <c r="B35" s="194">
        <f>B9+B22</f>
        <v/>
      </c>
      <c r="C35" s="194">
        <f>C9+C22</f>
        <v/>
      </c>
      <c r="D35" s="194">
        <f>D9+D22</f>
        <v/>
      </c>
      <c r="E35" s="194">
        <f>E9+E22</f>
        <v/>
      </c>
    </row>
    <row r="36" ht="15" customHeight="1" s="180">
      <c r="A36" s="179" t="inlineStr">
        <is>
          <t>Operating Expenses (excl fees &amp; occupancy)</t>
        </is>
      </c>
      <c r="B36" s="194">
        <f>B10+B23</f>
        <v/>
      </c>
      <c r="C36" s="194">
        <f>C10+C23</f>
        <v/>
      </c>
      <c r="D36" s="194">
        <f>D10+D23</f>
        <v/>
      </c>
      <c r="E36" s="194">
        <f>E10+E23</f>
        <v/>
      </c>
    </row>
    <row r="37" ht="15" customHeight="1" s="180">
      <c r="A37" s="179" t="inlineStr">
        <is>
          <t>Management Fee</t>
        </is>
      </c>
      <c r="B37" s="194">
        <f>B11+B24</f>
        <v/>
      </c>
      <c r="C37" s="194">
        <f>C11+C24</f>
        <v/>
      </c>
      <c r="D37" s="194">
        <f>D11+D24</f>
        <v/>
      </c>
      <c r="E37" s="194">
        <f>E11+E24</f>
        <v/>
      </c>
    </row>
    <row r="38" ht="15" customHeight="1" s="180">
      <c r="A38" s="179" t="inlineStr">
        <is>
          <t>Admin Fee (Vessel — billed to clients, in income)</t>
        </is>
      </c>
      <c r="B38" s="194">
        <f>B12+B25</f>
        <v/>
      </c>
      <c r="C38" s="194">
        <f>C12+C25</f>
        <v/>
      </c>
      <c r="D38" s="194">
        <f>D12+D25</f>
        <v/>
      </c>
      <c r="E38" s="194">
        <f>E12+E25</f>
        <v/>
      </c>
    </row>
    <row r="39" ht="15" customHeight="1" s="180">
      <c r="A39" s="179" t="inlineStr">
        <is>
          <t>Occupancy / Rent</t>
        </is>
      </c>
      <c r="B39" s="194">
        <f>B13+B26</f>
        <v/>
      </c>
      <c r="C39" s="194">
        <f>C13+C26</f>
        <v/>
      </c>
      <c r="D39" s="194">
        <f>D13+D26</f>
        <v/>
      </c>
      <c r="E39" s="194">
        <f>E13+E26</f>
        <v/>
      </c>
    </row>
    <row r="40" ht="15" customHeight="1" s="180">
      <c r="A40" s="195" t="inlineStr">
        <is>
          <t>Net Operating Profit</t>
        </is>
      </c>
      <c r="B40" s="196">
        <f>B32-B33-B35-B36-B37-B38-B39</f>
        <v/>
      </c>
      <c r="C40" s="196">
        <f>C32-C33-C35-C36-C37-C38-C39</f>
        <v/>
      </c>
      <c r="D40" s="196">
        <f>D32-D33-D35-D36-D37-D38-D39</f>
        <v/>
      </c>
      <c r="E40" s="196">
        <f>E32-E33-E35-E36-E37-E38-E39</f>
        <v/>
      </c>
    </row>
    <row r="41" ht="15" customHeight="1" s="180">
      <c r="A41" s="179" t="inlineStr">
        <is>
          <t>NOP margin</t>
        </is>
      </c>
      <c r="B41" s="197">
        <f>B40/B32</f>
        <v/>
      </c>
      <c r="C41" s="197">
        <f>C40/C32</f>
        <v/>
      </c>
      <c r="D41" s="197">
        <f>D40/D32</f>
        <v/>
      </c>
      <c r="E41" s="197">
        <f>E40/E32</f>
        <v/>
      </c>
    </row>
    <row r="43" ht="15" customHeight="1" s="180">
      <c r="A43" s="190" t="inlineStr">
        <is>
          <t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79" min="1" max="1"/>
    <col width="16" customWidth="1" style="179" min="2" max="6"/>
  </cols>
  <sheetData>
    <row r="1" ht="17.25" customHeight="1" s="180">
      <c r="A1" s="181" t="inlineStr">
        <is>
          <t>2026 CHANGE RECONCILIATION</t>
        </is>
      </c>
      <c r="B1" s="198" t="n"/>
      <c r="C1" s="198" t="n"/>
      <c r="D1" s="198" t="n"/>
      <c r="E1" s="198" t="n"/>
      <c r="F1" s="198" t="n"/>
      <c r="G1" s="198" t="n"/>
      <c r="H1" s="198" t="n"/>
    </row>
    <row r="2" ht="15" customHeight="1" s="180">
      <c r="A2" s="182" t="inlineStr">
        <is>
          <t>Unmodified Act/For → Modified 2026 · driven by the monthly Modified tabs (levers gated by each tab's go-live date input)</t>
        </is>
      </c>
      <c r="B2" s="198" t="n"/>
      <c r="C2" s="198" t="n"/>
      <c r="D2" s="198" t="n"/>
      <c r="E2" s="198" t="n"/>
      <c r="F2" s="198" t="n"/>
      <c r="G2" s="198" t="n"/>
      <c r="H2" s="198" t="n"/>
    </row>
    <row r="3" ht="15" customHeight="1" s="180">
      <c r="A3" s="198" t="n"/>
      <c r="B3" s="198" t="n"/>
      <c r="C3" s="198" t="n"/>
      <c r="D3" s="198" t="n"/>
      <c r="E3" s="198" t="n"/>
      <c r="F3" s="198" t="n"/>
      <c r="G3" s="198" t="n"/>
      <c r="H3" s="198" t="n"/>
    </row>
    <row r="4" ht="15" customHeight="1" s="180">
      <c r="A4" s="183" t="n"/>
      <c r="B4" s="183" t="inlineStr">
        <is>
          <t>Unmodified 2026 NOP</t>
        </is>
      </c>
      <c r="C4" s="183" t="inlineStr">
        <is>
          <t>Δ from changes</t>
        </is>
      </c>
      <c r="D4" s="183" t="inlineStr">
        <is>
          <t>MODIFIED 2026 NOP</t>
        </is>
      </c>
      <c r="E4" s="183" t="inlineStr">
        <is>
          <t>Go-live</t>
        </is>
      </c>
      <c r="F4" s="198" t="n"/>
      <c r="G4" s="198" t="n"/>
      <c r="H4" s="198" t="n"/>
    </row>
    <row r="5" ht="15" customHeight="1" s="180">
      <c r="A5" s="199" t="inlineStr">
        <is>
          <t>Little Wing</t>
        </is>
      </c>
      <c r="B5" s="200">
        <f>'LW 2026 P&amp;L'!$AB$55</f>
        <v/>
      </c>
      <c r="C5" s="200">
        <f>'LW 2026 Modified'!$AB$62-'LW 2026 P&amp;L'!$AB$55</f>
        <v/>
      </c>
      <c r="D5" s="200">
        <f>'LW 2026 Modified'!$AB$62</f>
        <v/>
      </c>
      <c r="E5" s="201">
        <f>'LW 2026 Modified'!$C$4</f>
        <v/>
      </c>
      <c r="F5" s="202" t="n"/>
      <c r="G5" s="198" t="n"/>
      <c r="H5" s="198" t="n"/>
    </row>
    <row r="6" ht="15" customHeight="1" s="180">
      <c r="A6" s="184" t="inlineStr">
        <is>
          <t>Vessel</t>
        </is>
      </c>
      <c r="B6" s="203">
        <f>'Vessel 2026 P&amp;L'!$AB$55</f>
        <v/>
      </c>
      <c r="C6" s="203">
        <f>'Vessel 2026 Modified'!$AB$62-'Vessel 2026 P&amp;L'!$AB$55</f>
        <v/>
      </c>
      <c r="D6" s="203">
        <f>'Vessel 2026 Modified'!$AB$62</f>
        <v/>
      </c>
      <c r="E6" s="204">
        <f>'Vessel 2026 Modified'!$C$4</f>
        <v/>
      </c>
      <c r="F6" s="205" t="n"/>
      <c r="G6" s="198" t="n"/>
      <c r="H6" s="198" t="n"/>
    </row>
    <row r="7" ht="15" customHeight="1" s="180">
      <c r="A7" s="185" t="inlineStr">
        <is>
          <t>COMBINED</t>
        </is>
      </c>
      <c r="B7" s="206">
        <f>B5+B6</f>
        <v/>
      </c>
      <c r="C7" s="206">
        <f>C5+C6</f>
        <v/>
      </c>
      <c r="D7" s="206">
        <f>D5+D6</f>
        <v/>
      </c>
      <c r="E7" s="205" t="n"/>
      <c r="F7" s="205" t="n"/>
      <c r="G7" s="198" t="n"/>
      <c r="H7" s="198" t="n"/>
    </row>
    <row r="8" ht="15" customHeight="1" s="180">
      <c r="A8" s="198" t="n"/>
      <c r="B8" s="207" t="n"/>
      <c r="C8" s="198" t="n"/>
      <c r="D8" s="208" t="n"/>
      <c r="E8" s="205" t="n"/>
      <c r="F8" s="205" t="n"/>
      <c r="G8" s="198" t="n"/>
      <c r="H8" s="198" t="n"/>
    </row>
    <row r="9" ht="15" customHeight="1" s="180">
      <c r="A9" s="185" t="inlineStr">
        <is>
          <t>LEVERS IN THE MODIFIED MONTHS (edit on LW Assumptions / LW Menu Pricing / Vessel Assumptions):</t>
        </is>
      </c>
      <c r="B9" s="207" t="n"/>
      <c r="C9" s="198" t="n"/>
      <c r="D9" s="208" t="n"/>
      <c r="E9" s="205" t="n"/>
      <c r="F9" s="205" t="n"/>
      <c r="G9" s="198" t="n"/>
      <c r="H9" s="198" t="n"/>
    </row>
    <row r="10" ht="15" customHeight="1" s="180">
      <c r="A10" s="184" t="inlineStr">
        <is>
          <t>LW — Single-shift staffing: FOH 6:30am–4pm (C20) + wknd 2nd barista (C21) @ $20/hr (C23) + BOH cook $296/wk (C26) + GL mgmt labor kept</t>
        </is>
      </c>
      <c r="B10" s="207" t="n"/>
      <c r="C10" s="198" t="n"/>
      <c r="D10" s="208" t="n"/>
      <c r="E10" s="205" t="n"/>
      <c r="F10" s="205" t="n"/>
      <c r="G10" s="198" t="n"/>
      <c r="H10" s="198" t="n"/>
    </row>
    <row r="11" ht="15" customHeight="1" s="180">
      <c r="A11" s="184" t="inlineStr">
        <is>
          <t>LW — Menu pricing uplift (item-level, LW Menu Pricing) × capture % → Food/NA lines, pure margin</t>
        </is>
      </c>
      <c r="B11" s="207" t="n"/>
      <c r="C11" s="198" t="n"/>
      <c r="D11" s="208" t="n"/>
      <c r="E11" s="205" t="n"/>
      <c r="F11" s="205" t="n"/>
      <c r="G11" s="198" t="n"/>
      <c r="H11" s="198" t="n"/>
    </row>
    <row r="12" ht="15" customHeight="1" s="180">
      <c r="A12" s="184" t="inlineStr">
        <is>
          <t>LW — Retail: existing-base uplift (C46) + new programming $ (C36) with programming COGS % (C37)</t>
        </is>
      </c>
      <c r="B12" s="207" t="n"/>
      <c r="C12" s="198" t="n"/>
      <c r="D12" s="208" t="n"/>
      <c r="E12" s="205" t="n"/>
      <c r="F12" s="205" t="n"/>
      <c r="G12" s="198" t="n"/>
      <c r="H12" s="198" t="n"/>
    </row>
    <row r="13" ht="15" customHeight="1" s="180">
      <c r="A13" s="184" t="inlineStr">
        <is>
          <t>LW — Management fee: $4,000/mo → 4% of revenue (C40) · rent WAIVED (C41=0%) · CC 2.5% on added revenue (C31)</t>
        </is>
      </c>
      <c r="B13" s="207" t="n"/>
      <c r="C13" s="198" t="n"/>
      <c r="D13" s="208" t="n"/>
      <c r="E13" s="205" t="n"/>
      <c r="F13" s="205" t="n"/>
      <c r="G13" s="198" t="n"/>
      <c r="H13" s="198" t="n"/>
    </row>
    <row r="14" ht="15" customHeight="1" s="180">
      <c r="A14" s="184" t="inlineStr">
        <is>
          <t>Vessel — Management fee: $4,000/mo → 4% of revenue (C30) · rent waived (C31=0%) · NEW 5% admin fee on F&amp;B billed to clients → Other Operating Income (C32)</t>
        </is>
      </c>
      <c r="B14" s="198" t="n"/>
      <c r="C14" s="198" t="n"/>
      <c r="D14" s="198" t="n"/>
      <c r="E14" s="198" t="n"/>
      <c r="F14" s="205" t="n"/>
      <c r="G14" s="198" t="n"/>
      <c r="H14" s="198" t="n"/>
    </row>
    <row r="15" ht="15" customHeight="1" s="180">
      <c r="A15" s="184" t="inlineStr">
        <is>
          <t>LW — Programming: 2x/month activations assumed to sustain ~$500/wk of traffic ALREADY included in the revenue base (no incremental revenue modeled)</t>
        </is>
      </c>
      <c r="B15" s="198" t="n"/>
      <c r="C15" s="198" t="n"/>
      <c r="D15" s="198" t="n"/>
      <c r="E15" s="198" t="n"/>
      <c r="F15" s="198" t="n"/>
      <c r="G15" s="198" t="n"/>
      <c r="H15" s="198" t="n"/>
    </row>
    <row r="16" ht="15" customHeight="1" s="180">
      <c r="A16" s="184" t="inlineStr">
        <is>
          <t>LW — Cleanup levers (v23): food COGS → 40% of food sales · G&amp;A-unc → 4.5% of revenue · discounts &amp; comps → 2.5% of gross · retail COGS → 42% (LW Assumptions C51–C53, Retail Plan col D)</t>
        </is>
      </c>
      <c r="B16" s="198" t="n"/>
      <c r="C16" s="198" t="n"/>
      <c r="D16" s="198" t="n"/>
      <c r="E16" s="198" t="n"/>
      <c r="F16" s="198" t="n"/>
      <c r="G16" s="198" t="n"/>
      <c r="H16" s="198" t="n"/>
    </row>
    <row r="17" ht="15" customHeight="1" s="180">
      <c r="A17" s="198" t="n"/>
      <c r="B17" s="198" t="n"/>
      <c r="C17" s="198" t="n"/>
      <c r="D17" s="198" t="n"/>
      <c r="E17" s="198" t="n"/>
      <c r="F17" s="198" t="n"/>
      <c r="G17" s="198" t="n"/>
      <c r="H17" s="198" t="n"/>
    </row>
    <row r="18" ht="15" customHeight="1" s="180">
      <c r="A18" s="183" t="inlineStr">
        <is>
          <t>AUG–DEC 2026 — IMMEDIATE IMPACT OF THE CHANGES (8/1 go-live → year-end)</t>
        </is>
      </c>
      <c r="B18" s="183" t="inlineStr">
        <is>
          <t>Without changes</t>
        </is>
      </c>
      <c r="C18" s="183" t="inlineStr">
        <is>
          <t>With changes</t>
        </is>
      </c>
      <c r="D18" s="183" t="inlineStr">
        <is>
          <t>Impact</t>
        </is>
      </c>
      <c r="E18" s="198" t="n"/>
      <c r="F18" s="205" t="n"/>
      <c r="G18" s="198" t="n"/>
      <c r="H18" s="198" t="n"/>
    </row>
    <row r="19" ht="15" customHeight="1" s="180">
      <c r="A19" s="184" t="inlineStr">
        <is>
          <t>Little Wing</t>
        </is>
      </c>
      <c r="B19" s="203">
        <f>'LW 2026 P&amp;L'!Q55+'LW 2026 P&amp;L'!S55+'LW 2026 P&amp;L'!U55+'LW 2026 P&amp;L'!W55+'LW 2026 P&amp;L'!Y55</f>
        <v/>
      </c>
      <c r="C19" s="203">
        <f>'LW 2026 Modified'!Q62+'LW 2026 Modified'!S62+'LW 2026 Modified'!U62+'LW 2026 Modified'!W62+'LW 2026 Modified'!Y62</f>
        <v/>
      </c>
      <c r="D19" s="203">
        <f>C19-B19</f>
        <v/>
      </c>
      <c r="E19" s="198" t="n"/>
      <c r="F19" s="205" t="n"/>
      <c r="G19" s="198" t="n"/>
      <c r="H19" s="198" t="n"/>
    </row>
    <row r="20" ht="15" customHeight="1" s="180">
      <c r="A20" s="184" t="inlineStr">
        <is>
          <t>Vessel</t>
        </is>
      </c>
      <c r="B20" s="203">
        <f>'Vessel 2026 P&amp;L'!Q55+'Vessel 2026 P&amp;L'!S55+'Vessel 2026 P&amp;L'!U55+'Vessel 2026 P&amp;L'!W55+'Vessel 2026 P&amp;L'!Y55</f>
        <v/>
      </c>
      <c r="C20" s="203">
        <f>'Vessel 2026 Modified'!Q62+'Vessel 2026 Modified'!S62+'Vessel 2026 Modified'!U62+'Vessel 2026 Modified'!W62+'Vessel 2026 Modified'!Y62</f>
        <v/>
      </c>
      <c r="D20" s="203">
        <f>C20-B20</f>
        <v/>
      </c>
      <c r="E20" s="198" t="n"/>
      <c r="F20" s="205" t="n"/>
      <c r="G20" s="198" t="n"/>
      <c r="H20" s="198" t="n"/>
    </row>
    <row r="21" ht="15" customHeight="1" s="180">
      <c r="A21" s="185" t="inlineStr">
        <is>
          <t>COMBINED</t>
        </is>
      </c>
      <c r="B21" s="206">
        <f>B19+B20</f>
        <v/>
      </c>
      <c r="C21" s="206">
        <f>C19+C20</f>
        <v/>
      </c>
      <c r="D21" s="206">
        <f>C21-B21</f>
        <v/>
      </c>
      <c r="E21" s="198" t="n"/>
      <c r="F21" s="198" t="n"/>
      <c r="G21" s="198" t="n"/>
      <c r="H21" s="198" t="n"/>
    </row>
    <row r="22" ht="15" customHeight="1" s="180">
      <c r="A22" s="198" t="n"/>
      <c r="B22" s="198" t="n"/>
      <c r="C22" s="198" t="n"/>
      <c r="D22" s="198" t="n"/>
      <c r="E22" s="198" t="n"/>
      <c r="F22" s="205" t="n"/>
      <c r="G22" s="198" t="n"/>
      <c r="H22" s="198" t="n"/>
    </row>
    <row r="23" ht="15" customHeight="1" s="180">
      <c r="A23" s="198" t="n"/>
      <c r="B23" s="198" t="n"/>
      <c r="C23" s="198" t="n"/>
      <c r="D23" s="198" t="n"/>
      <c r="E23" s="198" t="n"/>
      <c r="F23" s="205" t="n"/>
      <c r="G23" s="198" t="n"/>
      <c r="H23" s="198" t="n"/>
    </row>
    <row r="24" ht="15" customHeight="1" s="180">
      <c r="A24" s="198" t="n"/>
      <c r="B24" s="198" t="n"/>
      <c r="C24" s="198" t="n"/>
      <c r="D24" s="198" t="n"/>
      <c r="E24" s="198" t="n"/>
      <c r="F24" s="205" t="n"/>
      <c r="G24" s="198" t="n"/>
      <c r="H24" s="198" t="n"/>
    </row>
    <row r="25" ht="15" customHeight="1" s="180">
      <c r="A25" s="198" t="n"/>
      <c r="B25" s="198" t="n"/>
      <c r="C25" s="198" t="n"/>
      <c r="D25" s="198" t="n"/>
      <c r="E25" s="198" t="n"/>
      <c r="F25" s="198" t="n"/>
      <c r="G25" s="198" t="n"/>
      <c r="H25" s="198" t="n"/>
    </row>
    <row r="26" ht="15" customHeight="1" s="180">
      <c r="A26" s="198" t="n"/>
      <c r="B26" s="198" t="n"/>
      <c r="C26" s="198" t="n"/>
      <c r="D26" s="198" t="n"/>
      <c r="E26" s="198" t="n"/>
      <c r="F26" s="205" t="n"/>
      <c r="G26" s="198" t="n"/>
      <c r="H26" s="19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Method Terrapin</t>
        </is>
      </c>
    </row>
    <row r="2" ht="15" customHeight="1" s="180">
      <c r="A2" s="181" t="inlineStr">
        <is>
          <t>Consolidated Profit &amp; Loss — FY 2027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Vessel</t>
        </is>
      </c>
      <c r="E5" s="209" t="n"/>
      <c r="F5" s="209" t="inlineStr">
        <is>
          <t>Little Wing</t>
        </is>
      </c>
      <c r="H5" s="209" t="n"/>
      <c r="I5" s="209" t="inlineStr">
        <is>
          <t>Consolidated</t>
        </is>
      </c>
    </row>
    <row r="6" ht="15" customHeight="1" s="180">
      <c r="C6" s="210" t="inlineStr">
        <is>
          <t>FY 2027</t>
        </is>
      </c>
      <c r="E6" s="210" t="n"/>
      <c r="F6" s="210" t="inlineStr">
        <is>
          <t>FY 2027</t>
        </is>
      </c>
      <c r="H6" s="210" t="n"/>
      <c r="I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Budget'!$AB$12</f>
        <v/>
      </c>
      <c r="D12" s="211">
        <f>IFERROR(C12/C$20,0)</f>
        <v/>
      </c>
      <c r="F12" s="203">
        <f>'LW Budget'!$AB$12</f>
        <v/>
      </c>
      <c r="G12" s="211">
        <f>IFERROR(F12/F$20,0)</f>
        <v/>
      </c>
      <c r="I12" s="203">
        <f>C12+F12</f>
        <v/>
      </c>
      <c r="J12" s="211">
        <f>IFERROR(I12/I$20,0)</f>
        <v/>
      </c>
    </row>
    <row r="13" ht="15" customHeight="1" s="180">
      <c r="A13" s="184" t="inlineStr">
        <is>
          <t>Non-Alcoholic Beverage Sales</t>
        </is>
      </c>
      <c r="C13" s="203">
        <f>'Vessel Budget'!$AB$13</f>
        <v/>
      </c>
      <c r="D13" s="211">
        <f>IFERROR(C13/C$20,0)</f>
        <v/>
      </c>
      <c r="F13" s="203">
        <f>'LW Budget'!$AB$13</f>
        <v/>
      </c>
      <c r="G13" s="211">
        <f>IFERROR(F13/F$20,0)</f>
        <v/>
      </c>
      <c r="I13" s="203">
        <f>C13+F13</f>
        <v/>
      </c>
      <c r="J13" s="211">
        <f>IFERROR(I13/I$20,0)</f>
        <v/>
      </c>
    </row>
    <row r="14" ht="15" customHeight="1" s="180">
      <c r="A14" s="184" t="inlineStr">
        <is>
          <t>Liquor Sales</t>
        </is>
      </c>
      <c r="C14" s="203">
        <f>'Vessel Budget'!$AB$14</f>
        <v/>
      </c>
      <c r="D14" s="211">
        <f>IFERROR(C14/C$20,0)</f>
        <v/>
      </c>
      <c r="F14" s="203">
        <f>'LW Budget'!$AB$14</f>
        <v/>
      </c>
      <c r="G14" s="211">
        <f>IFERROR(F14/F$20,0)</f>
        <v/>
      </c>
      <c r="I14" s="203">
        <f>C14+F14</f>
        <v/>
      </c>
      <c r="J14" s="211">
        <f>IFERROR(I14/I$20,0)</f>
        <v/>
      </c>
    </row>
    <row r="15" ht="15" customHeight="1" s="180">
      <c r="A15" s="184" t="inlineStr">
        <is>
          <t>Beer Sales</t>
        </is>
      </c>
      <c r="C15" s="203">
        <f>'Vessel Budget'!$AB$15</f>
        <v/>
      </c>
      <c r="D15" s="211">
        <f>IFERROR(C15/C$20,0)</f>
        <v/>
      </c>
      <c r="F15" s="203">
        <f>'LW Budget'!$AB$15</f>
        <v/>
      </c>
      <c r="G15" s="211">
        <f>IFERROR(F15/F$20,0)</f>
        <v/>
      </c>
      <c r="I15" s="203">
        <f>C15+F15</f>
        <v/>
      </c>
      <c r="J15" s="211">
        <f>IFERROR(I15/I$20,0)</f>
        <v/>
      </c>
    </row>
    <row r="16" ht="15" customHeight="1" s="180">
      <c r="A16" s="184" t="inlineStr">
        <is>
          <t>Wine Sales</t>
        </is>
      </c>
      <c r="C16" s="203">
        <f>'Vessel Budget'!$AB$16</f>
        <v/>
      </c>
      <c r="D16" s="211">
        <f>IFERROR(C16/C$20,0)</f>
        <v/>
      </c>
      <c r="F16" s="203">
        <f>'LW Budget'!$AB$16</f>
        <v/>
      </c>
      <c r="G16" s="211">
        <f>IFERROR(F16/F$20,0)</f>
        <v/>
      </c>
      <c r="I16" s="203">
        <f>C16+F16</f>
        <v/>
      </c>
      <c r="J16" s="211">
        <f>IFERROR(I16/I$20,0)</f>
        <v/>
      </c>
    </row>
    <row r="17" ht="15" customHeight="1" s="180">
      <c r="A17" s="184" t="inlineStr">
        <is>
          <t>Retail / Merch Sales</t>
        </is>
      </c>
      <c r="C17" s="203">
        <f>'Vessel Budget'!$AB$17</f>
        <v/>
      </c>
      <c r="D17" s="211">
        <f>IFERROR(C17/C$20,0)</f>
        <v/>
      </c>
      <c r="F17" s="203">
        <f>'LW Budget'!$AB$17</f>
        <v/>
      </c>
      <c r="G17" s="211">
        <f>IFERROR(F17/F$20,0)</f>
        <v/>
      </c>
      <c r="I17" s="203">
        <f>C17+F17</f>
        <v/>
      </c>
      <c r="J17" s="211">
        <f>IFERROR(I17/I$20,0)</f>
        <v/>
      </c>
    </row>
    <row r="18" ht="15" customHeight="1" s="180">
      <c r="A18" s="184" t="inlineStr">
        <is>
          <t>Other Operating Income</t>
        </is>
      </c>
      <c r="C18" s="203">
        <f>'Vessel Budget'!$AB$18</f>
        <v/>
      </c>
      <c r="D18" s="211">
        <f>IFERROR(C18/C$20,0)</f>
        <v/>
      </c>
      <c r="F18" s="203">
        <f>'LW Budget'!$AB$18</f>
        <v/>
      </c>
      <c r="G18" s="211">
        <f>IFERROR(F18/F$20,0)</f>
        <v/>
      </c>
      <c r="I18" s="203">
        <f>C18+F18</f>
        <v/>
      </c>
      <c r="J18" s="211">
        <f>IFERROR(I18/I$20,0)</f>
        <v/>
      </c>
    </row>
    <row r="19" ht="15" customHeight="1" s="180">
      <c r="A19" s="184" t="inlineStr">
        <is>
          <t>Discounts &amp; Comps</t>
        </is>
      </c>
      <c r="C19" s="203">
        <f>'Vessel Budget'!$AB$19</f>
        <v/>
      </c>
      <c r="D19" s="211">
        <f>IFERROR(C19/C$20,0)</f>
        <v/>
      </c>
      <c r="F19" s="203">
        <f>'LW Budget'!$AB$19</f>
        <v/>
      </c>
      <c r="G19" s="211">
        <f>IFERROR(F19/F$20,0)</f>
        <v/>
      </c>
      <c r="I19" s="203">
        <f>C19+F19</f>
        <v/>
      </c>
      <c r="J19" s="211">
        <f>IFERROR(I19/I$20,0)</f>
        <v/>
      </c>
    </row>
    <row r="20" ht="15" customHeight="1" s="180">
      <c r="A20" s="185" t="inlineStr">
        <is>
          <t>Total Income</t>
        </is>
      </c>
      <c r="C20" s="206">
        <f>'Vessel Budget'!$AB$20</f>
        <v/>
      </c>
      <c r="D20" s="212">
        <f>IFERROR(C20/C$20,0)</f>
        <v/>
      </c>
      <c r="F20" s="206">
        <f>'LW Budget'!$AB$20</f>
        <v/>
      </c>
      <c r="G20" s="212">
        <f>IFERROR(F20/F$20,0)</f>
        <v/>
      </c>
      <c r="I20" s="206">
        <f>C20+F20</f>
        <v/>
      </c>
      <c r="J20" s="212">
        <f>IFERROR(I20/I$20,0)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Budget'!$AB$23</f>
        <v/>
      </c>
      <c r="D23" s="211">
        <f>IFERROR(C23/C$12,0)</f>
        <v/>
      </c>
      <c r="F23" s="203">
        <f>'LW Budget'!$AB$23</f>
        <v/>
      </c>
      <c r="G23" s="211">
        <f>IFERROR(F23/F$12,0)</f>
        <v/>
      </c>
      <c r="I23" s="203">
        <f>C23+F23</f>
        <v/>
      </c>
      <c r="J23" s="211">
        <f>IFERROR(I23/I$12,0)</f>
        <v/>
      </c>
    </row>
    <row r="24" ht="15" customHeight="1" s="180">
      <c r="A24" s="184" t="inlineStr">
        <is>
          <t>Non-Alcoholic Beverage Cost</t>
        </is>
      </c>
      <c r="C24" s="203">
        <f>'Vessel Budget'!$AB$24</f>
        <v/>
      </c>
      <c r="D24" s="211">
        <f>IFERROR(C24/C$13,0)</f>
        <v/>
      </c>
      <c r="F24" s="203">
        <f>'LW Budget'!$AB$24</f>
        <v/>
      </c>
      <c r="G24" s="211">
        <f>IFERROR(F24/F$13,0)</f>
        <v/>
      </c>
      <c r="I24" s="203">
        <f>C24+F24</f>
        <v/>
      </c>
      <c r="J24" s="211">
        <f>IFERROR(I24/I$13,0)</f>
        <v/>
      </c>
    </row>
    <row r="25" ht="15" customHeight="1" s="180">
      <c r="A25" s="184" t="inlineStr">
        <is>
          <t>Liquor Cost</t>
        </is>
      </c>
      <c r="C25" s="203">
        <f>'Vessel Budget'!$AB$25</f>
        <v/>
      </c>
      <c r="D25" s="211">
        <f>IFERROR(C25/C$14,0)</f>
        <v/>
      </c>
      <c r="F25" s="203">
        <f>'LW Budget'!$AB$25</f>
        <v/>
      </c>
      <c r="G25" s="211">
        <f>IFERROR(F25/F$14,0)</f>
        <v/>
      </c>
      <c r="I25" s="203">
        <f>C25+F25</f>
        <v/>
      </c>
      <c r="J25" s="211">
        <f>IFERROR(I25/I$14,0)</f>
        <v/>
      </c>
    </row>
    <row r="26" ht="15" customHeight="1" s="180">
      <c r="A26" s="184" t="inlineStr">
        <is>
          <t>Beer Cost</t>
        </is>
      </c>
      <c r="C26" s="203">
        <f>'Vessel Budget'!$AB$26</f>
        <v/>
      </c>
      <c r="D26" s="211">
        <f>IFERROR(C26/C$15,0)</f>
        <v/>
      </c>
      <c r="F26" s="203">
        <f>'LW Budget'!$AB$26</f>
        <v/>
      </c>
      <c r="G26" s="211">
        <f>IFERROR(F26/F$15,0)</f>
        <v/>
      </c>
      <c r="I26" s="203">
        <f>C26+F26</f>
        <v/>
      </c>
      <c r="J26" s="211">
        <f>IFERROR(I26/I$15,0)</f>
        <v/>
      </c>
    </row>
    <row r="27" ht="15" customHeight="1" s="180">
      <c r="A27" s="184" t="inlineStr">
        <is>
          <t>Wine/Sake Cost</t>
        </is>
      </c>
      <c r="C27" s="203">
        <f>'Vessel Budget'!$AB$27</f>
        <v/>
      </c>
      <c r="D27" s="211">
        <f>IFERROR(C27/C$16,0)</f>
        <v/>
      </c>
      <c r="F27" s="203">
        <f>'LW Budget'!$AB$27</f>
        <v/>
      </c>
      <c r="G27" s="211">
        <f>IFERROR(F27/F$16,0)</f>
        <v/>
      </c>
      <c r="I27" s="203">
        <f>C27+F27</f>
        <v/>
      </c>
      <c r="J27" s="211">
        <f>IFERROR(I27/I$16,0)</f>
        <v/>
      </c>
    </row>
    <row r="28" ht="15" customHeight="1" s="180">
      <c r="A28" s="184" t="inlineStr">
        <is>
          <t>Retail Cost</t>
        </is>
      </c>
      <c r="C28" s="203">
        <f>'Vessel Budget'!$AB$28</f>
        <v/>
      </c>
      <c r="D28" s="211">
        <f>IFERROR(C28/C$17,0)</f>
        <v/>
      </c>
      <c r="F28" s="203">
        <f>'LW Budget'!$AB$28</f>
        <v/>
      </c>
      <c r="G28" s="211">
        <f>IFERROR(F28/F$17,0)</f>
        <v/>
      </c>
      <c r="I28" s="203">
        <f>C28+F28</f>
        <v/>
      </c>
      <c r="J28" s="211">
        <f>IFERROR(I28/I$17,0)</f>
        <v/>
      </c>
    </row>
    <row r="29" ht="15" customHeight="1" s="180">
      <c r="A29" s="185" t="inlineStr">
        <is>
          <t>Total COGS</t>
        </is>
      </c>
      <c r="C29" s="206">
        <f>'Vessel Budget'!$AB$29</f>
        <v/>
      </c>
      <c r="D29" s="212">
        <f>IFERROR(C29/C$20,0)</f>
        <v/>
      </c>
      <c r="F29" s="206">
        <f>'LW Budget'!$AB$29</f>
        <v/>
      </c>
      <c r="G29" s="212">
        <f>IFERROR(F29/F$20,0)</f>
        <v/>
      </c>
      <c r="I29" s="206">
        <f>C29+F29</f>
        <v/>
      </c>
      <c r="J29" s="212">
        <f>IFERROR(I29/I$20,0)</f>
        <v/>
      </c>
    </row>
    <row r="30" ht="15" customHeight="1" s="180">
      <c r="A30" s="185" t="inlineStr">
        <is>
          <t>Gross Profit</t>
        </is>
      </c>
      <c r="C30" s="186">
        <f>'Vessel Budget'!$AB$30</f>
        <v/>
      </c>
      <c r="D30" s="187">
        <f>IFERROR(C30/C$20,0)</f>
        <v/>
      </c>
      <c r="F30" s="186">
        <f>'LW Budget'!$AB$30</f>
        <v/>
      </c>
      <c r="G30" s="187">
        <f>IFERROR(F30/F$20,0)</f>
        <v/>
      </c>
      <c r="I30" s="186">
        <f>C30+F30</f>
        <v/>
      </c>
      <c r="J30" s="187">
        <f>IFERROR(I30/I$20,0)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Budget'!$AB$33</f>
        <v/>
      </c>
      <c r="D33" s="211">
        <f>IFERROR(C33/C$20,0)</f>
        <v/>
      </c>
      <c r="F33" s="203">
        <f>'LW Budget'!$AB$33</f>
        <v/>
      </c>
      <c r="G33" s="211">
        <f>IFERROR(F33/F$20,0)</f>
        <v/>
      </c>
      <c r="I33" s="203">
        <f>C33+F33</f>
        <v/>
      </c>
      <c r="J33" s="211">
        <f>IFERROR(I33/I$20,0)</f>
        <v/>
      </c>
    </row>
    <row r="34" ht="15" customHeight="1" s="180">
      <c r="A34" s="184" t="inlineStr">
        <is>
          <t>Back of House Hourly Labor</t>
        </is>
      </c>
      <c r="C34" s="203">
        <f>'Vessel Budget'!$AB$34</f>
        <v/>
      </c>
      <c r="D34" s="211">
        <f>IFERROR(C34/C$20,0)</f>
        <v/>
      </c>
      <c r="F34" s="203">
        <f>'LW Budget'!$AB$34</f>
        <v/>
      </c>
      <c r="G34" s="211">
        <f>IFERROR(F34/F$20,0)</f>
        <v/>
      </c>
      <c r="I34" s="203">
        <f>C34+F34</f>
        <v/>
      </c>
      <c r="J34" s="211">
        <f>IFERROR(I34/I$20,0)</f>
        <v/>
      </c>
    </row>
    <row r="35" ht="15" customHeight="1" s="180">
      <c r="A35" s="184" t="inlineStr">
        <is>
          <t>Front of House Hourly Labor</t>
        </is>
      </c>
      <c r="C35" s="203">
        <f>'Vessel Budget'!$AB$35</f>
        <v/>
      </c>
      <c r="D35" s="211">
        <f>IFERROR(C35/C$20,0)</f>
        <v/>
      </c>
      <c r="F35" s="203">
        <f>'LW Budget'!$AB$35</f>
        <v/>
      </c>
      <c r="G35" s="211">
        <f>IFERROR(F35/F$20,0)</f>
        <v/>
      </c>
      <c r="I35" s="203">
        <f>C35+F35</f>
        <v/>
      </c>
      <c r="J35" s="211">
        <f>IFERROR(I35/I$20,0)</f>
        <v/>
      </c>
    </row>
    <row r="36" ht="15" customHeight="1" s="180">
      <c r="A36" s="184" t="inlineStr">
        <is>
          <t>Payroll Taxes &amp; Benefits</t>
        </is>
      </c>
      <c r="C36" s="203">
        <f>'Vessel Budget'!$AB$36</f>
        <v/>
      </c>
      <c r="D36" s="211">
        <f>IFERROR(C36/C$20,0)</f>
        <v/>
      </c>
      <c r="F36" s="203">
        <f>'LW Budget'!$AB$36</f>
        <v/>
      </c>
      <c r="G36" s="211">
        <f>IFERROR(F36/F$20,0)</f>
        <v/>
      </c>
      <c r="I36" s="203">
        <f>C36+F36</f>
        <v/>
      </c>
      <c r="J36" s="211">
        <f>IFERROR(I36/I$20,0)</f>
        <v/>
      </c>
    </row>
    <row r="37" ht="15" customHeight="1" s="180">
      <c r="A37" s="184" t="inlineStr">
        <is>
          <t>Bonus</t>
        </is>
      </c>
      <c r="C37" s="203">
        <f>'Vessel Budget'!$AB$37</f>
        <v/>
      </c>
      <c r="D37" s="211">
        <f>IFERROR(C37/C$20,0)</f>
        <v/>
      </c>
      <c r="F37" s="203">
        <f>'LW Budget'!$AB$37</f>
        <v/>
      </c>
      <c r="G37" s="211">
        <f>IFERROR(F37/F$20,0)</f>
        <v/>
      </c>
      <c r="I37" s="203">
        <f>C37+F37</f>
        <v/>
      </c>
      <c r="J37" s="211">
        <f>IFERROR(I37/I$20,0)</f>
        <v/>
      </c>
    </row>
    <row r="38" ht="15" customHeight="1" s="180">
      <c r="A38" s="185" t="inlineStr">
        <is>
          <t>Total Labor Cost</t>
        </is>
      </c>
      <c r="C38" s="206">
        <f>'Vessel Budget'!$AB$38</f>
        <v/>
      </c>
      <c r="D38" s="212">
        <f>IFERROR(C38/C$20,0)</f>
        <v/>
      </c>
      <c r="F38" s="206">
        <f>'LW Budget'!$AB$38</f>
        <v/>
      </c>
      <c r="G38" s="212">
        <f>IFERROR(F38/F$20,0)</f>
        <v/>
      </c>
      <c r="I38" s="206">
        <f>C38+F38</f>
        <v/>
      </c>
      <c r="J38" s="212">
        <f>IFERROR(I38/I$20,0)</f>
        <v/>
      </c>
    </row>
    <row r="40" ht="15" customHeight="1" s="180">
      <c r="A40" s="185" t="inlineStr">
        <is>
          <t>Prime Costs</t>
        </is>
      </c>
      <c r="C40" s="186">
        <f>'Vessel Budget'!$AB$40</f>
        <v/>
      </c>
      <c r="D40" s="187">
        <f>IFERROR(C40/C$20,0)</f>
        <v/>
      </c>
      <c r="F40" s="186">
        <f>'LW Budget'!$AB$40</f>
        <v/>
      </c>
      <c r="G40" s="187">
        <f>IFERROR(F40/F$20,0)</f>
        <v/>
      </c>
      <c r="I40" s="186">
        <f>C40+F40</f>
        <v/>
      </c>
      <c r="J40" s="187">
        <f>IFERROR(I40/I$20,0)</f>
        <v/>
      </c>
    </row>
    <row r="41" ht="15" customHeight="1" s="180">
      <c r="A41" s="185" t="inlineStr">
        <is>
          <t>Operating Profit</t>
        </is>
      </c>
      <c r="C41" s="186">
        <f>'Vessel Budget'!$AB$41</f>
        <v/>
      </c>
      <c r="D41" s="187">
        <f>IFERROR(C41/C$20,0)</f>
        <v/>
      </c>
      <c r="F41" s="186">
        <f>'LW Budget'!$AB$41</f>
        <v/>
      </c>
      <c r="G41" s="187">
        <f>IFERROR(F41/F$20,0)</f>
        <v/>
      </c>
      <c r="I41" s="186">
        <f>C41+F41</f>
        <v/>
      </c>
      <c r="J41" s="187">
        <f>IFERROR(I41/I$20,0)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Budget'!$AB$44</f>
        <v/>
      </c>
      <c r="D44" s="211">
        <f>IFERROR(C44/C$20,0)</f>
        <v/>
      </c>
      <c r="F44" s="203">
        <f>'LW Budget'!$AB$44</f>
        <v/>
      </c>
      <c r="G44" s="211">
        <f>IFERROR(F44/F$20,0)</f>
        <v/>
      </c>
      <c r="I44" s="203">
        <f>C44+F44</f>
        <v/>
      </c>
      <c r="J44" s="211">
        <f>IFERROR(I44/I$20,0)</f>
        <v/>
      </c>
    </row>
    <row r="45" ht="15" customHeight="1" s="180">
      <c r="A45" s="184" t="inlineStr">
        <is>
          <t>Music &amp; Entertainment</t>
        </is>
      </c>
      <c r="C45" s="203">
        <f>'Vessel Budget'!$AB$45</f>
        <v/>
      </c>
      <c r="D45" s="211">
        <f>IFERROR(C45/C$20,0)</f>
        <v/>
      </c>
      <c r="F45" s="203">
        <f>'LW Budget'!$AB$45</f>
        <v/>
      </c>
      <c r="G45" s="211">
        <f>IFERROR(F45/F$20,0)</f>
        <v/>
      </c>
      <c r="I45" s="203">
        <f>C45+F45</f>
        <v/>
      </c>
      <c r="J45" s="211">
        <f>IFERROR(I45/I$20,0)</f>
        <v/>
      </c>
    </row>
    <row r="46" ht="15" customHeight="1" s="180">
      <c r="A46" s="184" t="inlineStr">
        <is>
          <t>Marketing &amp; Advertising</t>
        </is>
      </c>
      <c r="C46" s="203">
        <f>'Vessel Budget'!$AB$46</f>
        <v/>
      </c>
      <c r="D46" s="211">
        <f>IFERROR(C46/C$20,0)</f>
        <v/>
      </c>
      <c r="F46" s="203">
        <f>'LW Budget'!$AB$46</f>
        <v/>
      </c>
      <c r="G46" s="211">
        <f>IFERROR(F46/F$20,0)</f>
        <v/>
      </c>
      <c r="I46" s="203">
        <f>C46+F46</f>
        <v/>
      </c>
      <c r="J46" s="211">
        <f>IFERROR(I46/I$20,0)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Budget'!$AB$47</f>
        <v/>
      </c>
      <c r="D47" s="211">
        <f>IFERROR(C47/C$20,0)</f>
        <v/>
      </c>
      <c r="F47" s="203">
        <f>'LW Budget'!$AB$47</f>
        <v/>
      </c>
      <c r="G47" s="211">
        <f>IFERROR(F47/F$20,0)</f>
        <v/>
      </c>
      <c r="I47" s="203">
        <f>C47+F47</f>
        <v/>
      </c>
      <c r="J47" s="211">
        <f>IFERROR(I47/I$20,0)</f>
        <v/>
      </c>
    </row>
    <row r="48" ht="15" customHeight="1" s="180">
      <c r="A48" s="184" t="inlineStr">
        <is>
          <t>Repairs &amp; Maintenance</t>
        </is>
      </c>
      <c r="C48" s="203">
        <f>'Vessel Budget'!$AB$48</f>
        <v/>
      </c>
      <c r="D48" s="211">
        <f>IFERROR(C48/C$20,0)</f>
        <v/>
      </c>
      <c r="F48" s="203">
        <f>'LW Budget'!$AB$48</f>
        <v/>
      </c>
      <c r="G48" s="211">
        <f>IFERROR(F48/F$20,0)</f>
        <v/>
      </c>
      <c r="I48" s="203">
        <f>C48+F48</f>
        <v/>
      </c>
      <c r="J48" s="211">
        <f>IFERROR(I48/I$20,0)</f>
        <v/>
      </c>
    </row>
    <row r="49" ht="15" customHeight="1" s="180">
      <c r="A49" s="184" t="inlineStr">
        <is>
          <t>Credit Card Fees</t>
        </is>
      </c>
      <c r="C49" s="203">
        <f>'Vessel Budget'!$AB$49</f>
        <v/>
      </c>
      <c r="D49" s="211">
        <f>IFERROR(C49/C$20,0)</f>
        <v/>
      </c>
      <c r="F49" s="203">
        <f>'LW Budget'!$AB$49</f>
        <v/>
      </c>
      <c r="G49" s="211">
        <f>IFERROR(F49/F$20,0)</f>
        <v/>
      </c>
      <c r="I49" s="203">
        <f>C49+F49</f>
        <v/>
      </c>
      <c r="J49" s="211">
        <f>IFERROR(I49/I$20,0)</f>
        <v/>
      </c>
    </row>
    <row r="50" ht="15" customHeight="1" s="180">
      <c r="A50" s="185" t="inlineStr">
        <is>
          <t>Total Controllable Expenses</t>
        </is>
      </c>
      <c r="C50" s="206">
        <f>'Vessel Budget'!$AB$50</f>
        <v/>
      </c>
      <c r="D50" s="212">
        <f>IFERROR(C50/C$20,0)</f>
        <v/>
      </c>
      <c r="F50" s="206">
        <f>'LW Budget'!$AB$50</f>
        <v/>
      </c>
      <c r="G50" s="212">
        <f>IFERROR(F50/F$20,0)</f>
        <v/>
      </c>
      <c r="I50" s="206">
        <f>C50+F50</f>
        <v/>
      </c>
      <c r="J50" s="212">
        <f>IFERROR(I50/I$20,0)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Budget'!$AB$53</f>
        <v/>
      </c>
      <c r="D53" s="211">
        <f>IFERROR(C53/C$20,0)</f>
        <v/>
      </c>
      <c r="F53" s="203">
        <f>'LW Budget'!$AB$53</f>
        <v/>
      </c>
      <c r="G53" s="211">
        <f>IFERROR(F53/F$20,0)</f>
        <v/>
      </c>
      <c r="I53" s="203">
        <f>C53+F53</f>
        <v/>
      </c>
      <c r="J53" s="211">
        <f>IFERROR(I53/I$20,0)</f>
        <v/>
      </c>
    </row>
    <row r="54" ht="15" customHeight="1" s="180">
      <c r="A54" s="184" t="inlineStr">
        <is>
          <t>Occupancy Cost</t>
        </is>
      </c>
      <c r="C54" s="203">
        <f>'Vessel Budget'!$AB$54</f>
        <v/>
      </c>
      <c r="D54" s="211">
        <f>IFERROR(C54/C$20,0)</f>
        <v/>
      </c>
      <c r="F54" s="203">
        <f>'LW Budget'!$AB$54</f>
        <v/>
      </c>
      <c r="G54" s="211">
        <f>IFERROR(F54/F$20,0)</f>
        <v/>
      </c>
      <c r="I54" s="203">
        <f>C54+F54</f>
        <v/>
      </c>
      <c r="J54" s="211">
        <f>IFERROR(I54/I$20,0)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Budget'!$AB$55</f>
        <v/>
      </c>
      <c r="D55" s="211">
        <f>IFERROR(C55/C$20,0)</f>
        <v/>
      </c>
      <c r="F55" s="203">
        <f>'LW Budget'!$AB$55</f>
        <v/>
      </c>
      <c r="G55" s="211">
        <f>IFERROR(F55/F$20,0)</f>
        <v/>
      </c>
      <c r="I55" s="203">
        <f>C55+F55</f>
        <v/>
      </c>
      <c r="J55" s="211">
        <f>IFERROR(I55/I$20,0)</f>
        <v/>
      </c>
    </row>
    <row r="56" ht="15" customHeight="1" s="180">
      <c r="A56" s="184" t="inlineStr">
        <is>
          <t>Management Fee</t>
        </is>
      </c>
      <c r="C56" s="203">
        <f>'Vessel Budget'!$AB$56</f>
        <v/>
      </c>
      <c r="D56" s="211">
        <f>IFERROR(C56/C$20,0)</f>
        <v/>
      </c>
      <c r="F56" s="203">
        <f>'LW Budget'!$AB$56</f>
        <v/>
      </c>
      <c r="G56" s="211">
        <f>IFERROR(F56/F$20,0)</f>
        <v/>
      </c>
      <c r="I56" s="203">
        <f>C56+F56</f>
        <v/>
      </c>
      <c r="J56" s="211">
        <f>IFERROR(I56/I$20,0)</f>
        <v/>
      </c>
    </row>
    <row r="57" ht="15" customHeight="1" s="180">
      <c r="A57" s="184" t="inlineStr">
        <is>
          <t>Admin Fee (5% of F&amp;B)</t>
        </is>
      </c>
      <c r="C57" s="203">
        <f>'Vessel Budget'!$AB$57</f>
        <v/>
      </c>
      <c r="D57" s="211">
        <f>IFERROR(C57/C$20,0)</f>
        <v/>
      </c>
      <c r="F57" s="203">
        <f>'LW Budget'!$AB$57</f>
        <v/>
      </c>
      <c r="G57" s="211">
        <f>IFERROR(F57/F$20,0)</f>
        <v/>
      </c>
      <c r="I57" s="203">
        <f>C57+F57</f>
        <v/>
      </c>
      <c r="J57" s="211">
        <f>IFERROR(I57/I$20,0)</f>
        <v/>
      </c>
    </row>
    <row r="58" ht="15" customHeight="1" s="180">
      <c r="A58" s="184" t="inlineStr">
        <is>
          <t>Owner Fee</t>
        </is>
      </c>
      <c r="C58" s="203">
        <f>'Vessel Budget'!$AB$58</f>
        <v/>
      </c>
      <c r="D58" s="211">
        <f>IFERROR(C58/C$20,0)</f>
        <v/>
      </c>
      <c r="F58" s="203">
        <f>'LW Budget'!$AB$58</f>
        <v/>
      </c>
      <c r="G58" s="211">
        <f>IFERROR(F58/F$20,0)</f>
        <v/>
      </c>
      <c r="I58" s="203">
        <f>C58+F58</f>
        <v/>
      </c>
      <c r="J58" s="211">
        <f>IFERROR(I58/I$20,0)</f>
        <v/>
      </c>
    </row>
    <row r="59" ht="15" customHeight="1" s="180">
      <c r="A59" s="184" t="inlineStr">
        <is>
          <t>Business Taxes</t>
        </is>
      </c>
      <c r="C59" s="203">
        <f>'Vessel Budget'!$AB$59</f>
        <v/>
      </c>
      <c r="D59" s="211">
        <f>IFERROR(C59/C$20,0)</f>
        <v/>
      </c>
      <c r="F59" s="203">
        <f>'LW Budget'!$AB$59</f>
        <v/>
      </c>
      <c r="G59" s="211">
        <f>IFERROR(F59/F$20,0)</f>
        <v/>
      </c>
      <c r="I59" s="203">
        <f>C59+F59</f>
        <v/>
      </c>
      <c r="J59" s="211">
        <f>IFERROR(I59/I$20,0)</f>
        <v/>
      </c>
    </row>
    <row r="60" ht="15" customHeight="1" s="180">
      <c r="A60" s="185" t="inlineStr">
        <is>
          <t>Total Uncontrollable Expenses</t>
        </is>
      </c>
      <c r="C60" s="206">
        <f>'Vessel Budget'!$AB$60</f>
        <v/>
      </c>
      <c r="D60" s="212">
        <f>IFERROR(C60/C$20,0)</f>
        <v/>
      </c>
      <c r="F60" s="206">
        <f>'LW Budget'!$AB$60</f>
        <v/>
      </c>
      <c r="G60" s="212">
        <f>IFERROR(F60/F$20,0)</f>
        <v/>
      </c>
      <c r="I60" s="206">
        <f>C60+F60</f>
        <v/>
      </c>
      <c r="J60" s="212">
        <f>IFERROR(I60/I$20,0)</f>
        <v/>
      </c>
    </row>
    <row r="62" ht="15" customHeight="1" s="180">
      <c r="A62" s="185" t="inlineStr">
        <is>
          <t>Net Operating Profit Before Debt Service</t>
        </is>
      </c>
      <c r="C62" s="206">
        <f>'Vessel Budget'!$AB$62</f>
        <v/>
      </c>
      <c r="D62" s="212">
        <f>IFERROR(C62/C$20,0)</f>
        <v/>
      </c>
      <c r="F62" s="206">
        <f>'LW Budget'!$AB$62</f>
        <v/>
      </c>
      <c r="G62" s="212">
        <f>IFERROR(F62/F$20,0)</f>
        <v/>
      </c>
      <c r="I62" s="206">
        <f>C62+F62</f>
        <v/>
      </c>
      <c r="J62" s="212">
        <f>IFERROR(I62/I$20,0)</f>
        <v/>
      </c>
    </row>
    <row r="64" ht="15" customHeight="1" s="180">
      <c r="A64" s="184" t="inlineStr">
        <is>
          <t>Debt Service</t>
        </is>
      </c>
      <c r="C64" s="203">
        <f>'Vessel Budget'!$AB$64</f>
        <v/>
      </c>
      <c r="D64" s="211">
        <f>IFERROR(C64/C$20,0)</f>
        <v/>
      </c>
      <c r="F64" s="203">
        <f>'LW Budget'!$AB$64</f>
        <v/>
      </c>
      <c r="G64" s="211">
        <f>IFERROR(F64/F$20,0)</f>
        <v/>
      </c>
      <c r="I64" s="203">
        <f>C64+F64</f>
        <v/>
      </c>
      <c r="J64" s="211">
        <f>IFERROR(I64/I$20,0)</f>
        <v/>
      </c>
    </row>
    <row r="66" ht="15" customHeight="1" s="180">
      <c r="A66" s="185" t="inlineStr">
        <is>
          <t>Net Operating Profit After Debt Service</t>
        </is>
      </c>
      <c r="C66" s="186">
        <f>'Vessel Budget'!$AB$66</f>
        <v/>
      </c>
      <c r="D66" s="187">
        <f>IFERROR(C66/C$20,0)</f>
        <v/>
      </c>
      <c r="F66" s="186">
        <f>'LW Budget'!$AB$66</f>
        <v/>
      </c>
      <c r="G66" s="187">
        <f>IFERROR(F66/F$20,0)</f>
        <v/>
      </c>
      <c r="I66" s="186">
        <f>C66+F66</f>
        <v/>
      </c>
      <c r="J66" s="187">
        <f>IFERROR(I66/I$20,0)</f>
        <v/>
      </c>
    </row>
    <row r="68" ht="15" customHeight="1" s="180">
      <c r="A68" s="184" t="inlineStr">
        <is>
          <t>Other (Income) Expense</t>
        </is>
      </c>
      <c r="C68" s="203">
        <f>'Vessel Budget'!$AB$68</f>
        <v/>
      </c>
      <c r="D68" s="211">
        <f>IFERROR(C68/C$20,0)</f>
        <v/>
      </c>
      <c r="F68" s="203">
        <f>'LW Budget'!$AB$68</f>
        <v/>
      </c>
      <c r="G68" s="211">
        <f>IFERROR(F68/F$20,0)</f>
        <v/>
      </c>
      <c r="I68" s="203">
        <f>C68+F68</f>
        <v/>
      </c>
      <c r="J68" s="211">
        <f>IFERROR(I68/I$20,0)</f>
        <v/>
      </c>
    </row>
    <row r="69" ht="15" customHeight="1" s="180">
      <c r="A69" s="184" t="inlineStr">
        <is>
          <t>Reserve / CapEx</t>
        </is>
      </c>
      <c r="C69" s="203">
        <f>'Vessel Budget'!$AB$69</f>
        <v/>
      </c>
      <c r="D69" s="211">
        <f>IFERROR(C69/C$20,0)</f>
        <v/>
      </c>
      <c r="F69" s="203">
        <f>'LW Budget'!$AB$69</f>
        <v/>
      </c>
      <c r="G69" s="211">
        <f>IFERROR(F69/F$20,0)</f>
        <v/>
      </c>
      <c r="I69" s="203">
        <f>C69+F69</f>
        <v/>
      </c>
      <c r="J69" s="211">
        <f>IFERROR(I69/I$20,0)</f>
        <v/>
      </c>
    </row>
    <row r="70" ht="15" customHeight="1" s="180">
      <c r="A70" s="185" t="inlineStr">
        <is>
          <t>Net Cash Flow</t>
        </is>
      </c>
      <c r="C70" s="213">
        <f>'Vessel Budget'!$AB$70</f>
        <v/>
      </c>
      <c r="D70" s="214">
        <f>IFERROR(C70/C$20,0)</f>
        <v/>
      </c>
      <c r="F70" s="213">
        <f>'LW Budget'!$AB$70</f>
        <v/>
      </c>
      <c r="G70" s="214">
        <f>IFERROR(F70/F$20,0)</f>
        <v/>
      </c>
      <c r="I70" s="213">
        <f>C70+F70</f>
        <v/>
      </c>
      <c r="J70" s="214">
        <f>IFERROR(I70/I$20,0)</f>
        <v/>
      </c>
    </row>
    <row r="74" ht="15" customHeight="1" s="180">
      <c r="A74" s="183" t="inlineStr">
        <is>
          <t>NET OPERATING PROFIT BY MONTH</t>
        </is>
      </c>
      <c r="B74" s="215" t="n"/>
      <c r="C74" s="215" t="n"/>
      <c r="D74" s="215" t="n"/>
      <c r="E74" s="215" t="n"/>
      <c r="F74" s="215" t="n"/>
    </row>
    <row r="75" ht="15" customHeight="1" s="180">
      <c r="A75" s="185" t="inlineStr">
        <is>
          <t>Month</t>
        </is>
      </c>
      <c r="B75" s="185" t="inlineStr">
        <is>
          <t>Vessel</t>
        </is>
      </c>
      <c r="C75" s="185" t="inlineStr">
        <is>
          <t>Little Wing</t>
        </is>
      </c>
      <c r="D75" s="185" t="inlineStr">
        <is>
          <t>Consolidated</t>
        </is>
      </c>
      <c r="E75" s="185" t="inlineStr">
        <is>
          <t>Cumulative</t>
        </is>
      </c>
    </row>
    <row r="76" ht="15" customHeight="1" s="180">
      <c r="A76" s="184" t="inlineStr">
        <is>
          <t>Jan</t>
        </is>
      </c>
      <c r="B76" s="203">
        <f>'Vessel Budget'!C62</f>
        <v/>
      </c>
      <c r="C76" s="203">
        <f>'LW Budget'!C62</f>
        <v/>
      </c>
      <c r="D76" s="203">
        <f>B76+C76</f>
        <v/>
      </c>
      <c r="E76" s="203">
        <f>SUM($D$76:D76)</f>
        <v/>
      </c>
    </row>
    <row r="77" ht="15" customHeight="1" s="180">
      <c r="A77" s="184" t="inlineStr">
        <is>
          <t>Feb</t>
        </is>
      </c>
      <c r="B77" s="203">
        <f>'Vessel Budget'!E62</f>
        <v/>
      </c>
      <c r="C77" s="203">
        <f>'LW Budget'!E62</f>
        <v/>
      </c>
      <c r="D77" s="203">
        <f>B77+C77</f>
        <v/>
      </c>
      <c r="E77" s="203">
        <f>SUM($D$76:D77)</f>
        <v/>
      </c>
    </row>
    <row r="78" ht="15" customHeight="1" s="180">
      <c r="A78" s="184" t="inlineStr">
        <is>
          <t>Mar</t>
        </is>
      </c>
      <c r="B78" s="203">
        <f>'Vessel Budget'!G62</f>
        <v/>
      </c>
      <c r="C78" s="203">
        <f>'LW Budget'!G62</f>
        <v/>
      </c>
      <c r="D78" s="203">
        <f>B78+C78</f>
        <v/>
      </c>
      <c r="E78" s="203">
        <f>SUM($D$76:D78)</f>
        <v/>
      </c>
    </row>
    <row r="79" ht="15" customHeight="1" s="180">
      <c r="A79" s="184" t="inlineStr">
        <is>
          <t>Apr</t>
        </is>
      </c>
      <c r="B79" s="203">
        <f>'Vessel Budget'!I62</f>
        <v/>
      </c>
      <c r="C79" s="203">
        <f>'LW Budget'!I62</f>
        <v/>
      </c>
      <c r="D79" s="203">
        <f>B79+C79</f>
        <v/>
      </c>
      <c r="E79" s="203">
        <f>SUM($D$76:D79)</f>
        <v/>
      </c>
    </row>
    <row r="80" ht="15" customHeight="1" s="180">
      <c r="A80" s="184" t="inlineStr">
        <is>
          <t>May</t>
        </is>
      </c>
      <c r="B80" s="203">
        <f>'Vessel Budget'!K62</f>
        <v/>
      </c>
      <c r="C80" s="203">
        <f>'LW Budget'!K62</f>
        <v/>
      </c>
      <c r="D80" s="203">
        <f>B80+C80</f>
        <v/>
      </c>
      <c r="E80" s="203">
        <f>SUM($D$76:D80)</f>
        <v/>
      </c>
    </row>
    <row r="81" ht="15" customHeight="1" s="180">
      <c r="A81" s="184" t="inlineStr">
        <is>
          <t>Jun</t>
        </is>
      </c>
      <c r="B81" s="203">
        <f>'Vessel Budget'!M62</f>
        <v/>
      </c>
      <c r="C81" s="203">
        <f>'LW Budget'!M62</f>
        <v/>
      </c>
      <c r="D81" s="203">
        <f>B81+C81</f>
        <v/>
      </c>
      <c r="E81" s="203">
        <f>SUM($D$76:D81)</f>
        <v/>
      </c>
    </row>
    <row r="82" ht="15" customHeight="1" s="180">
      <c r="A82" s="184" t="inlineStr">
        <is>
          <t>Jul</t>
        </is>
      </c>
      <c r="B82" s="203">
        <f>'Vessel Budget'!O62</f>
        <v/>
      </c>
      <c r="C82" s="203">
        <f>'LW Budget'!O62</f>
        <v/>
      </c>
      <c r="D82" s="203">
        <f>B82+C82</f>
        <v/>
      </c>
      <c r="E82" s="203">
        <f>SUM($D$76:D82)</f>
        <v/>
      </c>
    </row>
    <row r="83" ht="15" customHeight="1" s="180">
      <c r="A83" s="184" t="inlineStr">
        <is>
          <t>Aug</t>
        </is>
      </c>
      <c r="B83" s="203">
        <f>'Vessel Budget'!Q62</f>
        <v/>
      </c>
      <c r="C83" s="203">
        <f>'LW Budget'!Q62</f>
        <v/>
      </c>
      <c r="D83" s="203">
        <f>B83+C83</f>
        <v/>
      </c>
      <c r="E83" s="203">
        <f>SUM($D$76:D83)</f>
        <v/>
      </c>
    </row>
    <row r="84" ht="15" customHeight="1" s="180">
      <c r="A84" s="184" t="inlineStr">
        <is>
          <t>Sep</t>
        </is>
      </c>
      <c r="B84" s="203">
        <f>'Vessel Budget'!S62</f>
        <v/>
      </c>
      <c r="C84" s="203">
        <f>'LW Budget'!S62</f>
        <v/>
      </c>
      <c r="D84" s="203">
        <f>B84+C84</f>
        <v/>
      </c>
      <c r="E84" s="203">
        <f>SUM($D$76:D84)</f>
        <v/>
      </c>
    </row>
    <row r="85" ht="15" customHeight="1" s="180">
      <c r="A85" s="184" t="inlineStr">
        <is>
          <t>Oct</t>
        </is>
      </c>
      <c r="B85" s="203">
        <f>'Vessel Budget'!U62</f>
        <v/>
      </c>
      <c r="C85" s="203">
        <f>'LW Budget'!U62</f>
        <v/>
      </c>
      <c r="D85" s="203">
        <f>B85+C85</f>
        <v/>
      </c>
      <c r="E85" s="203">
        <f>SUM($D$76:D85)</f>
        <v/>
      </c>
    </row>
    <row r="86" ht="15" customHeight="1" s="180">
      <c r="A86" s="184" t="inlineStr">
        <is>
          <t>Nov</t>
        </is>
      </c>
      <c r="B86" s="203">
        <f>'Vessel Budget'!W62</f>
        <v/>
      </c>
      <c r="C86" s="203">
        <f>'LW Budget'!W62</f>
        <v/>
      </c>
      <c r="D86" s="203">
        <f>B86+C86</f>
        <v/>
      </c>
      <c r="E86" s="203">
        <f>SUM($D$76:D86)</f>
        <v/>
      </c>
    </row>
    <row r="87" ht="15" customHeight="1" s="180">
      <c r="A87" s="184" t="inlineStr">
        <is>
          <t>Dec</t>
        </is>
      </c>
      <c r="B87" s="203">
        <f>'Vessel Budget'!Y62</f>
        <v/>
      </c>
      <c r="C87" s="203">
        <f>'LW Budget'!Y62</f>
        <v/>
      </c>
      <c r="D87" s="203">
        <f>B87+C87</f>
        <v/>
      </c>
      <c r="E87" s="203">
        <f>SUM($D$76:D87)</f>
        <v/>
      </c>
    </row>
    <row r="88" ht="15" customHeight="1" s="180">
      <c r="A88" s="185" t="inlineStr">
        <is>
          <t>FY 2027</t>
        </is>
      </c>
      <c r="B88" s="206">
        <f>SUM(B76:B87)</f>
        <v/>
      </c>
      <c r="C88" s="206">
        <f>SUM(C76:C87)</f>
        <v/>
      </c>
      <c r="D88" s="206">
        <f>SUM(D76:D87)</f>
        <v/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Method Terrapin — Combined</t>
        </is>
      </c>
    </row>
    <row r="2" ht="15" customHeight="1" s="180">
      <c r="A2" s="181" t="inlineStr">
        <is>
          <t>Profit &amp; Loss Budget — Vessel + Little Wing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(Vessel, budgeted)</t>
        </is>
      </c>
      <c r="C8" s="216">
        <f>'Vessel Budget'!C9</f>
        <v/>
      </c>
      <c r="E8" s="216">
        <f>'Vessel Budget'!E9</f>
        <v/>
      </c>
      <c r="G8" s="216">
        <f>'Vessel Budget'!G9</f>
        <v/>
      </c>
      <c r="I8" s="216">
        <f>'Vessel Budget'!I9</f>
        <v/>
      </c>
      <c r="K8" s="216">
        <f>'Vessel Budget'!K9</f>
        <v/>
      </c>
      <c r="M8" s="216">
        <f>'Vessel Budget'!M9</f>
        <v/>
      </c>
      <c r="O8" s="216">
        <f>'Vessel Budget'!O9</f>
        <v/>
      </c>
      <c r="Q8" s="216">
        <f>'Vessel Budget'!Q9</f>
        <v/>
      </c>
      <c r="S8" s="216">
        <f>'Vessel Budget'!S9</f>
        <v/>
      </c>
      <c r="U8" s="216">
        <f>'Vessel Budget'!U9</f>
        <v/>
      </c>
      <c r="W8" s="216">
        <f>'Vessel Budget'!W9</f>
        <v/>
      </c>
      <c r="Y8" s="216">
        <f>'Vessel Budget'!Y9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Budget'!C12+'LW Budget'!C12</f>
        <v/>
      </c>
      <c r="D12" s="211">
        <f>IFERROR(C12/C$20,0)</f>
        <v/>
      </c>
      <c r="E12" s="203">
        <f>'Vessel Budget'!E12+'LW Budget'!E12</f>
        <v/>
      </c>
      <c r="F12" s="211">
        <f>IFERROR(E12/E$20,0)</f>
        <v/>
      </c>
      <c r="G12" s="203">
        <f>'Vessel Budget'!G12+'LW Budget'!G12</f>
        <v/>
      </c>
      <c r="H12" s="211">
        <f>IFERROR(G12/G$20,0)</f>
        <v/>
      </c>
      <c r="I12" s="203">
        <f>'Vessel Budget'!I12+'LW Budget'!I12</f>
        <v/>
      </c>
      <c r="J12" s="211">
        <f>IFERROR(I12/I$20,0)</f>
        <v/>
      </c>
      <c r="K12" s="203">
        <f>'Vessel Budget'!K12+'LW Budget'!K12</f>
        <v/>
      </c>
      <c r="L12" s="211">
        <f>IFERROR(K12/K$20,0)</f>
        <v/>
      </c>
      <c r="M12" s="203">
        <f>'Vessel Budget'!M12+'LW Budget'!M12</f>
        <v/>
      </c>
      <c r="N12" s="211">
        <f>IFERROR(M12/M$20,0)</f>
        <v/>
      </c>
      <c r="O12" s="203">
        <f>'Vessel Budget'!O12+'LW Budget'!O12</f>
        <v/>
      </c>
      <c r="P12" s="211">
        <f>IFERROR(O12/O$20,0)</f>
        <v/>
      </c>
      <c r="Q12" s="203">
        <f>'Vessel Budget'!Q12+'LW Budget'!Q12</f>
        <v/>
      </c>
      <c r="R12" s="211">
        <f>IFERROR(Q12/Q$20,0)</f>
        <v/>
      </c>
      <c r="S12" s="203">
        <f>'Vessel Budget'!S12+'LW Budget'!S12</f>
        <v/>
      </c>
      <c r="T12" s="211">
        <f>IFERROR(S12/S$20,0)</f>
        <v/>
      </c>
      <c r="U12" s="203">
        <f>'Vessel Budget'!U12+'LW Budget'!U12</f>
        <v/>
      </c>
      <c r="V12" s="211">
        <f>IFERROR(U12/U$20,0)</f>
        <v/>
      </c>
      <c r="W12" s="203">
        <f>'Vessel Budget'!W12+'LW Budget'!W12</f>
        <v/>
      </c>
      <c r="X12" s="211">
        <f>IFERROR(W12/W$20,0)</f>
        <v/>
      </c>
      <c r="Y12" s="203">
        <f>'Vessel Budget'!Y12+'LW Budget'!Y12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Budget'!C13+'LW Budget'!C13</f>
        <v/>
      </c>
      <c r="D13" s="211">
        <f>IFERROR(C13/C$20,0)</f>
        <v/>
      </c>
      <c r="E13" s="203">
        <f>'Vessel Budget'!E13+'LW Budget'!E13</f>
        <v/>
      </c>
      <c r="F13" s="211">
        <f>IFERROR(E13/E$20,0)</f>
        <v/>
      </c>
      <c r="G13" s="203">
        <f>'Vessel Budget'!G13+'LW Budget'!G13</f>
        <v/>
      </c>
      <c r="H13" s="211">
        <f>IFERROR(G13/G$20,0)</f>
        <v/>
      </c>
      <c r="I13" s="203">
        <f>'Vessel Budget'!I13+'LW Budget'!I13</f>
        <v/>
      </c>
      <c r="J13" s="211">
        <f>IFERROR(I13/I$20,0)</f>
        <v/>
      </c>
      <c r="K13" s="203">
        <f>'Vessel Budget'!K13+'LW Budget'!K13</f>
        <v/>
      </c>
      <c r="L13" s="211">
        <f>IFERROR(K13/K$20,0)</f>
        <v/>
      </c>
      <c r="M13" s="203">
        <f>'Vessel Budget'!M13+'LW Budget'!M13</f>
        <v/>
      </c>
      <c r="N13" s="211">
        <f>IFERROR(M13/M$20,0)</f>
        <v/>
      </c>
      <c r="O13" s="203">
        <f>'Vessel Budget'!O13+'LW Budget'!O13</f>
        <v/>
      </c>
      <c r="P13" s="211">
        <f>IFERROR(O13/O$20,0)</f>
        <v/>
      </c>
      <c r="Q13" s="203">
        <f>'Vessel Budget'!Q13+'LW Budget'!Q13</f>
        <v/>
      </c>
      <c r="R13" s="211">
        <f>IFERROR(Q13/Q$20,0)</f>
        <v/>
      </c>
      <c r="S13" s="203">
        <f>'Vessel Budget'!S13+'LW Budget'!S13</f>
        <v/>
      </c>
      <c r="T13" s="211">
        <f>IFERROR(S13/S$20,0)</f>
        <v/>
      </c>
      <c r="U13" s="203">
        <f>'Vessel Budget'!U13+'LW Budget'!U13</f>
        <v/>
      </c>
      <c r="V13" s="211">
        <f>IFERROR(U13/U$20,0)</f>
        <v/>
      </c>
      <c r="W13" s="203">
        <f>'Vessel Budget'!W13+'LW Budget'!W13</f>
        <v/>
      </c>
      <c r="X13" s="211">
        <f>IFERROR(W13/W$20,0)</f>
        <v/>
      </c>
      <c r="Y13" s="203">
        <f>'Vessel Budget'!Y13+'LW Budget'!Y13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Budget'!C14+'LW Budget'!C14</f>
        <v/>
      </c>
      <c r="D14" s="211">
        <f>IFERROR(C14/C$20,0)</f>
        <v/>
      </c>
      <c r="E14" s="203">
        <f>'Vessel Budget'!E14+'LW Budget'!E14</f>
        <v/>
      </c>
      <c r="F14" s="211">
        <f>IFERROR(E14/E$20,0)</f>
        <v/>
      </c>
      <c r="G14" s="203">
        <f>'Vessel Budget'!G14+'LW Budget'!G14</f>
        <v/>
      </c>
      <c r="H14" s="211">
        <f>IFERROR(G14/G$20,0)</f>
        <v/>
      </c>
      <c r="I14" s="203">
        <f>'Vessel Budget'!I14+'LW Budget'!I14</f>
        <v/>
      </c>
      <c r="J14" s="211">
        <f>IFERROR(I14/I$20,0)</f>
        <v/>
      </c>
      <c r="K14" s="203">
        <f>'Vessel Budget'!K14+'LW Budget'!K14</f>
        <v/>
      </c>
      <c r="L14" s="211">
        <f>IFERROR(K14/K$20,0)</f>
        <v/>
      </c>
      <c r="M14" s="203">
        <f>'Vessel Budget'!M14+'LW Budget'!M14</f>
        <v/>
      </c>
      <c r="N14" s="211">
        <f>IFERROR(M14/M$20,0)</f>
        <v/>
      </c>
      <c r="O14" s="203">
        <f>'Vessel Budget'!O14+'LW Budget'!O14</f>
        <v/>
      </c>
      <c r="P14" s="211">
        <f>IFERROR(O14/O$20,0)</f>
        <v/>
      </c>
      <c r="Q14" s="203">
        <f>'Vessel Budget'!Q14+'LW Budget'!Q14</f>
        <v/>
      </c>
      <c r="R14" s="211">
        <f>IFERROR(Q14/Q$20,0)</f>
        <v/>
      </c>
      <c r="S14" s="203">
        <f>'Vessel Budget'!S14+'LW Budget'!S14</f>
        <v/>
      </c>
      <c r="T14" s="211">
        <f>IFERROR(S14/S$20,0)</f>
        <v/>
      </c>
      <c r="U14" s="203">
        <f>'Vessel Budget'!U14+'LW Budget'!U14</f>
        <v/>
      </c>
      <c r="V14" s="211">
        <f>IFERROR(U14/U$20,0)</f>
        <v/>
      </c>
      <c r="W14" s="203">
        <f>'Vessel Budget'!W14+'LW Budget'!W14</f>
        <v/>
      </c>
      <c r="X14" s="211">
        <f>IFERROR(W14/W$20,0)</f>
        <v/>
      </c>
      <c r="Y14" s="203">
        <f>'Vessel Budget'!Y14+'LW Budget'!Y14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Budget'!C15+'LW Budget'!C15</f>
        <v/>
      </c>
      <c r="D15" s="211">
        <f>IFERROR(C15/C$20,0)</f>
        <v/>
      </c>
      <c r="E15" s="203">
        <f>'Vessel Budget'!E15+'LW Budget'!E15</f>
        <v/>
      </c>
      <c r="F15" s="211">
        <f>IFERROR(E15/E$20,0)</f>
        <v/>
      </c>
      <c r="G15" s="203">
        <f>'Vessel Budget'!G15+'LW Budget'!G15</f>
        <v/>
      </c>
      <c r="H15" s="211">
        <f>IFERROR(G15/G$20,0)</f>
        <v/>
      </c>
      <c r="I15" s="203">
        <f>'Vessel Budget'!I15+'LW Budget'!I15</f>
        <v/>
      </c>
      <c r="J15" s="211">
        <f>IFERROR(I15/I$20,0)</f>
        <v/>
      </c>
      <c r="K15" s="203">
        <f>'Vessel Budget'!K15+'LW Budget'!K15</f>
        <v/>
      </c>
      <c r="L15" s="211">
        <f>IFERROR(K15/K$20,0)</f>
        <v/>
      </c>
      <c r="M15" s="203">
        <f>'Vessel Budget'!M15+'LW Budget'!M15</f>
        <v/>
      </c>
      <c r="N15" s="211">
        <f>IFERROR(M15/M$20,0)</f>
        <v/>
      </c>
      <c r="O15" s="203">
        <f>'Vessel Budget'!O15+'LW Budget'!O15</f>
        <v/>
      </c>
      <c r="P15" s="211">
        <f>IFERROR(O15/O$20,0)</f>
        <v/>
      </c>
      <c r="Q15" s="203">
        <f>'Vessel Budget'!Q15+'LW Budget'!Q15</f>
        <v/>
      </c>
      <c r="R15" s="211">
        <f>IFERROR(Q15/Q$20,0)</f>
        <v/>
      </c>
      <c r="S15" s="203">
        <f>'Vessel Budget'!S15+'LW Budget'!S15</f>
        <v/>
      </c>
      <c r="T15" s="211">
        <f>IFERROR(S15/S$20,0)</f>
        <v/>
      </c>
      <c r="U15" s="203">
        <f>'Vessel Budget'!U15+'LW Budget'!U15</f>
        <v/>
      </c>
      <c r="V15" s="211">
        <f>IFERROR(U15/U$20,0)</f>
        <v/>
      </c>
      <c r="W15" s="203">
        <f>'Vessel Budget'!W15+'LW Budget'!W15</f>
        <v/>
      </c>
      <c r="X15" s="211">
        <f>IFERROR(W15/W$20,0)</f>
        <v/>
      </c>
      <c r="Y15" s="203">
        <f>'Vessel Budget'!Y15+'LW Budget'!Y15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Budget'!C16+'LW Budget'!C16</f>
        <v/>
      </c>
      <c r="D16" s="211">
        <f>IFERROR(C16/C$20,0)</f>
        <v/>
      </c>
      <c r="E16" s="203">
        <f>'Vessel Budget'!E16+'LW Budget'!E16</f>
        <v/>
      </c>
      <c r="F16" s="211">
        <f>IFERROR(E16/E$20,0)</f>
        <v/>
      </c>
      <c r="G16" s="203">
        <f>'Vessel Budget'!G16+'LW Budget'!G16</f>
        <v/>
      </c>
      <c r="H16" s="211">
        <f>IFERROR(G16/G$20,0)</f>
        <v/>
      </c>
      <c r="I16" s="203">
        <f>'Vessel Budget'!I16+'LW Budget'!I16</f>
        <v/>
      </c>
      <c r="J16" s="211">
        <f>IFERROR(I16/I$20,0)</f>
        <v/>
      </c>
      <c r="K16" s="203">
        <f>'Vessel Budget'!K16+'LW Budget'!K16</f>
        <v/>
      </c>
      <c r="L16" s="211">
        <f>IFERROR(K16/K$20,0)</f>
        <v/>
      </c>
      <c r="M16" s="203">
        <f>'Vessel Budget'!M16+'LW Budget'!M16</f>
        <v/>
      </c>
      <c r="N16" s="211">
        <f>IFERROR(M16/M$20,0)</f>
        <v/>
      </c>
      <c r="O16" s="203">
        <f>'Vessel Budget'!O16+'LW Budget'!O16</f>
        <v/>
      </c>
      <c r="P16" s="211">
        <f>IFERROR(O16/O$20,0)</f>
        <v/>
      </c>
      <c r="Q16" s="203">
        <f>'Vessel Budget'!Q16+'LW Budget'!Q16</f>
        <v/>
      </c>
      <c r="R16" s="211">
        <f>IFERROR(Q16/Q$20,0)</f>
        <v/>
      </c>
      <c r="S16" s="203">
        <f>'Vessel Budget'!S16+'LW Budget'!S16</f>
        <v/>
      </c>
      <c r="T16" s="211">
        <f>IFERROR(S16/S$20,0)</f>
        <v/>
      </c>
      <c r="U16" s="203">
        <f>'Vessel Budget'!U16+'LW Budget'!U16</f>
        <v/>
      </c>
      <c r="V16" s="211">
        <f>IFERROR(U16/U$20,0)</f>
        <v/>
      </c>
      <c r="W16" s="203">
        <f>'Vessel Budget'!W16+'LW Budget'!W16</f>
        <v/>
      </c>
      <c r="X16" s="211">
        <f>IFERROR(W16/W$20,0)</f>
        <v/>
      </c>
      <c r="Y16" s="203">
        <f>'Vessel Budget'!Y16+'LW Budget'!Y16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>
        <f>'Vessel Budget'!C17+'LW Budget'!C17</f>
        <v/>
      </c>
      <c r="D17" s="211">
        <f>IFERROR(C17/C$20,0)</f>
        <v/>
      </c>
      <c r="E17" s="203">
        <f>'Vessel Budget'!E17+'LW Budget'!E17</f>
        <v/>
      </c>
      <c r="F17" s="211">
        <f>IFERROR(E17/E$20,0)</f>
        <v/>
      </c>
      <c r="G17" s="203">
        <f>'Vessel Budget'!G17+'LW Budget'!G17</f>
        <v/>
      </c>
      <c r="H17" s="211">
        <f>IFERROR(G17/G$20,0)</f>
        <v/>
      </c>
      <c r="I17" s="203">
        <f>'Vessel Budget'!I17+'LW Budget'!I17</f>
        <v/>
      </c>
      <c r="J17" s="211">
        <f>IFERROR(I17/I$20,0)</f>
        <v/>
      </c>
      <c r="K17" s="203">
        <f>'Vessel Budget'!K17+'LW Budget'!K17</f>
        <v/>
      </c>
      <c r="L17" s="211">
        <f>IFERROR(K17/K$20,0)</f>
        <v/>
      </c>
      <c r="M17" s="203">
        <f>'Vessel Budget'!M17+'LW Budget'!M17</f>
        <v/>
      </c>
      <c r="N17" s="211">
        <f>IFERROR(M17/M$20,0)</f>
        <v/>
      </c>
      <c r="O17" s="203">
        <f>'Vessel Budget'!O17+'LW Budget'!O17</f>
        <v/>
      </c>
      <c r="P17" s="211">
        <f>IFERROR(O17/O$20,0)</f>
        <v/>
      </c>
      <c r="Q17" s="203">
        <f>'Vessel Budget'!Q17+'LW Budget'!Q17</f>
        <v/>
      </c>
      <c r="R17" s="211">
        <f>IFERROR(Q17/Q$20,0)</f>
        <v/>
      </c>
      <c r="S17" s="203">
        <f>'Vessel Budget'!S17+'LW Budget'!S17</f>
        <v/>
      </c>
      <c r="T17" s="211">
        <f>IFERROR(S17/S$20,0)</f>
        <v/>
      </c>
      <c r="U17" s="203">
        <f>'Vessel Budget'!U17+'LW Budget'!U17</f>
        <v/>
      </c>
      <c r="V17" s="211">
        <f>IFERROR(U17/U$20,0)</f>
        <v/>
      </c>
      <c r="W17" s="203">
        <f>'Vessel Budget'!W17+'LW Budget'!W17</f>
        <v/>
      </c>
      <c r="X17" s="211">
        <f>IFERROR(W17/W$20,0)</f>
        <v/>
      </c>
      <c r="Y17" s="203">
        <f>'Vessel Budget'!Y17+'LW Budget'!Y17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'Vessel Budget'!C18+'LW Budget'!C18</f>
        <v/>
      </c>
      <c r="D18" s="211">
        <f>IFERROR(C18/C$20,0)</f>
        <v/>
      </c>
      <c r="E18" s="203">
        <f>'Vessel Budget'!E18+'LW Budget'!E18</f>
        <v/>
      </c>
      <c r="F18" s="211">
        <f>IFERROR(E18/E$20,0)</f>
        <v/>
      </c>
      <c r="G18" s="203">
        <f>'Vessel Budget'!G18+'LW Budget'!G18</f>
        <v/>
      </c>
      <c r="H18" s="211">
        <f>IFERROR(G18/G$20,0)</f>
        <v/>
      </c>
      <c r="I18" s="203">
        <f>'Vessel Budget'!I18+'LW Budget'!I18</f>
        <v/>
      </c>
      <c r="J18" s="211">
        <f>IFERROR(I18/I$20,0)</f>
        <v/>
      </c>
      <c r="K18" s="203">
        <f>'Vessel Budget'!K18+'LW Budget'!K18</f>
        <v/>
      </c>
      <c r="L18" s="211">
        <f>IFERROR(K18/K$20,0)</f>
        <v/>
      </c>
      <c r="M18" s="203">
        <f>'Vessel Budget'!M18+'LW Budget'!M18</f>
        <v/>
      </c>
      <c r="N18" s="211">
        <f>IFERROR(M18/M$20,0)</f>
        <v/>
      </c>
      <c r="O18" s="203">
        <f>'Vessel Budget'!O18+'LW Budget'!O18</f>
        <v/>
      </c>
      <c r="P18" s="211">
        <f>IFERROR(O18/O$20,0)</f>
        <v/>
      </c>
      <c r="Q18" s="203">
        <f>'Vessel Budget'!Q18+'LW Budget'!Q18</f>
        <v/>
      </c>
      <c r="R18" s="211">
        <f>IFERROR(Q18/Q$20,0)</f>
        <v/>
      </c>
      <c r="S18" s="203">
        <f>'Vessel Budget'!S18+'LW Budget'!S18</f>
        <v/>
      </c>
      <c r="T18" s="211">
        <f>IFERROR(S18/S$20,0)</f>
        <v/>
      </c>
      <c r="U18" s="203">
        <f>'Vessel Budget'!U18+'LW Budget'!U18</f>
        <v/>
      </c>
      <c r="V18" s="211">
        <f>IFERROR(U18/U$20,0)</f>
        <v/>
      </c>
      <c r="W18" s="203">
        <f>'Vessel Budget'!W18+'LW Budget'!W18</f>
        <v/>
      </c>
      <c r="X18" s="211">
        <f>IFERROR(W18/W$20,0)</f>
        <v/>
      </c>
      <c r="Y18" s="203">
        <f>'Vessel Budget'!Y18+'LW Budget'!Y18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Budget'!C19+'LW Budget'!C19</f>
        <v/>
      </c>
      <c r="D19" s="211">
        <f>IFERROR(C19/C$20,0)</f>
        <v/>
      </c>
      <c r="E19" s="203">
        <f>'Vessel Budget'!E19+'LW Budget'!E19</f>
        <v/>
      </c>
      <c r="F19" s="211">
        <f>IFERROR(E19/E$20,0)</f>
        <v/>
      </c>
      <c r="G19" s="203">
        <f>'Vessel Budget'!G19+'LW Budget'!G19</f>
        <v/>
      </c>
      <c r="H19" s="211">
        <f>IFERROR(G19/G$20,0)</f>
        <v/>
      </c>
      <c r="I19" s="203">
        <f>'Vessel Budget'!I19+'LW Budget'!I19</f>
        <v/>
      </c>
      <c r="J19" s="211">
        <f>IFERROR(I19/I$20,0)</f>
        <v/>
      </c>
      <c r="K19" s="203">
        <f>'Vessel Budget'!K19+'LW Budget'!K19</f>
        <v/>
      </c>
      <c r="L19" s="211">
        <f>IFERROR(K19/K$20,0)</f>
        <v/>
      </c>
      <c r="M19" s="203">
        <f>'Vessel Budget'!M19+'LW Budget'!M19</f>
        <v/>
      </c>
      <c r="N19" s="211">
        <f>IFERROR(M19/M$20,0)</f>
        <v/>
      </c>
      <c r="O19" s="203">
        <f>'Vessel Budget'!O19+'LW Budget'!O19</f>
        <v/>
      </c>
      <c r="P19" s="211">
        <f>IFERROR(O19/O$20,0)</f>
        <v/>
      </c>
      <c r="Q19" s="203">
        <f>'Vessel Budget'!Q19+'LW Budget'!Q19</f>
        <v/>
      </c>
      <c r="R19" s="211">
        <f>IFERROR(Q19/Q$20,0)</f>
        <v/>
      </c>
      <c r="S19" s="203">
        <f>'Vessel Budget'!S19+'LW Budget'!S19</f>
        <v/>
      </c>
      <c r="T19" s="211">
        <f>IFERROR(S19/S$20,0)</f>
        <v/>
      </c>
      <c r="U19" s="203">
        <f>'Vessel Budget'!U19+'LW Budget'!U19</f>
        <v/>
      </c>
      <c r="V19" s="211">
        <f>IFERROR(U19/U$20,0)</f>
        <v/>
      </c>
      <c r="W19" s="203">
        <f>'Vessel Budget'!W19+'LW Budget'!W19</f>
        <v/>
      </c>
      <c r="X19" s="211">
        <f>IFERROR(W19/W$20,0)</f>
        <v/>
      </c>
      <c r="Y19" s="203">
        <f>'Vessel Budget'!Y19+'LW Budget'!Y19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Budget'!C23+'LW Budget'!C23</f>
        <v/>
      </c>
      <c r="D23" s="211">
        <f>IFERROR(C23/C$12,0)</f>
        <v/>
      </c>
      <c r="E23" s="203">
        <f>'Vessel Budget'!E23+'LW Budget'!E23</f>
        <v/>
      </c>
      <c r="F23" s="211">
        <f>IFERROR(E23/E$12,0)</f>
        <v/>
      </c>
      <c r="G23" s="203">
        <f>'Vessel Budget'!G23+'LW Budget'!G23</f>
        <v/>
      </c>
      <c r="H23" s="211">
        <f>IFERROR(G23/G$12,0)</f>
        <v/>
      </c>
      <c r="I23" s="203">
        <f>'Vessel Budget'!I23+'LW Budget'!I23</f>
        <v/>
      </c>
      <c r="J23" s="211">
        <f>IFERROR(I23/I$12,0)</f>
        <v/>
      </c>
      <c r="K23" s="203">
        <f>'Vessel Budget'!K23+'LW Budget'!K23</f>
        <v/>
      </c>
      <c r="L23" s="211">
        <f>IFERROR(K23/K$12,0)</f>
        <v/>
      </c>
      <c r="M23" s="203">
        <f>'Vessel Budget'!M23+'LW Budget'!M23</f>
        <v/>
      </c>
      <c r="N23" s="211">
        <f>IFERROR(M23/M$12,0)</f>
        <v/>
      </c>
      <c r="O23" s="203">
        <f>'Vessel Budget'!O23+'LW Budget'!O23</f>
        <v/>
      </c>
      <c r="P23" s="211">
        <f>IFERROR(O23/O$12,0)</f>
        <v/>
      </c>
      <c r="Q23" s="203">
        <f>'Vessel Budget'!Q23+'LW Budget'!Q23</f>
        <v/>
      </c>
      <c r="R23" s="211">
        <f>IFERROR(Q23/Q$12,0)</f>
        <v/>
      </c>
      <c r="S23" s="203">
        <f>'Vessel Budget'!S23+'LW Budget'!S23</f>
        <v/>
      </c>
      <c r="T23" s="211">
        <f>IFERROR(S23/S$12,0)</f>
        <v/>
      </c>
      <c r="U23" s="203">
        <f>'Vessel Budget'!U23+'LW Budget'!U23</f>
        <v/>
      </c>
      <c r="V23" s="211">
        <f>IFERROR(U23/U$12,0)</f>
        <v/>
      </c>
      <c r="W23" s="203">
        <f>'Vessel Budget'!W23+'LW Budget'!W23</f>
        <v/>
      </c>
      <c r="X23" s="211">
        <f>IFERROR(W23/W$12,0)</f>
        <v/>
      </c>
      <c r="Y23" s="203">
        <f>'Vessel Budget'!Y23+'LW Budget'!Y23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Budget'!C24+'LW Budget'!C24</f>
        <v/>
      </c>
      <c r="D24" s="211">
        <f>IFERROR(C24/C$13,0)</f>
        <v/>
      </c>
      <c r="E24" s="203">
        <f>'Vessel Budget'!E24+'LW Budget'!E24</f>
        <v/>
      </c>
      <c r="F24" s="211">
        <f>IFERROR(E24/E$13,0)</f>
        <v/>
      </c>
      <c r="G24" s="203">
        <f>'Vessel Budget'!G24+'LW Budget'!G24</f>
        <v/>
      </c>
      <c r="H24" s="211">
        <f>IFERROR(G24/G$13,0)</f>
        <v/>
      </c>
      <c r="I24" s="203">
        <f>'Vessel Budget'!I24+'LW Budget'!I24</f>
        <v/>
      </c>
      <c r="J24" s="211">
        <f>IFERROR(I24/I$13,0)</f>
        <v/>
      </c>
      <c r="K24" s="203">
        <f>'Vessel Budget'!K24+'LW Budget'!K24</f>
        <v/>
      </c>
      <c r="L24" s="211">
        <f>IFERROR(K24/K$13,0)</f>
        <v/>
      </c>
      <c r="M24" s="203">
        <f>'Vessel Budget'!M24+'LW Budget'!M24</f>
        <v/>
      </c>
      <c r="N24" s="211">
        <f>IFERROR(M24/M$13,0)</f>
        <v/>
      </c>
      <c r="O24" s="203">
        <f>'Vessel Budget'!O24+'LW Budget'!O24</f>
        <v/>
      </c>
      <c r="P24" s="211">
        <f>IFERROR(O24/O$13,0)</f>
        <v/>
      </c>
      <c r="Q24" s="203">
        <f>'Vessel Budget'!Q24+'LW Budget'!Q24</f>
        <v/>
      </c>
      <c r="R24" s="211">
        <f>IFERROR(Q24/Q$13,0)</f>
        <v/>
      </c>
      <c r="S24" s="203">
        <f>'Vessel Budget'!S24+'LW Budget'!S24</f>
        <v/>
      </c>
      <c r="T24" s="211">
        <f>IFERROR(S24/S$13,0)</f>
        <v/>
      </c>
      <c r="U24" s="203">
        <f>'Vessel Budget'!U24+'LW Budget'!U24</f>
        <v/>
      </c>
      <c r="V24" s="211">
        <f>IFERROR(U24/U$13,0)</f>
        <v/>
      </c>
      <c r="W24" s="203">
        <f>'Vessel Budget'!W24+'LW Budget'!W24</f>
        <v/>
      </c>
      <c r="X24" s="211">
        <f>IFERROR(W24/W$13,0)</f>
        <v/>
      </c>
      <c r="Y24" s="203">
        <f>'Vessel Budget'!Y24+'LW Budget'!Y24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Budget'!C25+'LW Budget'!C25</f>
        <v/>
      </c>
      <c r="D25" s="211">
        <f>IFERROR(C25/C$14,0)</f>
        <v/>
      </c>
      <c r="E25" s="203">
        <f>'Vessel Budget'!E25+'LW Budget'!E25</f>
        <v/>
      </c>
      <c r="F25" s="211">
        <f>IFERROR(E25/E$14,0)</f>
        <v/>
      </c>
      <c r="G25" s="203">
        <f>'Vessel Budget'!G25+'LW Budget'!G25</f>
        <v/>
      </c>
      <c r="H25" s="211">
        <f>IFERROR(G25/G$14,0)</f>
        <v/>
      </c>
      <c r="I25" s="203">
        <f>'Vessel Budget'!I25+'LW Budget'!I25</f>
        <v/>
      </c>
      <c r="J25" s="211">
        <f>IFERROR(I25/I$14,0)</f>
        <v/>
      </c>
      <c r="K25" s="203">
        <f>'Vessel Budget'!K25+'LW Budget'!K25</f>
        <v/>
      </c>
      <c r="L25" s="211">
        <f>IFERROR(K25/K$14,0)</f>
        <v/>
      </c>
      <c r="M25" s="203">
        <f>'Vessel Budget'!M25+'LW Budget'!M25</f>
        <v/>
      </c>
      <c r="N25" s="211">
        <f>IFERROR(M25/M$14,0)</f>
        <v/>
      </c>
      <c r="O25" s="203">
        <f>'Vessel Budget'!O25+'LW Budget'!O25</f>
        <v/>
      </c>
      <c r="P25" s="211">
        <f>IFERROR(O25/O$14,0)</f>
        <v/>
      </c>
      <c r="Q25" s="203">
        <f>'Vessel Budget'!Q25+'LW Budget'!Q25</f>
        <v/>
      </c>
      <c r="R25" s="211">
        <f>IFERROR(Q25/Q$14,0)</f>
        <v/>
      </c>
      <c r="S25" s="203">
        <f>'Vessel Budget'!S25+'LW Budget'!S25</f>
        <v/>
      </c>
      <c r="T25" s="211">
        <f>IFERROR(S25/S$14,0)</f>
        <v/>
      </c>
      <c r="U25" s="203">
        <f>'Vessel Budget'!U25+'LW Budget'!U25</f>
        <v/>
      </c>
      <c r="V25" s="211">
        <f>IFERROR(U25/U$14,0)</f>
        <v/>
      </c>
      <c r="W25" s="203">
        <f>'Vessel Budget'!W25+'LW Budget'!W25</f>
        <v/>
      </c>
      <c r="X25" s="211">
        <f>IFERROR(W25/W$14,0)</f>
        <v/>
      </c>
      <c r="Y25" s="203">
        <f>'Vessel Budget'!Y25+'LW Budget'!Y25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Budget'!C26+'LW Budget'!C26</f>
        <v/>
      </c>
      <c r="D26" s="211">
        <f>IFERROR(C26/C$15,0)</f>
        <v/>
      </c>
      <c r="E26" s="203">
        <f>'Vessel Budget'!E26+'LW Budget'!E26</f>
        <v/>
      </c>
      <c r="F26" s="211">
        <f>IFERROR(E26/E$15,0)</f>
        <v/>
      </c>
      <c r="G26" s="203">
        <f>'Vessel Budget'!G26+'LW Budget'!G26</f>
        <v/>
      </c>
      <c r="H26" s="211">
        <f>IFERROR(G26/G$15,0)</f>
        <v/>
      </c>
      <c r="I26" s="203">
        <f>'Vessel Budget'!I26+'LW Budget'!I26</f>
        <v/>
      </c>
      <c r="J26" s="211">
        <f>IFERROR(I26/I$15,0)</f>
        <v/>
      </c>
      <c r="K26" s="203">
        <f>'Vessel Budget'!K26+'LW Budget'!K26</f>
        <v/>
      </c>
      <c r="L26" s="211">
        <f>IFERROR(K26/K$15,0)</f>
        <v/>
      </c>
      <c r="M26" s="203">
        <f>'Vessel Budget'!M26+'LW Budget'!M26</f>
        <v/>
      </c>
      <c r="N26" s="211">
        <f>IFERROR(M26/M$15,0)</f>
        <v/>
      </c>
      <c r="O26" s="203">
        <f>'Vessel Budget'!O26+'LW Budget'!O26</f>
        <v/>
      </c>
      <c r="P26" s="211">
        <f>IFERROR(O26/O$15,0)</f>
        <v/>
      </c>
      <c r="Q26" s="203">
        <f>'Vessel Budget'!Q26+'LW Budget'!Q26</f>
        <v/>
      </c>
      <c r="R26" s="211">
        <f>IFERROR(Q26/Q$15,0)</f>
        <v/>
      </c>
      <c r="S26" s="203">
        <f>'Vessel Budget'!S26+'LW Budget'!S26</f>
        <v/>
      </c>
      <c r="T26" s="211">
        <f>IFERROR(S26/S$15,0)</f>
        <v/>
      </c>
      <c r="U26" s="203">
        <f>'Vessel Budget'!U26+'LW Budget'!U26</f>
        <v/>
      </c>
      <c r="V26" s="211">
        <f>IFERROR(U26/U$15,0)</f>
        <v/>
      </c>
      <c r="W26" s="203">
        <f>'Vessel Budget'!W26+'LW Budget'!W26</f>
        <v/>
      </c>
      <c r="X26" s="211">
        <f>IFERROR(W26/W$15,0)</f>
        <v/>
      </c>
      <c r="Y26" s="203">
        <f>'Vessel Budget'!Y26+'LW Budget'!Y26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Budget'!C27+'LW Budget'!C27</f>
        <v/>
      </c>
      <c r="D27" s="211">
        <f>IFERROR(C27/C$16,0)</f>
        <v/>
      </c>
      <c r="E27" s="203">
        <f>'Vessel Budget'!E27+'LW Budget'!E27</f>
        <v/>
      </c>
      <c r="F27" s="211">
        <f>IFERROR(E27/E$16,0)</f>
        <v/>
      </c>
      <c r="G27" s="203">
        <f>'Vessel Budget'!G27+'LW Budget'!G27</f>
        <v/>
      </c>
      <c r="H27" s="211">
        <f>IFERROR(G27/G$16,0)</f>
        <v/>
      </c>
      <c r="I27" s="203">
        <f>'Vessel Budget'!I27+'LW Budget'!I27</f>
        <v/>
      </c>
      <c r="J27" s="211">
        <f>IFERROR(I27/I$16,0)</f>
        <v/>
      </c>
      <c r="K27" s="203">
        <f>'Vessel Budget'!K27+'LW Budget'!K27</f>
        <v/>
      </c>
      <c r="L27" s="211">
        <f>IFERROR(K27/K$16,0)</f>
        <v/>
      </c>
      <c r="M27" s="203">
        <f>'Vessel Budget'!M27+'LW Budget'!M27</f>
        <v/>
      </c>
      <c r="N27" s="211">
        <f>IFERROR(M27/M$16,0)</f>
        <v/>
      </c>
      <c r="O27" s="203">
        <f>'Vessel Budget'!O27+'LW Budget'!O27</f>
        <v/>
      </c>
      <c r="P27" s="211">
        <f>IFERROR(O27/O$16,0)</f>
        <v/>
      </c>
      <c r="Q27" s="203">
        <f>'Vessel Budget'!Q27+'LW Budget'!Q27</f>
        <v/>
      </c>
      <c r="R27" s="211">
        <f>IFERROR(Q27/Q$16,0)</f>
        <v/>
      </c>
      <c r="S27" s="203">
        <f>'Vessel Budget'!S27+'LW Budget'!S27</f>
        <v/>
      </c>
      <c r="T27" s="211">
        <f>IFERROR(S27/S$16,0)</f>
        <v/>
      </c>
      <c r="U27" s="203">
        <f>'Vessel Budget'!U27+'LW Budget'!U27</f>
        <v/>
      </c>
      <c r="V27" s="211">
        <f>IFERROR(U27/U$16,0)</f>
        <v/>
      </c>
      <c r="W27" s="203">
        <f>'Vessel Budget'!W27+'LW Budget'!W27</f>
        <v/>
      </c>
      <c r="X27" s="211">
        <f>IFERROR(W27/W$16,0)</f>
        <v/>
      </c>
      <c r="Y27" s="203">
        <f>'Vessel Budget'!Y27+'LW Budget'!Y27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'Vessel Budget'!C28+'LW Budget'!C28</f>
        <v/>
      </c>
      <c r="D28" s="211">
        <f>IFERROR(C28/C$17,0)</f>
        <v/>
      </c>
      <c r="E28" s="203">
        <f>'Vessel Budget'!E28+'LW Budget'!E28</f>
        <v/>
      </c>
      <c r="F28" s="211">
        <f>IFERROR(E28/E$17,0)</f>
        <v/>
      </c>
      <c r="G28" s="203">
        <f>'Vessel Budget'!G28+'LW Budget'!G28</f>
        <v/>
      </c>
      <c r="H28" s="211">
        <f>IFERROR(G28/G$17,0)</f>
        <v/>
      </c>
      <c r="I28" s="203">
        <f>'Vessel Budget'!I28+'LW Budget'!I28</f>
        <v/>
      </c>
      <c r="J28" s="211">
        <f>IFERROR(I28/I$17,0)</f>
        <v/>
      </c>
      <c r="K28" s="203">
        <f>'Vessel Budget'!K28+'LW Budget'!K28</f>
        <v/>
      </c>
      <c r="L28" s="211">
        <f>IFERROR(K28/K$17,0)</f>
        <v/>
      </c>
      <c r="M28" s="203">
        <f>'Vessel Budget'!M28+'LW Budget'!M28</f>
        <v/>
      </c>
      <c r="N28" s="211">
        <f>IFERROR(M28/M$17,0)</f>
        <v/>
      </c>
      <c r="O28" s="203">
        <f>'Vessel Budget'!O28+'LW Budget'!O28</f>
        <v/>
      </c>
      <c r="P28" s="211">
        <f>IFERROR(O28/O$17,0)</f>
        <v/>
      </c>
      <c r="Q28" s="203">
        <f>'Vessel Budget'!Q28+'LW Budget'!Q28</f>
        <v/>
      </c>
      <c r="R28" s="211">
        <f>IFERROR(Q28/Q$17,0)</f>
        <v/>
      </c>
      <c r="S28" s="203">
        <f>'Vessel Budget'!S28+'LW Budget'!S28</f>
        <v/>
      </c>
      <c r="T28" s="211">
        <f>IFERROR(S28/S$17,0)</f>
        <v/>
      </c>
      <c r="U28" s="203">
        <f>'Vessel Budget'!U28+'LW Budget'!U28</f>
        <v/>
      </c>
      <c r="V28" s="211">
        <f>IFERROR(U28/U$17,0)</f>
        <v/>
      </c>
      <c r="W28" s="203">
        <f>'Vessel Budget'!W28+'LW Budget'!W28</f>
        <v/>
      </c>
      <c r="X28" s="211">
        <f>IFERROR(W28/W$17,0)</f>
        <v/>
      </c>
      <c r="Y28" s="203">
        <f>'Vessel Budget'!Y28+'LW Budget'!Y28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Budget'!C33+'LW Budget'!C33</f>
        <v/>
      </c>
      <c r="D33" s="211">
        <f>IFERROR(C33/C$20,0)</f>
        <v/>
      </c>
      <c r="E33" s="203">
        <f>'Vessel Budget'!E33+'LW Budget'!E33</f>
        <v/>
      </c>
      <c r="F33" s="211">
        <f>IFERROR(E33/E$20,0)</f>
        <v/>
      </c>
      <c r="G33" s="203">
        <f>'Vessel Budget'!G33+'LW Budget'!G33</f>
        <v/>
      </c>
      <c r="H33" s="211">
        <f>IFERROR(G33/G$20,0)</f>
        <v/>
      </c>
      <c r="I33" s="203">
        <f>'Vessel Budget'!I33+'LW Budget'!I33</f>
        <v/>
      </c>
      <c r="J33" s="211">
        <f>IFERROR(I33/I$20,0)</f>
        <v/>
      </c>
      <c r="K33" s="203">
        <f>'Vessel Budget'!K33+'LW Budget'!K33</f>
        <v/>
      </c>
      <c r="L33" s="211">
        <f>IFERROR(K33/K$20,0)</f>
        <v/>
      </c>
      <c r="M33" s="203">
        <f>'Vessel Budget'!M33+'LW Budget'!M33</f>
        <v/>
      </c>
      <c r="N33" s="211">
        <f>IFERROR(M33/M$20,0)</f>
        <v/>
      </c>
      <c r="O33" s="203">
        <f>'Vessel Budget'!O33+'LW Budget'!O33</f>
        <v/>
      </c>
      <c r="P33" s="211">
        <f>IFERROR(O33/O$20,0)</f>
        <v/>
      </c>
      <c r="Q33" s="203">
        <f>'Vessel Budget'!Q33+'LW Budget'!Q33</f>
        <v/>
      </c>
      <c r="R33" s="211">
        <f>IFERROR(Q33/Q$20,0)</f>
        <v/>
      </c>
      <c r="S33" s="203">
        <f>'Vessel Budget'!S33+'LW Budget'!S33</f>
        <v/>
      </c>
      <c r="T33" s="211">
        <f>IFERROR(S33/S$20,0)</f>
        <v/>
      </c>
      <c r="U33" s="203">
        <f>'Vessel Budget'!U33+'LW Budget'!U33</f>
        <v/>
      </c>
      <c r="V33" s="211">
        <f>IFERROR(U33/U$20,0)</f>
        <v/>
      </c>
      <c r="W33" s="203">
        <f>'Vessel Budget'!W33+'LW Budget'!W33</f>
        <v/>
      </c>
      <c r="X33" s="211">
        <f>IFERROR(W33/W$20,0)</f>
        <v/>
      </c>
      <c r="Y33" s="203">
        <f>'Vessel Budget'!Y33+'LW Budget'!Y33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Budget'!C34+'LW Budget'!C34</f>
        <v/>
      </c>
      <c r="D34" s="211">
        <f>IFERROR(C34/C$20,0)</f>
        <v/>
      </c>
      <c r="E34" s="203">
        <f>'Vessel Budget'!E34+'LW Budget'!E34</f>
        <v/>
      </c>
      <c r="F34" s="211">
        <f>IFERROR(E34/E$20,0)</f>
        <v/>
      </c>
      <c r="G34" s="203">
        <f>'Vessel Budget'!G34+'LW Budget'!G34</f>
        <v/>
      </c>
      <c r="H34" s="211">
        <f>IFERROR(G34/G$20,0)</f>
        <v/>
      </c>
      <c r="I34" s="203">
        <f>'Vessel Budget'!I34+'LW Budget'!I34</f>
        <v/>
      </c>
      <c r="J34" s="211">
        <f>IFERROR(I34/I$20,0)</f>
        <v/>
      </c>
      <c r="K34" s="203">
        <f>'Vessel Budget'!K34+'LW Budget'!K34</f>
        <v/>
      </c>
      <c r="L34" s="211">
        <f>IFERROR(K34/K$20,0)</f>
        <v/>
      </c>
      <c r="M34" s="203">
        <f>'Vessel Budget'!M34+'LW Budget'!M34</f>
        <v/>
      </c>
      <c r="N34" s="211">
        <f>IFERROR(M34/M$20,0)</f>
        <v/>
      </c>
      <c r="O34" s="203">
        <f>'Vessel Budget'!O34+'LW Budget'!O34</f>
        <v/>
      </c>
      <c r="P34" s="211">
        <f>IFERROR(O34/O$20,0)</f>
        <v/>
      </c>
      <c r="Q34" s="203">
        <f>'Vessel Budget'!Q34+'LW Budget'!Q34</f>
        <v/>
      </c>
      <c r="R34" s="211">
        <f>IFERROR(Q34/Q$20,0)</f>
        <v/>
      </c>
      <c r="S34" s="203">
        <f>'Vessel Budget'!S34+'LW Budget'!S34</f>
        <v/>
      </c>
      <c r="T34" s="211">
        <f>IFERROR(S34/S$20,0)</f>
        <v/>
      </c>
      <c r="U34" s="203">
        <f>'Vessel Budget'!U34+'LW Budget'!U34</f>
        <v/>
      </c>
      <c r="V34" s="211">
        <f>IFERROR(U34/U$20,0)</f>
        <v/>
      </c>
      <c r="W34" s="203">
        <f>'Vessel Budget'!W34+'LW Budget'!W34</f>
        <v/>
      </c>
      <c r="X34" s="211">
        <f>IFERROR(W34/W$20,0)</f>
        <v/>
      </c>
      <c r="Y34" s="203">
        <f>'Vessel Budget'!Y34+'LW Budget'!Y34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Budget'!C35+'LW Budget'!C35</f>
        <v/>
      </c>
      <c r="D35" s="211">
        <f>IFERROR(C35/C$20,0)</f>
        <v/>
      </c>
      <c r="E35" s="203">
        <f>'Vessel Budget'!E35+'LW Budget'!E35</f>
        <v/>
      </c>
      <c r="F35" s="211">
        <f>IFERROR(E35/E$20,0)</f>
        <v/>
      </c>
      <c r="G35" s="203">
        <f>'Vessel Budget'!G35+'LW Budget'!G35</f>
        <v/>
      </c>
      <c r="H35" s="211">
        <f>IFERROR(G35/G$20,0)</f>
        <v/>
      </c>
      <c r="I35" s="203">
        <f>'Vessel Budget'!I35+'LW Budget'!I35</f>
        <v/>
      </c>
      <c r="J35" s="211">
        <f>IFERROR(I35/I$20,0)</f>
        <v/>
      </c>
      <c r="K35" s="203">
        <f>'Vessel Budget'!K35+'LW Budget'!K35</f>
        <v/>
      </c>
      <c r="L35" s="211">
        <f>IFERROR(K35/K$20,0)</f>
        <v/>
      </c>
      <c r="M35" s="203">
        <f>'Vessel Budget'!M35+'LW Budget'!M35</f>
        <v/>
      </c>
      <c r="N35" s="211">
        <f>IFERROR(M35/M$20,0)</f>
        <v/>
      </c>
      <c r="O35" s="203">
        <f>'Vessel Budget'!O35+'LW Budget'!O35</f>
        <v/>
      </c>
      <c r="P35" s="211">
        <f>IFERROR(O35/O$20,0)</f>
        <v/>
      </c>
      <c r="Q35" s="203">
        <f>'Vessel Budget'!Q35+'LW Budget'!Q35</f>
        <v/>
      </c>
      <c r="R35" s="211">
        <f>IFERROR(Q35/Q$20,0)</f>
        <v/>
      </c>
      <c r="S35" s="203">
        <f>'Vessel Budget'!S35+'LW Budget'!S35</f>
        <v/>
      </c>
      <c r="T35" s="211">
        <f>IFERROR(S35/S$20,0)</f>
        <v/>
      </c>
      <c r="U35" s="203">
        <f>'Vessel Budget'!U35+'LW Budget'!U35</f>
        <v/>
      </c>
      <c r="V35" s="211">
        <f>IFERROR(U35/U$20,0)</f>
        <v/>
      </c>
      <c r="W35" s="203">
        <f>'Vessel Budget'!W35+'LW Budget'!W35</f>
        <v/>
      </c>
      <c r="X35" s="211">
        <f>IFERROR(W35/W$20,0)</f>
        <v/>
      </c>
      <c r="Y35" s="203">
        <f>'Vessel Budget'!Y35+'LW Budget'!Y35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Budget'!C36+'LW Budget'!C36</f>
        <v/>
      </c>
      <c r="D36" s="211">
        <f>IFERROR(C36/C$20,0)</f>
        <v/>
      </c>
      <c r="E36" s="203">
        <f>'Vessel Budget'!E36+'LW Budget'!E36</f>
        <v/>
      </c>
      <c r="F36" s="211">
        <f>IFERROR(E36/E$20,0)</f>
        <v/>
      </c>
      <c r="G36" s="203">
        <f>'Vessel Budget'!G36+'LW Budget'!G36</f>
        <v/>
      </c>
      <c r="H36" s="211">
        <f>IFERROR(G36/G$20,0)</f>
        <v/>
      </c>
      <c r="I36" s="203">
        <f>'Vessel Budget'!I36+'LW Budget'!I36</f>
        <v/>
      </c>
      <c r="J36" s="211">
        <f>IFERROR(I36/I$20,0)</f>
        <v/>
      </c>
      <c r="K36" s="203">
        <f>'Vessel Budget'!K36+'LW Budget'!K36</f>
        <v/>
      </c>
      <c r="L36" s="211">
        <f>IFERROR(K36/K$20,0)</f>
        <v/>
      </c>
      <c r="M36" s="203">
        <f>'Vessel Budget'!M36+'LW Budget'!M36</f>
        <v/>
      </c>
      <c r="N36" s="211">
        <f>IFERROR(M36/M$20,0)</f>
        <v/>
      </c>
      <c r="O36" s="203">
        <f>'Vessel Budget'!O36+'LW Budget'!O36</f>
        <v/>
      </c>
      <c r="P36" s="211">
        <f>IFERROR(O36/O$20,0)</f>
        <v/>
      </c>
      <c r="Q36" s="203">
        <f>'Vessel Budget'!Q36+'LW Budget'!Q36</f>
        <v/>
      </c>
      <c r="R36" s="211">
        <f>IFERROR(Q36/Q$20,0)</f>
        <v/>
      </c>
      <c r="S36" s="203">
        <f>'Vessel Budget'!S36+'LW Budget'!S36</f>
        <v/>
      </c>
      <c r="T36" s="211">
        <f>IFERROR(S36/S$20,0)</f>
        <v/>
      </c>
      <c r="U36" s="203">
        <f>'Vessel Budget'!U36+'LW Budget'!U36</f>
        <v/>
      </c>
      <c r="V36" s="211">
        <f>IFERROR(U36/U$20,0)</f>
        <v/>
      </c>
      <c r="W36" s="203">
        <f>'Vessel Budget'!W36+'LW Budget'!W36</f>
        <v/>
      </c>
      <c r="X36" s="211">
        <f>IFERROR(W36/W$20,0)</f>
        <v/>
      </c>
      <c r="Y36" s="203">
        <f>'Vessel Budget'!Y36+'LW Budget'!Y36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Budget'!C37+'LW Budget'!C37</f>
        <v/>
      </c>
      <c r="D37" s="211">
        <f>IFERROR(C37/C$20,0)</f>
        <v/>
      </c>
      <c r="E37" s="203">
        <f>'Vessel Budget'!E37+'LW Budget'!E37</f>
        <v/>
      </c>
      <c r="F37" s="211">
        <f>IFERROR(E37/E$20,0)</f>
        <v/>
      </c>
      <c r="G37" s="203">
        <f>'Vessel Budget'!G37+'LW Budget'!G37</f>
        <v/>
      </c>
      <c r="H37" s="211">
        <f>IFERROR(G37/G$20,0)</f>
        <v/>
      </c>
      <c r="I37" s="203">
        <f>'Vessel Budget'!I37+'LW Budget'!I37</f>
        <v/>
      </c>
      <c r="J37" s="211">
        <f>IFERROR(I37/I$20,0)</f>
        <v/>
      </c>
      <c r="K37" s="203">
        <f>'Vessel Budget'!K37+'LW Budget'!K37</f>
        <v/>
      </c>
      <c r="L37" s="211">
        <f>IFERROR(K37/K$20,0)</f>
        <v/>
      </c>
      <c r="M37" s="203">
        <f>'Vessel Budget'!M37+'LW Budget'!M37</f>
        <v/>
      </c>
      <c r="N37" s="211">
        <f>IFERROR(M37/M$20,0)</f>
        <v/>
      </c>
      <c r="O37" s="203">
        <f>'Vessel Budget'!O37+'LW Budget'!O37</f>
        <v/>
      </c>
      <c r="P37" s="211">
        <f>IFERROR(O37/O$20,0)</f>
        <v/>
      </c>
      <c r="Q37" s="203">
        <f>'Vessel Budget'!Q37+'LW Budget'!Q37</f>
        <v/>
      </c>
      <c r="R37" s="211">
        <f>IFERROR(Q37/Q$20,0)</f>
        <v/>
      </c>
      <c r="S37" s="203">
        <f>'Vessel Budget'!S37+'LW Budget'!S37</f>
        <v/>
      </c>
      <c r="T37" s="211">
        <f>IFERROR(S37/S$20,0)</f>
        <v/>
      </c>
      <c r="U37" s="203">
        <f>'Vessel Budget'!U37+'LW Budget'!U37</f>
        <v/>
      </c>
      <c r="V37" s="211">
        <f>IFERROR(U37/U$20,0)</f>
        <v/>
      </c>
      <c r="W37" s="203">
        <f>'Vessel Budget'!W37+'LW Budget'!W37</f>
        <v/>
      </c>
      <c r="X37" s="211">
        <f>IFERROR(W37/W$20,0)</f>
        <v/>
      </c>
      <c r="Y37" s="203">
        <f>'Vessel Budget'!Y37+'LW Budget'!Y37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'Vessel Budget'!C44+'LW Budget'!C44</f>
        <v/>
      </c>
      <c r="D44" s="211">
        <f>IFERROR(C44/C$20,0)</f>
        <v/>
      </c>
      <c r="E44" s="203">
        <f>'Vessel Budget'!E44+'LW Budget'!E44</f>
        <v/>
      </c>
      <c r="F44" s="211">
        <f>IFERROR(E44/E$20,0)</f>
        <v/>
      </c>
      <c r="G44" s="203">
        <f>'Vessel Budget'!G44+'LW Budget'!G44</f>
        <v/>
      </c>
      <c r="H44" s="211">
        <f>IFERROR(G44/G$20,0)</f>
        <v/>
      </c>
      <c r="I44" s="203">
        <f>'Vessel Budget'!I44+'LW Budget'!I44</f>
        <v/>
      </c>
      <c r="J44" s="211">
        <f>IFERROR(I44/I$20,0)</f>
        <v/>
      </c>
      <c r="K44" s="203">
        <f>'Vessel Budget'!K44+'LW Budget'!K44</f>
        <v/>
      </c>
      <c r="L44" s="211">
        <f>IFERROR(K44/K$20,0)</f>
        <v/>
      </c>
      <c r="M44" s="203">
        <f>'Vessel Budget'!M44+'LW Budget'!M44</f>
        <v/>
      </c>
      <c r="N44" s="211">
        <f>IFERROR(M44/M$20,0)</f>
        <v/>
      </c>
      <c r="O44" s="203">
        <f>'Vessel Budget'!O44+'LW Budget'!O44</f>
        <v/>
      </c>
      <c r="P44" s="211">
        <f>IFERROR(O44/O$20,0)</f>
        <v/>
      </c>
      <c r="Q44" s="203">
        <f>'Vessel Budget'!Q44+'LW Budget'!Q44</f>
        <v/>
      </c>
      <c r="R44" s="211">
        <f>IFERROR(Q44/Q$20,0)</f>
        <v/>
      </c>
      <c r="S44" s="203">
        <f>'Vessel Budget'!S44+'LW Budget'!S44</f>
        <v/>
      </c>
      <c r="T44" s="211">
        <f>IFERROR(S44/S$20,0)</f>
        <v/>
      </c>
      <c r="U44" s="203">
        <f>'Vessel Budget'!U44+'LW Budget'!U44</f>
        <v/>
      </c>
      <c r="V44" s="211">
        <f>IFERROR(U44/U$20,0)</f>
        <v/>
      </c>
      <c r="W44" s="203">
        <f>'Vessel Budget'!W44+'LW Budget'!W44</f>
        <v/>
      </c>
      <c r="X44" s="211">
        <f>IFERROR(W44/W$20,0)</f>
        <v/>
      </c>
      <c r="Y44" s="203">
        <f>'Vessel Budget'!Y44+'LW Budget'!Y44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Budget'!C45+'LW Budget'!C45</f>
        <v/>
      </c>
      <c r="D45" s="211">
        <f>IFERROR(C45/C$20,0)</f>
        <v/>
      </c>
      <c r="E45" s="203">
        <f>'Vessel Budget'!E45+'LW Budget'!E45</f>
        <v/>
      </c>
      <c r="F45" s="211">
        <f>IFERROR(E45/E$20,0)</f>
        <v/>
      </c>
      <c r="G45" s="203">
        <f>'Vessel Budget'!G45+'LW Budget'!G45</f>
        <v/>
      </c>
      <c r="H45" s="211">
        <f>IFERROR(G45/G$20,0)</f>
        <v/>
      </c>
      <c r="I45" s="203">
        <f>'Vessel Budget'!I45+'LW Budget'!I45</f>
        <v/>
      </c>
      <c r="J45" s="211">
        <f>IFERROR(I45/I$20,0)</f>
        <v/>
      </c>
      <c r="K45" s="203">
        <f>'Vessel Budget'!K45+'LW Budget'!K45</f>
        <v/>
      </c>
      <c r="L45" s="211">
        <f>IFERROR(K45/K$20,0)</f>
        <v/>
      </c>
      <c r="M45" s="203">
        <f>'Vessel Budget'!M45+'LW Budget'!M45</f>
        <v/>
      </c>
      <c r="N45" s="211">
        <f>IFERROR(M45/M$20,0)</f>
        <v/>
      </c>
      <c r="O45" s="203">
        <f>'Vessel Budget'!O45+'LW Budget'!O45</f>
        <v/>
      </c>
      <c r="P45" s="211">
        <f>IFERROR(O45/O$20,0)</f>
        <v/>
      </c>
      <c r="Q45" s="203">
        <f>'Vessel Budget'!Q45+'LW Budget'!Q45</f>
        <v/>
      </c>
      <c r="R45" s="211">
        <f>IFERROR(Q45/Q$20,0)</f>
        <v/>
      </c>
      <c r="S45" s="203">
        <f>'Vessel Budget'!S45+'LW Budget'!S45</f>
        <v/>
      </c>
      <c r="T45" s="211">
        <f>IFERROR(S45/S$20,0)</f>
        <v/>
      </c>
      <c r="U45" s="203">
        <f>'Vessel Budget'!U45+'LW Budget'!U45</f>
        <v/>
      </c>
      <c r="V45" s="211">
        <f>IFERROR(U45/U$20,0)</f>
        <v/>
      </c>
      <c r="W45" s="203">
        <f>'Vessel Budget'!W45+'LW Budget'!W45</f>
        <v/>
      </c>
      <c r="X45" s="211">
        <f>IFERROR(W45/W$20,0)</f>
        <v/>
      </c>
      <c r="Y45" s="203">
        <f>'Vessel Budget'!Y45+'LW Budget'!Y45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Budget'!C46+'LW Budget'!C46</f>
        <v/>
      </c>
      <c r="D46" s="211">
        <f>IFERROR(C46/C$20,0)</f>
        <v/>
      </c>
      <c r="E46" s="203">
        <f>'Vessel Budget'!E46+'LW Budget'!E46</f>
        <v/>
      </c>
      <c r="F46" s="211">
        <f>IFERROR(E46/E$20,0)</f>
        <v/>
      </c>
      <c r="G46" s="203">
        <f>'Vessel Budget'!G46+'LW Budget'!G46</f>
        <v/>
      </c>
      <c r="H46" s="211">
        <f>IFERROR(G46/G$20,0)</f>
        <v/>
      </c>
      <c r="I46" s="203">
        <f>'Vessel Budget'!I46+'LW Budget'!I46</f>
        <v/>
      </c>
      <c r="J46" s="211">
        <f>IFERROR(I46/I$20,0)</f>
        <v/>
      </c>
      <c r="K46" s="203">
        <f>'Vessel Budget'!K46+'LW Budget'!K46</f>
        <v/>
      </c>
      <c r="L46" s="211">
        <f>IFERROR(K46/K$20,0)</f>
        <v/>
      </c>
      <c r="M46" s="203">
        <f>'Vessel Budget'!M46+'LW Budget'!M46</f>
        <v/>
      </c>
      <c r="N46" s="211">
        <f>IFERROR(M46/M$20,0)</f>
        <v/>
      </c>
      <c r="O46" s="203">
        <f>'Vessel Budget'!O46+'LW Budget'!O46</f>
        <v/>
      </c>
      <c r="P46" s="211">
        <f>IFERROR(O46/O$20,0)</f>
        <v/>
      </c>
      <c r="Q46" s="203">
        <f>'Vessel Budget'!Q46+'LW Budget'!Q46</f>
        <v/>
      </c>
      <c r="R46" s="211">
        <f>IFERROR(Q46/Q$20,0)</f>
        <v/>
      </c>
      <c r="S46" s="203">
        <f>'Vessel Budget'!S46+'LW Budget'!S46</f>
        <v/>
      </c>
      <c r="T46" s="211">
        <f>IFERROR(S46/S$20,0)</f>
        <v/>
      </c>
      <c r="U46" s="203">
        <f>'Vessel Budget'!U46+'LW Budget'!U46</f>
        <v/>
      </c>
      <c r="V46" s="211">
        <f>IFERROR(U46/U$20,0)</f>
        <v/>
      </c>
      <c r="W46" s="203">
        <f>'Vessel Budget'!W46+'LW Budget'!W46</f>
        <v/>
      </c>
      <c r="X46" s="211">
        <f>IFERROR(W46/W$20,0)</f>
        <v/>
      </c>
      <c r="Y46" s="203">
        <f>'Vessel Budget'!Y46+'LW Budget'!Y46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'Vessel Budget'!C47+'LW Budget'!C47</f>
        <v/>
      </c>
      <c r="D47" s="211">
        <f>IFERROR(C47/C$20,0)</f>
        <v/>
      </c>
      <c r="E47" s="203">
        <f>'Vessel Budget'!E47+'LW Budget'!E47</f>
        <v/>
      </c>
      <c r="F47" s="211">
        <f>IFERROR(E47/E$20,0)</f>
        <v/>
      </c>
      <c r="G47" s="203">
        <f>'Vessel Budget'!G47+'LW Budget'!G47</f>
        <v/>
      </c>
      <c r="H47" s="211">
        <f>IFERROR(G47/G$20,0)</f>
        <v/>
      </c>
      <c r="I47" s="203">
        <f>'Vessel Budget'!I47+'LW Budget'!I47</f>
        <v/>
      </c>
      <c r="J47" s="211">
        <f>IFERROR(I47/I$20,0)</f>
        <v/>
      </c>
      <c r="K47" s="203">
        <f>'Vessel Budget'!K47+'LW Budget'!K47</f>
        <v/>
      </c>
      <c r="L47" s="211">
        <f>IFERROR(K47/K$20,0)</f>
        <v/>
      </c>
      <c r="M47" s="203">
        <f>'Vessel Budget'!M47+'LW Budget'!M47</f>
        <v/>
      </c>
      <c r="N47" s="211">
        <f>IFERROR(M47/M$20,0)</f>
        <v/>
      </c>
      <c r="O47" s="203">
        <f>'Vessel Budget'!O47+'LW Budget'!O47</f>
        <v/>
      </c>
      <c r="P47" s="211">
        <f>IFERROR(O47/O$20,0)</f>
        <v/>
      </c>
      <c r="Q47" s="203">
        <f>'Vessel Budget'!Q47+'LW Budget'!Q47</f>
        <v/>
      </c>
      <c r="R47" s="211">
        <f>IFERROR(Q47/Q$20,0)</f>
        <v/>
      </c>
      <c r="S47" s="203">
        <f>'Vessel Budget'!S47+'LW Budget'!S47</f>
        <v/>
      </c>
      <c r="T47" s="211">
        <f>IFERROR(S47/S$20,0)</f>
        <v/>
      </c>
      <c r="U47" s="203">
        <f>'Vessel Budget'!U47+'LW Budget'!U47</f>
        <v/>
      </c>
      <c r="V47" s="211">
        <f>IFERROR(U47/U$20,0)</f>
        <v/>
      </c>
      <c r="W47" s="203">
        <f>'Vessel Budget'!W47+'LW Budget'!W47</f>
        <v/>
      </c>
      <c r="X47" s="211">
        <f>IFERROR(W47/W$20,0)</f>
        <v/>
      </c>
      <c r="Y47" s="203">
        <f>'Vessel Budget'!Y47+'LW Budget'!Y47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Budget'!C48+'LW Budget'!C48</f>
        <v/>
      </c>
      <c r="D48" s="211">
        <f>IFERROR(C48/C$20,0)</f>
        <v/>
      </c>
      <c r="E48" s="203">
        <f>'Vessel Budget'!E48+'LW Budget'!E48</f>
        <v/>
      </c>
      <c r="F48" s="211">
        <f>IFERROR(E48/E$20,0)</f>
        <v/>
      </c>
      <c r="G48" s="203">
        <f>'Vessel Budget'!G48+'LW Budget'!G48</f>
        <v/>
      </c>
      <c r="H48" s="211">
        <f>IFERROR(G48/G$20,0)</f>
        <v/>
      </c>
      <c r="I48" s="203">
        <f>'Vessel Budget'!I48+'LW Budget'!I48</f>
        <v/>
      </c>
      <c r="J48" s="211">
        <f>IFERROR(I48/I$20,0)</f>
        <v/>
      </c>
      <c r="K48" s="203">
        <f>'Vessel Budget'!K48+'LW Budget'!K48</f>
        <v/>
      </c>
      <c r="L48" s="211">
        <f>IFERROR(K48/K$20,0)</f>
        <v/>
      </c>
      <c r="M48" s="203">
        <f>'Vessel Budget'!M48+'LW Budget'!M48</f>
        <v/>
      </c>
      <c r="N48" s="211">
        <f>IFERROR(M48/M$20,0)</f>
        <v/>
      </c>
      <c r="O48" s="203">
        <f>'Vessel Budget'!O48+'LW Budget'!O48</f>
        <v/>
      </c>
      <c r="P48" s="211">
        <f>IFERROR(O48/O$20,0)</f>
        <v/>
      </c>
      <c r="Q48" s="203">
        <f>'Vessel Budget'!Q48+'LW Budget'!Q48</f>
        <v/>
      </c>
      <c r="R48" s="211">
        <f>IFERROR(Q48/Q$20,0)</f>
        <v/>
      </c>
      <c r="S48" s="203">
        <f>'Vessel Budget'!S48+'LW Budget'!S48</f>
        <v/>
      </c>
      <c r="T48" s="211">
        <f>IFERROR(S48/S$20,0)</f>
        <v/>
      </c>
      <c r="U48" s="203">
        <f>'Vessel Budget'!U48+'LW Budget'!U48</f>
        <v/>
      </c>
      <c r="V48" s="211">
        <f>IFERROR(U48/U$20,0)</f>
        <v/>
      </c>
      <c r="W48" s="203">
        <f>'Vessel Budget'!W48+'LW Budget'!W48</f>
        <v/>
      </c>
      <c r="X48" s="211">
        <f>IFERROR(W48/W$20,0)</f>
        <v/>
      </c>
      <c r="Y48" s="203">
        <f>'Vessel Budget'!Y48+'LW Budget'!Y48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>
        <f>'Vessel Budget'!C49+'LW Budget'!C49</f>
        <v/>
      </c>
      <c r="D49" s="211">
        <f>IFERROR(C49/C$20,0)</f>
        <v/>
      </c>
      <c r="E49" s="203">
        <f>'Vessel Budget'!E49+'LW Budget'!E49</f>
        <v/>
      </c>
      <c r="F49" s="211">
        <f>IFERROR(E49/E$20,0)</f>
        <v/>
      </c>
      <c r="G49" s="203">
        <f>'Vessel Budget'!G49+'LW Budget'!G49</f>
        <v/>
      </c>
      <c r="H49" s="211">
        <f>IFERROR(G49/G$20,0)</f>
        <v/>
      </c>
      <c r="I49" s="203">
        <f>'Vessel Budget'!I49+'LW Budget'!I49</f>
        <v/>
      </c>
      <c r="J49" s="211">
        <f>IFERROR(I49/I$20,0)</f>
        <v/>
      </c>
      <c r="K49" s="203">
        <f>'Vessel Budget'!K49+'LW Budget'!K49</f>
        <v/>
      </c>
      <c r="L49" s="211">
        <f>IFERROR(K49/K$20,0)</f>
        <v/>
      </c>
      <c r="M49" s="203">
        <f>'Vessel Budget'!M49+'LW Budget'!M49</f>
        <v/>
      </c>
      <c r="N49" s="211">
        <f>IFERROR(M49/M$20,0)</f>
        <v/>
      </c>
      <c r="O49" s="203">
        <f>'Vessel Budget'!O49+'LW Budget'!O49</f>
        <v/>
      </c>
      <c r="P49" s="211">
        <f>IFERROR(O49/O$20,0)</f>
        <v/>
      </c>
      <c r="Q49" s="203">
        <f>'Vessel Budget'!Q49+'LW Budget'!Q49</f>
        <v/>
      </c>
      <c r="R49" s="211">
        <f>IFERROR(Q49/Q$20,0)</f>
        <v/>
      </c>
      <c r="S49" s="203">
        <f>'Vessel Budget'!S49+'LW Budget'!S49</f>
        <v/>
      </c>
      <c r="T49" s="211">
        <f>IFERROR(S49/S$20,0)</f>
        <v/>
      </c>
      <c r="U49" s="203">
        <f>'Vessel Budget'!U49+'LW Budget'!U49</f>
        <v/>
      </c>
      <c r="V49" s="211">
        <f>IFERROR(U49/U$20,0)</f>
        <v/>
      </c>
      <c r="W49" s="203">
        <f>'Vessel Budget'!W49+'LW Budget'!W49</f>
        <v/>
      </c>
      <c r="X49" s="211">
        <f>IFERROR(W49/W$20,0)</f>
        <v/>
      </c>
      <c r="Y49" s="203">
        <f>'Vessel Budget'!Y49+'LW Budget'!Y49</f>
        <v/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Budget'!C53+'LW Budget'!C53</f>
        <v/>
      </c>
      <c r="D53" s="211">
        <f>IFERROR(C53/C$20,0)</f>
        <v/>
      </c>
      <c r="E53" s="203">
        <f>'Vessel Budget'!E53+'LW Budget'!E53</f>
        <v/>
      </c>
      <c r="F53" s="211">
        <f>IFERROR(E53/E$20,0)</f>
        <v/>
      </c>
      <c r="G53" s="203">
        <f>'Vessel Budget'!G53+'LW Budget'!G53</f>
        <v/>
      </c>
      <c r="H53" s="211">
        <f>IFERROR(G53/G$20,0)</f>
        <v/>
      </c>
      <c r="I53" s="203">
        <f>'Vessel Budget'!I53+'LW Budget'!I53</f>
        <v/>
      </c>
      <c r="J53" s="211">
        <f>IFERROR(I53/I$20,0)</f>
        <v/>
      </c>
      <c r="K53" s="203">
        <f>'Vessel Budget'!K53+'LW Budget'!K53</f>
        <v/>
      </c>
      <c r="L53" s="211">
        <f>IFERROR(K53/K$20,0)</f>
        <v/>
      </c>
      <c r="M53" s="203">
        <f>'Vessel Budget'!M53+'LW Budget'!M53</f>
        <v/>
      </c>
      <c r="N53" s="211">
        <f>IFERROR(M53/M$20,0)</f>
        <v/>
      </c>
      <c r="O53" s="203">
        <f>'Vessel Budget'!O53+'LW Budget'!O53</f>
        <v/>
      </c>
      <c r="P53" s="211">
        <f>IFERROR(O53/O$20,0)</f>
        <v/>
      </c>
      <c r="Q53" s="203">
        <f>'Vessel Budget'!Q53+'LW Budget'!Q53</f>
        <v/>
      </c>
      <c r="R53" s="211">
        <f>IFERROR(Q53/Q$20,0)</f>
        <v/>
      </c>
      <c r="S53" s="203">
        <f>'Vessel Budget'!S53+'LW Budget'!S53</f>
        <v/>
      </c>
      <c r="T53" s="211">
        <f>IFERROR(S53/S$20,0)</f>
        <v/>
      </c>
      <c r="U53" s="203">
        <f>'Vessel Budget'!U53+'LW Budget'!U53</f>
        <v/>
      </c>
      <c r="V53" s="211">
        <f>IFERROR(U53/U$20,0)</f>
        <v/>
      </c>
      <c r="W53" s="203">
        <f>'Vessel Budget'!W53+'LW Budget'!W53</f>
        <v/>
      </c>
      <c r="X53" s="211">
        <f>IFERROR(W53/W$20,0)</f>
        <v/>
      </c>
      <c r="Y53" s="203">
        <f>'Vessel Budget'!Y53+'LW Budget'!Y53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'Vessel Budget'!C54+'LW Budget'!C54</f>
        <v/>
      </c>
      <c r="D54" s="211">
        <f>IFERROR(C54/C$20,0)</f>
        <v/>
      </c>
      <c r="E54" s="203">
        <f>'Vessel Budget'!E54+'LW Budget'!E54</f>
        <v/>
      </c>
      <c r="F54" s="211">
        <f>IFERROR(E54/E$20,0)</f>
        <v/>
      </c>
      <c r="G54" s="203">
        <f>'Vessel Budget'!G54+'LW Budget'!G54</f>
        <v/>
      </c>
      <c r="H54" s="211">
        <f>IFERROR(G54/G$20,0)</f>
        <v/>
      </c>
      <c r="I54" s="203">
        <f>'Vessel Budget'!I54+'LW Budget'!I54</f>
        <v/>
      </c>
      <c r="J54" s="211">
        <f>IFERROR(I54/I$20,0)</f>
        <v/>
      </c>
      <c r="K54" s="203">
        <f>'Vessel Budget'!K54+'LW Budget'!K54</f>
        <v/>
      </c>
      <c r="L54" s="211">
        <f>IFERROR(K54/K$20,0)</f>
        <v/>
      </c>
      <c r="M54" s="203">
        <f>'Vessel Budget'!M54+'LW Budget'!M54</f>
        <v/>
      </c>
      <c r="N54" s="211">
        <f>IFERROR(M54/M$20,0)</f>
        <v/>
      </c>
      <c r="O54" s="203">
        <f>'Vessel Budget'!O54+'LW Budget'!O54</f>
        <v/>
      </c>
      <c r="P54" s="211">
        <f>IFERROR(O54/O$20,0)</f>
        <v/>
      </c>
      <c r="Q54" s="203">
        <f>'Vessel Budget'!Q54+'LW Budget'!Q54</f>
        <v/>
      </c>
      <c r="R54" s="211">
        <f>IFERROR(Q54/Q$20,0)</f>
        <v/>
      </c>
      <c r="S54" s="203">
        <f>'Vessel Budget'!S54+'LW Budget'!S54</f>
        <v/>
      </c>
      <c r="T54" s="211">
        <f>IFERROR(S54/S$20,0)</f>
        <v/>
      </c>
      <c r="U54" s="203">
        <f>'Vessel Budget'!U54+'LW Budget'!U54</f>
        <v/>
      </c>
      <c r="V54" s="211">
        <f>IFERROR(U54/U$20,0)</f>
        <v/>
      </c>
      <c r="W54" s="203">
        <f>'Vessel Budget'!W54+'LW Budget'!W54</f>
        <v/>
      </c>
      <c r="X54" s="211">
        <f>IFERROR(W54/W$20,0)</f>
        <v/>
      </c>
      <c r="Y54" s="203">
        <f>'Vessel Budget'!Y54+'LW Budget'!Y54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Budget'!C55+'LW Budget'!C55</f>
        <v/>
      </c>
      <c r="D55" s="211">
        <f>IFERROR(C55/C$20,0)</f>
        <v/>
      </c>
      <c r="E55" s="203">
        <f>'Vessel Budget'!E55+'LW Budget'!E55</f>
        <v/>
      </c>
      <c r="F55" s="211">
        <f>IFERROR(E55/E$20,0)</f>
        <v/>
      </c>
      <c r="G55" s="203">
        <f>'Vessel Budget'!G55+'LW Budget'!G55</f>
        <v/>
      </c>
      <c r="H55" s="211">
        <f>IFERROR(G55/G$20,0)</f>
        <v/>
      </c>
      <c r="I55" s="203">
        <f>'Vessel Budget'!I55+'LW Budget'!I55</f>
        <v/>
      </c>
      <c r="J55" s="211">
        <f>IFERROR(I55/I$20,0)</f>
        <v/>
      </c>
      <c r="K55" s="203">
        <f>'Vessel Budget'!K55+'LW Budget'!K55</f>
        <v/>
      </c>
      <c r="L55" s="211">
        <f>IFERROR(K55/K$20,0)</f>
        <v/>
      </c>
      <c r="M55" s="203">
        <f>'Vessel Budget'!M55+'LW Budget'!M55</f>
        <v/>
      </c>
      <c r="N55" s="211">
        <f>IFERROR(M55/M$20,0)</f>
        <v/>
      </c>
      <c r="O55" s="203">
        <f>'Vessel Budget'!O55+'LW Budget'!O55</f>
        <v/>
      </c>
      <c r="P55" s="211">
        <f>IFERROR(O55/O$20,0)</f>
        <v/>
      </c>
      <c r="Q55" s="203">
        <f>'Vessel Budget'!Q55+'LW Budget'!Q55</f>
        <v/>
      </c>
      <c r="R55" s="211">
        <f>IFERROR(Q55/Q$20,0)</f>
        <v/>
      </c>
      <c r="S55" s="203">
        <f>'Vessel Budget'!S55+'LW Budget'!S55</f>
        <v/>
      </c>
      <c r="T55" s="211">
        <f>IFERROR(S55/S$20,0)</f>
        <v/>
      </c>
      <c r="U55" s="203">
        <f>'Vessel Budget'!U55+'LW Budget'!U55</f>
        <v/>
      </c>
      <c r="V55" s="211">
        <f>IFERROR(U55/U$20,0)</f>
        <v/>
      </c>
      <c r="W55" s="203">
        <f>'Vessel Budget'!W55+'LW Budget'!W55</f>
        <v/>
      </c>
      <c r="X55" s="211">
        <f>IFERROR(W55/W$20,0)</f>
        <v/>
      </c>
      <c r="Y55" s="203">
        <f>'Vessel Budget'!Y55+'LW Budget'!Y55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'Vessel Budget'!C56+'LW Budget'!C56</f>
        <v/>
      </c>
      <c r="D56" s="211">
        <f>IFERROR(C56/C$20,0)</f>
        <v/>
      </c>
      <c r="E56" s="203">
        <f>'Vessel Budget'!E56+'LW Budget'!E56</f>
        <v/>
      </c>
      <c r="F56" s="211">
        <f>IFERROR(E56/E$20,0)</f>
        <v/>
      </c>
      <c r="G56" s="203">
        <f>'Vessel Budget'!G56+'LW Budget'!G56</f>
        <v/>
      </c>
      <c r="H56" s="211">
        <f>IFERROR(G56/G$20,0)</f>
        <v/>
      </c>
      <c r="I56" s="203">
        <f>'Vessel Budget'!I56+'LW Budget'!I56</f>
        <v/>
      </c>
      <c r="J56" s="211">
        <f>IFERROR(I56/I$20,0)</f>
        <v/>
      </c>
      <c r="K56" s="203">
        <f>'Vessel Budget'!K56+'LW Budget'!K56</f>
        <v/>
      </c>
      <c r="L56" s="211">
        <f>IFERROR(K56/K$20,0)</f>
        <v/>
      </c>
      <c r="M56" s="203">
        <f>'Vessel Budget'!M56+'LW Budget'!M56</f>
        <v/>
      </c>
      <c r="N56" s="211">
        <f>IFERROR(M56/M$20,0)</f>
        <v/>
      </c>
      <c r="O56" s="203">
        <f>'Vessel Budget'!O56+'LW Budget'!O56</f>
        <v/>
      </c>
      <c r="P56" s="211">
        <f>IFERROR(O56/O$20,0)</f>
        <v/>
      </c>
      <c r="Q56" s="203">
        <f>'Vessel Budget'!Q56+'LW Budget'!Q56</f>
        <v/>
      </c>
      <c r="R56" s="211">
        <f>IFERROR(Q56/Q$20,0)</f>
        <v/>
      </c>
      <c r="S56" s="203">
        <f>'Vessel Budget'!S56+'LW Budget'!S56</f>
        <v/>
      </c>
      <c r="T56" s="211">
        <f>IFERROR(S56/S$20,0)</f>
        <v/>
      </c>
      <c r="U56" s="203">
        <f>'Vessel Budget'!U56+'LW Budget'!U56</f>
        <v/>
      </c>
      <c r="V56" s="211">
        <f>IFERROR(U56/U$20,0)</f>
        <v/>
      </c>
      <c r="W56" s="203">
        <f>'Vessel Budget'!W56+'LW Budget'!W56</f>
        <v/>
      </c>
      <c r="X56" s="211">
        <f>IFERROR(W56/W$20,0)</f>
        <v/>
      </c>
      <c r="Y56" s="203">
        <f>'Vessel Budget'!Y56+'LW Budget'!Y56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>
        <f>'Vessel Budget'!C57+'LW Budget'!C57</f>
        <v/>
      </c>
      <c r="D57" s="211">
        <f>IFERROR(C57/C$20,0)</f>
        <v/>
      </c>
      <c r="E57" s="203">
        <f>'Vessel Budget'!E57+'LW Budget'!E57</f>
        <v/>
      </c>
      <c r="F57" s="211">
        <f>IFERROR(E57/E$20,0)</f>
        <v/>
      </c>
      <c r="G57" s="203">
        <f>'Vessel Budget'!G57+'LW Budget'!G57</f>
        <v/>
      </c>
      <c r="H57" s="211">
        <f>IFERROR(G57/G$20,0)</f>
        <v/>
      </c>
      <c r="I57" s="203">
        <f>'Vessel Budget'!I57+'LW Budget'!I57</f>
        <v/>
      </c>
      <c r="J57" s="211">
        <f>IFERROR(I57/I$20,0)</f>
        <v/>
      </c>
      <c r="K57" s="203">
        <f>'Vessel Budget'!K57+'LW Budget'!K57</f>
        <v/>
      </c>
      <c r="L57" s="211">
        <f>IFERROR(K57/K$20,0)</f>
        <v/>
      </c>
      <c r="M57" s="203">
        <f>'Vessel Budget'!M57+'LW Budget'!M57</f>
        <v/>
      </c>
      <c r="N57" s="211">
        <f>IFERROR(M57/M$20,0)</f>
        <v/>
      </c>
      <c r="O57" s="203">
        <f>'Vessel Budget'!O57+'LW Budget'!O57</f>
        <v/>
      </c>
      <c r="P57" s="211">
        <f>IFERROR(O57/O$20,0)</f>
        <v/>
      </c>
      <c r="Q57" s="203">
        <f>'Vessel Budget'!Q57+'LW Budget'!Q57</f>
        <v/>
      </c>
      <c r="R57" s="211">
        <f>IFERROR(Q57/Q$20,0)</f>
        <v/>
      </c>
      <c r="S57" s="203">
        <f>'Vessel Budget'!S57+'LW Budget'!S57</f>
        <v/>
      </c>
      <c r="T57" s="211">
        <f>IFERROR(S57/S$20,0)</f>
        <v/>
      </c>
      <c r="U57" s="203">
        <f>'Vessel Budget'!U57+'LW Budget'!U57</f>
        <v/>
      </c>
      <c r="V57" s="211">
        <f>IFERROR(U57/U$20,0)</f>
        <v/>
      </c>
      <c r="W57" s="203">
        <f>'Vessel Budget'!W57+'LW Budget'!W57</f>
        <v/>
      </c>
      <c r="X57" s="211">
        <f>IFERROR(W57/W$20,0)</f>
        <v/>
      </c>
      <c r="Y57" s="203">
        <f>'Vessel Budget'!Y57+'LW Budget'!Y57</f>
        <v/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Budget'!C58+'LW Budget'!C58</f>
        <v/>
      </c>
      <c r="D58" s="211">
        <f>IFERROR(C58/C$20,0)</f>
        <v/>
      </c>
      <c r="E58" s="203">
        <f>'Vessel Budget'!E58+'LW Budget'!E58</f>
        <v/>
      </c>
      <c r="F58" s="211">
        <f>IFERROR(E58/E$20,0)</f>
        <v/>
      </c>
      <c r="G58" s="203">
        <f>'Vessel Budget'!G58+'LW Budget'!G58</f>
        <v/>
      </c>
      <c r="H58" s="211">
        <f>IFERROR(G58/G$20,0)</f>
        <v/>
      </c>
      <c r="I58" s="203">
        <f>'Vessel Budget'!I58+'LW Budget'!I58</f>
        <v/>
      </c>
      <c r="J58" s="211">
        <f>IFERROR(I58/I$20,0)</f>
        <v/>
      </c>
      <c r="K58" s="203">
        <f>'Vessel Budget'!K58+'LW Budget'!K58</f>
        <v/>
      </c>
      <c r="L58" s="211">
        <f>IFERROR(K58/K$20,0)</f>
        <v/>
      </c>
      <c r="M58" s="203">
        <f>'Vessel Budget'!M58+'LW Budget'!M58</f>
        <v/>
      </c>
      <c r="N58" s="211">
        <f>IFERROR(M58/M$20,0)</f>
        <v/>
      </c>
      <c r="O58" s="203">
        <f>'Vessel Budget'!O58+'LW Budget'!O58</f>
        <v/>
      </c>
      <c r="P58" s="211">
        <f>IFERROR(O58/O$20,0)</f>
        <v/>
      </c>
      <c r="Q58" s="203">
        <f>'Vessel Budget'!Q58+'LW Budget'!Q58</f>
        <v/>
      </c>
      <c r="R58" s="211">
        <f>IFERROR(Q58/Q$20,0)</f>
        <v/>
      </c>
      <c r="S58" s="203">
        <f>'Vessel Budget'!S58+'LW Budget'!S58</f>
        <v/>
      </c>
      <c r="T58" s="211">
        <f>IFERROR(S58/S$20,0)</f>
        <v/>
      </c>
      <c r="U58" s="203">
        <f>'Vessel Budget'!U58+'LW Budget'!U58</f>
        <v/>
      </c>
      <c r="V58" s="211">
        <f>IFERROR(U58/U$20,0)</f>
        <v/>
      </c>
      <c r="W58" s="203">
        <f>'Vessel Budget'!W58+'LW Budget'!W58</f>
        <v/>
      </c>
      <c r="X58" s="211">
        <f>IFERROR(W58/W$20,0)</f>
        <v/>
      </c>
      <c r="Y58" s="203">
        <f>'Vessel Budget'!Y58+'LW Budget'!Y58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Budget'!C59+'LW Budget'!C59</f>
        <v/>
      </c>
      <c r="D59" s="211">
        <f>IFERROR(C59/C$20,0)</f>
        <v/>
      </c>
      <c r="E59" s="203">
        <f>'Vessel Budget'!E59+'LW Budget'!E59</f>
        <v/>
      </c>
      <c r="F59" s="211">
        <f>IFERROR(E59/E$20,0)</f>
        <v/>
      </c>
      <c r="G59" s="203">
        <f>'Vessel Budget'!G59+'LW Budget'!G59</f>
        <v/>
      </c>
      <c r="H59" s="211">
        <f>IFERROR(G59/G$20,0)</f>
        <v/>
      </c>
      <c r="I59" s="203">
        <f>'Vessel Budget'!I59+'LW Budget'!I59</f>
        <v/>
      </c>
      <c r="J59" s="211">
        <f>IFERROR(I59/I$20,0)</f>
        <v/>
      </c>
      <c r="K59" s="203">
        <f>'Vessel Budget'!K59+'LW Budget'!K59</f>
        <v/>
      </c>
      <c r="L59" s="211">
        <f>IFERROR(K59/K$20,0)</f>
        <v/>
      </c>
      <c r="M59" s="203">
        <f>'Vessel Budget'!M59+'LW Budget'!M59</f>
        <v/>
      </c>
      <c r="N59" s="211">
        <f>IFERROR(M59/M$20,0)</f>
        <v/>
      </c>
      <c r="O59" s="203">
        <f>'Vessel Budget'!O59+'LW Budget'!O59</f>
        <v/>
      </c>
      <c r="P59" s="211">
        <f>IFERROR(O59/O$20,0)</f>
        <v/>
      </c>
      <c r="Q59" s="203">
        <f>'Vessel Budget'!Q59+'LW Budget'!Q59</f>
        <v/>
      </c>
      <c r="R59" s="211">
        <f>IFERROR(Q59/Q$20,0)</f>
        <v/>
      </c>
      <c r="S59" s="203">
        <f>'Vessel Budget'!S59+'LW Budget'!S59</f>
        <v/>
      </c>
      <c r="T59" s="211">
        <f>IFERROR(S59/S$20,0)</f>
        <v/>
      </c>
      <c r="U59" s="203">
        <f>'Vessel Budget'!U59+'LW Budget'!U59</f>
        <v/>
      </c>
      <c r="V59" s="211">
        <f>IFERROR(U59/U$20,0)</f>
        <v/>
      </c>
      <c r="W59" s="203">
        <f>'Vessel Budget'!W59+'LW Budget'!W59</f>
        <v/>
      </c>
      <c r="X59" s="211">
        <f>IFERROR(W59/W$20,0)</f>
        <v/>
      </c>
      <c r="Y59" s="203">
        <f>'Vessel Budget'!Y59+'LW Budget'!Y59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Budget'!C64+'LW Budget'!C64</f>
        <v/>
      </c>
      <c r="D64" s="211">
        <f>IFERROR(C64/C$20,0)</f>
        <v/>
      </c>
      <c r="E64" s="203">
        <f>'Vessel Budget'!E64+'LW Budget'!E64</f>
        <v/>
      </c>
      <c r="F64" s="211">
        <f>IFERROR(E64/E$20,0)</f>
        <v/>
      </c>
      <c r="G64" s="203">
        <f>'Vessel Budget'!G64+'LW Budget'!G64</f>
        <v/>
      </c>
      <c r="H64" s="211">
        <f>IFERROR(G64/G$20,0)</f>
        <v/>
      </c>
      <c r="I64" s="203">
        <f>'Vessel Budget'!I64+'LW Budget'!I64</f>
        <v/>
      </c>
      <c r="J64" s="211">
        <f>IFERROR(I64/I$20,0)</f>
        <v/>
      </c>
      <c r="K64" s="203">
        <f>'Vessel Budget'!K64+'LW Budget'!K64</f>
        <v/>
      </c>
      <c r="L64" s="211">
        <f>IFERROR(K64/K$20,0)</f>
        <v/>
      </c>
      <c r="M64" s="203">
        <f>'Vessel Budget'!M64+'LW Budget'!M64</f>
        <v/>
      </c>
      <c r="N64" s="211">
        <f>IFERROR(M64/M$20,0)</f>
        <v/>
      </c>
      <c r="O64" s="203">
        <f>'Vessel Budget'!O64+'LW Budget'!O64</f>
        <v/>
      </c>
      <c r="P64" s="211">
        <f>IFERROR(O64/O$20,0)</f>
        <v/>
      </c>
      <c r="Q64" s="203">
        <f>'Vessel Budget'!Q64+'LW Budget'!Q64</f>
        <v/>
      </c>
      <c r="R64" s="211">
        <f>IFERROR(Q64/Q$20,0)</f>
        <v/>
      </c>
      <c r="S64" s="203">
        <f>'Vessel Budget'!S64+'LW Budget'!S64</f>
        <v/>
      </c>
      <c r="T64" s="211">
        <f>IFERROR(S64/S$20,0)</f>
        <v/>
      </c>
      <c r="U64" s="203">
        <f>'Vessel Budget'!U64+'LW Budget'!U64</f>
        <v/>
      </c>
      <c r="V64" s="211">
        <f>IFERROR(U64/U$20,0)</f>
        <v/>
      </c>
      <c r="W64" s="203">
        <f>'Vessel Budget'!W64+'LW Budget'!W64</f>
        <v/>
      </c>
      <c r="X64" s="211">
        <f>IFERROR(W64/W$20,0)</f>
        <v/>
      </c>
      <c r="Y64" s="203">
        <f>'Vessel Budget'!Y64+'LW Budget'!Y64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Budget'!C68+'LW Budget'!C68</f>
        <v/>
      </c>
      <c r="D68" s="211">
        <f>IFERROR(C68/C$20,0)</f>
        <v/>
      </c>
      <c r="E68" s="203">
        <f>'Vessel Budget'!E68+'LW Budget'!E68</f>
        <v/>
      </c>
      <c r="F68" s="211">
        <f>IFERROR(E68/E$20,0)</f>
        <v/>
      </c>
      <c r="G68" s="203">
        <f>'Vessel Budget'!G68+'LW Budget'!G68</f>
        <v/>
      </c>
      <c r="H68" s="211">
        <f>IFERROR(G68/G$20,0)</f>
        <v/>
      </c>
      <c r="I68" s="203">
        <f>'Vessel Budget'!I68+'LW Budget'!I68</f>
        <v/>
      </c>
      <c r="J68" s="211">
        <f>IFERROR(I68/I$20,0)</f>
        <v/>
      </c>
      <c r="K68" s="203">
        <f>'Vessel Budget'!K68+'LW Budget'!K68</f>
        <v/>
      </c>
      <c r="L68" s="211">
        <f>IFERROR(K68/K$20,0)</f>
        <v/>
      </c>
      <c r="M68" s="203">
        <f>'Vessel Budget'!M68+'LW Budget'!M68</f>
        <v/>
      </c>
      <c r="N68" s="211">
        <f>IFERROR(M68/M$20,0)</f>
        <v/>
      </c>
      <c r="O68" s="203">
        <f>'Vessel Budget'!O68+'LW Budget'!O68</f>
        <v/>
      </c>
      <c r="P68" s="211">
        <f>IFERROR(O68/O$20,0)</f>
        <v/>
      </c>
      <c r="Q68" s="203">
        <f>'Vessel Budget'!Q68+'LW Budget'!Q68</f>
        <v/>
      </c>
      <c r="R68" s="211">
        <f>IFERROR(Q68/Q$20,0)</f>
        <v/>
      </c>
      <c r="S68" s="203">
        <f>'Vessel Budget'!S68+'LW Budget'!S68</f>
        <v/>
      </c>
      <c r="T68" s="211">
        <f>IFERROR(S68/S$20,0)</f>
        <v/>
      </c>
      <c r="U68" s="203">
        <f>'Vessel Budget'!U68+'LW Budget'!U68</f>
        <v/>
      </c>
      <c r="V68" s="211">
        <f>IFERROR(U68/U$20,0)</f>
        <v/>
      </c>
      <c r="W68" s="203">
        <f>'Vessel Budget'!W68+'LW Budget'!W68</f>
        <v/>
      </c>
      <c r="X68" s="211">
        <f>IFERROR(W68/W$20,0)</f>
        <v/>
      </c>
      <c r="Y68" s="203">
        <f>'Vessel Budget'!Y68+'LW Budget'!Y68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Budget'!C69+'LW Budget'!C69</f>
        <v/>
      </c>
      <c r="D69" s="211">
        <f>IFERROR(C69/C$20,0)</f>
        <v/>
      </c>
      <c r="E69" s="203">
        <f>'Vessel Budget'!E69+'LW Budget'!E69</f>
        <v/>
      </c>
      <c r="F69" s="211">
        <f>IFERROR(E69/E$20,0)</f>
        <v/>
      </c>
      <c r="G69" s="203">
        <f>'Vessel Budget'!G69+'LW Budget'!G69</f>
        <v/>
      </c>
      <c r="H69" s="211">
        <f>IFERROR(G69/G$20,0)</f>
        <v/>
      </c>
      <c r="I69" s="203">
        <f>'Vessel Budget'!I69+'LW Budget'!I69</f>
        <v/>
      </c>
      <c r="J69" s="211">
        <f>IFERROR(I69/I$20,0)</f>
        <v/>
      </c>
      <c r="K69" s="203">
        <f>'Vessel Budget'!K69+'LW Budget'!K69</f>
        <v/>
      </c>
      <c r="L69" s="211">
        <f>IFERROR(K69/K$20,0)</f>
        <v/>
      </c>
      <c r="M69" s="203">
        <f>'Vessel Budget'!M69+'LW Budget'!M69</f>
        <v/>
      </c>
      <c r="N69" s="211">
        <f>IFERROR(M69/M$20,0)</f>
        <v/>
      </c>
      <c r="O69" s="203">
        <f>'Vessel Budget'!O69+'LW Budget'!O69</f>
        <v/>
      </c>
      <c r="P69" s="211">
        <f>IFERROR(O69/O$20,0)</f>
        <v/>
      </c>
      <c r="Q69" s="203">
        <f>'Vessel Budget'!Q69+'LW Budget'!Q69</f>
        <v/>
      </c>
      <c r="R69" s="211">
        <f>IFERROR(Q69/Q$20,0)</f>
        <v/>
      </c>
      <c r="S69" s="203">
        <f>'Vessel Budget'!S69+'LW Budget'!S69</f>
        <v/>
      </c>
      <c r="T69" s="211">
        <f>IFERROR(S69/S$20,0)</f>
        <v/>
      </c>
      <c r="U69" s="203">
        <f>'Vessel Budget'!U69+'LW Budget'!U69</f>
        <v/>
      </c>
      <c r="V69" s="211">
        <f>IFERROR(U69/U$20,0)</f>
        <v/>
      </c>
      <c r="W69" s="203">
        <f>'Vessel Budget'!W69+'LW Budget'!W69</f>
        <v/>
      </c>
      <c r="X69" s="211">
        <f>IFERROR(W69/W$20,0)</f>
        <v/>
      </c>
      <c r="Y69" s="203">
        <f>'Vessel Budget'!Y69+'LW Budget'!Y69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5" customWidth="1" style="179" min="3" max="3"/>
    <col width="10" customWidth="1" style="179" min="4" max="4"/>
    <col width="3" customWidth="1" style="179" min="5" max="5"/>
    <col width="22" customWidth="1" style="179" min="6" max="6"/>
    <col width="14" customWidth="1" style="179" min="7" max="7"/>
  </cols>
  <sheetData>
    <row r="2" ht="42" customHeight="1" s="180">
      <c r="B2" s="217" t="inlineStr">
        <is>
          <t>VESSEL EVENTS  —  2027 OPERATING SUMMARY</t>
        </is>
      </c>
    </row>
    <row r="3" ht="15" customHeight="1" s="180">
      <c r="B3" s="218">
        <f>"$"&amp;TEXT('Vessel Assumptions'!$C$6,"#,##0")&amp;" F&amp;B min  ·  "&amp;TEXT('Vessel Assumptions'!$C$7,"0%")&amp;" volume  ·  "&amp;TEXT('Vessel Assumptions'!$C$30,"0%")&amp;" mgmt fee"</f>
        <v/>
      </c>
    </row>
    <row r="5" ht="15" customHeight="1" s="180">
      <c r="B5" s="219" t="inlineStr">
        <is>
          <t>ANNUAL P&amp;L</t>
        </is>
      </c>
      <c r="C5" s="220" t="inlineStr">
        <is>
          <t>$</t>
        </is>
      </c>
      <c r="D5" s="220" t="inlineStr">
        <is>
          <t>% rev</t>
        </is>
      </c>
      <c r="F5" s="219" t="inlineStr">
        <is>
          <t>KEY METRICS</t>
        </is>
      </c>
    </row>
    <row r="6" ht="15" customHeight="1" s="180">
      <c r="B6" s="221" t="inlineStr">
        <is>
          <t>Total revenue</t>
        </is>
      </c>
      <c r="C6" s="222">
        <f>'Vessel Budget'!$AB$20</f>
        <v/>
      </c>
      <c r="D6" s="223">
        <f>C6/C6</f>
        <v/>
      </c>
      <c r="F6" s="224" t="inlineStr">
        <is>
          <t>Net operating margin</t>
        </is>
      </c>
      <c r="G6" s="225">
        <f>'Vessel Budget'!$AB$62/'Vessel Budget'!$AB$20</f>
        <v/>
      </c>
    </row>
    <row r="7" ht="15" customHeight="1" s="180">
      <c r="B7" s="226" t="inlineStr">
        <is>
          <t>Total COGS</t>
        </is>
      </c>
      <c r="C7" s="227">
        <f>'Vessel Budget'!$AB$29</f>
        <v/>
      </c>
      <c r="D7" s="228">
        <f>C7/C6</f>
        <v/>
      </c>
      <c r="F7" s="224" t="inlineStr">
        <is>
          <t>Prime cost %</t>
        </is>
      </c>
      <c r="G7" s="225">
        <f>'Vessel Budget'!$AB$40/'Vessel Budget'!$AB$20</f>
        <v/>
      </c>
    </row>
    <row r="8" ht="15" customHeight="1" s="180">
      <c r="B8" s="221" t="inlineStr">
        <is>
          <t>Gross profit</t>
        </is>
      </c>
      <c r="C8" s="222">
        <f>'Vessel Budget'!$AB$30</f>
        <v/>
      </c>
      <c r="D8" s="223">
        <f>C8/C6</f>
        <v/>
      </c>
      <c r="F8" s="224" t="inlineStr">
        <is>
          <t>COGS %</t>
        </is>
      </c>
      <c r="G8" s="225">
        <f>'Vessel Budget'!$AB$29/'Vessel Budget'!$AB$20</f>
        <v/>
      </c>
    </row>
    <row r="9" ht="15" customHeight="1" s="180">
      <c r="B9" s="226" t="inlineStr">
        <is>
          <t>Total labor (incl. mgmt)</t>
        </is>
      </c>
      <c r="C9" s="227">
        <f>'Vessel Budget'!$AB$38</f>
        <v/>
      </c>
      <c r="D9" s="228">
        <f>C9/C6</f>
        <v/>
      </c>
      <c r="F9" s="224" t="inlineStr">
        <is>
          <t>Total events / year</t>
        </is>
      </c>
      <c r="G9" s="229">
        <f>'Vessel Budget'!$AB$9</f>
        <v/>
      </c>
    </row>
    <row r="10" ht="15" customHeight="1" s="180">
      <c r="B10" s="221" t="inlineStr">
        <is>
          <t>Prime cost</t>
        </is>
      </c>
      <c r="C10" s="222">
        <f>'Vessel Budget'!$AB$40</f>
        <v/>
      </c>
      <c r="D10" s="223">
        <f>C10/C6</f>
        <v/>
      </c>
      <c r="F10" s="224" t="inlineStr">
        <is>
          <t>Avg F&amp;B / event</t>
        </is>
      </c>
      <c r="G10" s="230">
        <f>SUM('Vessel Budget'!$AB$12:$AB$16)/'Vessel Budget'!$AB$9</f>
        <v/>
      </c>
    </row>
    <row r="11" ht="15" customHeight="1" s="180">
      <c r="B11" s="226" t="inlineStr">
        <is>
          <t>Controllable (excl CC)</t>
        </is>
      </c>
      <c r="C11" s="231">
        <f>'Vessel Budget'!$AB$50-'Vessel Budget'!$AB$49</f>
        <v/>
      </c>
      <c r="D11" s="228">
        <f>C11/C6</f>
        <v/>
      </c>
      <c r="F11" s="224" t="inlineStr">
        <is>
          <t>Revenue / event</t>
        </is>
      </c>
      <c r="G11" s="230">
        <f>'Vessel Budget'!$AB$20/'Vessel Budget'!$AB$9</f>
        <v/>
      </c>
    </row>
    <row r="12" ht="15" customHeight="1" s="180">
      <c r="B12" s="226" t="inlineStr">
        <is>
          <t>Credit card fees (2.5%)</t>
        </is>
      </c>
      <c r="C12" s="231">
        <f>'Vessel Budget'!$AB$49</f>
        <v/>
      </c>
      <c r="D12" s="228">
        <f>C12/C6</f>
        <v/>
      </c>
    </row>
    <row r="13" ht="15" customHeight="1" s="180">
      <c r="B13" s="226" t="inlineStr">
        <is>
          <t>Non-controllable</t>
        </is>
      </c>
      <c r="C13" s="231">
        <f>'Vessel Budget'!$AB$60-'Vessel Budget'!$AB$54-'Vessel Budget'!$AB$56-'Vessel Budget'!$AB$57</f>
        <v/>
      </c>
      <c r="D13" s="228">
        <f>C13/C6</f>
        <v/>
      </c>
    </row>
    <row r="14" ht="15" customHeight="1" s="180">
      <c r="B14" s="232" t="inlineStr">
        <is>
          <t>Management fee (4% of revenue)</t>
        </is>
      </c>
      <c r="C14" s="233">
        <f>'Vessel Budget'!$AB$56</f>
        <v/>
      </c>
      <c r="D14" s="234">
        <f>C14/C6</f>
        <v/>
      </c>
    </row>
    <row r="15" ht="15" customHeight="1" s="180">
      <c r="B15" s="179" t="inlineStr">
        <is>
          <t>Admin fee income (5% of F&amp;B, billed to clients)</t>
        </is>
      </c>
      <c r="C15" s="194">
        <f>SUM('Vessel Budget'!$AB$12:$AB$16)*'Vessel Assumptions'!$C$32</f>
        <v/>
      </c>
      <c r="D15" s="197">
        <f>C15/C6</f>
        <v/>
      </c>
    </row>
    <row r="16" ht="15" customHeight="1" s="180">
      <c r="B16" s="195" t="inlineStr">
        <is>
          <t>Rent / occupancy (none)</t>
        </is>
      </c>
      <c r="C16" s="196">
        <f>'Vessel Budget'!$AB$54</f>
        <v/>
      </c>
      <c r="D16" s="197">
        <f>C16/C6</f>
        <v/>
      </c>
    </row>
    <row r="17" ht="15" customHeight="1" s="180">
      <c r="B17" s="235" t="inlineStr">
        <is>
          <t>NET OPERATING PROFIT</t>
        </is>
      </c>
      <c r="C17" s="236">
        <f>'Vessel Budget'!$AB$62</f>
        <v/>
      </c>
      <c r="D17" s="223">
        <f>C17/C6</f>
        <v/>
      </c>
    </row>
    <row r="18" ht="15" customHeight="1" s="180">
      <c r="B18" s="221" t="n"/>
      <c r="C18" s="222" t="n"/>
      <c r="D18" s="223" t="n"/>
    </row>
    <row r="20" ht="15" customHeight="1" s="180">
      <c r="B20" s="237" t="inlineStr">
        <is>
          <t>Adjust inputs on the Vessel Assumptions tab — every figure recalculates. Management fee = 4% of revenue; no separate rent.</t>
        </is>
      </c>
    </row>
    <row r="21" ht="15" customHeight="1" s="180"/>
  </sheetData>
  <mergeCells count="3">
    <mergeCell ref="B3:G3"/>
    <mergeCell ref="B2:G2"/>
    <mergeCell ref="B20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6" customWidth="1" style="179" min="3" max="3"/>
    <col width="46" customWidth="1" style="179" min="4" max="4"/>
  </cols>
  <sheetData>
    <row r="2" ht="39.75" customHeight="1" s="180">
      <c r="B2" s="217" t="inlineStr">
        <is>
          <t>VESSEL  ·  EVENT OPERATING MODEL</t>
        </is>
      </c>
    </row>
    <row r="3" ht="15" customHeight="1" s="180">
      <c r="B3" s="218" t="inlineStr">
        <is>
          <t>Model drivers — adjust any input and the 2027 budget recalculates</t>
        </is>
      </c>
    </row>
    <row r="5" ht="19.5" customHeight="1" s="180">
      <c r="B5" s="238" t="inlineStr">
        <is>
          <t>REVENUE DRIVERS</t>
        </is>
      </c>
    </row>
    <row r="6" ht="15" customHeight="1" s="180">
      <c r="B6" s="224" t="inlineStr">
        <is>
          <t>F&amp;B minimum per event</t>
        </is>
      </c>
      <c r="C6" s="239" t="n">
        <v>3720</v>
      </c>
      <c r="D6" s="237" t="inlineStr">
        <is>
          <t>per-event F&amp;B realized (card: food $2,880 + bev $840; $4,000 contract minimum)</t>
        </is>
      </c>
    </row>
    <row r="7" ht="15" customHeight="1" s="180">
      <c r="B7" s="224" t="inlineStr">
        <is>
          <t>Event volume (% of run-rate)</t>
        </is>
      </c>
      <c r="C7" s="240" t="n">
        <v>0.8</v>
      </c>
      <c r="D7" s="237">
        <f>TEXT($C$7,"0%")&amp;" of Jan–May run-rate"</f>
        <v/>
      </c>
    </row>
    <row r="8" ht="15" customHeight="1" s="180">
      <c r="B8" s="224" t="inlineStr">
        <is>
          <t>Food share of F&amp;B</t>
        </is>
      </c>
      <c r="C8" s="240">
        <f>2880/3720</f>
        <v/>
      </c>
      <c r="D8" s="237" t="inlineStr">
        <is>
          <t>food share per the 2027 unit-economics card</t>
        </is>
      </c>
    </row>
    <row r="9" ht="15" customHeight="1" s="180">
      <c r="B9" s="224" t="inlineStr">
        <is>
          <t>Service charge (% of F&amp;B)</t>
        </is>
      </c>
      <c r="C9" s="240" t="n">
        <v>0.2</v>
      </c>
      <c r="D9" s="237" t="inlineStr">
        <is>
          <t>revenue, not billed labor</t>
        </is>
      </c>
    </row>
    <row r="11" ht="19.5" customHeight="1" s="180">
      <c r="B11" s="238" t="inlineStr">
        <is>
          <t>COST OF SALES  (% of that category's sales)</t>
        </is>
      </c>
    </row>
    <row r="12" ht="15" customHeight="1" s="180">
      <c r="B12" s="224" t="inlineStr">
        <is>
          <t>Food cost % (of food sales)</t>
        </is>
      </c>
      <c r="C12" s="240">
        <f>1600/2880</f>
        <v/>
      </c>
      <c r="D12" s="237" t="inlineStr">
        <is>
          <t>food cost per card: $1,600 on $2,880 (55.6%)</t>
        </is>
      </c>
    </row>
    <row r="13" ht="15" customHeight="1" s="180">
      <c r="B13" s="224" t="inlineStr">
        <is>
          <t>Beverage cost % (of bev sales)</t>
        </is>
      </c>
      <c r="C13" s="240" t="n">
        <v>0.25</v>
      </c>
      <c r="D13" s="237">
        <f>TEXT(1-$C$13,"0%")&amp;" margin"</f>
        <v/>
      </c>
    </row>
    <row r="15" ht="19.5" customHeight="1" s="180">
      <c r="B15" s="238" t="inlineStr">
        <is>
          <t>LABOR</t>
        </is>
      </c>
    </row>
    <row r="16" ht="15" customHeight="1" s="180">
      <c r="B16" s="224" t="inlineStr">
        <is>
          <t>Bartenders per event</t>
        </is>
      </c>
      <c r="C16" s="241" t="n">
        <v>1</v>
      </c>
    </row>
    <row r="17" ht="15" customHeight="1" s="180">
      <c r="B17" s="224" t="inlineStr">
        <is>
          <t>Servers per event</t>
        </is>
      </c>
      <c r="C17" s="241" t="n">
        <v>2</v>
      </c>
    </row>
    <row r="18" ht="15" customHeight="1" s="180">
      <c r="B18" s="224" t="inlineStr">
        <is>
          <t>Hourly rate</t>
        </is>
      </c>
      <c r="C18" s="239" t="n">
        <v>35</v>
      </c>
    </row>
    <row r="19" ht="15" customHeight="1" s="180">
      <c r="B19" s="224" t="inlineStr">
        <is>
          <t>Shift hours</t>
        </is>
      </c>
      <c r="C19" s="241" t="n">
        <v>5</v>
      </c>
    </row>
    <row r="20" ht="15" customHeight="1" s="180">
      <c r="B20" s="242" t="inlineStr">
        <is>
          <t>Hourly labor per event (calc)</t>
        </is>
      </c>
      <c r="C20" s="243">
        <f>(C16+C17)*C18*C19</f>
        <v/>
      </c>
    </row>
    <row r="21" ht="15" customHeight="1" s="180">
      <c r="B21" s="224" t="inlineStr">
        <is>
          <t>Management labor / month</t>
        </is>
      </c>
      <c r="C21" s="243">
        <f>'Vessel GL Basis'!D8</f>
        <v/>
      </c>
      <c r="D21" s="237" t="inlineStr">
        <is>
          <t>linked ← Vessel GL Basis</t>
        </is>
      </c>
    </row>
    <row r="22" ht="15" customHeight="1" s="180">
      <c r="B22" s="224" t="inlineStr">
        <is>
          <t>Payroll taxes &amp; benefits %</t>
        </is>
      </c>
      <c r="C22" s="240">
        <f>114/692</f>
        <v/>
      </c>
      <c r="D22" s="237" t="inlineStr">
        <is>
          <t>PT&amp;B per card: $114 on $692 of wages (hourly+manager+bonus)</t>
        </is>
      </c>
    </row>
    <row r="24" ht="19.5" customHeight="1" s="180">
      <c r="B24" s="238" t="inlineStr">
        <is>
          <t>OVERHEAD &amp; VARIABLE</t>
        </is>
      </c>
    </row>
    <row r="25" ht="15" customHeight="1" s="180">
      <c r="B25" s="224" t="inlineStr">
        <is>
          <t>Controllable exp / month (excl CC)</t>
        </is>
      </c>
      <c r="C25" s="243">
        <f>'Vessel GL Basis'!D18</f>
        <v/>
      </c>
      <c r="D25" s="237" t="inlineStr">
        <is>
          <t>linked ← Vessel GL Basis</t>
        </is>
      </c>
    </row>
    <row r="26" ht="15" customHeight="1" s="180">
      <c r="B26" s="224" t="inlineStr">
        <is>
          <t>Non-controllable / month</t>
        </is>
      </c>
      <c r="C26" s="243">
        <f>'Vessel GL Basis'!D24</f>
        <v/>
      </c>
      <c r="D26" s="237" t="inlineStr">
        <is>
          <t>linked ← Vessel GL Basis</t>
        </is>
      </c>
    </row>
    <row r="27" ht="15" customHeight="1" s="180">
      <c r="B27" s="224" t="inlineStr">
        <is>
          <t>Credit card fee (% of revenue)</t>
        </is>
      </c>
      <c r="C27" s="240" t="n">
        <v>0.025</v>
      </c>
      <c r="D27" s="237" t="inlineStr">
        <is>
          <t>variable — own line</t>
        </is>
      </c>
    </row>
    <row r="29" ht="19.5" customHeight="1" s="180">
      <c r="B29" s="238" t="inlineStr">
        <is>
          <t>OWNER CHARGES (above NOI) &amp; ADMIN FEE INCOME</t>
        </is>
      </c>
    </row>
    <row r="30" ht="15" customHeight="1" s="180">
      <c r="B30" s="224" t="inlineStr">
        <is>
          <t>Management fee (% of revenue) — EXPENSE</t>
        </is>
      </c>
      <c r="C30" s="244" t="n">
        <v>0.04</v>
      </c>
      <c r="D30" s="237" t="inlineStr">
        <is>
          <t>4% of gross revenue → Method (replaces profit split)</t>
        </is>
      </c>
    </row>
    <row r="31" ht="15" customHeight="1" s="180">
      <c r="B31" s="242" t="inlineStr">
        <is>
          <t>Rent (% of revenue) — EXPENSE (waived)</t>
        </is>
      </c>
      <c r="C31" s="245" t="n">
        <v>0</v>
      </c>
      <c r="D31" s="179" t="inlineStr">
        <is>
          <t>Vessel carries no separate rent (owner)</t>
        </is>
      </c>
    </row>
    <row r="32" ht="15" customHeight="1" s="180">
      <c r="B32" s="179" t="inlineStr">
        <is>
          <t>Admin fee (% of F&amp;B) — INCOME, billed to clients</t>
        </is>
      </c>
      <c r="C32" s="246" t="n">
        <v>0.05</v>
      </c>
      <c r="D32" s="179" t="inlineStr">
        <is>
          <t>5% added to event client invoices → Vessel Other Operating Income (NOT an expense); 4% mgmt fee applies to it as revenue</t>
        </is>
      </c>
    </row>
    <row r="34" ht="15" customHeight="1" s="180">
      <c r="B34" s="224" t="inlineStr">
        <is>
          <t>Operating expenses (% of revenue — modified/plan)</t>
        </is>
      </c>
      <c r="C34" s="244" t="n">
        <v>0.03</v>
      </c>
      <c r="D34" s="237" t="inlineStr">
        <is>
          <t>target ratio, replaces GL run-rate in modified months &amp; 2027</t>
        </is>
      </c>
    </row>
    <row r="35" ht="15" customHeight="1" s="180">
      <c r="B35" s="224" t="inlineStr">
        <is>
          <t>G&amp;A controllable (% of revenue — modified/plan)</t>
        </is>
      </c>
      <c r="C35" s="244" t="n">
        <v>0.04</v>
      </c>
      <c r="D35" s="237" t="inlineStr">
        <is>
          <t>target ratio (GL runs ~11%) — the accounting/bank cleanup</t>
        </is>
      </c>
    </row>
    <row r="36" ht="15" customHeight="1" s="180">
      <c r="B36" s="224" t="inlineStr">
        <is>
          <t>Manager labor $/event</t>
        </is>
      </c>
      <c r="C36" s="247" t="n">
        <v>55</v>
      </c>
      <c r="D36" s="237" t="inlineStr">
        <is>
          <t>2027 unit-economics card</t>
        </is>
      </c>
    </row>
    <row r="37" ht="15" customHeight="1" s="180">
      <c r="B37" s="224" t="inlineStr">
        <is>
          <t>Bonus $/event</t>
        </is>
      </c>
      <c r="C37" s="247" t="n">
        <v>112</v>
      </c>
      <c r="D37" s="237" t="inlineStr">
        <is>
          <t>2027 unit-economics card</t>
        </is>
      </c>
    </row>
    <row r="38" ht="15" customHeight="1" s="180">
      <c r="B38" s="224" t="inlineStr">
        <is>
          <t>Controllable expenses (% of revenue — 2027 card)</t>
        </is>
      </c>
      <c r="C38" s="248">
        <f>575/4650</f>
        <v/>
      </c>
      <c r="D38" s="237" t="inlineStr">
        <is>
          <t>$575/event incl CC fees</t>
        </is>
      </c>
    </row>
    <row r="39" ht="15" customHeight="1" s="180">
      <c r="B39" s="224" t="inlineStr">
        <is>
          <t>Uncontrollable (% of revenue — 2027 card)</t>
        </is>
      </c>
      <c r="C39" s="248">
        <f>116/4650</f>
        <v/>
      </c>
      <c r="D39" s="237" t="inlineStr">
        <is>
          <t>$116/event</t>
        </is>
      </c>
    </row>
  </sheetData>
  <mergeCells count="7">
    <mergeCell ref="B11:D11"/>
    <mergeCell ref="B3:D3"/>
    <mergeCell ref="B5:D5"/>
    <mergeCell ref="B15:D15"/>
    <mergeCell ref="B29:D29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Budget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4" t="inlineStr">
        <is>
          <t>Events (2026 run-rate)</t>
        </is>
      </c>
      <c r="C8" s="249" t="n">
        <v>13</v>
      </c>
      <c r="E8" s="249" t="n">
        <v>4</v>
      </c>
      <c r="G8" s="249" t="n">
        <v>13</v>
      </c>
      <c r="I8" s="249" t="n">
        <v>4</v>
      </c>
      <c r="K8" s="249" t="n">
        <v>10</v>
      </c>
      <c r="M8" s="250">
        <f>AVERAGE($C$8,$E$8,$G$8,$I$8,$K$8)</f>
        <v/>
      </c>
      <c r="O8" s="250">
        <f>AVERAGE($C$8,$E$8,$G$8,$I$8,$K$8)</f>
        <v/>
      </c>
      <c r="Q8" s="250">
        <f>AVERAGE($C$8,$E$8,$G$8,$I$8,$K$8)</f>
        <v/>
      </c>
      <c r="S8" s="250">
        <f>AVERAGE($C$8,$E$8,$G$8,$I$8,$K$8)</f>
        <v/>
      </c>
      <c r="U8" s="250">
        <f>AVERAGE($C$8,$E$8,$G$8,$I$8,$K$8)</f>
        <v/>
      </c>
      <c r="W8" s="250">
        <f>AVERAGE($C$8,$E$8,$G$8,$I$8,$K$8)</f>
        <v/>
      </c>
      <c r="Y8" s="250">
        <f>AVERAGE($C$8,$E$8,$G$8,$I$8,$K$8)</f>
        <v/>
      </c>
      <c r="AB8" s="216">
        <f>SUM(C8,E8,G8,I8,K8,M8,O8,Q8,S8,U8,W8,Y8)</f>
        <v/>
      </c>
    </row>
    <row r="9" ht="15" customHeight="1" s="180">
      <c r="A9" s="184" t="inlineStr">
        <is>
          <t>Events (budgeted, whole)</t>
        </is>
      </c>
      <c r="C9" s="216">
        <f>ROUND(C8*'Vessel Assumptions'!$C$7,0)</f>
        <v/>
      </c>
      <c r="E9" s="216">
        <f>ROUND(E8*'Vessel Assumptions'!$C$7,0)</f>
        <v/>
      </c>
      <c r="G9" s="216">
        <f>ROUND(G8*'Vessel Assumptions'!$C$7,0)</f>
        <v/>
      </c>
      <c r="I9" s="216">
        <f>ROUND(I8*'Vessel Assumptions'!$C$7,0)</f>
        <v/>
      </c>
      <c r="K9" s="216">
        <f>ROUND(K8*'Vessel Assumptions'!$C$7,0)</f>
        <v/>
      </c>
      <c r="M9" s="216">
        <f>ROUND(M8*'Vessel Assumptions'!$C$7,0)</f>
        <v/>
      </c>
      <c r="O9" s="216">
        <f>ROUND(O8*'Vessel Assumptions'!$C$7,0)</f>
        <v/>
      </c>
      <c r="Q9" s="216">
        <f>ROUND(Q8*'Vessel Assumptions'!$C$7,0)</f>
        <v/>
      </c>
      <c r="S9" s="216">
        <f>ROUND(S8*'Vessel Assumptions'!$C$7,0)</f>
        <v/>
      </c>
      <c r="U9" s="216">
        <f>ROUND(U8*'Vessel Assumptions'!$C$7,0)</f>
        <v/>
      </c>
      <c r="W9" s="216">
        <f>ROUND(W8*'Vessel Assumptions'!$C$7,0)</f>
        <v/>
      </c>
      <c r="Y9" s="216">
        <f>ROUND(Y8*'Vessel Assumptions'!$C$7,0)</f>
        <v/>
      </c>
      <c r="AB9" s="216">
        <f>SUM(C9,E9,G9,I9,K9,M9,O9,Q9,S9,U9,W9,Y9)</f>
        <v/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C9*'Vessel Assumptions'!$C$6*'Vessel Assumptions'!$C$8</f>
        <v/>
      </c>
      <c r="D12" s="211">
        <f>IFERROR(C12/C$20,0)</f>
        <v/>
      </c>
      <c r="E12" s="203">
        <f>E9*'Vessel Assumptions'!$C$6*'Vessel Assumptions'!$C$8</f>
        <v/>
      </c>
      <c r="F12" s="211">
        <f>IFERROR(E12/E$20,0)</f>
        <v/>
      </c>
      <c r="G12" s="203">
        <f>G9*'Vessel Assumptions'!$C$6*'Vessel Assumptions'!$C$8</f>
        <v/>
      </c>
      <c r="H12" s="211">
        <f>IFERROR(G12/G$20,0)</f>
        <v/>
      </c>
      <c r="I12" s="203">
        <f>I9*'Vessel Assumptions'!$C$6*'Vessel Assumptions'!$C$8</f>
        <v/>
      </c>
      <c r="J12" s="211">
        <f>IFERROR(I12/I$20,0)</f>
        <v/>
      </c>
      <c r="K12" s="203">
        <f>K9*'Vessel Assumptions'!$C$6*'Vessel Assumptions'!$C$8</f>
        <v/>
      </c>
      <c r="L12" s="211">
        <f>IFERROR(K12/K$20,0)</f>
        <v/>
      </c>
      <c r="M12" s="203">
        <f>M9*'Vessel Assumptions'!$C$6*'Vessel Assumptions'!$C$8</f>
        <v/>
      </c>
      <c r="N12" s="211">
        <f>IFERROR(M12/M$20,0)</f>
        <v/>
      </c>
      <c r="O12" s="203">
        <f>O9*'Vessel Assumptions'!$C$6*'Vessel Assumptions'!$C$8</f>
        <v/>
      </c>
      <c r="P12" s="211">
        <f>IFERROR(O12/O$20,0)</f>
        <v/>
      </c>
      <c r="Q12" s="203">
        <f>Q9*'Vessel Assumptions'!$C$6*'Vessel Assumptions'!$C$8</f>
        <v/>
      </c>
      <c r="R12" s="211">
        <f>IFERROR(Q12/Q$20,0)</f>
        <v/>
      </c>
      <c r="S12" s="203">
        <f>S9*'Vessel Assumptions'!$C$6*'Vessel Assumptions'!$C$8</f>
        <v/>
      </c>
      <c r="T12" s="211">
        <f>IFERROR(S12/S$20,0)</f>
        <v/>
      </c>
      <c r="U12" s="203">
        <f>U9*'Vessel Assumptions'!$C$6*'Vessel Assumptions'!$C$8</f>
        <v/>
      </c>
      <c r="V12" s="211">
        <f>IFERROR(U12/U$20,0)</f>
        <v/>
      </c>
      <c r="W12" s="203">
        <f>W9*'Vessel Assumptions'!$C$6*'Vessel Assumptions'!$C$8</f>
        <v/>
      </c>
      <c r="X12" s="211">
        <f>IFERROR(W12/W$20,0)</f>
        <v/>
      </c>
      <c r="Y12" s="203">
        <f>Y9*'Vessel Assumptions'!$C$6*'Vessel Assumptions'!$C$8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(C9*'Vessel Assumptions'!$C$6*(1-'Vessel Assumptions'!$C$8))*'Vessel 2026 P&amp;L'!$AB$10/SUM('Vessel 2026 P&amp;L'!$AB$10:$AB$13)</f>
        <v/>
      </c>
      <c r="D13" s="211">
        <f>IFERROR(C13/C$20,0)</f>
        <v/>
      </c>
      <c r="E13" s="203">
        <f>(E9*'Vessel Assumptions'!$C$6*(1-'Vessel Assumptions'!$C$8))*'Vessel 2026 P&amp;L'!$AB$10/SUM('Vessel 2026 P&amp;L'!$AB$10:$AB$13)</f>
        <v/>
      </c>
      <c r="F13" s="211">
        <f>IFERROR(E13/E$20,0)</f>
        <v/>
      </c>
      <c r="G13" s="203">
        <f>(G9*'Vessel Assumptions'!$C$6*(1-'Vessel Assumptions'!$C$8))*'Vessel 2026 P&amp;L'!$AB$10/SUM('Vessel 2026 P&amp;L'!$AB$10:$AB$13)</f>
        <v/>
      </c>
      <c r="H13" s="211">
        <f>IFERROR(G13/G$20,0)</f>
        <v/>
      </c>
      <c r="I13" s="203">
        <f>(I9*'Vessel Assumptions'!$C$6*(1-'Vessel Assumptions'!$C$8))*'Vessel 2026 P&amp;L'!$AB$10/SUM('Vessel 2026 P&amp;L'!$AB$10:$AB$13)</f>
        <v/>
      </c>
      <c r="J13" s="211">
        <f>IFERROR(I13/I$20,0)</f>
        <v/>
      </c>
      <c r="K13" s="203">
        <f>(K9*'Vessel Assumptions'!$C$6*(1-'Vessel Assumptions'!$C$8))*'Vessel 2026 P&amp;L'!$AB$10/SUM('Vessel 2026 P&amp;L'!$AB$10:$AB$13)</f>
        <v/>
      </c>
      <c r="L13" s="211">
        <f>IFERROR(K13/K$20,0)</f>
        <v/>
      </c>
      <c r="M13" s="203">
        <f>(M9*'Vessel Assumptions'!$C$6*(1-'Vessel Assumptions'!$C$8))*'Vessel 2026 P&amp;L'!$AB$10/SUM('Vessel 2026 P&amp;L'!$AB$10:$AB$13)</f>
        <v/>
      </c>
      <c r="N13" s="211">
        <f>IFERROR(M13/M$20,0)</f>
        <v/>
      </c>
      <c r="O13" s="203">
        <f>(O9*'Vessel Assumptions'!$C$6*(1-'Vessel Assumptions'!$C$8))*'Vessel 2026 P&amp;L'!$AB$10/SUM('Vessel 2026 P&amp;L'!$AB$10:$AB$13)</f>
        <v/>
      </c>
      <c r="P13" s="211">
        <f>IFERROR(O13/O$20,0)</f>
        <v/>
      </c>
      <c r="Q13" s="203">
        <f>(Q9*'Vessel Assumptions'!$C$6*(1-'Vessel Assumptions'!$C$8))*'Vessel 2026 P&amp;L'!$AB$10/SUM('Vessel 2026 P&amp;L'!$AB$10:$AB$13)</f>
        <v/>
      </c>
      <c r="R13" s="211">
        <f>IFERROR(Q13/Q$20,0)</f>
        <v/>
      </c>
      <c r="S13" s="203">
        <f>(S9*'Vessel Assumptions'!$C$6*(1-'Vessel Assumptions'!$C$8))*'Vessel 2026 P&amp;L'!$AB$10/SUM('Vessel 2026 P&amp;L'!$AB$10:$AB$13)</f>
        <v/>
      </c>
      <c r="T13" s="211">
        <f>IFERROR(S13/S$20,0)</f>
        <v/>
      </c>
      <c r="U13" s="203">
        <f>(U9*'Vessel Assumptions'!$C$6*(1-'Vessel Assumptions'!$C$8))*'Vessel 2026 P&amp;L'!$AB$10/SUM('Vessel 2026 P&amp;L'!$AB$10:$AB$13)</f>
        <v/>
      </c>
      <c r="V13" s="211">
        <f>IFERROR(U13/U$20,0)</f>
        <v/>
      </c>
      <c r="W13" s="203">
        <f>(W9*'Vessel Assumptions'!$C$6*(1-'Vessel Assumptions'!$C$8))*'Vessel 2026 P&amp;L'!$AB$10/SUM('Vessel 2026 P&amp;L'!$AB$10:$AB$13)</f>
        <v/>
      </c>
      <c r="X13" s="211">
        <f>IFERROR(W13/W$20,0)</f>
        <v/>
      </c>
      <c r="Y13" s="203">
        <f>(Y9*'Vessel Assumptions'!$C$6*(1-'Vessel Assumptions'!$C$8))*'Vessel 2026 P&amp;L'!$AB$10/SUM('Vessel 2026 P&amp;L'!$AB$10:$AB$13)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(C9*'Vessel Assumptions'!$C$6*(1-'Vessel Assumptions'!$C$8))*'Vessel 2026 P&amp;L'!$AB$11/SUM('Vessel 2026 P&amp;L'!$AB$10:$AB$13)</f>
        <v/>
      </c>
      <c r="D14" s="211">
        <f>IFERROR(C14/C$20,0)</f>
        <v/>
      </c>
      <c r="E14" s="203">
        <f>(E9*'Vessel Assumptions'!$C$6*(1-'Vessel Assumptions'!$C$8))*'Vessel 2026 P&amp;L'!$AB$11/SUM('Vessel 2026 P&amp;L'!$AB$10:$AB$13)</f>
        <v/>
      </c>
      <c r="F14" s="211">
        <f>IFERROR(E14/E$20,0)</f>
        <v/>
      </c>
      <c r="G14" s="203">
        <f>(G9*'Vessel Assumptions'!$C$6*(1-'Vessel Assumptions'!$C$8))*'Vessel 2026 P&amp;L'!$AB$11/SUM('Vessel 2026 P&amp;L'!$AB$10:$AB$13)</f>
        <v/>
      </c>
      <c r="H14" s="211">
        <f>IFERROR(G14/G$20,0)</f>
        <v/>
      </c>
      <c r="I14" s="203">
        <f>(I9*'Vessel Assumptions'!$C$6*(1-'Vessel Assumptions'!$C$8))*'Vessel 2026 P&amp;L'!$AB$11/SUM('Vessel 2026 P&amp;L'!$AB$10:$AB$13)</f>
        <v/>
      </c>
      <c r="J14" s="211">
        <f>IFERROR(I14/I$20,0)</f>
        <v/>
      </c>
      <c r="K14" s="203">
        <f>(K9*'Vessel Assumptions'!$C$6*(1-'Vessel Assumptions'!$C$8))*'Vessel 2026 P&amp;L'!$AB$11/SUM('Vessel 2026 P&amp;L'!$AB$10:$AB$13)</f>
        <v/>
      </c>
      <c r="L14" s="211">
        <f>IFERROR(K14/K$20,0)</f>
        <v/>
      </c>
      <c r="M14" s="203">
        <f>(M9*'Vessel Assumptions'!$C$6*(1-'Vessel Assumptions'!$C$8))*'Vessel 2026 P&amp;L'!$AB$11/SUM('Vessel 2026 P&amp;L'!$AB$10:$AB$13)</f>
        <v/>
      </c>
      <c r="N14" s="211">
        <f>IFERROR(M14/M$20,0)</f>
        <v/>
      </c>
      <c r="O14" s="203">
        <f>(O9*'Vessel Assumptions'!$C$6*(1-'Vessel Assumptions'!$C$8))*'Vessel 2026 P&amp;L'!$AB$11/SUM('Vessel 2026 P&amp;L'!$AB$10:$AB$13)</f>
        <v/>
      </c>
      <c r="P14" s="211">
        <f>IFERROR(O14/O$20,0)</f>
        <v/>
      </c>
      <c r="Q14" s="203">
        <f>(Q9*'Vessel Assumptions'!$C$6*(1-'Vessel Assumptions'!$C$8))*'Vessel 2026 P&amp;L'!$AB$11/SUM('Vessel 2026 P&amp;L'!$AB$10:$AB$13)</f>
        <v/>
      </c>
      <c r="R14" s="211">
        <f>IFERROR(Q14/Q$20,0)</f>
        <v/>
      </c>
      <c r="S14" s="203">
        <f>(S9*'Vessel Assumptions'!$C$6*(1-'Vessel Assumptions'!$C$8))*'Vessel 2026 P&amp;L'!$AB$11/SUM('Vessel 2026 P&amp;L'!$AB$10:$AB$13)</f>
        <v/>
      </c>
      <c r="T14" s="211">
        <f>IFERROR(S14/S$20,0)</f>
        <v/>
      </c>
      <c r="U14" s="203">
        <f>(U9*'Vessel Assumptions'!$C$6*(1-'Vessel Assumptions'!$C$8))*'Vessel 2026 P&amp;L'!$AB$11/SUM('Vessel 2026 P&amp;L'!$AB$10:$AB$13)</f>
        <v/>
      </c>
      <c r="V14" s="211">
        <f>IFERROR(U14/U$20,0)</f>
        <v/>
      </c>
      <c r="W14" s="203">
        <f>(W9*'Vessel Assumptions'!$C$6*(1-'Vessel Assumptions'!$C$8))*'Vessel 2026 P&amp;L'!$AB$11/SUM('Vessel 2026 P&amp;L'!$AB$10:$AB$13)</f>
        <v/>
      </c>
      <c r="X14" s="211">
        <f>IFERROR(W14/W$20,0)</f>
        <v/>
      </c>
      <c r="Y14" s="203">
        <f>(Y9*'Vessel Assumptions'!$C$6*(1-'Vessel Assumptions'!$C$8))*'Vessel 2026 P&amp;L'!$AB$11/SUM('Vessel 2026 P&amp;L'!$AB$10:$AB$13)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(C9*'Vessel Assumptions'!$C$6*(1-'Vessel Assumptions'!$C$8))*'Vessel 2026 P&amp;L'!$AB$12/SUM('Vessel 2026 P&amp;L'!$AB$10:$AB$13)</f>
        <v/>
      </c>
      <c r="D15" s="211">
        <f>IFERROR(C15/C$20,0)</f>
        <v/>
      </c>
      <c r="E15" s="203">
        <f>(E9*'Vessel Assumptions'!$C$6*(1-'Vessel Assumptions'!$C$8))*'Vessel 2026 P&amp;L'!$AB$12/SUM('Vessel 2026 P&amp;L'!$AB$10:$AB$13)</f>
        <v/>
      </c>
      <c r="F15" s="211">
        <f>IFERROR(E15/E$20,0)</f>
        <v/>
      </c>
      <c r="G15" s="203">
        <f>(G9*'Vessel Assumptions'!$C$6*(1-'Vessel Assumptions'!$C$8))*'Vessel 2026 P&amp;L'!$AB$12/SUM('Vessel 2026 P&amp;L'!$AB$10:$AB$13)</f>
        <v/>
      </c>
      <c r="H15" s="211">
        <f>IFERROR(G15/G$20,0)</f>
        <v/>
      </c>
      <c r="I15" s="203">
        <f>(I9*'Vessel Assumptions'!$C$6*(1-'Vessel Assumptions'!$C$8))*'Vessel 2026 P&amp;L'!$AB$12/SUM('Vessel 2026 P&amp;L'!$AB$10:$AB$13)</f>
        <v/>
      </c>
      <c r="J15" s="211">
        <f>IFERROR(I15/I$20,0)</f>
        <v/>
      </c>
      <c r="K15" s="203">
        <f>(K9*'Vessel Assumptions'!$C$6*(1-'Vessel Assumptions'!$C$8))*'Vessel 2026 P&amp;L'!$AB$12/SUM('Vessel 2026 P&amp;L'!$AB$10:$AB$13)</f>
        <v/>
      </c>
      <c r="L15" s="211">
        <f>IFERROR(K15/K$20,0)</f>
        <v/>
      </c>
      <c r="M15" s="203">
        <f>(M9*'Vessel Assumptions'!$C$6*(1-'Vessel Assumptions'!$C$8))*'Vessel 2026 P&amp;L'!$AB$12/SUM('Vessel 2026 P&amp;L'!$AB$10:$AB$13)</f>
        <v/>
      </c>
      <c r="N15" s="211">
        <f>IFERROR(M15/M$20,0)</f>
        <v/>
      </c>
      <c r="O15" s="203">
        <f>(O9*'Vessel Assumptions'!$C$6*(1-'Vessel Assumptions'!$C$8))*'Vessel 2026 P&amp;L'!$AB$12/SUM('Vessel 2026 P&amp;L'!$AB$10:$AB$13)</f>
        <v/>
      </c>
      <c r="P15" s="211">
        <f>IFERROR(O15/O$20,0)</f>
        <v/>
      </c>
      <c r="Q15" s="203">
        <f>(Q9*'Vessel Assumptions'!$C$6*(1-'Vessel Assumptions'!$C$8))*'Vessel 2026 P&amp;L'!$AB$12/SUM('Vessel 2026 P&amp;L'!$AB$10:$AB$13)</f>
        <v/>
      </c>
      <c r="R15" s="211">
        <f>IFERROR(Q15/Q$20,0)</f>
        <v/>
      </c>
      <c r="S15" s="203">
        <f>(S9*'Vessel Assumptions'!$C$6*(1-'Vessel Assumptions'!$C$8))*'Vessel 2026 P&amp;L'!$AB$12/SUM('Vessel 2026 P&amp;L'!$AB$10:$AB$13)</f>
        <v/>
      </c>
      <c r="T15" s="211">
        <f>IFERROR(S15/S$20,0)</f>
        <v/>
      </c>
      <c r="U15" s="203">
        <f>(U9*'Vessel Assumptions'!$C$6*(1-'Vessel Assumptions'!$C$8))*'Vessel 2026 P&amp;L'!$AB$12/SUM('Vessel 2026 P&amp;L'!$AB$10:$AB$13)</f>
        <v/>
      </c>
      <c r="V15" s="211">
        <f>IFERROR(U15/U$20,0)</f>
        <v/>
      </c>
      <c r="W15" s="203">
        <f>(W9*'Vessel Assumptions'!$C$6*(1-'Vessel Assumptions'!$C$8))*'Vessel 2026 P&amp;L'!$AB$12/SUM('Vessel 2026 P&amp;L'!$AB$10:$AB$13)</f>
        <v/>
      </c>
      <c r="X15" s="211">
        <f>IFERROR(W15/W$20,0)</f>
        <v/>
      </c>
      <c r="Y15" s="203">
        <f>(Y9*'Vessel Assumptions'!$C$6*(1-'Vessel Assumptions'!$C$8))*'Vessel 2026 P&amp;L'!$AB$12/SUM('Vessel 2026 P&amp;L'!$AB$10:$AB$13)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(C9*'Vessel Assumptions'!$C$6*(1-'Vessel Assumptions'!$C$8))*'Vessel 2026 P&amp;L'!$AB$13/SUM('Vessel 2026 P&amp;L'!$AB$10:$AB$13)</f>
        <v/>
      </c>
      <c r="D16" s="211">
        <f>IFERROR(C16/C$20,0)</f>
        <v/>
      </c>
      <c r="E16" s="203">
        <f>(E9*'Vessel Assumptions'!$C$6*(1-'Vessel Assumptions'!$C$8))*'Vessel 2026 P&amp;L'!$AB$13/SUM('Vessel 2026 P&amp;L'!$AB$10:$AB$13)</f>
        <v/>
      </c>
      <c r="F16" s="211">
        <f>IFERROR(E16/E$20,0)</f>
        <v/>
      </c>
      <c r="G16" s="203">
        <f>(G9*'Vessel Assumptions'!$C$6*(1-'Vessel Assumptions'!$C$8))*'Vessel 2026 P&amp;L'!$AB$13/SUM('Vessel 2026 P&amp;L'!$AB$10:$AB$13)</f>
        <v/>
      </c>
      <c r="H16" s="211">
        <f>IFERROR(G16/G$20,0)</f>
        <v/>
      </c>
      <c r="I16" s="203">
        <f>(I9*'Vessel Assumptions'!$C$6*(1-'Vessel Assumptions'!$C$8))*'Vessel 2026 P&amp;L'!$AB$13/SUM('Vessel 2026 P&amp;L'!$AB$10:$AB$13)</f>
        <v/>
      </c>
      <c r="J16" s="211">
        <f>IFERROR(I16/I$20,0)</f>
        <v/>
      </c>
      <c r="K16" s="203">
        <f>(K9*'Vessel Assumptions'!$C$6*(1-'Vessel Assumptions'!$C$8))*'Vessel 2026 P&amp;L'!$AB$13/SUM('Vessel 2026 P&amp;L'!$AB$10:$AB$13)</f>
        <v/>
      </c>
      <c r="L16" s="211">
        <f>IFERROR(K16/K$20,0)</f>
        <v/>
      </c>
      <c r="M16" s="203">
        <f>(M9*'Vessel Assumptions'!$C$6*(1-'Vessel Assumptions'!$C$8))*'Vessel 2026 P&amp;L'!$AB$13/SUM('Vessel 2026 P&amp;L'!$AB$10:$AB$13)</f>
        <v/>
      </c>
      <c r="N16" s="211">
        <f>IFERROR(M16/M$20,0)</f>
        <v/>
      </c>
      <c r="O16" s="203">
        <f>(O9*'Vessel Assumptions'!$C$6*(1-'Vessel Assumptions'!$C$8))*'Vessel 2026 P&amp;L'!$AB$13/SUM('Vessel 2026 P&amp;L'!$AB$10:$AB$13)</f>
        <v/>
      </c>
      <c r="P16" s="211">
        <f>IFERROR(O16/O$20,0)</f>
        <v/>
      </c>
      <c r="Q16" s="203">
        <f>(Q9*'Vessel Assumptions'!$C$6*(1-'Vessel Assumptions'!$C$8))*'Vessel 2026 P&amp;L'!$AB$13/SUM('Vessel 2026 P&amp;L'!$AB$10:$AB$13)</f>
        <v/>
      </c>
      <c r="R16" s="211">
        <f>IFERROR(Q16/Q$20,0)</f>
        <v/>
      </c>
      <c r="S16" s="203">
        <f>(S9*'Vessel Assumptions'!$C$6*(1-'Vessel Assumptions'!$C$8))*'Vessel 2026 P&amp;L'!$AB$13/SUM('Vessel 2026 P&amp;L'!$AB$10:$AB$13)</f>
        <v/>
      </c>
      <c r="T16" s="211">
        <f>IFERROR(S16/S$20,0)</f>
        <v/>
      </c>
      <c r="U16" s="203">
        <f>(U9*'Vessel Assumptions'!$C$6*(1-'Vessel Assumptions'!$C$8))*'Vessel 2026 P&amp;L'!$AB$13/SUM('Vessel 2026 P&amp;L'!$AB$10:$AB$13)</f>
        <v/>
      </c>
      <c r="V16" s="211">
        <f>IFERROR(U16/U$20,0)</f>
        <v/>
      </c>
      <c r="W16" s="203">
        <f>(W9*'Vessel Assumptions'!$C$6*(1-'Vessel Assumptions'!$C$8))*'Vessel 2026 P&amp;L'!$AB$13/SUM('Vessel 2026 P&amp;L'!$AB$10:$AB$13)</f>
        <v/>
      </c>
      <c r="X16" s="211">
        <f>IFERROR(W16/W$20,0)</f>
        <v/>
      </c>
      <c r="Y16" s="203">
        <f>(Y9*'Vessel Assumptions'!$C$6*(1-'Vessel Assumptions'!$C$8))*'Vessel 2026 P&amp;L'!$AB$13/SUM('Vessel 2026 P&amp;L'!$AB$10:$AB$13)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fee)</t>
        </is>
      </c>
      <c r="C18" s="203">
        <f>C9*'Vessel Assumptions'!$C$6*'Vessel Assumptions'!$C$9+SUM(C12:C16)*'Vessel Assumptions'!$C$32</f>
        <v/>
      </c>
      <c r="D18" s="211">
        <f>IFERROR(C18/C$20,0)</f>
        <v/>
      </c>
      <c r="E18" s="203">
        <f>E9*'Vessel Assumptions'!$C$6*'Vessel Assumptions'!$C$9+SUM(E12:E16)*'Vessel Assumptions'!$C$32</f>
        <v/>
      </c>
      <c r="F18" s="211">
        <f>IFERROR(E18/E$20,0)</f>
        <v/>
      </c>
      <c r="G18" s="203">
        <f>G9*'Vessel Assumptions'!$C$6*'Vessel Assumptions'!$C$9+SUM(G12:G16)*'Vessel Assumptions'!$C$32</f>
        <v/>
      </c>
      <c r="H18" s="211">
        <f>IFERROR(G18/G$20,0)</f>
        <v/>
      </c>
      <c r="I18" s="203">
        <f>I9*'Vessel Assumptions'!$C$6*'Vessel Assumptions'!$C$9+SUM(I12:I16)*'Vessel Assumptions'!$C$32</f>
        <v/>
      </c>
      <c r="J18" s="211">
        <f>IFERROR(I18/I$20,0)</f>
        <v/>
      </c>
      <c r="K18" s="203">
        <f>K9*'Vessel Assumptions'!$C$6*'Vessel Assumptions'!$C$9+SUM(K12:K16)*'Vessel Assumptions'!$C$32</f>
        <v/>
      </c>
      <c r="L18" s="211">
        <f>IFERROR(K18/K$20,0)</f>
        <v/>
      </c>
      <c r="M18" s="203">
        <f>M9*'Vessel Assumptions'!$C$6*'Vessel Assumptions'!$C$9+SUM(M12:M16)*'Vessel Assumptions'!$C$32</f>
        <v/>
      </c>
      <c r="N18" s="211">
        <f>IFERROR(M18/M$20,0)</f>
        <v/>
      </c>
      <c r="O18" s="203">
        <f>O9*'Vessel Assumptions'!$C$6*'Vessel Assumptions'!$C$9+SUM(O12:O16)*'Vessel Assumptions'!$C$32</f>
        <v/>
      </c>
      <c r="P18" s="211">
        <f>IFERROR(O18/O$20,0)</f>
        <v/>
      </c>
      <c r="Q18" s="203">
        <f>Q9*'Vessel Assumptions'!$C$6*'Vessel Assumptions'!$C$9+SUM(Q12:Q16)*'Vessel Assumptions'!$C$32</f>
        <v/>
      </c>
      <c r="R18" s="211">
        <f>IFERROR(Q18/Q$20,0)</f>
        <v/>
      </c>
      <c r="S18" s="203">
        <f>S9*'Vessel Assumptions'!$C$6*'Vessel Assumptions'!$C$9+SUM(S12:S16)*'Vessel Assumptions'!$C$32</f>
        <v/>
      </c>
      <c r="T18" s="211">
        <f>IFERROR(S18/S$20,0)</f>
        <v/>
      </c>
      <c r="U18" s="203">
        <f>U9*'Vessel Assumptions'!$C$6*'Vessel Assumptions'!$C$9+SUM(U12:U16)*'Vessel Assumptions'!$C$32</f>
        <v/>
      </c>
      <c r="V18" s="211">
        <f>IFERROR(U18/U$20,0)</f>
        <v/>
      </c>
      <c r="W18" s="203">
        <f>W9*'Vessel Assumptions'!$C$6*'Vessel Assumptions'!$C$9+SUM(W12:W16)*'Vessel Assumptions'!$C$32</f>
        <v/>
      </c>
      <c r="X18" s="211">
        <f>IFERROR(W18/W$20,0)</f>
        <v/>
      </c>
      <c r="Y18" s="203">
        <f>Y9*'Vessel Assumptions'!$C$6*'Vessel Assumptions'!$C$9+SUM(Y12:Y16)*'Vessel Assumptions'!$C$32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E19" s="203" t="n">
        <v>0</v>
      </c>
      <c r="F19" s="211">
        <f>IFERROR(E19/E$20,0)</f>
        <v/>
      </c>
      <c r="G19" s="203" t="n">
        <v>0</v>
      </c>
      <c r="H19" s="211">
        <f>IFERROR(G19/G$20,0)</f>
        <v/>
      </c>
      <c r="I19" s="203" t="n">
        <v>0</v>
      </c>
      <c r="J19" s="211">
        <f>IFERROR(I19/I$20,0)</f>
        <v/>
      </c>
      <c r="K19" s="203" t="n">
        <v>0</v>
      </c>
      <c r="L19" s="211">
        <f>IFERROR(K19/K$20,0)</f>
        <v/>
      </c>
      <c r="M19" s="203" t="n">
        <v>0</v>
      </c>
      <c r="N19" s="211">
        <f>IFERROR(M19/M$20,0)</f>
        <v/>
      </c>
      <c r="O19" s="203" t="n">
        <v>0</v>
      </c>
      <c r="P19" s="211">
        <f>IFERROR(O19/O$20,0)</f>
        <v/>
      </c>
      <c r="Q19" s="203" t="n">
        <v>0</v>
      </c>
      <c r="R19" s="211">
        <f>IFERROR(Q19/Q$20,0)</f>
        <v/>
      </c>
      <c r="S19" s="203" t="n">
        <v>0</v>
      </c>
      <c r="T19" s="211">
        <f>IFERROR(S19/S$20,0)</f>
        <v/>
      </c>
      <c r="U19" s="203" t="n">
        <v>0</v>
      </c>
      <c r="V19" s="211">
        <f>IFERROR(U19/U$20,0)</f>
        <v/>
      </c>
      <c r="W19" s="203" t="n">
        <v>0</v>
      </c>
      <c r="X19" s="211">
        <f>IFERROR(W19/W$20,0)</f>
        <v/>
      </c>
      <c r="Y19" s="203" t="n">
        <v>0</v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C12*'Vessel Assumptions'!$C$12</f>
        <v/>
      </c>
      <c r="D23" s="211">
        <f>IFERROR(C23/C$12,0)</f>
        <v/>
      </c>
      <c r="E23" s="203">
        <f>E12*'Vessel Assumptions'!$C$12</f>
        <v/>
      </c>
      <c r="F23" s="211">
        <f>IFERROR(E23/E$12,0)</f>
        <v/>
      </c>
      <c r="G23" s="203">
        <f>G12*'Vessel Assumptions'!$C$12</f>
        <v/>
      </c>
      <c r="H23" s="211">
        <f>IFERROR(G23/G$12,0)</f>
        <v/>
      </c>
      <c r="I23" s="203">
        <f>I12*'Vessel Assumptions'!$C$12</f>
        <v/>
      </c>
      <c r="J23" s="211">
        <f>IFERROR(I23/I$12,0)</f>
        <v/>
      </c>
      <c r="K23" s="203">
        <f>K12*'Vessel Assumptions'!$C$12</f>
        <v/>
      </c>
      <c r="L23" s="211">
        <f>IFERROR(K23/K$12,0)</f>
        <v/>
      </c>
      <c r="M23" s="203">
        <f>M12*'Vessel Assumptions'!$C$12</f>
        <v/>
      </c>
      <c r="N23" s="211">
        <f>IFERROR(M23/M$12,0)</f>
        <v/>
      </c>
      <c r="O23" s="203">
        <f>O12*'Vessel Assumptions'!$C$12</f>
        <v/>
      </c>
      <c r="P23" s="211">
        <f>IFERROR(O23/O$12,0)</f>
        <v/>
      </c>
      <c r="Q23" s="203">
        <f>Q12*'Vessel Assumptions'!$C$12</f>
        <v/>
      </c>
      <c r="R23" s="211">
        <f>IFERROR(Q23/Q$12,0)</f>
        <v/>
      </c>
      <c r="S23" s="203">
        <f>S12*'Vessel Assumptions'!$C$12</f>
        <v/>
      </c>
      <c r="T23" s="211">
        <f>IFERROR(S23/S$12,0)</f>
        <v/>
      </c>
      <c r="U23" s="203">
        <f>U12*'Vessel Assumptions'!$C$12</f>
        <v/>
      </c>
      <c r="V23" s="211">
        <f>IFERROR(U23/U$12,0)</f>
        <v/>
      </c>
      <c r="W23" s="203">
        <f>W12*'Vessel Assumptions'!$C$12</f>
        <v/>
      </c>
      <c r="X23" s="211">
        <f>IFERROR(W23/W$12,0)</f>
        <v/>
      </c>
      <c r="Y23" s="203">
        <f>Y12*'Vessel Assumptions'!$C$12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C13*'Vessel Assumptions'!$C$13</f>
        <v/>
      </c>
      <c r="D24" s="211">
        <f>IFERROR(C24/C$13,0)</f>
        <v/>
      </c>
      <c r="E24" s="203">
        <f>E13*'Vessel Assumptions'!$C$13</f>
        <v/>
      </c>
      <c r="F24" s="211">
        <f>IFERROR(E24/E$13,0)</f>
        <v/>
      </c>
      <c r="G24" s="203">
        <f>G13*'Vessel Assumptions'!$C$13</f>
        <v/>
      </c>
      <c r="H24" s="211">
        <f>IFERROR(G24/G$13,0)</f>
        <v/>
      </c>
      <c r="I24" s="203">
        <f>I13*'Vessel Assumptions'!$C$13</f>
        <v/>
      </c>
      <c r="J24" s="211">
        <f>IFERROR(I24/I$13,0)</f>
        <v/>
      </c>
      <c r="K24" s="203">
        <f>K13*'Vessel Assumptions'!$C$13</f>
        <v/>
      </c>
      <c r="L24" s="211">
        <f>IFERROR(K24/K$13,0)</f>
        <v/>
      </c>
      <c r="M24" s="203">
        <f>M13*'Vessel Assumptions'!$C$13</f>
        <v/>
      </c>
      <c r="N24" s="211">
        <f>IFERROR(M24/M$13,0)</f>
        <v/>
      </c>
      <c r="O24" s="203">
        <f>O13*'Vessel Assumptions'!$C$13</f>
        <v/>
      </c>
      <c r="P24" s="211">
        <f>IFERROR(O24/O$13,0)</f>
        <v/>
      </c>
      <c r="Q24" s="203">
        <f>Q13*'Vessel Assumptions'!$C$13</f>
        <v/>
      </c>
      <c r="R24" s="211">
        <f>IFERROR(Q24/Q$13,0)</f>
        <v/>
      </c>
      <c r="S24" s="203">
        <f>S13*'Vessel Assumptions'!$C$13</f>
        <v/>
      </c>
      <c r="T24" s="211">
        <f>IFERROR(S24/S$13,0)</f>
        <v/>
      </c>
      <c r="U24" s="203">
        <f>U13*'Vessel Assumptions'!$C$13</f>
        <v/>
      </c>
      <c r="V24" s="211">
        <f>IFERROR(U24/U$13,0)</f>
        <v/>
      </c>
      <c r="W24" s="203">
        <f>W13*'Vessel Assumptions'!$C$13</f>
        <v/>
      </c>
      <c r="X24" s="211">
        <f>IFERROR(W24/W$13,0)</f>
        <v/>
      </c>
      <c r="Y24" s="203">
        <f>Y13*'Vessel Assumptions'!$C$13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C14*'Vessel Assumptions'!$C$13</f>
        <v/>
      </c>
      <c r="D25" s="211">
        <f>IFERROR(C25/C$14,0)</f>
        <v/>
      </c>
      <c r="E25" s="203">
        <f>E14*'Vessel Assumptions'!$C$13</f>
        <v/>
      </c>
      <c r="F25" s="211">
        <f>IFERROR(E25/E$14,0)</f>
        <v/>
      </c>
      <c r="G25" s="203">
        <f>G14*'Vessel Assumptions'!$C$13</f>
        <v/>
      </c>
      <c r="H25" s="211">
        <f>IFERROR(G25/G$14,0)</f>
        <v/>
      </c>
      <c r="I25" s="203">
        <f>I14*'Vessel Assumptions'!$C$13</f>
        <v/>
      </c>
      <c r="J25" s="211">
        <f>IFERROR(I25/I$14,0)</f>
        <v/>
      </c>
      <c r="K25" s="203">
        <f>K14*'Vessel Assumptions'!$C$13</f>
        <v/>
      </c>
      <c r="L25" s="211">
        <f>IFERROR(K25/K$14,0)</f>
        <v/>
      </c>
      <c r="M25" s="203">
        <f>M14*'Vessel Assumptions'!$C$13</f>
        <v/>
      </c>
      <c r="N25" s="211">
        <f>IFERROR(M25/M$14,0)</f>
        <v/>
      </c>
      <c r="O25" s="203">
        <f>O14*'Vessel Assumptions'!$C$13</f>
        <v/>
      </c>
      <c r="P25" s="211">
        <f>IFERROR(O25/O$14,0)</f>
        <v/>
      </c>
      <c r="Q25" s="203">
        <f>Q14*'Vessel Assumptions'!$C$13</f>
        <v/>
      </c>
      <c r="R25" s="211">
        <f>IFERROR(Q25/Q$14,0)</f>
        <v/>
      </c>
      <c r="S25" s="203">
        <f>S14*'Vessel Assumptions'!$C$13</f>
        <v/>
      </c>
      <c r="T25" s="211">
        <f>IFERROR(S25/S$14,0)</f>
        <v/>
      </c>
      <c r="U25" s="203">
        <f>U14*'Vessel Assumptions'!$C$13</f>
        <v/>
      </c>
      <c r="V25" s="211">
        <f>IFERROR(U25/U$14,0)</f>
        <v/>
      </c>
      <c r="W25" s="203">
        <f>W14*'Vessel Assumptions'!$C$13</f>
        <v/>
      </c>
      <c r="X25" s="211">
        <f>IFERROR(W25/W$14,0)</f>
        <v/>
      </c>
      <c r="Y25" s="203">
        <f>Y14*'Vessel Assumptions'!$C$13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C15*'Vessel Assumptions'!$C$13</f>
        <v/>
      </c>
      <c r="D26" s="211">
        <f>IFERROR(C26/C$15,0)</f>
        <v/>
      </c>
      <c r="E26" s="203">
        <f>E15*'Vessel Assumptions'!$C$13</f>
        <v/>
      </c>
      <c r="F26" s="211">
        <f>IFERROR(E26/E$15,0)</f>
        <v/>
      </c>
      <c r="G26" s="203">
        <f>G15*'Vessel Assumptions'!$C$13</f>
        <v/>
      </c>
      <c r="H26" s="211">
        <f>IFERROR(G26/G$15,0)</f>
        <v/>
      </c>
      <c r="I26" s="203">
        <f>I15*'Vessel Assumptions'!$C$13</f>
        <v/>
      </c>
      <c r="J26" s="211">
        <f>IFERROR(I26/I$15,0)</f>
        <v/>
      </c>
      <c r="K26" s="203">
        <f>K15*'Vessel Assumptions'!$C$13</f>
        <v/>
      </c>
      <c r="L26" s="211">
        <f>IFERROR(K26/K$15,0)</f>
        <v/>
      </c>
      <c r="M26" s="203">
        <f>M15*'Vessel Assumptions'!$C$13</f>
        <v/>
      </c>
      <c r="N26" s="211">
        <f>IFERROR(M26/M$15,0)</f>
        <v/>
      </c>
      <c r="O26" s="203">
        <f>O15*'Vessel Assumptions'!$C$13</f>
        <v/>
      </c>
      <c r="P26" s="211">
        <f>IFERROR(O26/O$15,0)</f>
        <v/>
      </c>
      <c r="Q26" s="203">
        <f>Q15*'Vessel Assumptions'!$C$13</f>
        <v/>
      </c>
      <c r="R26" s="211">
        <f>IFERROR(Q26/Q$15,0)</f>
        <v/>
      </c>
      <c r="S26" s="203">
        <f>S15*'Vessel Assumptions'!$C$13</f>
        <v/>
      </c>
      <c r="T26" s="211">
        <f>IFERROR(S26/S$15,0)</f>
        <v/>
      </c>
      <c r="U26" s="203">
        <f>U15*'Vessel Assumptions'!$C$13</f>
        <v/>
      </c>
      <c r="V26" s="211">
        <f>IFERROR(U26/U$15,0)</f>
        <v/>
      </c>
      <c r="W26" s="203">
        <f>W15*'Vessel Assumptions'!$C$13</f>
        <v/>
      </c>
      <c r="X26" s="211">
        <f>IFERROR(W26/W$15,0)</f>
        <v/>
      </c>
      <c r="Y26" s="203">
        <f>Y15*'Vessel Assumptions'!$C$13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C16*'Vessel Assumptions'!$C$13</f>
        <v/>
      </c>
      <c r="D27" s="211">
        <f>IFERROR(C27/C$16,0)</f>
        <v/>
      </c>
      <c r="E27" s="203">
        <f>E16*'Vessel Assumptions'!$C$13</f>
        <v/>
      </c>
      <c r="F27" s="211">
        <f>IFERROR(E27/E$16,0)</f>
        <v/>
      </c>
      <c r="G27" s="203">
        <f>G16*'Vessel Assumptions'!$C$13</f>
        <v/>
      </c>
      <c r="H27" s="211">
        <f>IFERROR(G27/G$16,0)</f>
        <v/>
      </c>
      <c r="I27" s="203">
        <f>I16*'Vessel Assumptions'!$C$13</f>
        <v/>
      </c>
      <c r="J27" s="211">
        <f>IFERROR(I27/I$16,0)</f>
        <v/>
      </c>
      <c r="K27" s="203">
        <f>K16*'Vessel Assumptions'!$C$13</f>
        <v/>
      </c>
      <c r="L27" s="211">
        <f>IFERROR(K27/K$16,0)</f>
        <v/>
      </c>
      <c r="M27" s="203">
        <f>M16*'Vessel Assumptions'!$C$13</f>
        <v/>
      </c>
      <c r="N27" s="211">
        <f>IFERROR(M27/M$16,0)</f>
        <v/>
      </c>
      <c r="O27" s="203">
        <f>O16*'Vessel Assumptions'!$C$13</f>
        <v/>
      </c>
      <c r="P27" s="211">
        <f>IFERROR(O27/O$16,0)</f>
        <v/>
      </c>
      <c r="Q27" s="203">
        <f>Q16*'Vessel Assumptions'!$C$13</f>
        <v/>
      </c>
      <c r="R27" s="211">
        <f>IFERROR(Q27/Q$16,0)</f>
        <v/>
      </c>
      <c r="S27" s="203">
        <f>S16*'Vessel Assumptions'!$C$13</f>
        <v/>
      </c>
      <c r="T27" s="211">
        <f>IFERROR(S27/S$16,0)</f>
        <v/>
      </c>
      <c r="U27" s="203">
        <f>U16*'Vessel Assumptions'!$C$13</f>
        <v/>
      </c>
      <c r="V27" s="211">
        <f>IFERROR(U27/U$16,0)</f>
        <v/>
      </c>
      <c r="W27" s="203">
        <f>W16*'Vessel Assumptions'!$C$13</f>
        <v/>
      </c>
      <c r="X27" s="211">
        <f>IFERROR(W27/W$16,0)</f>
        <v/>
      </c>
      <c r="Y27" s="203">
        <f>Y16*'Vessel Assumptions'!$C$13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 (per event, card $55)</t>
        </is>
      </c>
      <c r="C33" s="203">
        <f>C9*'Vessel Assumptions'!$C$36</f>
        <v/>
      </c>
      <c r="D33" s="211">
        <f>IFERROR(C33/C$20,0)</f>
        <v/>
      </c>
      <c r="E33" s="203">
        <f>E9*'Vessel Assumptions'!$C$36</f>
        <v/>
      </c>
      <c r="F33" s="211">
        <f>IFERROR(E33/E$20,0)</f>
        <v/>
      </c>
      <c r="G33" s="203">
        <f>G9*'Vessel Assumptions'!$C$36</f>
        <v/>
      </c>
      <c r="H33" s="211">
        <f>IFERROR(G33/G$20,0)</f>
        <v/>
      </c>
      <c r="I33" s="203">
        <f>I9*'Vessel Assumptions'!$C$36</f>
        <v/>
      </c>
      <c r="J33" s="211">
        <f>IFERROR(I33/I$20,0)</f>
        <v/>
      </c>
      <c r="K33" s="203">
        <f>K9*'Vessel Assumptions'!$C$36</f>
        <v/>
      </c>
      <c r="L33" s="211">
        <f>IFERROR(K33/K$20,0)</f>
        <v/>
      </c>
      <c r="M33" s="203">
        <f>M9*'Vessel Assumptions'!$C$36</f>
        <v/>
      </c>
      <c r="N33" s="211">
        <f>IFERROR(M33/M$20,0)</f>
        <v/>
      </c>
      <c r="O33" s="203">
        <f>O9*'Vessel Assumptions'!$C$36</f>
        <v/>
      </c>
      <c r="P33" s="211">
        <f>IFERROR(O33/O$20,0)</f>
        <v/>
      </c>
      <c r="Q33" s="203">
        <f>Q9*'Vessel Assumptions'!$C$36</f>
        <v/>
      </c>
      <c r="R33" s="211">
        <f>IFERROR(Q33/Q$20,0)</f>
        <v/>
      </c>
      <c r="S33" s="203">
        <f>S9*'Vessel Assumptions'!$C$36</f>
        <v/>
      </c>
      <c r="T33" s="211">
        <f>IFERROR(S33/S$20,0)</f>
        <v/>
      </c>
      <c r="U33" s="203">
        <f>U9*'Vessel Assumptions'!$C$36</f>
        <v/>
      </c>
      <c r="V33" s="211">
        <f>IFERROR(U33/U$20,0)</f>
        <v/>
      </c>
      <c r="W33" s="203">
        <f>W9*'Vessel Assumptions'!$C$36</f>
        <v/>
      </c>
      <c r="X33" s="211">
        <f>IFERROR(W33/W$20,0)</f>
        <v/>
      </c>
      <c r="Y33" s="203">
        <f>Y9*'Vessel Assumptions'!$C$36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 t="n">
        <v>0</v>
      </c>
      <c r="D34" s="211">
        <f>IFERROR(C34/C$20,0)</f>
        <v/>
      </c>
      <c r="E34" s="203" t="n">
        <v>0</v>
      </c>
      <c r="F34" s="211">
        <f>IFERROR(E34/E$20,0)</f>
        <v/>
      </c>
      <c r="G34" s="203" t="n">
        <v>0</v>
      </c>
      <c r="H34" s="211">
        <f>IFERROR(G34/G$20,0)</f>
        <v/>
      </c>
      <c r="I34" s="203" t="n">
        <v>0</v>
      </c>
      <c r="J34" s="211">
        <f>IFERROR(I34/I$20,0)</f>
        <v/>
      </c>
      <c r="K34" s="203" t="n">
        <v>0</v>
      </c>
      <c r="L34" s="211">
        <f>IFERROR(K34/K$20,0)</f>
        <v/>
      </c>
      <c r="M34" s="203" t="n">
        <v>0</v>
      </c>
      <c r="N34" s="211">
        <f>IFERROR(M34/M$20,0)</f>
        <v/>
      </c>
      <c r="O34" s="203" t="n">
        <v>0</v>
      </c>
      <c r="P34" s="211">
        <f>IFERROR(O34/O$20,0)</f>
        <v/>
      </c>
      <c r="Q34" s="203" t="n">
        <v>0</v>
      </c>
      <c r="R34" s="211">
        <f>IFERROR(Q34/Q$20,0)</f>
        <v/>
      </c>
      <c r="S34" s="203" t="n">
        <v>0</v>
      </c>
      <c r="T34" s="211">
        <f>IFERROR(S34/S$20,0)</f>
        <v/>
      </c>
      <c r="U34" s="203" t="n">
        <v>0</v>
      </c>
      <c r="V34" s="211">
        <f>IFERROR(U34/U$20,0)</f>
        <v/>
      </c>
      <c r="W34" s="203" t="n">
        <v>0</v>
      </c>
      <c r="X34" s="211">
        <f>IFERROR(W34/W$20,0)</f>
        <v/>
      </c>
      <c r="Y34" s="203" t="n">
        <v>0</v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C9*'Vessel Assumptions'!$C$20</f>
        <v/>
      </c>
      <c r="D35" s="211">
        <f>IFERROR(C35/C$20,0)</f>
        <v/>
      </c>
      <c r="E35" s="203">
        <f>E9*'Vessel Assumptions'!$C$20</f>
        <v/>
      </c>
      <c r="F35" s="211">
        <f>IFERROR(E35/E$20,0)</f>
        <v/>
      </c>
      <c r="G35" s="203">
        <f>G9*'Vessel Assumptions'!$C$20</f>
        <v/>
      </c>
      <c r="H35" s="211">
        <f>IFERROR(G35/G$20,0)</f>
        <v/>
      </c>
      <c r="I35" s="203">
        <f>I9*'Vessel Assumptions'!$C$20</f>
        <v/>
      </c>
      <c r="J35" s="211">
        <f>IFERROR(I35/I$20,0)</f>
        <v/>
      </c>
      <c r="K35" s="203">
        <f>K9*'Vessel Assumptions'!$C$20</f>
        <v/>
      </c>
      <c r="L35" s="211">
        <f>IFERROR(K35/K$20,0)</f>
        <v/>
      </c>
      <c r="M35" s="203">
        <f>M9*'Vessel Assumptions'!$C$20</f>
        <v/>
      </c>
      <c r="N35" s="211">
        <f>IFERROR(M35/M$20,0)</f>
        <v/>
      </c>
      <c r="O35" s="203">
        <f>O9*'Vessel Assumptions'!$C$20</f>
        <v/>
      </c>
      <c r="P35" s="211">
        <f>IFERROR(O35/O$20,0)</f>
        <v/>
      </c>
      <c r="Q35" s="203">
        <f>Q9*'Vessel Assumptions'!$C$20</f>
        <v/>
      </c>
      <c r="R35" s="211">
        <f>IFERROR(Q35/Q$20,0)</f>
        <v/>
      </c>
      <c r="S35" s="203">
        <f>S9*'Vessel Assumptions'!$C$20</f>
        <v/>
      </c>
      <c r="T35" s="211">
        <f>IFERROR(S35/S$20,0)</f>
        <v/>
      </c>
      <c r="U35" s="203">
        <f>U9*'Vessel Assumptions'!$C$20</f>
        <v/>
      </c>
      <c r="V35" s="211">
        <f>IFERROR(U35/U$20,0)</f>
        <v/>
      </c>
      <c r="W35" s="203">
        <f>W9*'Vessel Assumptions'!$C$20</f>
        <v/>
      </c>
      <c r="X35" s="211">
        <f>IFERROR(W35/W$20,0)</f>
        <v/>
      </c>
      <c r="Y35" s="203">
        <f>Y9*'Vessel Assumptions'!$C$20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(C33+C35+C37)*'Vessel Assumptions'!$C$22</f>
        <v/>
      </c>
      <c r="D36" s="211">
        <f>IFERROR(C36/C$20,0)</f>
        <v/>
      </c>
      <c r="E36" s="203">
        <f>(E33+E35+E37)*'Vessel Assumptions'!$C$22</f>
        <v/>
      </c>
      <c r="F36" s="211">
        <f>IFERROR(E36/E$20,0)</f>
        <v/>
      </c>
      <c r="G36" s="203">
        <f>(G33+G35+G37)*'Vessel Assumptions'!$C$22</f>
        <v/>
      </c>
      <c r="H36" s="211">
        <f>IFERROR(G36/G$20,0)</f>
        <v/>
      </c>
      <c r="I36" s="203">
        <f>(I33+I35+I37)*'Vessel Assumptions'!$C$22</f>
        <v/>
      </c>
      <c r="J36" s="211">
        <f>IFERROR(I36/I$20,0)</f>
        <v/>
      </c>
      <c r="K36" s="203">
        <f>(K33+K35+K37)*'Vessel Assumptions'!$C$22</f>
        <v/>
      </c>
      <c r="L36" s="211">
        <f>IFERROR(K36/K$20,0)</f>
        <v/>
      </c>
      <c r="M36" s="203">
        <f>(M33+M35+M37)*'Vessel Assumptions'!$C$22</f>
        <v/>
      </c>
      <c r="N36" s="211">
        <f>IFERROR(M36/M$20,0)</f>
        <v/>
      </c>
      <c r="O36" s="203">
        <f>(O33+O35+O37)*'Vessel Assumptions'!$C$22</f>
        <v/>
      </c>
      <c r="P36" s="211">
        <f>IFERROR(O36/O$20,0)</f>
        <v/>
      </c>
      <c r="Q36" s="203">
        <f>(Q33+Q35+Q37)*'Vessel Assumptions'!$C$22</f>
        <v/>
      </c>
      <c r="R36" s="211">
        <f>IFERROR(Q36/Q$20,0)</f>
        <v/>
      </c>
      <c r="S36" s="203">
        <f>(S33+S35+S37)*'Vessel Assumptions'!$C$22</f>
        <v/>
      </c>
      <c r="T36" s="211">
        <f>IFERROR(S36/S$20,0)</f>
        <v/>
      </c>
      <c r="U36" s="203">
        <f>(U33+U35+U37)*'Vessel Assumptions'!$C$22</f>
        <v/>
      </c>
      <c r="V36" s="211">
        <f>IFERROR(U36/U$20,0)</f>
        <v/>
      </c>
      <c r="W36" s="203">
        <f>(W33+W35+W37)*'Vessel Assumptions'!$C$22</f>
        <v/>
      </c>
      <c r="X36" s="211">
        <f>IFERROR(W36/W$20,0)</f>
        <v/>
      </c>
      <c r="Y36" s="203">
        <f>(Y33+Y35+Y37)*'Vessel Assumptions'!$C$22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(per event, card $112)</t>
        </is>
      </c>
      <c r="C37" s="203">
        <f>C9*'Vessel Assumptions'!$C$37</f>
        <v/>
      </c>
      <c r="D37" s="211">
        <f>IFERROR(C37/C$20,0)</f>
        <v/>
      </c>
      <c r="E37" s="203">
        <f>E9*'Vessel Assumptions'!$C$37</f>
        <v/>
      </c>
      <c r="F37" s="211">
        <f>IFERROR(E37/E$20,0)</f>
        <v/>
      </c>
      <c r="G37" s="203">
        <f>G9*'Vessel Assumptions'!$C$37</f>
        <v/>
      </c>
      <c r="H37" s="211">
        <f>IFERROR(G37/G$20,0)</f>
        <v/>
      </c>
      <c r="I37" s="203">
        <f>I9*'Vessel Assumptions'!$C$37</f>
        <v/>
      </c>
      <c r="J37" s="211">
        <f>IFERROR(I37/I$20,0)</f>
        <v/>
      </c>
      <c r="K37" s="203">
        <f>K9*'Vessel Assumptions'!$C$37</f>
        <v/>
      </c>
      <c r="L37" s="211">
        <f>IFERROR(K37/K$20,0)</f>
        <v/>
      </c>
      <c r="M37" s="203">
        <f>M9*'Vessel Assumptions'!$C$37</f>
        <v/>
      </c>
      <c r="N37" s="211">
        <f>IFERROR(M37/M$20,0)</f>
        <v/>
      </c>
      <c r="O37" s="203">
        <f>O9*'Vessel Assumptions'!$C$37</f>
        <v/>
      </c>
      <c r="P37" s="211">
        <f>IFERROR(O37/O$20,0)</f>
        <v/>
      </c>
      <c r="Q37" s="203">
        <f>Q9*'Vessel Assumptions'!$C$37</f>
        <v/>
      </c>
      <c r="R37" s="211">
        <f>IFERROR(Q37/Q$20,0)</f>
        <v/>
      </c>
      <c r="S37" s="203">
        <f>S9*'Vessel Assumptions'!$C$37</f>
        <v/>
      </c>
      <c r="T37" s="211">
        <f>IFERROR(S37/S$20,0)</f>
        <v/>
      </c>
      <c r="U37" s="203">
        <f>U9*'Vessel Assumptions'!$C$37</f>
        <v/>
      </c>
      <c r="V37" s="211">
        <f>IFERROR(U37/U$20,0)</f>
        <v/>
      </c>
      <c r="W37" s="203">
        <f>W9*'Vessel Assumptions'!$C$37</f>
        <v/>
      </c>
      <c r="X37" s="211">
        <f>IFERROR(W37/W$20,0)</f>
        <v/>
      </c>
      <c r="Y37" s="203">
        <f>Y9*'Vessel Assumptions'!$C$37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(12.4% of revenue per card · incl CC)</t>
        </is>
      </c>
      <c r="C44" s="203">
        <f>C20*'Vessel Assumptions'!$C$38</f>
        <v/>
      </c>
      <c r="D44" s="211">
        <f>IFERROR(C44/C$20,0)</f>
        <v/>
      </c>
      <c r="E44" s="203">
        <f>E20*'Vessel Assumptions'!$C$38</f>
        <v/>
      </c>
      <c r="F44" s="211">
        <f>IFERROR(E44/E$20,0)</f>
        <v/>
      </c>
      <c r="G44" s="203">
        <f>G20*'Vessel Assumptions'!$C$38</f>
        <v/>
      </c>
      <c r="H44" s="211">
        <f>IFERROR(G44/G$20,0)</f>
        <v/>
      </c>
      <c r="I44" s="203">
        <f>I20*'Vessel Assumptions'!$C$38</f>
        <v/>
      </c>
      <c r="J44" s="211">
        <f>IFERROR(I44/I$20,0)</f>
        <v/>
      </c>
      <c r="K44" s="203">
        <f>K20*'Vessel Assumptions'!$C$38</f>
        <v/>
      </c>
      <c r="L44" s="211">
        <f>IFERROR(K44/K$20,0)</f>
        <v/>
      </c>
      <c r="M44" s="203">
        <f>M20*'Vessel Assumptions'!$C$38</f>
        <v/>
      </c>
      <c r="N44" s="211">
        <f>IFERROR(M44/M$20,0)</f>
        <v/>
      </c>
      <c r="O44" s="203">
        <f>O20*'Vessel Assumptions'!$C$38</f>
        <v/>
      </c>
      <c r="P44" s="211">
        <f>IFERROR(O44/O$20,0)</f>
        <v/>
      </c>
      <c r="Q44" s="203">
        <f>Q20*'Vessel Assumptions'!$C$38</f>
        <v/>
      </c>
      <c r="R44" s="211">
        <f>IFERROR(Q44/Q$20,0)</f>
        <v/>
      </c>
      <c r="S44" s="203">
        <f>S20*'Vessel Assumptions'!$C$38</f>
        <v/>
      </c>
      <c r="T44" s="211">
        <f>IFERROR(S44/S$20,0)</f>
        <v/>
      </c>
      <c r="U44" s="203">
        <f>U20*'Vessel Assumptions'!$C$38</f>
        <v/>
      </c>
      <c r="V44" s="211">
        <f>IFERROR(U44/U$20,0)</f>
        <v/>
      </c>
      <c r="W44" s="203">
        <f>W20*'Vessel Assumptions'!$C$38</f>
        <v/>
      </c>
      <c r="X44" s="211">
        <f>IFERROR(W44/W$20,0)</f>
        <v/>
      </c>
      <c r="Y44" s="203">
        <f>Y20*'Vessel Assumptions'!$C$38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E45" s="203" t="n">
        <v>0</v>
      </c>
      <c r="F45" s="211">
        <f>IFERROR(E45/E$20,0)</f>
        <v/>
      </c>
      <c r="G45" s="203" t="n">
        <v>0</v>
      </c>
      <c r="H45" s="211">
        <f>IFERROR(G45/G$20,0)</f>
        <v/>
      </c>
      <c r="I45" s="203" t="n">
        <v>0</v>
      </c>
      <c r="J45" s="211">
        <f>IFERROR(I45/I$20,0)</f>
        <v/>
      </c>
      <c r="K45" s="203" t="n">
        <v>0</v>
      </c>
      <c r="L45" s="211">
        <f>IFERROR(K45/K$20,0)</f>
        <v/>
      </c>
      <c r="M45" s="203" t="n">
        <v>0</v>
      </c>
      <c r="N45" s="211">
        <f>IFERROR(M45/M$20,0)</f>
        <v/>
      </c>
      <c r="O45" s="203" t="n">
        <v>0</v>
      </c>
      <c r="P45" s="211">
        <f>IFERROR(O45/O$20,0)</f>
        <v/>
      </c>
      <c r="Q45" s="203" t="n">
        <v>0</v>
      </c>
      <c r="R45" s="211">
        <f>IFERROR(Q45/Q$20,0)</f>
        <v/>
      </c>
      <c r="S45" s="203" t="n">
        <v>0</v>
      </c>
      <c r="T45" s="211">
        <f>IFERROR(S45/S$20,0)</f>
        <v/>
      </c>
      <c r="U45" s="203" t="n">
        <v>0</v>
      </c>
      <c r="V45" s="211">
        <f>IFERROR(U45/U$20,0)</f>
        <v/>
      </c>
      <c r="W45" s="203" t="n">
        <v>0</v>
      </c>
      <c r="X45" s="211">
        <f>IFERROR(W45/W$20,0)</f>
        <v/>
      </c>
      <c r="Y45" s="203" t="n">
        <v>0</v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E46" s="203" t="n">
        <v>0</v>
      </c>
      <c r="F46" s="211">
        <f>IFERROR(E46/E$20,0)</f>
        <v/>
      </c>
      <c r="G46" s="203" t="n">
        <v>0</v>
      </c>
      <c r="H46" s="211">
        <f>IFERROR(G46/G$20,0)</f>
        <v/>
      </c>
      <c r="I46" s="203" t="n">
        <v>0</v>
      </c>
      <c r="J46" s="211">
        <f>IFERROR(I46/I$20,0)</f>
        <v/>
      </c>
      <c r="K46" s="203" t="n">
        <v>0</v>
      </c>
      <c r="L46" s="211">
        <f>IFERROR(K46/K$20,0)</f>
        <v/>
      </c>
      <c r="M46" s="203" t="n">
        <v>0</v>
      </c>
      <c r="N46" s="211">
        <f>IFERROR(M46/M$20,0)</f>
        <v/>
      </c>
      <c r="O46" s="203" t="n">
        <v>0</v>
      </c>
      <c r="P46" s="211">
        <f>IFERROR(O46/O$20,0)</f>
        <v/>
      </c>
      <c r="Q46" s="203" t="n">
        <v>0</v>
      </c>
      <c r="R46" s="211">
        <f>IFERROR(Q46/Q$20,0)</f>
        <v/>
      </c>
      <c r="S46" s="203" t="n">
        <v>0</v>
      </c>
      <c r="T46" s="211">
        <f>IFERROR(S46/S$20,0)</f>
        <v/>
      </c>
      <c r="U46" s="203" t="n">
        <v>0</v>
      </c>
      <c r="V46" s="211">
        <f>IFERROR(U46/U$20,0)</f>
        <v/>
      </c>
      <c r="W46" s="203" t="n">
        <v>0</v>
      </c>
      <c r="X46" s="211">
        <f>IFERROR(W46/W$20,0)</f>
        <v/>
      </c>
      <c r="Y46" s="203" t="n">
        <v>0</v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 (4% target)</t>
        </is>
      </c>
      <c r="C47" s="203" t="n">
        <v>0</v>
      </c>
      <c r="D47" s="211">
        <f>IFERROR(C47/C$20,0)</f>
        <v/>
      </c>
      <c r="E47" s="203" t="n">
        <v>0</v>
      </c>
      <c r="F47" s="211">
        <f>IFERROR(E47/E$20,0)</f>
        <v/>
      </c>
      <c r="G47" s="203" t="n">
        <v>0</v>
      </c>
      <c r="H47" s="211">
        <f>IFERROR(G47/G$20,0)</f>
        <v/>
      </c>
      <c r="I47" s="203" t="n">
        <v>0</v>
      </c>
      <c r="J47" s="211">
        <f>IFERROR(I47/I$20,0)</f>
        <v/>
      </c>
      <c r="K47" s="203" t="n">
        <v>0</v>
      </c>
      <c r="L47" s="211">
        <f>IFERROR(K47/K$20,0)</f>
        <v/>
      </c>
      <c r="M47" s="203" t="n">
        <v>0</v>
      </c>
      <c r="N47" s="211">
        <f>IFERROR(M47/M$20,0)</f>
        <v/>
      </c>
      <c r="O47" s="203" t="n">
        <v>0</v>
      </c>
      <c r="P47" s="211">
        <f>IFERROR(O47/O$20,0)</f>
        <v/>
      </c>
      <c r="Q47" s="203" t="n">
        <v>0</v>
      </c>
      <c r="R47" s="211">
        <f>IFERROR(Q47/Q$20,0)</f>
        <v/>
      </c>
      <c r="S47" s="203" t="n">
        <v>0</v>
      </c>
      <c r="T47" s="211">
        <f>IFERROR(S47/S$20,0)</f>
        <v/>
      </c>
      <c r="U47" s="203" t="n">
        <v>0</v>
      </c>
      <c r="V47" s="211">
        <f>IFERROR(U47/U$20,0)</f>
        <v/>
      </c>
      <c r="W47" s="203" t="n">
        <v>0</v>
      </c>
      <c r="X47" s="211">
        <f>IFERROR(W47/W$20,0)</f>
        <v/>
      </c>
      <c r="Y47" s="203" t="n">
        <v>0</v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E48" s="203" t="n">
        <v>0</v>
      </c>
      <c r="F48" s="211">
        <f>IFERROR(E48/E$20,0)</f>
        <v/>
      </c>
      <c r="G48" s="203" t="n">
        <v>0</v>
      </c>
      <c r="H48" s="211">
        <f>IFERROR(G48/G$20,0)</f>
        <v/>
      </c>
      <c r="I48" s="203" t="n">
        <v>0</v>
      </c>
      <c r="J48" s="211">
        <f>IFERROR(I48/I$20,0)</f>
        <v/>
      </c>
      <c r="K48" s="203" t="n">
        <v>0</v>
      </c>
      <c r="L48" s="211">
        <f>IFERROR(K48/K$20,0)</f>
        <v/>
      </c>
      <c r="M48" s="203" t="n">
        <v>0</v>
      </c>
      <c r="N48" s="211">
        <f>IFERROR(M48/M$20,0)</f>
        <v/>
      </c>
      <c r="O48" s="203" t="n">
        <v>0</v>
      </c>
      <c r="P48" s="211">
        <f>IFERROR(O48/O$20,0)</f>
        <v/>
      </c>
      <c r="Q48" s="203" t="n">
        <v>0</v>
      </c>
      <c r="R48" s="211">
        <f>IFERROR(Q48/Q$20,0)</f>
        <v/>
      </c>
      <c r="S48" s="203" t="n">
        <v>0</v>
      </c>
      <c r="T48" s="211">
        <f>IFERROR(S48/S$20,0)</f>
        <v/>
      </c>
      <c r="U48" s="203" t="n">
        <v>0</v>
      </c>
      <c r="V48" s="211">
        <f>IFERROR(U48/U$20,0)</f>
        <v/>
      </c>
      <c r="W48" s="203" t="n">
        <v>0</v>
      </c>
      <c r="X48" s="211">
        <f>IFERROR(W48/W$20,0)</f>
        <v/>
      </c>
      <c r="Y48" s="203" t="n">
        <v>0</v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E53" s="203" t="n">
        <v>0</v>
      </c>
      <c r="F53" s="211">
        <f>IFERROR(E53/E$20,0)</f>
        <v/>
      </c>
      <c r="G53" s="203" t="n">
        <v>0</v>
      </c>
      <c r="H53" s="211">
        <f>IFERROR(G53/G$20,0)</f>
        <v/>
      </c>
      <c r="I53" s="203" t="n">
        <v>0</v>
      </c>
      <c r="J53" s="211">
        <f>IFERROR(I53/I$20,0)</f>
        <v/>
      </c>
      <c r="K53" s="203" t="n">
        <v>0</v>
      </c>
      <c r="L53" s="211">
        <f>IFERROR(K53/K$20,0)</f>
        <v/>
      </c>
      <c r="M53" s="203" t="n">
        <v>0</v>
      </c>
      <c r="N53" s="211">
        <f>IFERROR(M53/M$20,0)</f>
        <v/>
      </c>
      <c r="O53" s="203" t="n">
        <v>0</v>
      </c>
      <c r="P53" s="211">
        <f>IFERROR(O53/O$20,0)</f>
        <v/>
      </c>
      <c r="Q53" s="203" t="n">
        <v>0</v>
      </c>
      <c r="R53" s="211">
        <f>IFERROR(Q53/Q$20,0)</f>
        <v/>
      </c>
      <c r="S53" s="203" t="n">
        <v>0</v>
      </c>
      <c r="T53" s="211">
        <f>IFERROR(S53/S$20,0)</f>
        <v/>
      </c>
      <c r="U53" s="203" t="n">
        <v>0</v>
      </c>
      <c r="V53" s="211">
        <f>IFERROR(U53/U$20,0)</f>
        <v/>
      </c>
      <c r="W53" s="203" t="n">
        <v>0</v>
      </c>
      <c r="X53" s="211">
        <f>IFERROR(W53/W$20,0)</f>
        <v/>
      </c>
      <c r="Y53" s="203" t="n">
        <v>0</v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C20*'Vessel Assumptions'!$C$31</f>
        <v/>
      </c>
      <c r="D54" s="211">
        <f>IFERROR(C54/C$20,0)</f>
        <v/>
      </c>
      <c r="E54" s="203">
        <f>E20*'Vessel Assumptions'!$C$31</f>
        <v/>
      </c>
      <c r="F54" s="211">
        <f>IFERROR(E54/E$20,0)</f>
        <v/>
      </c>
      <c r="G54" s="203">
        <f>G20*'Vessel Assumptions'!$C$31</f>
        <v/>
      </c>
      <c r="H54" s="211">
        <f>IFERROR(G54/G$20,0)</f>
        <v/>
      </c>
      <c r="I54" s="203">
        <f>I20*'Vessel Assumptions'!$C$31</f>
        <v/>
      </c>
      <c r="J54" s="211">
        <f>IFERROR(I54/I$20,0)</f>
        <v/>
      </c>
      <c r="K54" s="203">
        <f>K20*'Vessel Assumptions'!$C$31</f>
        <v/>
      </c>
      <c r="L54" s="211">
        <f>IFERROR(K54/K$20,0)</f>
        <v/>
      </c>
      <c r="M54" s="203">
        <f>M20*'Vessel Assumptions'!$C$31</f>
        <v/>
      </c>
      <c r="N54" s="211">
        <f>IFERROR(M54/M$20,0)</f>
        <v/>
      </c>
      <c r="O54" s="203">
        <f>O20*'Vessel Assumptions'!$C$31</f>
        <v/>
      </c>
      <c r="P54" s="211">
        <f>IFERROR(O54/O$20,0)</f>
        <v/>
      </c>
      <c r="Q54" s="203">
        <f>Q20*'Vessel Assumptions'!$C$31</f>
        <v/>
      </c>
      <c r="R54" s="211">
        <f>IFERROR(Q54/Q$20,0)</f>
        <v/>
      </c>
      <c r="S54" s="203">
        <f>S20*'Vessel Assumptions'!$C$31</f>
        <v/>
      </c>
      <c r="T54" s="211">
        <f>IFERROR(S54/S$20,0)</f>
        <v/>
      </c>
      <c r="U54" s="203">
        <f>U20*'Vessel Assumptions'!$C$31</f>
        <v/>
      </c>
      <c r="V54" s="211">
        <f>IFERROR(U54/U$20,0)</f>
        <v/>
      </c>
      <c r="W54" s="203">
        <f>W20*'Vessel Assumptions'!$C$31</f>
        <v/>
      </c>
      <c r="X54" s="211">
        <f>IFERROR(W54/W$20,0)</f>
        <v/>
      </c>
      <c r="Y54" s="203">
        <f>Y20*'Vessel Assumptions'!$C$31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(2.5% of revenue per card)</t>
        </is>
      </c>
      <c r="C55" s="203">
        <f>C20*'Vessel Assumptions'!$C$39</f>
        <v/>
      </c>
      <c r="D55" s="211">
        <f>IFERROR(C55/C$20,0)</f>
        <v/>
      </c>
      <c r="E55" s="203">
        <f>E20*'Vessel Assumptions'!$C$39</f>
        <v/>
      </c>
      <c r="F55" s="211">
        <f>IFERROR(E55/E$20,0)</f>
        <v/>
      </c>
      <c r="G55" s="203">
        <f>G20*'Vessel Assumptions'!$C$39</f>
        <v/>
      </c>
      <c r="H55" s="211">
        <f>IFERROR(G55/G$20,0)</f>
        <v/>
      </c>
      <c r="I55" s="203">
        <f>I20*'Vessel Assumptions'!$C$39</f>
        <v/>
      </c>
      <c r="J55" s="211">
        <f>IFERROR(I55/I$20,0)</f>
        <v/>
      </c>
      <c r="K55" s="203">
        <f>K20*'Vessel Assumptions'!$C$39</f>
        <v/>
      </c>
      <c r="L55" s="211">
        <f>IFERROR(K55/K$20,0)</f>
        <v/>
      </c>
      <c r="M55" s="203">
        <f>M20*'Vessel Assumptions'!$C$39</f>
        <v/>
      </c>
      <c r="N55" s="211">
        <f>IFERROR(M55/M$20,0)</f>
        <v/>
      </c>
      <c r="O55" s="203">
        <f>O20*'Vessel Assumptions'!$C$39</f>
        <v/>
      </c>
      <c r="P55" s="211">
        <f>IFERROR(O55/O$20,0)</f>
        <v/>
      </c>
      <c r="Q55" s="203">
        <f>Q20*'Vessel Assumptions'!$C$39</f>
        <v/>
      </c>
      <c r="R55" s="211">
        <f>IFERROR(Q55/Q$20,0)</f>
        <v/>
      </c>
      <c r="S55" s="203">
        <f>S20*'Vessel Assumptions'!$C$39</f>
        <v/>
      </c>
      <c r="T55" s="211">
        <f>IFERROR(S55/S$20,0)</f>
        <v/>
      </c>
      <c r="U55" s="203">
        <f>U20*'Vessel Assumptions'!$C$39</f>
        <v/>
      </c>
      <c r="V55" s="211">
        <f>IFERROR(U55/U$20,0)</f>
        <v/>
      </c>
      <c r="W55" s="203">
        <f>W20*'Vessel Assumptions'!$C$39</f>
        <v/>
      </c>
      <c r="X55" s="211">
        <f>IFERROR(W55/W$20,0)</f>
        <v/>
      </c>
      <c r="Y55" s="203">
        <f>Y20*'Vessel Assumptions'!$C$39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C20*'Vessel Assumptions'!$C$30</f>
        <v/>
      </c>
      <c r="D56" s="211">
        <f>IFERROR(C56/C$20,0)</f>
        <v/>
      </c>
      <c r="E56" s="203">
        <f>E20*'Vessel Assumptions'!$C$30</f>
        <v/>
      </c>
      <c r="F56" s="211">
        <f>IFERROR(E56/E$20,0)</f>
        <v/>
      </c>
      <c r="G56" s="203">
        <f>G20*'Vessel Assumptions'!$C$30</f>
        <v/>
      </c>
      <c r="H56" s="211">
        <f>IFERROR(G56/G$20,0)</f>
        <v/>
      </c>
      <c r="I56" s="203">
        <f>I20*'Vessel Assumptions'!$C$30</f>
        <v/>
      </c>
      <c r="J56" s="211">
        <f>IFERROR(I56/I$20,0)</f>
        <v/>
      </c>
      <c r="K56" s="203">
        <f>K20*'Vessel Assumptions'!$C$30</f>
        <v/>
      </c>
      <c r="L56" s="211">
        <f>IFERROR(K56/K$20,0)</f>
        <v/>
      </c>
      <c r="M56" s="203">
        <f>M20*'Vessel Assumptions'!$C$30</f>
        <v/>
      </c>
      <c r="N56" s="211">
        <f>IFERROR(M56/M$20,0)</f>
        <v/>
      </c>
      <c r="O56" s="203">
        <f>O20*'Vessel Assumptions'!$C$30</f>
        <v/>
      </c>
      <c r="P56" s="211">
        <f>IFERROR(O56/O$20,0)</f>
        <v/>
      </c>
      <c r="Q56" s="203">
        <f>Q20*'Vessel Assumptions'!$C$30</f>
        <v/>
      </c>
      <c r="R56" s="211">
        <f>IFERROR(Q56/Q$20,0)</f>
        <v/>
      </c>
      <c r="S56" s="203">
        <f>S20*'Vessel Assumptions'!$C$30</f>
        <v/>
      </c>
      <c r="T56" s="211">
        <f>IFERROR(S56/S$20,0)</f>
        <v/>
      </c>
      <c r="U56" s="203">
        <f>U20*'Vessel Assumptions'!$C$30</f>
        <v/>
      </c>
      <c r="V56" s="211">
        <f>IFERROR(U56/U$20,0)</f>
        <v/>
      </c>
      <c r="W56" s="203">
        <f>W20*'Vessel Assumptions'!$C$30</f>
        <v/>
      </c>
      <c r="X56" s="211">
        <f>IFERROR(W56/W$20,0)</f>
        <v/>
      </c>
      <c r="Y56" s="203">
        <f>Y20*'Vessel Assumptions'!$C$30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E58" s="203" t="n">
        <v>0</v>
      </c>
      <c r="F58" s="211">
        <f>IFERROR(E58/E$20,0)</f>
        <v/>
      </c>
      <c r="G58" s="203" t="n">
        <v>0</v>
      </c>
      <c r="H58" s="211">
        <f>IFERROR(G58/G$20,0)</f>
        <v/>
      </c>
      <c r="I58" s="203" t="n">
        <v>0</v>
      </c>
      <c r="J58" s="211">
        <f>IFERROR(I58/I$20,0)</f>
        <v/>
      </c>
      <c r="K58" s="203" t="n">
        <v>0</v>
      </c>
      <c r="L58" s="211">
        <f>IFERROR(K58/K$20,0)</f>
        <v/>
      </c>
      <c r="M58" s="203" t="n">
        <v>0</v>
      </c>
      <c r="N58" s="211">
        <f>IFERROR(M58/M$20,0)</f>
        <v/>
      </c>
      <c r="O58" s="203" t="n">
        <v>0</v>
      </c>
      <c r="P58" s="211">
        <f>IFERROR(O58/O$20,0)</f>
        <v/>
      </c>
      <c r="Q58" s="203" t="n">
        <v>0</v>
      </c>
      <c r="R58" s="211">
        <f>IFERROR(Q58/Q$20,0)</f>
        <v/>
      </c>
      <c r="S58" s="203" t="n">
        <v>0</v>
      </c>
      <c r="T58" s="211">
        <f>IFERROR(S58/S$20,0)</f>
        <v/>
      </c>
      <c r="U58" s="203" t="n">
        <v>0</v>
      </c>
      <c r="V58" s="211">
        <f>IFERROR(U58/U$20,0)</f>
        <v/>
      </c>
      <c r="W58" s="203" t="n">
        <v>0</v>
      </c>
      <c r="X58" s="211">
        <f>IFERROR(W58/W$20,0)</f>
        <v/>
      </c>
      <c r="Y58" s="203" t="n">
        <v>0</v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E59" s="203" t="n">
        <v>0</v>
      </c>
      <c r="F59" s="211">
        <f>IFERROR(E59/E$20,0)</f>
        <v/>
      </c>
      <c r="G59" s="203" t="n">
        <v>0</v>
      </c>
      <c r="H59" s="211">
        <f>IFERROR(G59/G$20,0)</f>
        <v/>
      </c>
      <c r="I59" s="203" t="n">
        <v>0</v>
      </c>
      <c r="J59" s="211">
        <f>IFERROR(I59/I$20,0)</f>
        <v/>
      </c>
      <c r="K59" s="203" t="n">
        <v>0</v>
      </c>
      <c r="L59" s="211">
        <f>IFERROR(K59/K$20,0)</f>
        <v/>
      </c>
      <c r="M59" s="203" t="n">
        <v>0</v>
      </c>
      <c r="N59" s="211">
        <f>IFERROR(M59/M$20,0)</f>
        <v/>
      </c>
      <c r="O59" s="203" t="n">
        <v>0</v>
      </c>
      <c r="P59" s="211">
        <f>IFERROR(O59/O$20,0)</f>
        <v/>
      </c>
      <c r="Q59" s="203" t="n">
        <v>0</v>
      </c>
      <c r="R59" s="211">
        <f>IFERROR(Q59/Q$20,0)</f>
        <v/>
      </c>
      <c r="S59" s="203" t="n">
        <v>0</v>
      </c>
      <c r="T59" s="211">
        <f>IFERROR(S59/S$20,0)</f>
        <v/>
      </c>
      <c r="U59" s="203" t="n">
        <v>0</v>
      </c>
      <c r="V59" s="211">
        <f>IFERROR(U59/U$20,0)</f>
        <v/>
      </c>
      <c r="W59" s="203" t="n">
        <v>0</v>
      </c>
      <c r="X59" s="211">
        <f>IFERROR(W59/W$20,0)</f>
        <v/>
      </c>
      <c r="Y59" s="203" t="n">
        <v>0</v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E64" s="203" t="n">
        <v>0</v>
      </c>
      <c r="F64" s="211">
        <f>IFERROR(E64/E$20,0)</f>
        <v/>
      </c>
      <c r="G64" s="203" t="n">
        <v>0</v>
      </c>
      <c r="H64" s="211">
        <f>IFERROR(G64/G$20,0)</f>
        <v/>
      </c>
      <c r="I64" s="203" t="n">
        <v>0</v>
      </c>
      <c r="J64" s="211">
        <f>IFERROR(I64/I$20,0)</f>
        <v/>
      </c>
      <c r="K64" s="203" t="n">
        <v>0</v>
      </c>
      <c r="L64" s="211">
        <f>IFERROR(K64/K$20,0)</f>
        <v/>
      </c>
      <c r="M64" s="203" t="n">
        <v>0</v>
      </c>
      <c r="N64" s="211">
        <f>IFERROR(M64/M$20,0)</f>
        <v/>
      </c>
      <c r="O64" s="203" t="n">
        <v>0</v>
      </c>
      <c r="P64" s="211">
        <f>IFERROR(O64/O$20,0)</f>
        <v/>
      </c>
      <c r="Q64" s="203" t="n">
        <v>0</v>
      </c>
      <c r="R64" s="211">
        <f>IFERROR(Q64/Q$20,0)</f>
        <v/>
      </c>
      <c r="S64" s="203" t="n">
        <v>0</v>
      </c>
      <c r="T64" s="211">
        <f>IFERROR(S64/S$20,0)</f>
        <v/>
      </c>
      <c r="U64" s="203" t="n">
        <v>0</v>
      </c>
      <c r="V64" s="211">
        <f>IFERROR(U64/U$20,0)</f>
        <v/>
      </c>
      <c r="W64" s="203" t="n">
        <v>0</v>
      </c>
      <c r="X64" s="211">
        <f>IFERROR(W64/W$20,0)</f>
        <v/>
      </c>
      <c r="Y64" s="203" t="n">
        <v>0</v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E68" s="203" t="n">
        <v>0</v>
      </c>
      <c r="F68" s="211">
        <f>IFERROR(E68/E$20,0)</f>
        <v/>
      </c>
      <c r="G68" s="203" t="n">
        <v>0</v>
      </c>
      <c r="H68" s="211">
        <f>IFERROR(G68/G$20,0)</f>
        <v/>
      </c>
      <c r="I68" s="203" t="n">
        <v>0</v>
      </c>
      <c r="J68" s="211">
        <f>IFERROR(I68/I$20,0)</f>
        <v/>
      </c>
      <c r="K68" s="203" t="n">
        <v>0</v>
      </c>
      <c r="L68" s="211">
        <f>IFERROR(K68/K$20,0)</f>
        <v/>
      </c>
      <c r="M68" s="203" t="n">
        <v>0</v>
      </c>
      <c r="N68" s="211">
        <f>IFERROR(M68/M$20,0)</f>
        <v/>
      </c>
      <c r="O68" s="203" t="n">
        <v>0</v>
      </c>
      <c r="P68" s="211">
        <f>IFERROR(O68/O$20,0)</f>
        <v/>
      </c>
      <c r="Q68" s="203" t="n">
        <v>0</v>
      </c>
      <c r="R68" s="211">
        <f>IFERROR(Q68/Q$20,0)</f>
        <v/>
      </c>
      <c r="S68" s="203" t="n">
        <v>0</v>
      </c>
      <c r="T68" s="211">
        <f>IFERROR(S68/S$20,0)</f>
        <v/>
      </c>
      <c r="U68" s="203" t="n">
        <v>0</v>
      </c>
      <c r="V68" s="211">
        <f>IFERROR(U68/U$20,0)</f>
        <v/>
      </c>
      <c r="W68" s="203" t="n">
        <v>0</v>
      </c>
      <c r="X68" s="211">
        <f>IFERROR(W68/W$20,0)</f>
        <v/>
      </c>
      <c r="Y68" s="203" t="n">
        <v>0</v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E69" s="203" t="n">
        <v>0</v>
      </c>
      <c r="F69" s="211">
        <f>IFERROR(E69/E$20,0)</f>
        <v/>
      </c>
      <c r="G69" s="203" t="n">
        <v>0</v>
      </c>
      <c r="H69" s="211">
        <f>IFERROR(G69/G$20,0)</f>
        <v/>
      </c>
      <c r="I69" s="203" t="n">
        <v>0</v>
      </c>
      <c r="J69" s="211">
        <f>IFERROR(I69/I$20,0)</f>
        <v/>
      </c>
      <c r="K69" s="203" t="n">
        <v>0</v>
      </c>
      <c r="L69" s="211">
        <f>IFERROR(K69/K$20,0)</f>
        <v/>
      </c>
      <c r="M69" s="203" t="n">
        <v>0</v>
      </c>
      <c r="N69" s="211">
        <f>IFERROR(M69/M$20,0)</f>
        <v/>
      </c>
      <c r="O69" s="203" t="n">
        <v>0</v>
      </c>
      <c r="P69" s="211">
        <f>IFERROR(O69/O$20,0)</f>
        <v/>
      </c>
      <c r="Q69" s="203" t="n">
        <v>0</v>
      </c>
      <c r="R69" s="211">
        <f>IFERROR(Q69/Q$20,0)</f>
        <v/>
      </c>
      <c r="S69" s="203" t="n">
        <v>0</v>
      </c>
      <c r="T69" s="211">
        <f>IFERROR(S69/S$20,0)</f>
        <v/>
      </c>
      <c r="U69" s="203" t="n">
        <v>0</v>
      </c>
      <c r="V69" s="211">
        <f>IFERROR(U69/U$20,0)</f>
        <v/>
      </c>
      <c r="W69" s="203" t="n">
        <v>0</v>
      </c>
      <c r="X69" s="211">
        <f>IFERROR(W69/W$20,0)</f>
        <v/>
      </c>
      <c r="Y69" s="203" t="n">
        <v>0</v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2" customWidth="1" style="179" min="2" max="2"/>
    <col width="15" customWidth="1" style="179" min="3" max="4"/>
  </cols>
  <sheetData>
    <row r="1" ht="37.5" customHeight="1" s="180">
      <c r="A1" s="217" t="inlineStr">
        <is>
          <t>VESSEL — GL COST BASIS</t>
        </is>
      </c>
    </row>
    <row r="2" ht="15" customHeight="1" s="180">
      <c r="A2" s="218" t="inlineStr">
        <is>
          <t>Cost basis now linked to Vessel 2026 P&amp;L (Act/For) · controllable vs non-controllable (CC fees excluded)</t>
        </is>
      </c>
    </row>
    <row r="4" ht="15" customHeight="1" s="180">
      <c r="B4" s="251" t="inlineStr">
        <is>
          <t>Expense group</t>
        </is>
      </c>
      <c r="C4" s="220" t="inlineStr">
        <is>
          <t>Annual</t>
        </is>
      </c>
      <c r="D4" s="220" t="inlineStr">
        <is>
          <t>Monthly</t>
        </is>
      </c>
    </row>
    <row r="6" ht="15" customHeight="1" s="180">
      <c r="B6" s="219" t="inlineStr">
        <is>
          <t>LABOR (in model)</t>
        </is>
      </c>
    </row>
    <row r="8" ht="15" customHeight="1" s="180">
      <c r="B8" s="226" t="inlineStr">
        <is>
          <t>Management labor – FOH mgmt (610300)</t>
        </is>
      </c>
      <c r="C8" s="227">
        <f>'Vessel 2026 P&amp;L'!$AB$28</f>
        <v/>
      </c>
      <c r="D8" s="227">
        <f>C8/12</f>
        <v/>
      </c>
    </row>
    <row r="10" ht="15" customHeight="1" s="180">
      <c r="B10" s="219" t="inlineStr">
        <is>
          <t>CONTROLLABLE (excl credit card fees)</t>
        </is>
      </c>
    </row>
    <row r="11" ht="15" customHeight="1" s="180">
      <c r="B11" s="226" t="inlineStr">
        <is>
          <t>Direct operating (supplies, linen, equip)</t>
        </is>
      </c>
      <c r="C11" s="227" t="n">
        <v>18543</v>
      </c>
      <c r="D11" s="227">
        <f>C11/12</f>
        <v/>
      </c>
    </row>
    <row r="12" ht="15" customHeight="1" s="180">
      <c r="B12" s="226" t="inlineStr">
        <is>
          <t>G&amp;A / accounting / bank</t>
        </is>
      </c>
      <c r="C12" s="227" t="n">
        <v>30300</v>
      </c>
      <c r="D12" s="227">
        <f>C12/12</f>
        <v/>
      </c>
    </row>
    <row r="13" ht="15" customHeight="1" s="180">
      <c r="B13" s="226" t="inlineStr">
        <is>
          <t>Marketing</t>
        </is>
      </c>
      <c r="C13" s="227" t="n">
        <v>13917</v>
      </c>
      <c r="D13" s="227">
        <f>C13/12</f>
        <v/>
      </c>
    </row>
    <row r="14" ht="15" customHeight="1" s="180">
      <c r="B14" s="226" t="inlineStr">
        <is>
          <t>Music &amp; entertainment</t>
        </is>
      </c>
      <c r="C14" s="227" t="n">
        <v>6750</v>
      </c>
      <c r="D14" s="227">
        <f>C14/12</f>
        <v/>
      </c>
    </row>
    <row r="15" ht="15" customHeight="1" s="180">
      <c r="B15" s="226" t="inlineStr">
        <is>
          <t>Repairs &amp; maintenance</t>
        </is>
      </c>
      <c r="C15" s="227" t="n">
        <v>5748</v>
      </c>
      <c r="D15" s="227">
        <f>C15/12</f>
        <v/>
      </c>
    </row>
    <row r="16" ht="15" customHeight="1" s="180">
      <c r="B16" s="226" t="inlineStr">
        <is>
          <t>Utilities</t>
        </is>
      </c>
      <c r="C16" s="227" t="n">
        <v>5602</v>
      </c>
      <c r="D16" s="227">
        <f>C16/12</f>
        <v/>
      </c>
    </row>
    <row r="17" ht="15" customHeight="1" s="180">
      <c r="B17" s="221" t="inlineStr">
        <is>
          <t>Total controllable (excl CC)</t>
        </is>
      </c>
      <c r="C17" s="222">
        <f>SUM(C11:C16)</f>
        <v/>
      </c>
      <c r="D17" s="222">
        <f>C17/12</f>
        <v/>
      </c>
    </row>
    <row r="18" ht="15" customHeight="1" s="180">
      <c r="B18" s="237" t="inlineStr">
        <is>
          <t>→ Controllable / month feed</t>
        </is>
      </c>
      <c r="C18" s="252">
        <f>'Vessel 2026 P&amp;L'!$AB$44</f>
        <v/>
      </c>
      <c r="D18" s="253">
        <f>C18/12</f>
        <v/>
      </c>
    </row>
    <row r="20" ht="15" customHeight="1" s="180">
      <c r="B20" s="219" t="inlineStr">
        <is>
          <t>NON-CONTROLLABLE (in model)</t>
        </is>
      </c>
    </row>
    <row r="21" ht="15" customHeight="1" s="180">
      <c r="B21" s="226" t="inlineStr">
        <is>
          <t>Insurance – liability</t>
        </is>
      </c>
      <c r="C21" s="227" t="n">
        <v>2106</v>
      </c>
      <c r="D21" s="227">
        <f>C21/12</f>
        <v/>
      </c>
    </row>
    <row r="22" ht="15" customHeight="1" s="180">
      <c r="B22" s="226" t="inlineStr">
        <is>
          <t>Legal &amp; accounting</t>
        </is>
      </c>
      <c r="C22" s="227" t="n">
        <v>1800</v>
      </c>
      <c r="D22" s="227">
        <f>C22/12</f>
        <v/>
      </c>
    </row>
    <row r="23" ht="15" customHeight="1" s="180">
      <c r="B23" s="226" t="inlineStr">
        <is>
          <t>Replacement reserves</t>
        </is>
      </c>
      <c r="C23" s="227" t="n">
        <v>4855</v>
      </c>
      <c r="D23" s="227">
        <f>C23/12</f>
        <v/>
      </c>
    </row>
    <row r="24" ht="15" customHeight="1" s="180">
      <c r="B24" s="221" t="inlineStr">
        <is>
          <t>Total non-controllable</t>
        </is>
      </c>
      <c r="C24" s="222">
        <f>'Vessel 2026 P&amp;L'!$AB$47+'Vessel 2026 P&amp;L'!$AB$49+'Vessel 2026 P&amp;L'!$AB$51+'Vessel 2026 P&amp;L'!$AB$52</f>
        <v/>
      </c>
      <c r="D24" s="222">
        <f>C24/12</f>
        <v/>
      </c>
    </row>
    <row r="26" ht="15" customHeight="1" s="180">
      <c r="B26" s="219" t="inlineStr">
        <is>
          <t>VARIABLE / EXCLUDED</t>
        </is>
      </c>
    </row>
    <row r="27" ht="15" customHeight="1" s="180">
      <c r="B27" s="226" t="inlineStr">
        <is>
          <t>Credit card fees (actual GL → now variable 2.5%)</t>
        </is>
      </c>
      <c r="C27" s="227" t="n">
        <v>2745</v>
      </c>
      <c r="D27" s="227">
        <f>C27/12</f>
        <v/>
      </c>
    </row>
    <row r="28" ht="15" customHeight="1" s="180">
      <c r="B28" s="226" t="inlineStr">
        <is>
          <t>Management fee (→ profit split)</t>
        </is>
      </c>
      <c r="C28" s="227" t="n">
        <v>48000</v>
      </c>
      <c r="D28" s="227">
        <f>C28/12</f>
        <v/>
      </c>
    </row>
    <row r="29" ht="15" customHeight="1" s="180">
      <c r="B29" s="226" t="inlineStr">
        <is>
          <t>Rent / RE tax (owner)</t>
        </is>
      </c>
      <c r="C29" s="227">
        <f>'Vessel 2026 P&amp;L'!$AB$48</f>
        <v/>
      </c>
      <c r="D29" s="227">
        <f>C29/12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28343</v>
      </c>
      <c r="D9" s="211">
        <f>IFERROR(C9/C$16,0)</f>
        <v/>
      </c>
      <c r="E9" s="203" t="n">
        <v>9119</v>
      </c>
      <c r="F9" s="211">
        <f>IFERROR(E9/E$16,0)</f>
        <v/>
      </c>
      <c r="G9" s="203" t="n">
        <v>21950</v>
      </c>
      <c r="H9" s="211">
        <f>IFERROR(G9/G$16,0)</f>
        <v/>
      </c>
      <c r="I9" s="203" t="n">
        <v>4645</v>
      </c>
      <c r="J9" s="211">
        <f>IFERROR(I9/I$16,0)</f>
        <v/>
      </c>
      <c r="K9" s="203" t="n">
        <v>14241</v>
      </c>
      <c r="L9" s="211">
        <f>IFERROR(K9/K$16,0)</f>
        <v/>
      </c>
      <c r="M9" s="203" t="n">
        <v>15390</v>
      </c>
      <c r="N9" s="211">
        <f>IFERROR(M9/M$16,0)</f>
        <v/>
      </c>
      <c r="O9" s="203" t="n">
        <v>11504</v>
      </c>
      <c r="P9" s="211">
        <f>IFERROR(O9/O$16,0)</f>
        <v/>
      </c>
      <c r="Q9" s="203" t="n">
        <v>8697</v>
      </c>
      <c r="R9" s="211">
        <f>IFERROR(Q9/Q$16,0)</f>
        <v/>
      </c>
      <c r="S9" s="203" t="n">
        <v>8697</v>
      </c>
      <c r="T9" s="211">
        <f>IFERROR(S9/S$16,0)</f>
        <v/>
      </c>
      <c r="U9" s="203" t="n">
        <v>6957</v>
      </c>
      <c r="V9" s="211">
        <f>IFERROR(U9/U$16,0)</f>
        <v/>
      </c>
      <c r="W9" s="203" t="n">
        <v>6957</v>
      </c>
      <c r="X9" s="211">
        <f>IFERROR(W9/W$16,0)</f>
        <v/>
      </c>
      <c r="Y9" s="203" t="n">
        <v>12175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5992</v>
      </c>
      <c r="D10" s="211">
        <f>IFERROR(C10/C$16,0)</f>
        <v/>
      </c>
      <c r="E10" s="203" t="n">
        <v>4542</v>
      </c>
      <c r="F10" s="211">
        <f>IFERROR(E10/E$16,0)</f>
        <v/>
      </c>
      <c r="G10" s="203" t="n">
        <v>3907</v>
      </c>
      <c r="H10" s="211">
        <f>IFERROR(G10/G$16,0)</f>
        <v/>
      </c>
      <c r="I10" s="203" t="n">
        <v>1012</v>
      </c>
      <c r="J10" s="211">
        <f>IFERROR(I10/I$16,0)</f>
        <v/>
      </c>
      <c r="K10" s="203" t="n">
        <v>2090</v>
      </c>
      <c r="L10" s="211">
        <f>IFERROR(K10/K$16,0)</f>
        <v/>
      </c>
      <c r="M10" s="203" t="n">
        <v>2193</v>
      </c>
      <c r="N10" s="211">
        <f>IFERROR(M10/M$16,0)</f>
        <v/>
      </c>
      <c r="O10" s="203" t="n">
        <v>1688</v>
      </c>
      <c r="P10" s="211">
        <f>IFERROR(O10/O$16,0)</f>
        <v/>
      </c>
      <c r="Q10" s="203" t="n">
        <v>1276</v>
      </c>
      <c r="R10" s="211">
        <f>IFERROR(Q10/Q$16,0)</f>
        <v/>
      </c>
      <c r="S10" s="203" t="n">
        <v>1276</v>
      </c>
      <c r="T10" s="211">
        <f>IFERROR(S10/S$16,0)</f>
        <v/>
      </c>
      <c r="U10" s="203" t="n">
        <v>1021</v>
      </c>
      <c r="V10" s="211">
        <f>IFERROR(U10/U$16,0)</f>
        <v/>
      </c>
      <c r="W10" s="203" t="n">
        <v>1021</v>
      </c>
      <c r="X10" s="211">
        <f>IFERROR(W10/W$16,0)</f>
        <v/>
      </c>
      <c r="Y10" s="203" t="n">
        <v>1786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1351</v>
      </c>
      <c r="D11" s="211">
        <f>IFERROR(C11/C$16,0)</f>
        <v/>
      </c>
      <c r="E11" s="203" t="n">
        <v>2141</v>
      </c>
      <c r="F11" s="211">
        <f>IFERROR(E11/E$16,0)</f>
        <v/>
      </c>
      <c r="G11" s="203" t="n">
        <v>10278</v>
      </c>
      <c r="H11" s="211">
        <f>IFERROR(G11/G$16,0)</f>
        <v/>
      </c>
      <c r="I11" s="203" t="n">
        <v>1836</v>
      </c>
      <c r="J11" s="211">
        <f>IFERROR(I11/I$16,0)</f>
        <v/>
      </c>
      <c r="K11" s="203" t="n">
        <v>5557</v>
      </c>
      <c r="L11" s="211">
        <f>IFERROR(K11/K$16,0)</f>
        <v/>
      </c>
      <c r="M11" s="203" t="n">
        <v>4142</v>
      </c>
      <c r="N11" s="211">
        <f>IFERROR(M11/M$16,0)</f>
        <v/>
      </c>
      <c r="O11" s="203" t="n">
        <v>4489</v>
      </c>
      <c r="P11" s="211">
        <f>IFERROR(O11/O$16,0)</f>
        <v/>
      </c>
      <c r="Q11" s="203" t="n">
        <v>3394</v>
      </c>
      <c r="R11" s="211">
        <f>IFERROR(Q11/Q$16,0)</f>
        <v/>
      </c>
      <c r="S11" s="203" t="n">
        <v>3394</v>
      </c>
      <c r="T11" s="211">
        <f>IFERROR(S11/S$16,0)</f>
        <v/>
      </c>
      <c r="U11" s="203" t="n">
        <v>2715</v>
      </c>
      <c r="V11" s="211">
        <f>IFERROR(U11/U$16,0)</f>
        <v/>
      </c>
      <c r="W11" s="203" t="n">
        <v>2715</v>
      </c>
      <c r="X11" s="211">
        <f>IFERROR(W11/W$16,0)</f>
        <v/>
      </c>
      <c r="Y11" s="203" t="n">
        <v>4751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40</v>
      </c>
      <c r="D12" s="211">
        <f>IFERROR(C12/C$16,0)</f>
        <v/>
      </c>
      <c r="E12" s="203" t="n">
        <v>0</v>
      </c>
      <c r="F12" s="211">
        <f>IFERROR(E12/E$16,0)</f>
        <v/>
      </c>
      <c r="G12" s="203" t="n">
        <v>187</v>
      </c>
      <c r="H12" s="211">
        <f>IFERROR(G12/G$16,0)</f>
        <v/>
      </c>
      <c r="I12" s="203" t="n">
        <v>34</v>
      </c>
      <c r="J12" s="211">
        <f>IFERROR(I12/I$16,0)</f>
        <v/>
      </c>
      <c r="K12" s="203" t="n">
        <v>193</v>
      </c>
      <c r="L12" s="211">
        <f>IFERROR(K12/K$16,0)</f>
        <v/>
      </c>
      <c r="M12" s="203" t="n">
        <v>525</v>
      </c>
      <c r="N12" s="211">
        <f>IFERROR(M12/M$16,0)</f>
        <v/>
      </c>
      <c r="O12" s="203" t="n">
        <v>156</v>
      </c>
      <c r="P12" s="211">
        <f>IFERROR(O12/O$16,0)</f>
        <v/>
      </c>
      <c r="Q12" s="203" t="n">
        <v>118</v>
      </c>
      <c r="R12" s="211">
        <f>IFERROR(Q12/Q$16,0)</f>
        <v/>
      </c>
      <c r="S12" s="203" t="n">
        <v>118</v>
      </c>
      <c r="T12" s="211">
        <f>IFERROR(S12/S$16,0)</f>
        <v/>
      </c>
      <c r="U12" s="203" t="n">
        <v>94</v>
      </c>
      <c r="V12" s="211">
        <f>IFERROR(U12/U$16,0)</f>
        <v/>
      </c>
      <c r="W12" s="203" t="n">
        <v>94</v>
      </c>
      <c r="X12" s="211">
        <f>IFERROR(W12/W$16,0)</f>
        <v/>
      </c>
      <c r="Y12" s="203" t="n">
        <v>165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758</v>
      </c>
      <c r="D13" s="211">
        <f>IFERROR(C13/C$16,0)</f>
        <v/>
      </c>
      <c r="E13" s="203" t="n">
        <v>471</v>
      </c>
      <c r="F13" s="211">
        <f>IFERROR(E13/E$16,0)</f>
        <v/>
      </c>
      <c r="G13" s="203" t="n">
        <v>729</v>
      </c>
      <c r="H13" s="211">
        <f>IFERROR(G13/G$16,0)</f>
        <v/>
      </c>
      <c r="I13" s="203" t="n">
        <v>426</v>
      </c>
      <c r="J13" s="211">
        <f>IFERROR(I13/I$16,0)</f>
        <v/>
      </c>
      <c r="K13" s="203" t="n">
        <v>770</v>
      </c>
      <c r="L13" s="211">
        <f>IFERROR(K13/K$16,0)</f>
        <v/>
      </c>
      <c r="M13" s="203" t="n">
        <v>434</v>
      </c>
      <c r="N13" s="211">
        <f>IFERROR(M13/M$16,0)</f>
        <v/>
      </c>
      <c r="O13" s="203" t="n">
        <v>622</v>
      </c>
      <c r="P13" s="211">
        <f>IFERROR(O13/O$16,0)</f>
        <v/>
      </c>
      <c r="Q13" s="203" t="n">
        <v>470</v>
      </c>
      <c r="R13" s="211">
        <f>IFERROR(Q13/Q$16,0)</f>
        <v/>
      </c>
      <c r="S13" s="203" t="n">
        <v>470</v>
      </c>
      <c r="T13" s="211">
        <f>IFERROR(S13/S$16,0)</f>
        <v/>
      </c>
      <c r="U13" s="203" t="n">
        <v>376</v>
      </c>
      <c r="V13" s="211">
        <f>IFERROR(U13/U$16,0)</f>
        <v/>
      </c>
      <c r="W13" s="203" t="n">
        <v>376</v>
      </c>
      <c r="X13" s="211">
        <f>IFERROR(W13/W$16,0)</f>
        <v/>
      </c>
      <c r="Y13" s="203" t="n">
        <v>658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3280</v>
      </c>
      <c r="D14" s="211">
        <f>IFERROR(C14/C$16,0)</f>
        <v/>
      </c>
      <c r="E14" s="203" t="n">
        <v>419</v>
      </c>
      <c r="F14" s="211">
        <f>IFERROR(E14/E$16,0)</f>
        <v/>
      </c>
      <c r="G14" s="203" t="n">
        <v>2754</v>
      </c>
      <c r="H14" s="211">
        <f>IFERROR(G14/G$16,0)</f>
        <v/>
      </c>
      <c r="I14" s="203" t="n">
        <v>4574</v>
      </c>
      <c r="J14" s="211">
        <f>IFERROR(I14/I$16,0)</f>
        <v/>
      </c>
      <c r="K14" s="203" t="n">
        <v>18088</v>
      </c>
      <c r="L14" s="211">
        <f>IFERROR(K14/K$16,0)</f>
        <v/>
      </c>
      <c r="M14" s="203" t="n">
        <v>23139</v>
      </c>
      <c r="N14" s="211">
        <f>IFERROR(M14/M$16,0)</f>
        <v/>
      </c>
      <c r="O14" s="203" t="n">
        <v>14611</v>
      </c>
      <c r="P14" s="211">
        <f>IFERROR(O14/O$16,0)</f>
        <v/>
      </c>
      <c r="Q14" s="203" t="n">
        <v>11046</v>
      </c>
      <c r="R14" s="211">
        <f>IFERROR(Q14/Q$16,0)</f>
        <v/>
      </c>
      <c r="S14" s="203" t="n">
        <v>11046</v>
      </c>
      <c r="T14" s="211">
        <f>IFERROR(S14/S$16,0)</f>
        <v/>
      </c>
      <c r="U14" s="203" t="n">
        <v>8837</v>
      </c>
      <c r="V14" s="211">
        <f>IFERROR(U14/U$16,0)</f>
        <v/>
      </c>
      <c r="W14" s="203" t="n">
        <v>8837</v>
      </c>
      <c r="X14" s="211">
        <f>IFERROR(W14/W$16,0)</f>
        <v/>
      </c>
      <c r="Y14" s="203" t="n">
        <v>15464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-1646</v>
      </c>
      <c r="D15" s="211">
        <f>IFERROR(C15/C$16,0)</f>
        <v/>
      </c>
      <c r="E15" s="203" t="n">
        <v>0</v>
      </c>
      <c r="F15" s="211">
        <f>IFERROR(E15/E$16,0)</f>
        <v/>
      </c>
      <c r="G15" s="203" t="n">
        <v>0</v>
      </c>
      <c r="H15" s="211">
        <f>IFERROR(G15/G$16,0)</f>
        <v/>
      </c>
      <c r="I15" s="203" t="n">
        <v>0</v>
      </c>
      <c r="J15" s="211">
        <f>IFERROR(I15/I$16,0)</f>
        <v/>
      </c>
      <c r="K15" s="203" t="n">
        <v>0</v>
      </c>
      <c r="L15" s="211">
        <f>IFERROR(K15/K$16,0)</f>
        <v/>
      </c>
      <c r="M15" s="203" t="n">
        <v>0</v>
      </c>
      <c r="N15" s="211">
        <f>IFERROR(M15/M$16,0)</f>
        <v/>
      </c>
      <c r="O15" s="203" t="n">
        <v>0</v>
      </c>
      <c r="P15" s="211">
        <f>IFERROR(O15/O$16,0)</f>
        <v/>
      </c>
      <c r="Q15" s="203" t="n">
        <v>0</v>
      </c>
      <c r="R15" s="211">
        <f>IFERROR(Q15/Q$16,0)</f>
        <v/>
      </c>
      <c r="S15" s="203" t="n">
        <v>0</v>
      </c>
      <c r="T15" s="211">
        <f>IFERROR(S15/S$16,0)</f>
        <v/>
      </c>
      <c r="U15" s="203" t="n">
        <v>0</v>
      </c>
      <c r="V15" s="211">
        <f>IFERROR(U15/U$16,0)</f>
        <v/>
      </c>
      <c r="W15" s="203" t="n">
        <v>0</v>
      </c>
      <c r="X15" s="211">
        <f>IFERROR(W15/W$16,0)</f>
        <v/>
      </c>
      <c r="Y15" s="203" t="n">
        <v>0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18631</v>
      </c>
      <c r="D19" s="211">
        <f>IFERROR(C19/C$9,0)</f>
        <v/>
      </c>
      <c r="E19" s="203" t="n">
        <v>8386</v>
      </c>
      <c r="F19" s="211">
        <f>IFERROR(E19/E$9,0)</f>
        <v/>
      </c>
      <c r="G19" s="203" t="n">
        <v>14740</v>
      </c>
      <c r="H19" s="211">
        <f>IFERROR(G19/G$9,0)</f>
        <v/>
      </c>
      <c r="I19" s="203" t="n">
        <v>4280</v>
      </c>
      <c r="J19" s="211">
        <f>IFERROR(I19/I$9,0)</f>
        <v/>
      </c>
      <c r="K19" s="203" t="n">
        <v>11232</v>
      </c>
      <c r="L19" s="211">
        <f>IFERROR(K19/K$9,0)</f>
        <v/>
      </c>
      <c r="M19" s="203" t="n">
        <v>10735</v>
      </c>
      <c r="N19" s="211">
        <f>IFERROR(M19/M$9,0)</f>
        <v/>
      </c>
      <c r="O19" s="203" t="n">
        <v>7478</v>
      </c>
      <c r="P19" s="211">
        <f>IFERROR(O19/O$9,0)</f>
        <v/>
      </c>
      <c r="Q19" s="203" t="n">
        <v>5653</v>
      </c>
      <c r="R19" s="211">
        <f>IFERROR(Q19/Q$9,0)</f>
        <v/>
      </c>
      <c r="S19" s="203" t="n">
        <v>5653</v>
      </c>
      <c r="T19" s="211">
        <f>IFERROR(S19/S$9,0)</f>
        <v/>
      </c>
      <c r="U19" s="203" t="n">
        <v>4522</v>
      </c>
      <c r="V19" s="211">
        <f>IFERROR(U19/U$9,0)</f>
        <v/>
      </c>
      <c r="W19" s="203" t="n">
        <v>4522</v>
      </c>
      <c r="X19" s="211">
        <f>IFERROR(W19/W$9,0)</f>
        <v/>
      </c>
      <c r="Y19" s="203" t="n">
        <v>7914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1198</v>
      </c>
      <c r="D20" s="211">
        <f>IFERROR(C20/C$10,0)</f>
        <v/>
      </c>
      <c r="E20" s="203" t="n">
        <v>895</v>
      </c>
      <c r="F20" s="211">
        <f>IFERROR(E20/E$10,0)</f>
        <v/>
      </c>
      <c r="G20" s="203" t="n">
        <v>1888</v>
      </c>
      <c r="H20" s="211">
        <f>IFERROR(G20/G$10,0)</f>
        <v/>
      </c>
      <c r="I20" s="203" t="n">
        <v>0</v>
      </c>
      <c r="J20" s="211">
        <f>IFERROR(I20/I$10,0)</f>
        <v/>
      </c>
      <c r="K20" s="203" t="n">
        <v>0</v>
      </c>
      <c r="L20" s="211">
        <f>IFERROR(K20/K$10,0)</f>
        <v/>
      </c>
      <c r="M20" s="203" t="n">
        <v>0</v>
      </c>
      <c r="N20" s="211">
        <f>IFERROR(M20/M$10,0)</f>
        <v/>
      </c>
      <c r="O20" s="203" t="n">
        <v>506</v>
      </c>
      <c r="P20" s="211">
        <f>IFERROR(O20/O$10,0)</f>
        <v/>
      </c>
      <c r="Q20" s="203" t="n">
        <v>383</v>
      </c>
      <c r="R20" s="211">
        <f>IFERROR(Q20/Q$10,0)</f>
        <v/>
      </c>
      <c r="S20" s="203" t="n">
        <v>383</v>
      </c>
      <c r="T20" s="211">
        <f>IFERROR(S20/S$10,0)</f>
        <v/>
      </c>
      <c r="U20" s="203" t="n">
        <v>306</v>
      </c>
      <c r="V20" s="211">
        <f>IFERROR(U20/U$10,0)</f>
        <v/>
      </c>
      <c r="W20" s="203" t="n">
        <v>306</v>
      </c>
      <c r="X20" s="211">
        <f>IFERROR(W20/W$10,0)</f>
        <v/>
      </c>
      <c r="Y20" s="203" t="n">
        <v>536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243</v>
      </c>
      <c r="D21" s="211">
        <f>IFERROR(C21/C$11,0)</f>
        <v/>
      </c>
      <c r="E21" s="203" t="n">
        <v>931</v>
      </c>
      <c r="F21" s="211">
        <f>IFERROR(E21/E$11,0)</f>
        <v/>
      </c>
      <c r="G21" s="203" t="n">
        <v>723</v>
      </c>
      <c r="H21" s="211">
        <f>IFERROR(G21/G$11,0)</f>
        <v/>
      </c>
      <c r="I21" s="203" t="n">
        <v>0</v>
      </c>
      <c r="J21" s="211">
        <f>IFERROR(I21/I$11,0)</f>
        <v/>
      </c>
      <c r="K21" s="203" t="n">
        <v>1308</v>
      </c>
      <c r="L21" s="211">
        <f>IFERROR(K21/K$11,0)</f>
        <v/>
      </c>
      <c r="M21" s="203" t="n">
        <v>5238</v>
      </c>
      <c r="N21" s="211">
        <f>IFERROR(M21/M$11,0)</f>
        <v/>
      </c>
      <c r="O21" s="203" t="n">
        <v>0</v>
      </c>
      <c r="P21" s="211">
        <f>IFERROR(O21/O$11,0)</f>
        <v/>
      </c>
      <c r="Q21" s="203" t="n">
        <v>0</v>
      </c>
      <c r="R21" s="211">
        <f>IFERROR(Q21/Q$11,0)</f>
        <v/>
      </c>
      <c r="S21" s="203" t="n">
        <v>0</v>
      </c>
      <c r="T21" s="211">
        <f>IFERROR(S21/S$11,0)</f>
        <v/>
      </c>
      <c r="U21" s="203" t="n">
        <v>0</v>
      </c>
      <c r="V21" s="211">
        <f>IFERROR(U21/U$11,0)</f>
        <v/>
      </c>
      <c r="W21" s="203" t="n">
        <v>0</v>
      </c>
      <c r="X21" s="211">
        <f>IFERROR(W21/W$11,0)</f>
        <v/>
      </c>
      <c r="Y21" s="203" t="n">
        <v>0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</v>
      </c>
      <c r="D22" s="211">
        <f>IFERROR(C22/C$12,0)</f>
        <v/>
      </c>
      <c r="E22" s="203" t="n">
        <v>707</v>
      </c>
      <c r="F22" s="211">
        <f>IFERROR(E22/E$12,0)</f>
        <v/>
      </c>
      <c r="G22" s="203" t="n">
        <v>239</v>
      </c>
      <c r="H22" s="211">
        <f>IFERROR(G22/G$12,0)</f>
        <v/>
      </c>
      <c r="I22" s="203" t="n">
        <v>0</v>
      </c>
      <c r="J22" s="211">
        <f>IFERROR(I22/I$12,0)</f>
        <v/>
      </c>
      <c r="K22" s="203" t="n">
        <v>0</v>
      </c>
      <c r="L22" s="211">
        <f>IFERROR(K22/K$12,0)</f>
        <v/>
      </c>
      <c r="M22" s="203" t="n">
        <v>180</v>
      </c>
      <c r="N22" s="211">
        <f>IFERROR(M22/M$12,0)</f>
        <v/>
      </c>
      <c r="O22" s="203" t="n">
        <v>47</v>
      </c>
      <c r="P22" s="211">
        <f>IFERROR(O22/O$12,0)</f>
        <v/>
      </c>
      <c r="Q22" s="203" t="n">
        <v>35</v>
      </c>
      <c r="R22" s="211">
        <f>IFERROR(Q22/Q$12,0)</f>
        <v/>
      </c>
      <c r="S22" s="203" t="n">
        <v>35</v>
      </c>
      <c r="T22" s="211">
        <f>IFERROR(S22/S$12,0)</f>
        <v/>
      </c>
      <c r="U22" s="203" t="n">
        <v>29</v>
      </c>
      <c r="V22" s="211">
        <f>IFERROR(U22/U$12,0)</f>
        <v/>
      </c>
      <c r="W22" s="203" t="n">
        <v>29</v>
      </c>
      <c r="X22" s="211">
        <f>IFERROR(W22/W$12,0)</f>
        <v/>
      </c>
      <c r="Y22" s="203" t="n">
        <v>49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190</v>
      </c>
      <c r="D23" s="211">
        <f>IFERROR(C23/C$13,0)</f>
        <v/>
      </c>
      <c r="E23" s="203" t="n">
        <v>888</v>
      </c>
      <c r="F23" s="211">
        <f>IFERROR(E23/E$13,0)</f>
        <v/>
      </c>
      <c r="G23" s="203" t="n">
        <v>699</v>
      </c>
      <c r="H23" s="211">
        <f>IFERROR(G23/G$13,0)</f>
        <v/>
      </c>
      <c r="I23" s="203" t="n">
        <v>252</v>
      </c>
      <c r="J23" s="211">
        <f>IFERROR(I23/I$13,0)</f>
        <v/>
      </c>
      <c r="K23" s="203" t="n">
        <v>404</v>
      </c>
      <c r="L23" s="211">
        <f>IFERROR(K23/K$13,0)</f>
        <v/>
      </c>
      <c r="M23" s="203" t="n">
        <v>551</v>
      </c>
      <c r="N23" s="211">
        <f>IFERROR(M23/M$13,0)</f>
        <v/>
      </c>
      <c r="O23" s="203" t="n">
        <v>0</v>
      </c>
      <c r="P23" s="211">
        <f>IFERROR(O23/O$13,0)</f>
        <v/>
      </c>
      <c r="Q23" s="203" t="n">
        <v>0</v>
      </c>
      <c r="R23" s="211">
        <f>IFERROR(Q23/Q$13,0)</f>
        <v/>
      </c>
      <c r="S23" s="203" t="n">
        <v>0</v>
      </c>
      <c r="T23" s="211">
        <f>IFERROR(S23/S$13,0)</f>
        <v/>
      </c>
      <c r="U23" s="203" t="n">
        <v>0</v>
      </c>
      <c r="V23" s="211">
        <f>IFERROR(U23/U$13,0)</f>
        <v/>
      </c>
      <c r="W23" s="203" t="n">
        <v>0</v>
      </c>
      <c r="X23" s="211">
        <f>IFERROR(W23/W$13,0)</f>
        <v/>
      </c>
      <c r="Y23" s="203" t="n">
        <v>0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615</v>
      </c>
      <c r="F28" s="211">
        <f>IFERROR(E28/E$16,0)</f>
        <v/>
      </c>
      <c r="G28" s="203" t="n">
        <v>1277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1097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1928</v>
      </c>
      <c r="H29" s="211">
        <f>IFERROR(G29/G$16,0)</f>
        <v/>
      </c>
      <c r="I29" s="203" t="n">
        <v>584</v>
      </c>
      <c r="J29" s="211">
        <f>IFERROR(I29/I$16,0)</f>
        <v/>
      </c>
      <c r="K29" s="203" t="n">
        <v>0</v>
      </c>
      <c r="L29" s="211">
        <f>IFERROR(K29/K$16,0)</f>
        <v/>
      </c>
      <c r="M29" s="203" t="n">
        <v>-1</v>
      </c>
      <c r="N29" s="211">
        <f>IFERROR(M29/M$16,0)</f>
        <v/>
      </c>
      <c r="O29" s="203" t="n">
        <v>0</v>
      </c>
      <c r="P29" s="211">
        <f>IFERROR(O29/O$16,0)</f>
        <v/>
      </c>
      <c r="Q29" s="203" t="n">
        <v>0</v>
      </c>
      <c r="R29" s="211">
        <f>IFERROR(Q29/Q$16,0)</f>
        <v/>
      </c>
      <c r="S29" s="203" t="n">
        <v>0</v>
      </c>
      <c r="T29" s="211">
        <f>IFERROR(S29/S$16,0)</f>
        <v/>
      </c>
      <c r="U29" s="203" t="n">
        <v>0</v>
      </c>
      <c r="V29" s="211">
        <f>IFERROR(U29/U$16,0)</f>
        <v/>
      </c>
      <c r="W29" s="203" t="n">
        <v>0</v>
      </c>
      <c r="X29" s="211">
        <f>IFERROR(W29/W$16,0)</f>
        <v/>
      </c>
      <c r="Y29" s="203" t="n">
        <v>0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1384</v>
      </c>
      <c r="D30" s="211">
        <f>IFERROR(C30/C$16,0)</f>
        <v/>
      </c>
      <c r="E30" s="203" t="n">
        <v>1502</v>
      </c>
      <c r="F30" s="211">
        <f>IFERROR(E30/E$16,0)</f>
        <v/>
      </c>
      <c r="G30" s="203" t="n">
        <v>5284</v>
      </c>
      <c r="H30" s="211">
        <f>IFERROR(G30/G$16,0)</f>
        <v/>
      </c>
      <c r="I30" s="203" t="n">
        <v>0</v>
      </c>
      <c r="J30" s="211">
        <f>IFERROR(I30/I$16,0)</f>
        <v/>
      </c>
      <c r="K30" s="203" t="n">
        <v>8918</v>
      </c>
      <c r="L30" s="211">
        <f>IFERROR(K30/K$16,0)</f>
        <v/>
      </c>
      <c r="M30" s="203" t="n">
        <v>10928</v>
      </c>
      <c r="N30" s="211">
        <f>IFERROR(M30/M$16,0)</f>
        <v/>
      </c>
      <c r="O30" s="203" t="n">
        <v>5384</v>
      </c>
      <c r="P30" s="211">
        <f>IFERROR(O30/O$16,0)</f>
        <v/>
      </c>
      <c r="Q30" s="203" t="n">
        <v>2500</v>
      </c>
      <c r="R30" s="211">
        <f>IFERROR(Q30/Q$16,0)</f>
        <v/>
      </c>
      <c r="S30" s="203" t="n">
        <v>2500</v>
      </c>
      <c r="T30" s="211">
        <f>IFERROR(S30/S$16,0)</f>
        <v/>
      </c>
      <c r="U30" s="203" t="n">
        <v>2000</v>
      </c>
      <c r="V30" s="211">
        <f>IFERROR(U30/U$16,0)</f>
        <v/>
      </c>
      <c r="W30" s="203" t="n">
        <v>2000</v>
      </c>
      <c r="X30" s="211">
        <f>IFERROR(W30/W$16,0)</f>
        <v/>
      </c>
      <c r="Y30" s="203" t="n">
        <v>3500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303</v>
      </c>
      <c r="D31" s="211">
        <f>IFERROR(C31/C$16,0)</f>
        <v/>
      </c>
      <c r="E31" s="203" t="n">
        <v>1318</v>
      </c>
      <c r="F31" s="211">
        <f>IFERROR(E31/E$16,0)</f>
        <v/>
      </c>
      <c r="G31" s="203" t="n">
        <v>842</v>
      </c>
      <c r="H31" s="211">
        <f>IFERROR(G31/G$16,0)</f>
        <v/>
      </c>
      <c r="I31" s="203" t="n">
        <v>479</v>
      </c>
      <c r="J31" s="211">
        <f>IFERROR(I31/I$16,0)</f>
        <v/>
      </c>
      <c r="K31" s="203" t="n">
        <v>1667</v>
      </c>
      <c r="L31" s="211">
        <f>IFERROR(K31/K$16,0)</f>
        <v/>
      </c>
      <c r="M31" s="203" t="n">
        <v>1248</v>
      </c>
      <c r="N31" s="211">
        <f>IFERROR(M31/M$16,0)</f>
        <v/>
      </c>
      <c r="O31" s="203" t="n">
        <v>257</v>
      </c>
      <c r="P31" s="211">
        <f>IFERROR(O31/O$16,0)</f>
        <v/>
      </c>
      <c r="Q31" s="203" t="n">
        <v>257</v>
      </c>
      <c r="R31" s="211">
        <f>IFERROR(Q31/Q$16,0)</f>
        <v/>
      </c>
      <c r="S31" s="203" t="n">
        <v>257</v>
      </c>
      <c r="T31" s="211">
        <f>IFERROR(S31/S$16,0)</f>
        <v/>
      </c>
      <c r="U31" s="203" t="n">
        <v>257</v>
      </c>
      <c r="V31" s="211">
        <f>IFERROR(U31/U$16,0)</f>
        <v/>
      </c>
      <c r="W31" s="203" t="n">
        <v>257</v>
      </c>
      <c r="X31" s="211">
        <f>IFERROR(W31/W$16,0)</f>
        <v/>
      </c>
      <c r="Y31" s="203" t="n">
        <v>257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313</v>
      </c>
      <c r="D32" s="211">
        <f>IFERROR(C32/C$16,0)</f>
        <v/>
      </c>
      <c r="E32" s="203" t="n">
        <v>311</v>
      </c>
      <c r="F32" s="211">
        <f>IFERROR(E32/E$16,0)</f>
        <v/>
      </c>
      <c r="G32" s="203" t="n">
        <v>380</v>
      </c>
      <c r="H32" s="211">
        <f>IFERROR(G32/G$16,0)</f>
        <v/>
      </c>
      <c r="I32" s="203" t="n">
        <v>380</v>
      </c>
      <c r="J32" s="211">
        <f>IFERROR(I32/I$16,0)</f>
        <v/>
      </c>
      <c r="K32" s="203" t="n">
        <v>551</v>
      </c>
      <c r="L32" s="211">
        <f>IFERROR(K32/K$16,0)</f>
        <v/>
      </c>
      <c r="M32" s="203" t="n">
        <v>1598</v>
      </c>
      <c r="N32" s="211">
        <f>IFERROR(M32/M$16,0)</f>
        <v/>
      </c>
      <c r="O32" s="203" t="n">
        <v>58</v>
      </c>
      <c r="P32" s="211">
        <f>IFERROR(O32/O$16,0)</f>
        <v/>
      </c>
      <c r="Q32" s="203" t="n">
        <v>58</v>
      </c>
      <c r="R32" s="211">
        <f>IFERROR(Q32/Q$16,0)</f>
        <v/>
      </c>
      <c r="S32" s="203" t="n">
        <v>58</v>
      </c>
      <c r="T32" s="211">
        <f>IFERROR(S32/S$16,0)</f>
        <v/>
      </c>
      <c r="U32" s="203" t="n">
        <v>58</v>
      </c>
      <c r="V32" s="211">
        <f>IFERROR(U32/U$16,0)</f>
        <v/>
      </c>
      <c r="W32" s="203" t="n">
        <v>58</v>
      </c>
      <c r="X32" s="211">
        <f>IFERROR(W32/W$16,0)</f>
        <v/>
      </c>
      <c r="Y32" s="203" t="n">
        <v>58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1631</v>
      </c>
      <c r="D39" s="211">
        <f>IFERROR(C39/C$16,0)</f>
        <v/>
      </c>
      <c r="E39" s="203" t="n">
        <v>1306</v>
      </c>
      <c r="F39" s="211">
        <f>IFERROR(E39/E$16,0)</f>
        <v/>
      </c>
      <c r="G39" s="203" t="n">
        <v>3262</v>
      </c>
      <c r="H39" s="211">
        <f>IFERROR(G39/G$16,0)</f>
        <v/>
      </c>
      <c r="I39" s="203" t="n">
        <v>580</v>
      </c>
      <c r="J39" s="211">
        <f>IFERROR(I39/I$16,0)</f>
        <v/>
      </c>
      <c r="K39" s="203" t="n">
        <v>947</v>
      </c>
      <c r="L39" s="211">
        <f>IFERROR(K39/K$16,0)</f>
        <v/>
      </c>
      <c r="M39" s="203" t="n">
        <v>929</v>
      </c>
      <c r="N39" s="211">
        <f>IFERROR(M39/M$16,0)</f>
        <v/>
      </c>
      <c r="O39" s="203" t="n">
        <v>1262</v>
      </c>
      <c r="P39" s="211">
        <f>IFERROR(O39/O$16,0)</f>
        <v/>
      </c>
      <c r="Q39" s="203" t="n">
        <v>1262</v>
      </c>
      <c r="R39" s="211">
        <f>IFERROR(Q39/Q$16,0)</f>
        <v/>
      </c>
      <c r="S39" s="203" t="n">
        <v>1262</v>
      </c>
      <c r="T39" s="211">
        <f>IFERROR(S39/S$16,0)</f>
        <v/>
      </c>
      <c r="U39" s="203" t="n">
        <v>1262</v>
      </c>
      <c r="V39" s="211">
        <f>IFERROR(U39/U$16,0)</f>
        <v/>
      </c>
      <c r="W39" s="203" t="n">
        <v>1262</v>
      </c>
      <c r="X39" s="211">
        <f>IFERROR(W39/W$16,0)</f>
        <v/>
      </c>
      <c r="Y39" s="203" t="n">
        <v>1262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0</v>
      </c>
      <c r="D40" s="211">
        <f>IFERROR(C40/C$16,0)</f>
        <v/>
      </c>
      <c r="E40" s="203" t="n">
        <v>1112</v>
      </c>
      <c r="F40" s="211">
        <f>IFERROR(E40/E$16,0)</f>
        <v/>
      </c>
      <c r="G40" s="203" t="n">
        <v>256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1445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1445</v>
      </c>
      <c r="P40" s="211">
        <f>IFERROR(O40/O$16,0)</f>
        <v/>
      </c>
      <c r="Q40" s="203" t="n">
        <v>1445</v>
      </c>
      <c r="R40" s="211">
        <f>IFERROR(Q40/Q$16,0)</f>
        <v/>
      </c>
      <c r="S40" s="203" t="n">
        <v>1445</v>
      </c>
      <c r="T40" s="211">
        <f>IFERROR(S40/S$16,0)</f>
        <v/>
      </c>
      <c r="U40" s="203" t="n">
        <v>1445</v>
      </c>
      <c r="V40" s="211">
        <f>IFERROR(U40/U$16,0)</f>
        <v/>
      </c>
      <c r="W40" s="203" t="n">
        <v>1445</v>
      </c>
      <c r="X40" s="211">
        <f>IFERROR(W40/W$16,0)</f>
        <v/>
      </c>
      <c r="Y40" s="203" t="n">
        <v>1445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827</v>
      </c>
      <c r="D41" s="211">
        <f>IFERROR(C41/C$16,0)</f>
        <v/>
      </c>
      <c r="E41" s="203" t="n">
        <v>1090</v>
      </c>
      <c r="F41" s="211">
        <f>IFERROR(E41/E$16,0)</f>
        <v/>
      </c>
      <c r="G41" s="203" t="n">
        <v>1821</v>
      </c>
      <c r="H41" s="211">
        <f>IFERROR(G41/G$16,0)</f>
        <v/>
      </c>
      <c r="I41" s="203" t="n">
        <v>1386</v>
      </c>
      <c r="J41" s="211">
        <f>IFERROR(I41/I$16,0)</f>
        <v/>
      </c>
      <c r="K41" s="203" t="n">
        <v>674</v>
      </c>
      <c r="L41" s="211">
        <f>IFERROR(K41/K$16,0)</f>
        <v/>
      </c>
      <c r="M41" s="203" t="n">
        <v>697</v>
      </c>
      <c r="N41" s="211">
        <f>IFERROR(M41/M$16,0)</f>
        <v/>
      </c>
      <c r="O41" s="203" t="n">
        <v>674</v>
      </c>
      <c r="P41" s="211">
        <f>IFERROR(O41/O$16,0)</f>
        <v/>
      </c>
      <c r="Q41" s="203" t="n">
        <v>674</v>
      </c>
      <c r="R41" s="211">
        <f>IFERROR(Q41/Q$16,0)</f>
        <v/>
      </c>
      <c r="S41" s="203" t="n">
        <v>674</v>
      </c>
      <c r="T41" s="211">
        <f>IFERROR(S41/S$16,0)</f>
        <v/>
      </c>
      <c r="U41" s="203" t="n">
        <v>674</v>
      </c>
      <c r="V41" s="211">
        <f>IFERROR(U41/U$16,0)</f>
        <v/>
      </c>
      <c r="W41" s="203" t="n">
        <v>674</v>
      </c>
      <c r="X41" s="211">
        <f>IFERROR(W41/W$16,0)</f>
        <v/>
      </c>
      <c r="Y41" s="203" t="n">
        <v>674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3621</v>
      </c>
      <c r="D42" s="211">
        <f>IFERROR(C42/C$16,0)</f>
        <v/>
      </c>
      <c r="E42" s="203" t="n">
        <v>3804</v>
      </c>
      <c r="F42" s="211">
        <f>IFERROR(E42/E$16,0)</f>
        <v/>
      </c>
      <c r="G42" s="203" t="n">
        <v>5208</v>
      </c>
      <c r="H42" s="211">
        <f>IFERROR(G42/G$16,0)</f>
        <v/>
      </c>
      <c r="I42" s="203" t="n">
        <v>2705</v>
      </c>
      <c r="J42" s="211">
        <f>IFERROR(I42/I$16,0)</f>
        <v/>
      </c>
      <c r="K42" s="203" t="n">
        <v>4709</v>
      </c>
      <c r="L42" s="211">
        <f>IFERROR(K42/K$16,0)</f>
        <v/>
      </c>
      <c r="M42" s="203" t="n">
        <v>2584</v>
      </c>
      <c r="N42" s="211">
        <f>IFERROR(M42/M$16,0)</f>
        <v/>
      </c>
      <c r="O42" s="203" t="n">
        <v>3340</v>
      </c>
      <c r="P42" s="211">
        <f>IFERROR(O42/O$16,0)</f>
        <v/>
      </c>
      <c r="Q42" s="203" t="n">
        <v>2979</v>
      </c>
      <c r="R42" s="211">
        <f>IFERROR(Q42/Q$16,0)</f>
        <v/>
      </c>
      <c r="S42" s="203" t="n">
        <v>2857</v>
      </c>
      <c r="T42" s="211">
        <f>IFERROR(S42/S$16,0)</f>
        <v/>
      </c>
      <c r="U42" s="203" t="n">
        <v>2748</v>
      </c>
      <c r="V42" s="211">
        <f>IFERROR(U42/U$16,0)</f>
        <v/>
      </c>
      <c r="W42" s="203" t="n">
        <v>2707</v>
      </c>
      <c r="X42" s="211">
        <f>IFERROR(W42/W$16,0)</f>
        <v/>
      </c>
      <c r="Y42" s="203" t="n">
        <v>2718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0</v>
      </c>
      <c r="F43" s="211">
        <f>IFERROR(E43/E$16,0)</f>
        <v/>
      </c>
      <c r="G43" s="203" t="n">
        <v>520</v>
      </c>
      <c r="H43" s="211">
        <f>IFERROR(G43/G$16,0)</f>
        <v/>
      </c>
      <c r="I43" s="203" t="n">
        <v>1875</v>
      </c>
      <c r="J43" s="211">
        <f>IFERROR(I43/I$16,0)</f>
        <v/>
      </c>
      <c r="K43" s="203" t="n">
        <v>0</v>
      </c>
      <c r="L43" s="211">
        <f>IFERROR(K43/K$16,0)</f>
        <v/>
      </c>
      <c r="M43" s="203" t="n">
        <v>0</v>
      </c>
      <c r="N43" s="211">
        <f>IFERROR(M43/M$16,0)</f>
        <v/>
      </c>
      <c r="O43" s="203" t="n">
        <v>0</v>
      </c>
      <c r="P43" s="211">
        <f>IFERROR(O43/O$16,0)</f>
        <v/>
      </c>
      <c r="Q43" s="203" t="n">
        <v>0</v>
      </c>
      <c r="R43" s="211">
        <f>IFERROR(Q43/Q$16,0)</f>
        <v/>
      </c>
      <c r="S43" s="203" t="n">
        <v>0</v>
      </c>
      <c r="T43" s="211">
        <f>IFERROR(S43/S$16,0)</f>
        <v/>
      </c>
      <c r="U43" s="203" t="n">
        <v>0</v>
      </c>
      <c r="V43" s="211">
        <f>IFERROR(U43/U$16,0)</f>
        <v/>
      </c>
      <c r="W43" s="203" t="n">
        <v>0</v>
      </c>
      <c r="X43" s="211">
        <f>IFERROR(W43/W$16,0)</f>
        <v/>
      </c>
      <c r="Y43" s="203" t="n">
        <v>0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479</v>
      </c>
      <c r="D47" s="211">
        <f>IFERROR(C47/C$16,0)</f>
        <v/>
      </c>
      <c r="E47" s="203" t="n">
        <v>433</v>
      </c>
      <c r="F47" s="211">
        <f>IFERROR(E47/E$16,0)</f>
        <v/>
      </c>
      <c r="G47" s="203" t="n">
        <v>479</v>
      </c>
      <c r="H47" s="211">
        <f>IFERROR(G47/G$16,0)</f>
        <v/>
      </c>
      <c r="I47" s="203" t="n">
        <v>464</v>
      </c>
      <c r="J47" s="211">
        <f>IFERROR(I47/I$16,0)</f>
        <v/>
      </c>
      <c r="K47" s="203" t="n">
        <v>479</v>
      </c>
      <c r="L47" s="211">
        <f>IFERROR(K47/K$16,0)</f>
        <v/>
      </c>
      <c r="M47" s="203" t="n">
        <v>479</v>
      </c>
      <c r="N47" s="211">
        <f>IFERROR(M47/M$16,0)</f>
        <v/>
      </c>
      <c r="O47" s="203" t="n">
        <v>479</v>
      </c>
      <c r="P47" s="211">
        <f>IFERROR(O47/O$16,0)</f>
        <v/>
      </c>
      <c r="Q47" s="203" t="n">
        <v>479</v>
      </c>
      <c r="R47" s="211">
        <f>IFERROR(Q47/Q$16,0)</f>
        <v/>
      </c>
      <c r="S47" s="203" t="n">
        <v>479</v>
      </c>
      <c r="T47" s="211">
        <f>IFERROR(S47/S$16,0)</f>
        <v/>
      </c>
      <c r="U47" s="203" t="n">
        <v>479</v>
      </c>
      <c r="V47" s="211">
        <f>IFERROR(U47/U$16,0)</f>
        <v/>
      </c>
      <c r="W47" s="203" t="n">
        <v>479</v>
      </c>
      <c r="X47" s="211">
        <f>IFERROR(W47/W$16,0)</f>
        <v/>
      </c>
      <c r="Y47" s="203" t="n">
        <v>479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2509</v>
      </c>
      <c r="D48" s="211">
        <f>IFERROR(C48/C$16,0)</f>
        <v/>
      </c>
      <c r="E48" s="203" t="n">
        <v>1020</v>
      </c>
      <c r="F48" s="211">
        <f>IFERROR(E48/E$16,0)</f>
        <v/>
      </c>
      <c r="G48" s="203" t="n">
        <v>2388</v>
      </c>
      <c r="H48" s="211">
        <f>IFERROR(G48/G$16,0)</f>
        <v/>
      </c>
      <c r="I48" s="203" t="n">
        <v>735</v>
      </c>
      <c r="J48" s="211">
        <f>IFERROR(I48/I$16,0)</f>
        <v/>
      </c>
      <c r="K48" s="203" t="n">
        <v>2456</v>
      </c>
      <c r="L48" s="211">
        <f>IFERROR(K48/K$16,0)</f>
        <v/>
      </c>
      <c r="M48" s="203" t="n">
        <v>2749</v>
      </c>
      <c r="N48" s="211">
        <f>IFERROR(M48/M$16,0)</f>
        <v/>
      </c>
      <c r="O48" s="203" t="n">
        <v>1984</v>
      </c>
      <c r="P48" s="211">
        <f>IFERROR(O48/O$16,0)</f>
        <v/>
      </c>
      <c r="Q48" s="203" t="n">
        <v>1500</v>
      </c>
      <c r="R48" s="211">
        <f>IFERROR(Q48/Q$16,0)</f>
        <v/>
      </c>
      <c r="S48" s="203" t="n">
        <v>1500</v>
      </c>
      <c r="T48" s="211">
        <f>IFERROR(S48/S$16,0)</f>
        <v/>
      </c>
      <c r="U48" s="203" t="n">
        <v>1200</v>
      </c>
      <c r="V48" s="211">
        <f>IFERROR(U48/U$16,0)</f>
        <v/>
      </c>
      <c r="W48" s="203" t="n">
        <v>1200</v>
      </c>
      <c r="X48" s="211">
        <f>IFERROR(W48/W$16,0)</f>
        <v/>
      </c>
      <c r="Y48" s="203" t="n">
        <v>2100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1669</v>
      </c>
      <c r="D49" s="211">
        <f>IFERROR(C49/C$16,0)</f>
        <v/>
      </c>
      <c r="E49" s="203" t="n">
        <v>223</v>
      </c>
      <c r="F49" s="211">
        <f>IFERROR(E49/E$16,0)</f>
        <v/>
      </c>
      <c r="G49" s="203" t="n">
        <v>627</v>
      </c>
      <c r="H49" s="211">
        <f>IFERROR(G49/G$16,0)</f>
        <v/>
      </c>
      <c r="I49" s="203" t="n">
        <v>-128</v>
      </c>
      <c r="J49" s="211">
        <f>IFERROR(I49/I$16,0)</f>
        <v/>
      </c>
      <c r="K49" s="203" t="n">
        <v>0</v>
      </c>
      <c r="L49" s="211">
        <f>IFERROR(K49/K$16,0)</f>
        <v/>
      </c>
      <c r="M49" s="203" t="n">
        <v>1306</v>
      </c>
      <c r="N49" s="211">
        <f>IFERROR(M49/M$16,0)</f>
        <v/>
      </c>
      <c r="O49" s="203" t="n">
        <v>661</v>
      </c>
      <c r="P49" s="211">
        <f>IFERROR(O49/O$16,0)</f>
        <v/>
      </c>
      <c r="Q49" s="203" t="n">
        <v>500</v>
      </c>
      <c r="R49" s="211">
        <f>IFERROR(Q49/Q$16,0)</f>
        <v/>
      </c>
      <c r="S49" s="203" t="n">
        <v>500</v>
      </c>
      <c r="T49" s="211">
        <f>IFERROR(S49/S$16,0)</f>
        <v/>
      </c>
      <c r="U49" s="203" t="n">
        <v>400</v>
      </c>
      <c r="V49" s="211">
        <f>IFERROR(U49/U$16,0)</f>
        <v/>
      </c>
      <c r="W49" s="203" t="n">
        <v>400</v>
      </c>
      <c r="X49" s="211">
        <f>IFERROR(W49/W$16,0)</f>
        <v/>
      </c>
      <c r="Y49" s="203" t="n">
        <v>700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375</v>
      </c>
      <c r="F62" s="211">
        <f>IFERROR(E62/E$16,0)</f>
        <v/>
      </c>
      <c r="G62" s="203" t="n">
        <v>500</v>
      </c>
      <c r="H62" s="211">
        <f>IFERROR(G62/G$16,0)</f>
        <v/>
      </c>
      <c r="I62" s="203" t="n">
        <v>500</v>
      </c>
      <c r="J62" s="211">
        <f>IFERROR(I62/I$16,0)</f>
        <v/>
      </c>
      <c r="K62" s="203" t="n">
        <v>409</v>
      </c>
      <c r="L62" s="211">
        <f>IFERROR(K62/K$16,0)</f>
        <v/>
      </c>
      <c r="M62" s="203" t="n">
        <v>458</v>
      </c>
      <c r="N62" s="211">
        <f>IFERROR(M62/M$16,0)</f>
        <v/>
      </c>
      <c r="O62" s="203" t="n">
        <v>409</v>
      </c>
      <c r="P62" s="211">
        <f>IFERROR(O62/O$16,0)</f>
        <v/>
      </c>
      <c r="Q62" s="203" t="n">
        <v>409</v>
      </c>
      <c r="R62" s="211">
        <f>IFERROR(Q62/Q$16,0)</f>
        <v/>
      </c>
      <c r="S62" s="203" t="n">
        <v>409</v>
      </c>
      <c r="T62" s="211">
        <f>IFERROR(S62/S$16,0)</f>
        <v/>
      </c>
      <c r="U62" s="203" t="n">
        <v>409</v>
      </c>
      <c r="V62" s="211">
        <f>IFERROR(U62/U$16,0)</f>
        <v/>
      </c>
      <c r="W62" s="203" t="n">
        <v>409</v>
      </c>
      <c r="X62" s="211">
        <f>IFERROR(W62/W$16,0)</f>
        <v/>
      </c>
      <c r="Y62" s="203" t="n">
        <v>409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Summary</t>
        </is>
      </c>
    </row>
    <row r="3" ht="15" customHeight="1" s="180">
      <c r="A3" s="181" t="inlineStr">
        <is>
          <t>2026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Forecast</t>
        </is>
      </c>
      <c r="Q6" s="210" t="inlineStr">
        <is>
          <t>Forecast</t>
        </is>
      </c>
      <c r="S6" s="210" t="inlineStr">
        <is>
          <t>Forecast</t>
        </is>
      </c>
      <c r="U6" s="210" t="inlineStr">
        <is>
          <t>Forecast</t>
        </is>
      </c>
      <c r="W6" s="210" t="inlineStr">
        <is>
          <t>Forecast</t>
        </is>
      </c>
      <c r="Y6" s="210" t="inlineStr">
        <is>
          <t>Forecast</t>
        </is>
      </c>
      <c r="AB6" s="210" t="inlineStr">
        <is>
          <t>Act/For/Bud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8" ht="15" customHeight="1" s="180">
      <c r="A8" s="185" t="inlineStr">
        <is>
          <t>Income</t>
        </is>
      </c>
    </row>
    <row r="9" ht="15" customHeight="1" s="180">
      <c r="A9" s="184" t="inlineStr">
        <is>
          <t>Food Sales</t>
        </is>
      </c>
      <c r="C9" s="203" t="n">
        <v>7659</v>
      </c>
      <c r="D9" s="211">
        <f>IFERROR(C9/C$16,0)</f>
        <v/>
      </c>
      <c r="E9" s="203" t="n">
        <v>9205</v>
      </c>
      <c r="F9" s="211">
        <f>IFERROR(E9/E$16,0)</f>
        <v/>
      </c>
      <c r="G9" s="203" t="n">
        <v>12511</v>
      </c>
      <c r="H9" s="211">
        <f>IFERROR(G9/G$16,0)</f>
        <v/>
      </c>
      <c r="I9" s="203" t="n">
        <v>9497</v>
      </c>
      <c r="J9" s="211">
        <f>IFERROR(I9/I$16,0)</f>
        <v/>
      </c>
      <c r="K9" s="203" t="n">
        <v>10762</v>
      </c>
      <c r="L9" s="211">
        <f>IFERROR(K9/K$16,0)</f>
        <v/>
      </c>
      <c r="M9" s="203" t="n">
        <v>10511</v>
      </c>
      <c r="N9" s="211">
        <f>IFERROR(M9/M$16,0)</f>
        <v/>
      </c>
      <c r="O9" s="203" t="n">
        <v>11085</v>
      </c>
      <c r="P9" s="211">
        <f>IFERROR(O9/O$16,0)</f>
        <v/>
      </c>
      <c r="Q9" s="203" t="n">
        <v>11085</v>
      </c>
      <c r="R9" s="211">
        <f>IFERROR(Q9/Q$16,0)</f>
        <v/>
      </c>
      <c r="S9" s="203" t="n">
        <v>11085</v>
      </c>
      <c r="T9" s="211">
        <f>IFERROR(S9/S$16,0)</f>
        <v/>
      </c>
      <c r="U9" s="203" t="n">
        <v>11085</v>
      </c>
      <c r="V9" s="211">
        <f>IFERROR(U9/U$16,0)</f>
        <v/>
      </c>
      <c r="W9" s="203" t="n">
        <v>11085</v>
      </c>
      <c r="X9" s="211">
        <f>IFERROR(W9/W$16,0)</f>
        <v/>
      </c>
      <c r="Y9" s="203" t="n">
        <v>11085</v>
      </c>
      <c r="Z9" s="211">
        <f>IFERROR(Y9/Y$16,0)</f>
        <v/>
      </c>
      <c r="AB9" s="203">
        <f>SUM(C9,E9,G9,I9,K9,M9,O9,Q9,S9,U9,W9,Y9)</f>
        <v/>
      </c>
      <c r="AC9" s="211">
        <f>IFERROR(AB9/AB$16,0)</f>
        <v/>
      </c>
    </row>
    <row r="10" ht="15" customHeight="1" s="180">
      <c r="A10" s="184" t="inlineStr">
        <is>
          <t>Non-Alcoholic Beverage Sales</t>
        </is>
      </c>
      <c r="C10" s="203" t="n">
        <v>9236</v>
      </c>
      <c r="D10" s="211">
        <f>IFERROR(C10/C$16,0)</f>
        <v/>
      </c>
      <c r="E10" s="203" t="n">
        <v>9081</v>
      </c>
      <c r="F10" s="211">
        <f>IFERROR(E10/E$16,0)</f>
        <v/>
      </c>
      <c r="G10" s="203" t="n">
        <v>13436</v>
      </c>
      <c r="H10" s="211">
        <f>IFERROR(G10/G$16,0)</f>
        <v/>
      </c>
      <c r="I10" s="203" t="n">
        <v>10789</v>
      </c>
      <c r="J10" s="211">
        <f>IFERROR(I10/I$16,0)</f>
        <v/>
      </c>
      <c r="K10" s="203" t="n">
        <v>13103</v>
      </c>
      <c r="L10" s="211">
        <f>IFERROR(K10/K$16,0)</f>
        <v/>
      </c>
      <c r="M10" s="203" t="n">
        <v>14448</v>
      </c>
      <c r="N10" s="211">
        <f>IFERROR(M10/M$16,0)</f>
        <v/>
      </c>
      <c r="O10" s="203" t="n">
        <v>13496</v>
      </c>
      <c r="P10" s="211">
        <f>IFERROR(O10/O$16,0)</f>
        <v/>
      </c>
      <c r="Q10" s="203" t="n">
        <v>13496</v>
      </c>
      <c r="R10" s="211">
        <f>IFERROR(Q10/Q$16,0)</f>
        <v/>
      </c>
      <c r="S10" s="203" t="n">
        <v>13496</v>
      </c>
      <c r="T10" s="211">
        <f>IFERROR(S10/S$16,0)</f>
        <v/>
      </c>
      <c r="U10" s="203" t="n">
        <v>13496</v>
      </c>
      <c r="V10" s="211">
        <f>IFERROR(U10/U$16,0)</f>
        <v/>
      </c>
      <c r="W10" s="203" t="n">
        <v>13496</v>
      </c>
      <c r="X10" s="211">
        <f>IFERROR(W10/W$16,0)</f>
        <v/>
      </c>
      <c r="Y10" s="203" t="n">
        <v>13496</v>
      </c>
      <c r="Z10" s="211">
        <f>IFERROR(Y10/Y$16,0)</f>
        <v/>
      </c>
      <c r="AB10" s="203">
        <f>SUM(C10,E10,G10,I10,K10,M10,O10,Q10,S10,U10,W10,Y10)</f>
        <v/>
      </c>
      <c r="AC10" s="211">
        <f>IFERROR(AB10/AB$16,0)</f>
        <v/>
      </c>
    </row>
    <row r="11" ht="15" customHeight="1" s="180">
      <c r="A11" s="184" t="inlineStr">
        <is>
          <t>Liquor Sales</t>
        </is>
      </c>
      <c r="C11" s="203" t="n">
        <v>800</v>
      </c>
      <c r="D11" s="211">
        <f>IFERROR(C11/C$16,0)</f>
        <v/>
      </c>
      <c r="E11" s="203" t="n">
        <v>295</v>
      </c>
      <c r="F11" s="211">
        <f>IFERROR(E11/E$16,0)</f>
        <v/>
      </c>
      <c r="G11" s="203" t="n">
        <v>1354</v>
      </c>
      <c r="H11" s="211">
        <f>IFERROR(G11/G$16,0)</f>
        <v/>
      </c>
      <c r="I11" s="203" t="n">
        <v>1490</v>
      </c>
      <c r="J11" s="211">
        <f>IFERROR(I11/I$16,0)</f>
        <v/>
      </c>
      <c r="K11" s="203" t="n">
        <v>591</v>
      </c>
      <c r="L11" s="211">
        <f>IFERROR(K11/K$16,0)</f>
        <v/>
      </c>
      <c r="M11" s="203" t="n">
        <v>984</v>
      </c>
      <c r="N11" s="211">
        <f>IFERROR(M11/M$16,0)</f>
        <v/>
      </c>
      <c r="O11" s="203" t="n">
        <v>609</v>
      </c>
      <c r="P11" s="211">
        <f>IFERROR(O11/O$16,0)</f>
        <v/>
      </c>
      <c r="Q11" s="203" t="n">
        <v>609</v>
      </c>
      <c r="R11" s="211">
        <f>IFERROR(Q11/Q$16,0)</f>
        <v/>
      </c>
      <c r="S11" s="203" t="n">
        <v>609</v>
      </c>
      <c r="T11" s="211">
        <f>IFERROR(S11/S$16,0)</f>
        <v/>
      </c>
      <c r="U11" s="203" t="n">
        <v>609</v>
      </c>
      <c r="V11" s="211">
        <f>IFERROR(U11/U$16,0)</f>
        <v/>
      </c>
      <c r="W11" s="203" t="n">
        <v>609</v>
      </c>
      <c r="X11" s="211">
        <f>IFERROR(W11/W$16,0)</f>
        <v/>
      </c>
      <c r="Y11" s="203" t="n">
        <v>609</v>
      </c>
      <c r="Z11" s="211">
        <f>IFERROR(Y11/Y$16,0)</f>
        <v/>
      </c>
      <c r="AB11" s="203">
        <f>SUM(C11,E11,G11,I11,K11,M11,O11,Q11,S11,U11,W11,Y11)</f>
        <v/>
      </c>
      <c r="AC11" s="211">
        <f>IFERROR(AB11/AB$16,0)</f>
        <v/>
      </c>
    </row>
    <row r="12" ht="15" customHeight="1" s="180">
      <c r="A12" s="184" t="inlineStr">
        <is>
          <t>Beer Sales</t>
        </is>
      </c>
      <c r="C12" s="203" t="n">
        <v>54</v>
      </c>
      <c r="D12" s="211">
        <f>IFERROR(C12/C$16,0)</f>
        <v/>
      </c>
      <c r="E12" s="203" t="n">
        <v>240</v>
      </c>
      <c r="F12" s="211">
        <f>IFERROR(E12/E$16,0)</f>
        <v/>
      </c>
      <c r="G12" s="203" t="n">
        <v>174</v>
      </c>
      <c r="H12" s="211">
        <f>IFERROR(G12/G$16,0)</f>
        <v/>
      </c>
      <c r="I12" s="203" t="n">
        <v>333</v>
      </c>
      <c r="J12" s="211">
        <f>IFERROR(I12/I$16,0)</f>
        <v/>
      </c>
      <c r="K12" s="203" t="n">
        <v>597</v>
      </c>
      <c r="L12" s="211">
        <f>IFERROR(K12/K$16,0)</f>
        <v/>
      </c>
      <c r="M12" s="203" t="n">
        <v>743</v>
      </c>
      <c r="N12" s="211">
        <f>IFERROR(M12/M$16,0)</f>
        <v/>
      </c>
      <c r="O12" s="203" t="n">
        <v>615</v>
      </c>
      <c r="P12" s="211">
        <f>IFERROR(O12/O$16,0)</f>
        <v/>
      </c>
      <c r="Q12" s="203" t="n">
        <v>615</v>
      </c>
      <c r="R12" s="211">
        <f>IFERROR(Q12/Q$16,0)</f>
        <v/>
      </c>
      <c r="S12" s="203" t="n">
        <v>615</v>
      </c>
      <c r="T12" s="211">
        <f>IFERROR(S12/S$16,0)</f>
        <v/>
      </c>
      <c r="U12" s="203" t="n">
        <v>615</v>
      </c>
      <c r="V12" s="211">
        <f>IFERROR(U12/U$16,0)</f>
        <v/>
      </c>
      <c r="W12" s="203" t="n">
        <v>615</v>
      </c>
      <c r="X12" s="211">
        <f>IFERROR(W12/W$16,0)</f>
        <v/>
      </c>
      <c r="Y12" s="203" t="n">
        <v>615</v>
      </c>
      <c r="Z12" s="211">
        <f>IFERROR(Y12/Y$16,0)</f>
        <v/>
      </c>
      <c r="AB12" s="203">
        <f>SUM(C12,E12,G12,I12,K12,M12,O12,Q12,S12,U12,W12,Y12)</f>
        <v/>
      </c>
      <c r="AC12" s="211">
        <f>IFERROR(AB12/AB$16,0)</f>
        <v/>
      </c>
    </row>
    <row r="13" ht="15" customHeight="1" s="180">
      <c r="A13" s="184" t="inlineStr">
        <is>
          <t>Wine Sales</t>
        </is>
      </c>
      <c r="C13" s="203" t="n">
        <v>0</v>
      </c>
      <c r="D13" s="211">
        <f>IFERROR(C13/C$16,0)</f>
        <v/>
      </c>
      <c r="E13" s="203" t="n">
        <v>12</v>
      </c>
      <c r="F13" s="211">
        <f>IFERROR(E13/E$16,0)</f>
        <v/>
      </c>
      <c r="G13" s="203" t="n">
        <v>1</v>
      </c>
      <c r="H13" s="211">
        <f>IFERROR(G13/G$16,0)</f>
        <v/>
      </c>
      <c r="I13" s="203" t="n">
        <v>496</v>
      </c>
      <c r="J13" s="211">
        <f>IFERROR(I13/I$16,0)</f>
        <v/>
      </c>
      <c r="K13" s="203" t="n">
        <v>1015</v>
      </c>
      <c r="L13" s="211">
        <f>IFERROR(K13/K$16,0)</f>
        <v/>
      </c>
      <c r="M13" s="203" t="n">
        <v>1101</v>
      </c>
      <c r="N13" s="211">
        <f>IFERROR(M13/M$16,0)</f>
        <v/>
      </c>
      <c r="O13" s="203" t="n">
        <v>1045</v>
      </c>
      <c r="P13" s="211">
        <f>IFERROR(O13/O$16,0)</f>
        <v/>
      </c>
      <c r="Q13" s="203" t="n">
        <v>1045</v>
      </c>
      <c r="R13" s="211">
        <f>IFERROR(Q13/Q$16,0)</f>
        <v/>
      </c>
      <c r="S13" s="203" t="n">
        <v>1045</v>
      </c>
      <c r="T13" s="211">
        <f>IFERROR(S13/S$16,0)</f>
        <v/>
      </c>
      <c r="U13" s="203" t="n">
        <v>1045</v>
      </c>
      <c r="V13" s="211">
        <f>IFERROR(U13/U$16,0)</f>
        <v/>
      </c>
      <c r="W13" s="203" t="n">
        <v>1045</v>
      </c>
      <c r="X13" s="211">
        <f>IFERROR(W13/W$16,0)</f>
        <v/>
      </c>
      <c r="Y13" s="203" t="n">
        <v>1045</v>
      </c>
      <c r="Z13" s="211">
        <f>IFERROR(Y13/Y$16,0)</f>
        <v/>
      </c>
      <c r="AB13" s="203">
        <f>SUM(C13,E13,G13,I13,K13,M13,O13,Q13,S13,U13,W13,Y13)</f>
        <v/>
      </c>
      <c r="AC13" s="211">
        <f>IFERROR(AB13/AB$16,0)</f>
        <v/>
      </c>
    </row>
    <row r="14" ht="15" customHeight="1" s="180">
      <c r="A14" s="184" t="inlineStr">
        <is>
          <t>Other Operating Income</t>
        </is>
      </c>
      <c r="C14" s="203" t="n">
        <v>854</v>
      </c>
      <c r="D14" s="211">
        <f>IFERROR(C14/C$16,0)</f>
        <v/>
      </c>
      <c r="E14" s="203" t="n">
        <v>28</v>
      </c>
      <c r="F14" s="211">
        <f>IFERROR(E14/E$16,0)</f>
        <v/>
      </c>
      <c r="G14" s="203" t="n">
        <v>1473</v>
      </c>
      <c r="H14" s="211">
        <f>IFERROR(G14/G$16,0)</f>
        <v/>
      </c>
      <c r="I14" s="203" t="n">
        <v>664</v>
      </c>
      <c r="J14" s="211">
        <f>IFERROR(I14/I$16,0)</f>
        <v/>
      </c>
      <c r="K14" s="203" t="n">
        <v>330</v>
      </c>
      <c r="L14" s="211">
        <f>IFERROR(K14/K$16,0)</f>
        <v/>
      </c>
      <c r="M14" s="203" t="n">
        <v>259</v>
      </c>
      <c r="N14" s="211">
        <f>IFERROR(M14/M$16,0)</f>
        <v/>
      </c>
      <c r="O14" s="203" t="n">
        <v>340</v>
      </c>
      <c r="P14" s="211">
        <f>IFERROR(O14/O$16,0)</f>
        <v/>
      </c>
      <c r="Q14" s="203" t="n">
        <v>340</v>
      </c>
      <c r="R14" s="211">
        <f>IFERROR(Q14/Q$16,0)</f>
        <v/>
      </c>
      <c r="S14" s="203" t="n">
        <v>340</v>
      </c>
      <c r="T14" s="211">
        <f>IFERROR(S14/S$16,0)</f>
        <v/>
      </c>
      <c r="U14" s="203" t="n">
        <v>340</v>
      </c>
      <c r="V14" s="211">
        <f>IFERROR(U14/U$16,0)</f>
        <v/>
      </c>
      <c r="W14" s="203" t="n">
        <v>340</v>
      </c>
      <c r="X14" s="211">
        <f>IFERROR(W14/W$16,0)</f>
        <v/>
      </c>
      <c r="Y14" s="203" t="n">
        <v>340</v>
      </c>
      <c r="Z14" s="211">
        <f>IFERROR(Y14/Y$16,0)</f>
        <v/>
      </c>
      <c r="AB14" s="203">
        <f>SUM(C14,E14,G14,I14,K14,M14,O14,Q14,S14,U14,W14,Y14)</f>
        <v/>
      </c>
      <c r="AC14" s="211">
        <f>IFERROR(AB14/AB$16,0)</f>
        <v/>
      </c>
    </row>
    <row r="15" ht="15" customHeight="1" s="180">
      <c r="A15" s="184" t="inlineStr">
        <is>
          <t>Discounts &amp; Comps</t>
        </is>
      </c>
      <c r="C15" s="203" t="n">
        <v>-731</v>
      </c>
      <c r="D15" s="211">
        <f>IFERROR(C15/C$16,0)</f>
        <v/>
      </c>
      <c r="E15" s="203" t="n">
        <v>-1024</v>
      </c>
      <c r="F15" s="211">
        <f>IFERROR(E15/E$16,0)</f>
        <v/>
      </c>
      <c r="G15" s="203" t="n">
        <v>-2497</v>
      </c>
      <c r="H15" s="211">
        <f>IFERROR(G15/G$16,0)</f>
        <v/>
      </c>
      <c r="I15" s="203" t="n">
        <v>-2688</v>
      </c>
      <c r="J15" s="211">
        <f>IFERROR(I15/I$16,0)</f>
        <v/>
      </c>
      <c r="K15" s="203" t="n">
        <v>-1521</v>
      </c>
      <c r="L15" s="211">
        <f>IFERROR(K15/K$16,0)</f>
        <v/>
      </c>
      <c r="M15" s="203" t="n">
        <v>-987</v>
      </c>
      <c r="N15" s="211">
        <f>IFERROR(M15/M$16,0)</f>
        <v/>
      </c>
      <c r="O15" s="203" t="n">
        <v>-1521</v>
      </c>
      <c r="P15" s="211">
        <f>IFERROR(O15/O$16,0)</f>
        <v/>
      </c>
      <c r="Q15" s="203" t="n">
        <v>-1521</v>
      </c>
      <c r="R15" s="211">
        <f>IFERROR(Q15/Q$16,0)</f>
        <v/>
      </c>
      <c r="S15" s="203" t="n">
        <v>-1521</v>
      </c>
      <c r="T15" s="211">
        <f>IFERROR(S15/S$16,0)</f>
        <v/>
      </c>
      <c r="U15" s="203" t="n">
        <v>-1521</v>
      </c>
      <c r="V15" s="211">
        <f>IFERROR(U15/U$16,0)</f>
        <v/>
      </c>
      <c r="W15" s="203" t="n">
        <v>-1521</v>
      </c>
      <c r="X15" s="211">
        <f>IFERROR(W15/W$16,0)</f>
        <v/>
      </c>
      <c r="Y15" s="203" t="n">
        <v>-1521</v>
      </c>
      <c r="Z15" s="211">
        <f>IFERROR(Y15/Y$16,0)</f>
        <v/>
      </c>
      <c r="AB15" s="203">
        <f>SUM(C15,E15,G15,I15,K15,M15,O15,Q15,S15,U15,W15,Y15)</f>
        <v/>
      </c>
      <c r="AC15" s="211">
        <f>IFERROR(AB15/AB$16,0)</f>
        <v/>
      </c>
    </row>
    <row r="16" ht="15" customHeight="1" s="180">
      <c r="A16" s="185" t="inlineStr">
        <is>
          <t>Total Income</t>
        </is>
      </c>
      <c r="C16" s="206">
        <f>SUM(C9:C15)</f>
        <v/>
      </c>
      <c r="D16" s="212">
        <f>IFERROR(C16/C$16,0)</f>
        <v/>
      </c>
      <c r="E16" s="206">
        <f>SUM(E9:E15)</f>
        <v/>
      </c>
      <c r="F16" s="212">
        <f>IFERROR(E16/E$16,0)</f>
        <v/>
      </c>
      <c r="G16" s="206">
        <f>SUM(G9:G15)</f>
        <v/>
      </c>
      <c r="H16" s="212">
        <f>IFERROR(G16/G$16,0)</f>
        <v/>
      </c>
      <c r="I16" s="206">
        <f>SUM(I9:I15)</f>
        <v/>
      </c>
      <c r="J16" s="212">
        <f>IFERROR(I16/I$16,0)</f>
        <v/>
      </c>
      <c r="K16" s="206">
        <f>SUM(K9:K15)</f>
        <v/>
      </c>
      <c r="L16" s="212">
        <f>IFERROR(K16/K$16,0)</f>
        <v/>
      </c>
      <c r="M16" s="206">
        <f>SUM(M9:M15)</f>
        <v/>
      </c>
      <c r="N16" s="212">
        <f>IFERROR(M16/M$16,0)</f>
        <v/>
      </c>
      <c r="O16" s="206">
        <f>SUM(O9:O15)</f>
        <v/>
      </c>
      <c r="P16" s="212">
        <f>IFERROR(O16/O$16,0)</f>
        <v/>
      </c>
      <c r="Q16" s="206">
        <f>SUM(Q9:Q15)</f>
        <v/>
      </c>
      <c r="R16" s="212">
        <f>IFERROR(Q16/Q$16,0)</f>
        <v/>
      </c>
      <c r="S16" s="206">
        <f>SUM(S9:S15)</f>
        <v/>
      </c>
      <c r="T16" s="212">
        <f>IFERROR(S16/S$16,0)</f>
        <v/>
      </c>
      <c r="U16" s="206">
        <f>SUM(U9:U15)</f>
        <v/>
      </c>
      <c r="V16" s="212">
        <f>IFERROR(U16/U$16,0)</f>
        <v/>
      </c>
      <c r="W16" s="206">
        <f>SUM(W9:W15)</f>
        <v/>
      </c>
      <c r="X16" s="212">
        <f>IFERROR(W16/W$16,0)</f>
        <v/>
      </c>
      <c r="Y16" s="206">
        <f>SUM(Y9:Y15)</f>
        <v/>
      </c>
      <c r="Z16" s="212">
        <f>IFERROR(Y16/Y$16,0)</f>
        <v/>
      </c>
      <c r="AB16" s="206">
        <f>SUM(AB9:AB15)</f>
        <v/>
      </c>
      <c r="AC16" s="212">
        <f>IFERROR(AB16/AB$16,0)</f>
        <v/>
      </c>
    </row>
    <row r="18" ht="15" customHeight="1" s="180">
      <c r="A18" s="185" t="inlineStr">
        <is>
          <t>Cost of Goods Sold</t>
        </is>
      </c>
    </row>
    <row r="19" ht="15" customHeight="1" s="180">
      <c r="A19" s="184" t="inlineStr">
        <is>
          <t>Food Cost</t>
        </is>
      </c>
      <c r="C19" s="203" t="n">
        <v>1608</v>
      </c>
      <c r="D19" s="211">
        <f>IFERROR(C19/C$9,0)</f>
        <v/>
      </c>
      <c r="E19" s="203" t="n">
        <v>2865</v>
      </c>
      <c r="F19" s="211">
        <f>IFERROR(E19/E$9,0)</f>
        <v/>
      </c>
      <c r="G19" s="203" t="n">
        <v>4719</v>
      </c>
      <c r="H19" s="211">
        <f>IFERROR(G19/G$9,0)</f>
        <v/>
      </c>
      <c r="I19" s="203" t="n">
        <v>3179</v>
      </c>
      <c r="J19" s="211">
        <f>IFERROR(I19/I$9,0)</f>
        <v/>
      </c>
      <c r="K19" s="203" t="n">
        <v>7902</v>
      </c>
      <c r="L19" s="211">
        <f>IFERROR(K19/K$9,0)</f>
        <v/>
      </c>
      <c r="M19" s="203" t="n">
        <v>7534</v>
      </c>
      <c r="N19" s="211">
        <f>IFERROR(M19/M$9,0)</f>
        <v/>
      </c>
      <c r="O19" s="203" t="n">
        <v>5809</v>
      </c>
      <c r="P19" s="211">
        <f>IFERROR(O19/O$9,0)</f>
        <v/>
      </c>
      <c r="Q19" s="203" t="n">
        <v>6414</v>
      </c>
      <c r="R19" s="211">
        <f>IFERROR(Q19/Q$9,0)</f>
        <v/>
      </c>
      <c r="S19" s="203" t="n">
        <v>5856</v>
      </c>
      <c r="T19" s="211">
        <f>IFERROR(S19/S$9,0)</f>
        <v/>
      </c>
      <c r="U19" s="203" t="n">
        <v>6026</v>
      </c>
      <c r="V19" s="211">
        <f>IFERROR(U19/U$9,0)</f>
        <v/>
      </c>
      <c r="W19" s="203" t="n">
        <v>6099</v>
      </c>
      <c r="X19" s="211">
        <f>IFERROR(W19/W$9,0)</f>
        <v/>
      </c>
      <c r="Y19" s="203" t="n">
        <v>5994</v>
      </c>
      <c r="Z19" s="211">
        <f>IFERROR(Y19/Y$9,0)</f>
        <v/>
      </c>
      <c r="AB19" s="203">
        <f>SUM(C19,E19,G19,I19,K19,M19,O19,Q19,S19,U19,W19,Y19)</f>
        <v/>
      </c>
      <c r="AC19" s="211">
        <f>IFERROR(AB19/AB$9,0)</f>
        <v/>
      </c>
    </row>
    <row r="20" ht="15" customHeight="1" s="180">
      <c r="A20" s="184" t="inlineStr">
        <is>
          <t>Non-Alcoholic Beverage Cost</t>
        </is>
      </c>
      <c r="C20" s="203" t="n">
        <v>1549</v>
      </c>
      <c r="D20" s="211">
        <f>IFERROR(C20/C$10,0)</f>
        <v/>
      </c>
      <c r="E20" s="203" t="n">
        <v>2446</v>
      </c>
      <c r="F20" s="211">
        <f>IFERROR(E20/E$10,0)</f>
        <v/>
      </c>
      <c r="G20" s="203" t="n">
        <v>2186</v>
      </c>
      <c r="H20" s="211">
        <f>IFERROR(G20/G$10,0)</f>
        <v/>
      </c>
      <c r="I20" s="203" t="n">
        <v>2267</v>
      </c>
      <c r="J20" s="211">
        <f>IFERROR(I20/I$10,0)</f>
        <v/>
      </c>
      <c r="K20" s="203" t="n">
        <v>2981</v>
      </c>
      <c r="L20" s="211">
        <f>IFERROR(K20/K$10,0)</f>
        <v/>
      </c>
      <c r="M20" s="203" t="n">
        <v>3628</v>
      </c>
      <c r="N20" s="211">
        <f>IFERROR(M20/M$10,0)</f>
        <v/>
      </c>
      <c r="O20" s="203" t="n">
        <v>2865</v>
      </c>
      <c r="P20" s="211">
        <f>IFERROR(O20/O$10,0)</f>
        <v/>
      </c>
      <c r="Q20" s="203" t="n">
        <v>2873</v>
      </c>
      <c r="R20" s="211">
        <f>IFERROR(Q20/Q$10,0)</f>
        <v/>
      </c>
      <c r="S20" s="203" t="n">
        <v>2808</v>
      </c>
      <c r="T20" s="211">
        <f>IFERROR(S20/S$10,0)</f>
        <v/>
      </c>
      <c r="U20" s="203" t="n">
        <v>2849</v>
      </c>
      <c r="V20" s="211">
        <f>IFERROR(U20/U$10,0)</f>
        <v/>
      </c>
      <c r="W20" s="203" t="n">
        <v>2843</v>
      </c>
      <c r="X20" s="211">
        <f>IFERROR(W20/W$10,0)</f>
        <v/>
      </c>
      <c r="Y20" s="203" t="n">
        <v>2833</v>
      </c>
      <c r="Z20" s="211">
        <f>IFERROR(Y20/Y$10,0)</f>
        <v/>
      </c>
      <c r="AB20" s="203">
        <f>SUM(C20,E20,G20,I20,K20,M20,O20,Q20,S20,U20,W20,Y20)</f>
        <v/>
      </c>
      <c r="AC20" s="211">
        <f>IFERROR(AB20/AB$10,0)</f>
        <v/>
      </c>
    </row>
    <row r="21" ht="15" customHeight="1" s="180">
      <c r="A21" s="184" t="inlineStr">
        <is>
          <t>Liquor Cost</t>
        </is>
      </c>
      <c r="C21" s="203" t="n">
        <v>294</v>
      </c>
      <c r="D21" s="211">
        <f>IFERROR(C21/C$11,0)</f>
        <v/>
      </c>
      <c r="E21" s="203" t="n">
        <v>111</v>
      </c>
      <c r="F21" s="211">
        <f>IFERROR(E21/E$11,0)</f>
        <v/>
      </c>
      <c r="G21" s="203" t="n">
        <v>235</v>
      </c>
      <c r="H21" s="211">
        <f>IFERROR(G21/G$11,0)</f>
        <v/>
      </c>
      <c r="I21" s="203" t="n">
        <v>238</v>
      </c>
      <c r="J21" s="211">
        <f>IFERROR(I21/I$11,0)</f>
        <v/>
      </c>
      <c r="K21" s="203" t="n">
        <v>22</v>
      </c>
      <c r="L21" s="211">
        <f>IFERROR(K21/K$11,0)</f>
        <v/>
      </c>
      <c r="M21" s="203" t="n">
        <v>1711</v>
      </c>
      <c r="N21" s="211">
        <f>IFERROR(M21/M$11,0)</f>
        <v/>
      </c>
      <c r="O21" s="203" t="n">
        <v>91</v>
      </c>
      <c r="P21" s="211">
        <f>IFERROR(O21/O$11,0)</f>
        <v/>
      </c>
      <c r="Q21" s="203" t="n">
        <v>67</v>
      </c>
      <c r="R21" s="211">
        <f>IFERROR(Q21/Q$11,0)</f>
        <v/>
      </c>
      <c r="S21" s="203" t="n">
        <v>82</v>
      </c>
      <c r="T21" s="211">
        <f>IFERROR(S21/S$11,0)</f>
        <v/>
      </c>
      <c r="U21" s="203" t="n">
        <v>80</v>
      </c>
      <c r="V21" s="211">
        <f>IFERROR(U21/U$11,0)</f>
        <v/>
      </c>
      <c r="W21" s="203" t="n">
        <v>76</v>
      </c>
      <c r="X21" s="211">
        <f>IFERROR(W21/W$11,0)</f>
        <v/>
      </c>
      <c r="Y21" s="203" t="n">
        <v>79</v>
      </c>
      <c r="Z21" s="211">
        <f>IFERROR(Y21/Y$11,0)</f>
        <v/>
      </c>
      <c r="AB21" s="203">
        <f>SUM(C21,E21,G21,I21,K21,M21,O21,Q21,S21,U21,W21,Y21)</f>
        <v/>
      </c>
      <c r="AC21" s="211">
        <f>IFERROR(AB21/AB$11,0)</f>
        <v/>
      </c>
    </row>
    <row r="22" ht="15" customHeight="1" s="180">
      <c r="A22" s="184" t="inlineStr">
        <is>
          <t>Beer Cost</t>
        </is>
      </c>
      <c r="C22" s="203" t="n">
        <v>82</v>
      </c>
      <c r="D22" s="211">
        <f>IFERROR(C22/C$12,0)</f>
        <v/>
      </c>
      <c r="E22" s="203" t="n">
        <v>153</v>
      </c>
      <c r="F22" s="211">
        <f>IFERROR(E22/E$12,0)</f>
        <v/>
      </c>
      <c r="G22" s="203" t="n">
        <v>43</v>
      </c>
      <c r="H22" s="211">
        <f>IFERROR(G22/G$12,0)</f>
        <v/>
      </c>
      <c r="I22" s="203" t="n">
        <v>86</v>
      </c>
      <c r="J22" s="211">
        <f>IFERROR(I22/I$12,0)</f>
        <v/>
      </c>
      <c r="K22" s="203" t="n">
        <v>176</v>
      </c>
      <c r="L22" s="211">
        <f>IFERROR(K22/K$12,0)</f>
        <v/>
      </c>
      <c r="M22" s="203" t="n">
        <v>146</v>
      </c>
      <c r="N22" s="211">
        <f>IFERROR(M22/M$12,0)</f>
        <v/>
      </c>
      <c r="O22" s="203" t="n">
        <v>172</v>
      </c>
      <c r="P22" s="211">
        <f>IFERROR(O22/O$12,0)</f>
        <v/>
      </c>
      <c r="Q22" s="203" t="n">
        <v>174</v>
      </c>
      <c r="R22" s="211">
        <f>IFERROR(Q22/Q$12,0)</f>
        <v/>
      </c>
      <c r="S22" s="203" t="n">
        <v>172</v>
      </c>
      <c r="T22" s="211">
        <f>IFERROR(S22/S$12,0)</f>
        <v/>
      </c>
      <c r="U22" s="203" t="n">
        <v>172</v>
      </c>
      <c r="V22" s="211">
        <f>IFERROR(U22/U$12,0)</f>
        <v/>
      </c>
      <c r="W22" s="203" t="n">
        <v>173</v>
      </c>
      <c r="X22" s="211">
        <f>IFERROR(W22/W$12,0)</f>
        <v/>
      </c>
      <c r="Y22" s="203" t="n">
        <v>172</v>
      </c>
      <c r="Z22" s="211">
        <f>IFERROR(Y22/Y$12,0)</f>
        <v/>
      </c>
      <c r="AB22" s="203">
        <f>SUM(C22,E22,G22,I22,K22,M22,O22,Q22,S22,U22,W22,Y22)</f>
        <v/>
      </c>
      <c r="AC22" s="211">
        <f>IFERROR(AB22/AB$12,0)</f>
        <v/>
      </c>
    </row>
    <row r="23" ht="15" customHeight="1" s="180">
      <c r="A23" s="184" t="inlineStr">
        <is>
          <t>Wine/Sake Cost</t>
        </is>
      </c>
      <c r="C23" s="203" t="n">
        <v>301</v>
      </c>
      <c r="D23" s="211">
        <f>IFERROR(C23/C$13,0)</f>
        <v/>
      </c>
      <c r="E23" s="203" t="n">
        <v>0</v>
      </c>
      <c r="F23" s="211">
        <f>IFERROR(E23/E$13,0)</f>
        <v/>
      </c>
      <c r="G23" s="203" t="n">
        <v>0</v>
      </c>
      <c r="H23" s="211">
        <f>IFERROR(G23/G$13,0)</f>
        <v/>
      </c>
      <c r="I23" s="203" t="n">
        <v>268</v>
      </c>
      <c r="J23" s="211">
        <f>IFERROR(I23/I$13,0)</f>
        <v/>
      </c>
      <c r="K23" s="203" t="n">
        <v>290</v>
      </c>
      <c r="L23" s="211">
        <f>IFERROR(K23/K$13,0)</f>
        <v/>
      </c>
      <c r="M23" s="203" t="n">
        <v>595</v>
      </c>
      <c r="N23" s="211">
        <f>IFERROR(M23/M$13,0)</f>
        <v/>
      </c>
      <c r="O23" s="203" t="n">
        <v>386</v>
      </c>
      <c r="P23" s="211">
        <f>IFERROR(O23/O$13,0)</f>
        <v/>
      </c>
      <c r="Q23" s="203" t="n">
        <v>358</v>
      </c>
      <c r="R23" s="211">
        <f>IFERROR(Q23/Q$13,0)</f>
        <v/>
      </c>
      <c r="S23" s="203" t="n">
        <v>377</v>
      </c>
      <c r="T23" s="211">
        <f>IFERROR(S23/S$13,0)</f>
        <v/>
      </c>
      <c r="U23" s="203" t="n">
        <v>373</v>
      </c>
      <c r="V23" s="211">
        <f>IFERROR(U23/U$13,0)</f>
        <v/>
      </c>
      <c r="W23" s="203" t="n">
        <v>369</v>
      </c>
      <c r="X23" s="211">
        <f>IFERROR(W23/W$13,0)</f>
        <v/>
      </c>
      <c r="Y23" s="203" t="n">
        <v>373</v>
      </c>
      <c r="Z23" s="211">
        <f>IFERROR(Y23/Y$13,0)</f>
        <v/>
      </c>
      <c r="AB23" s="203">
        <f>SUM(C23,E23,G23,I23,K23,M23,O23,Q23,S23,U23,W23,Y23)</f>
        <v/>
      </c>
      <c r="AC23" s="211">
        <f>IFERROR(AB23/AB$13,0)</f>
        <v/>
      </c>
    </row>
    <row r="24" ht="15" customHeight="1" s="180">
      <c r="A24" s="185" t="inlineStr">
        <is>
          <t>Total COGS</t>
        </is>
      </c>
      <c r="C24" s="206">
        <f>SUM(C19:C23)</f>
        <v/>
      </c>
      <c r="D24" s="212">
        <f>IFERROR(C24/C$16,0)</f>
        <v/>
      </c>
      <c r="E24" s="206">
        <f>SUM(E19:E23)</f>
        <v/>
      </c>
      <c r="F24" s="212">
        <f>IFERROR(E24/E$16,0)</f>
        <v/>
      </c>
      <c r="G24" s="206">
        <f>SUM(G19:G23)</f>
        <v/>
      </c>
      <c r="H24" s="212">
        <f>IFERROR(G24/G$16,0)</f>
        <v/>
      </c>
      <c r="I24" s="206">
        <f>SUM(I19:I23)</f>
        <v/>
      </c>
      <c r="J24" s="212">
        <f>IFERROR(I24/I$16,0)</f>
        <v/>
      </c>
      <c r="K24" s="206">
        <f>SUM(K19:K23)</f>
        <v/>
      </c>
      <c r="L24" s="212">
        <f>IFERROR(K24/K$16,0)</f>
        <v/>
      </c>
      <c r="M24" s="206">
        <f>SUM(M19:M23)</f>
        <v/>
      </c>
      <c r="N24" s="212">
        <f>IFERROR(M24/M$16,0)</f>
        <v/>
      </c>
      <c r="O24" s="206">
        <f>SUM(O19:O23)</f>
        <v/>
      </c>
      <c r="P24" s="212">
        <f>IFERROR(O24/O$16,0)</f>
        <v/>
      </c>
      <c r="Q24" s="206">
        <f>SUM(Q19:Q23)</f>
        <v/>
      </c>
      <c r="R24" s="212">
        <f>IFERROR(Q24/Q$16,0)</f>
        <v/>
      </c>
      <c r="S24" s="206">
        <f>SUM(S19:S23)</f>
        <v/>
      </c>
      <c r="T24" s="212">
        <f>IFERROR(S24/S$16,0)</f>
        <v/>
      </c>
      <c r="U24" s="206">
        <f>SUM(U19:U23)</f>
        <v/>
      </c>
      <c r="V24" s="212">
        <f>IFERROR(U24/U$16,0)</f>
        <v/>
      </c>
      <c r="W24" s="206">
        <f>SUM(W19:W23)</f>
        <v/>
      </c>
      <c r="X24" s="212">
        <f>IFERROR(W24/W$16,0)</f>
        <v/>
      </c>
      <c r="Y24" s="206">
        <f>SUM(Y19:Y23)</f>
        <v/>
      </c>
      <c r="Z24" s="212">
        <f>IFERROR(Y24/Y$16,0)</f>
        <v/>
      </c>
      <c r="AB24" s="206">
        <f>SUM(AB19:AB23)</f>
        <v/>
      </c>
      <c r="AC24" s="212">
        <f>IFERROR(AB24/AB$16,0)</f>
        <v/>
      </c>
    </row>
    <row r="25" ht="15" customHeight="1" s="180">
      <c r="A25" s="185" t="inlineStr">
        <is>
          <t>Gross Profit</t>
        </is>
      </c>
      <c r="C25" s="186">
        <f>C16-C24</f>
        <v/>
      </c>
      <c r="D25" s="187">
        <f>IFERROR(C25/C$16,0)</f>
        <v/>
      </c>
      <c r="E25" s="186">
        <f>E16-E24</f>
        <v/>
      </c>
      <c r="F25" s="187">
        <f>IFERROR(E25/E$16,0)</f>
        <v/>
      </c>
      <c r="G25" s="186">
        <f>G16-G24</f>
        <v/>
      </c>
      <c r="H25" s="187">
        <f>IFERROR(G25/G$16,0)</f>
        <v/>
      </c>
      <c r="I25" s="186">
        <f>I16-I24</f>
        <v/>
      </c>
      <c r="J25" s="187">
        <f>IFERROR(I25/I$16,0)</f>
        <v/>
      </c>
      <c r="K25" s="186">
        <f>K16-K24</f>
        <v/>
      </c>
      <c r="L25" s="187">
        <f>IFERROR(K25/K$16,0)</f>
        <v/>
      </c>
      <c r="M25" s="186">
        <f>M16-M24</f>
        <v/>
      </c>
      <c r="N25" s="187">
        <f>IFERROR(M25/M$16,0)</f>
        <v/>
      </c>
      <c r="O25" s="186">
        <f>O16-O24</f>
        <v/>
      </c>
      <c r="P25" s="187">
        <f>IFERROR(O25/O$16,0)</f>
        <v/>
      </c>
      <c r="Q25" s="186">
        <f>Q16-Q24</f>
        <v/>
      </c>
      <c r="R25" s="187">
        <f>IFERROR(Q25/Q$16,0)</f>
        <v/>
      </c>
      <c r="S25" s="186">
        <f>S16-S24</f>
        <v/>
      </c>
      <c r="T25" s="187">
        <f>IFERROR(S25/S$16,0)</f>
        <v/>
      </c>
      <c r="U25" s="186">
        <f>U16-U24</f>
        <v/>
      </c>
      <c r="V25" s="187">
        <f>IFERROR(U25/U$16,0)</f>
        <v/>
      </c>
      <c r="W25" s="186">
        <f>W16-W24</f>
        <v/>
      </c>
      <c r="X25" s="187">
        <f>IFERROR(W25/W$16,0)</f>
        <v/>
      </c>
      <c r="Y25" s="186">
        <f>Y16-Y24</f>
        <v/>
      </c>
      <c r="Z25" s="187">
        <f>IFERROR(Y25/Y$16,0)</f>
        <v/>
      </c>
      <c r="AB25" s="186">
        <f>AB16-AB24</f>
        <v/>
      </c>
      <c r="AC25" s="187">
        <f>IFERROR(AB25/AB$16,0)</f>
        <v/>
      </c>
    </row>
    <row r="27" ht="15" customHeight="1" s="180">
      <c r="A27" s="185" t="inlineStr">
        <is>
          <t>Labor Cost</t>
        </is>
      </c>
    </row>
    <row r="28" ht="15" customHeight="1" s="180">
      <c r="A28" s="184" t="inlineStr">
        <is>
          <t>Management Labor</t>
        </is>
      </c>
      <c r="C28" s="203" t="n">
        <v>1230</v>
      </c>
      <c r="D28" s="211">
        <f>IFERROR(C28/C$16,0)</f>
        <v/>
      </c>
      <c r="E28" s="203" t="n">
        <v>479</v>
      </c>
      <c r="F28" s="211">
        <f>IFERROR(E28/E$16,0)</f>
        <v/>
      </c>
      <c r="G28" s="203" t="n">
        <v>868</v>
      </c>
      <c r="H28" s="211">
        <f>IFERROR(G28/G$16,0)</f>
        <v/>
      </c>
      <c r="I28" s="203" t="n">
        <v>1132</v>
      </c>
      <c r="J28" s="211">
        <f>IFERROR(I28/I$16,0)</f>
        <v/>
      </c>
      <c r="K28" s="203" t="n">
        <v>1657</v>
      </c>
      <c r="L28" s="211">
        <f>IFERROR(K28/K$16,0)</f>
        <v/>
      </c>
      <c r="M28" s="203" t="n">
        <v>1377</v>
      </c>
      <c r="N28" s="211">
        <f>IFERROR(M28/M$16,0)</f>
        <v/>
      </c>
      <c r="O28" s="203" t="n">
        <v>1657</v>
      </c>
      <c r="P28" s="211">
        <f>IFERROR(O28/O$16,0)</f>
        <v/>
      </c>
      <c r="Q28" s="203" t="n">
        <v>1657</v>
      </c>
      <c r="R28" s="211">
        <f>IFERROR(Q28/Q$16,0)</f>
        <v/>
      </c>
      <c r="S28" s="203" t="n">
        <v>1657</v>
      </c>
      <c r="T28" s="211">
        <f>IFERROR(S28/S$16,0)</f>
        <v/>
      </c>
      <c r="U28" s="203" t="n">
        <v>1657</v>
      </c>
      <c r="V28" s="211">
        <f>IFERROR(U28/U$16,0)</f>
        <v/>
      </c>
      <c r="W28" s="203" t="n">
        <v>1657</v>
      </c>
      <c r="X28" s="211">
        <f>IFERROR(W28/W$16,0)</f>
        <v/>
      </c>
      <c r="Y28" s="203" t="n">
        <v>1657</v>
      </c>
      <c r="Z28" s="211">
        <f>IFERROR(Y28/Y$16,0)</f>
        <v/>
      </c>
      <c r="AB28" s="203">
        <f>SUM(C28,E28,G28,I28,K28,M28,O28,Q28,S28,U28,W28,Y28)</f>
        <v/>
      </c>
      <c r="AC28" s="211">
        <f>IFERROR(AB28/AB$16,0)</f>
        <v/>
      </c>
    </row>
    <row r="29" ht="15" customHeight="1" s="180">
      <c r="A29" s="184" t="inlineStr">
        <is>
          <t>Back of House Hourly Labor</t>
        </is>
      </c>
      <c r="C29" s="203" t="n">
        <v>2558</v>
      </c>
      <c r="D29" s="211">
        <f>IFERROR(C29/C$16,0)</f>
        <v/>
      </c>
      <c r="E29" s="203" t="n">
        <v>2016</v>
      </c>
      <c r="F29" s="211">
        <f>IFERROR(E29/E$16,0)</f>
        <v/>
      </c>
      <c r="G29" s="203" t="n">
        <v>2550</v>
      </c>
      <c r="H29" s="211">
        <f>IFERROR(G29/G$16,0)</f>
        <v/>
      </c>
      <c r="I29" s="203" t="n">
        <v>3413</v>
      </c>
      <c r="J29" s="211">
        <f>IFERROR(I29/I$16,0)</f>
        <v/>
      </c>
      <c r="K29" s="203" t="n">
        <v>2266</v>
      </c>
      <c r="L29" s="211">
        <f>IFERROR(K29/K$16,0)</f>
        <v/>
      </c>
      <c r="M29" s="203" t="n">
        <v>2637</v>
      </c>
      <c r="N29" s="211">
        <f>IFERROR(M29/M$16,0)</f>
        <v/>
      </c>
      <c r="O29" s="203" t="n">
        <v>2266</v>
      </c>
      <c r="P29" s="211">
        <f>IFERROR(O29/O$16,0)</f>
        <v/>
      </c>
      <c r="Q29" s="203" t="n">
        <v>2266</v>
      </c>
      <c r="R29" s="211">
        <f>IFERROR(Q29/Q$16,0)</f>
        <v/>
      </c>
      <c r="S29" s="203" t="n">
        <v>2266</v>
      </c>
      <c r="T29" s="211">
        <f>IFERROR(S29/S$16,0)</f>
        <v/>
      </c>
      <c r="U29" s="203" t="n">
        <v>2266</v>
      </c>
      <c r="V29" s="211">
        <f>IFERROR(U29/U$16,0)</f>
        <v/>
      </c>
      <c r="W29" s="203" t="n">
        <v>2266</v>
      </c>
      <c r="X29" s="211">
        <f>IFERROR(W29/W$16,0)</f>
        <v/>
      </c>
      <c r="Y29" s="203" t="n">
        <v>2266</v>
      </c>
      <c r="Z29" s="211">
        <f>IFERROR(Y29/Y$16,0)</f>
        <v/>
      </c>
      <c r="AB29" s="203">
        <f>SUM(C29,E29,G29,I29,K29,M29,O29,Q29,S29,U29,W29,Y29)</f>
        <v/>
      </c>
      <c r="AC29" s="211">
        <f>IFERROR(AB29/AB$16,0)</f>
        <v/>
      </c>
    </row>
    <row r="30" ht="15" customHeight="1" s="180">
      <c r="A30" s="184" t="inlineStr">
        <is>
          <t>Front of House Hourly Labor</t>
        </is>
      </c>
      <c r="C30" s="203" t="n">
        <v>10115</v>
      </c>
      <c r="D30" s="211">
        <f>IFERROR(C30/C$16,0)</f>
        <v/>
      </c>
      <c r="E30" s="203" t="n">
        <v>8428</v>
      </c>
      <c r="F30" s="211">
        <f>IFERROR(E30/E$16,0)</f>
        <v/>
      </c>
      <c r="G30" s="203" t="n">
        <v>7366</v>
      </c>
      <c r="H30" s="211">
        <f>IFERROR(G30/G$16,0)</f>
        <v/>
      </c>
      <c r="I30" s="203" t="n">
        <v>6693</v>
      </c>
      <c r="J30" s="211">
        <f>IFERROR(I30/I$16,0)</f>
        <v/>
      </c>
      <c r="K30" s="203" t="n">
        <v>8447</v>
      </c>
      <c r="L30" s="211">
        <f>IFERROR(K30/K$16,0)</f>
        <v/>
      </c>
      <c r="M30" s="203" t="n">
        <v>9291</v>
      </c>
      <c r="N30" s="211">
        <f>IFERROR(M30/M$16,0)</f>
        <v/>
      </c>
      <c r="O30" s="203" t="n">
        <v>8447</v>
      </c>
      <c r="P30" s="211">
        <f>IFERROR(O30/O$16,0)</f>
        <v/>
      </c>
      <c r="Q30" s="203" t="n">
        <v>8447</v>
      </c>
      <c r="R30" s="211">
        <f>IFERROR(Q30/Q$16,0)</f>
        <v/>
      </c>
      <c r="S30" s="203" t="n">
        <v>8447</v>
      </c>
      <c r="T30" s="211">
        <f>IFERROR(S30/S$16,0)</f>
        <v/>
      </c>
      <c r="U30" s="203" t="n">
        <v>8447</v>
      </c>
      <c r="V30" s="211">
        <f>IFERROR(U30/U$16,0)</f>
        <v/>
      </c>
      <c r="W30" s="203" t="n">
        <v>8447</v>
      </c>
      <c r="X30" s="211">
        <f>IFERROR(W30/W$16,0)</f>
        <v/>
      </c>
      <c r="Y30" s="203" t="n">
        <v>8447</v>
      </c>
      <c r="Z30" s="211">
        <f>IFERROR(Y30/Y$16,0)</f>
        <v/>
      </c>
      <c r="AB30" s="203">
        <f>SUM(C30,E30,G30,I30,K30,M30,O30,Q30,S30,U30,W30,Y30)</f>
        <v/>
      </c>
      <c r="AC30" s="211">
        <f>IFERROR(AB30/AB$16,0)</f>
        <v/>
      </c>
    </row>
    <row r="31" ht="15" customHeight="1" s="180">
      <c r="A31" s="184" t="inlineStr">
        <is>
          <t>Payroll Taxes &amp; Benefits</t>
        </is>
      </c>
      <c r="C31" s="203" t="n">
        <v>3006</v>
      </c>
      <c r="D31" s="211">
        <f>IFERROR(C31/C$16,0)</f>
        <v/>
      </c>
      <c r="E31" s="203" t="n">
        <v>650</v>
      </c>
      <c r="F31" s="211">
        <f>IFERROR(E31/E$16,0)</f>
        <v/>
      </c>
      <c r="G31" s="203" t="n">
        <v>2488</v>
      </c>
      <c r="H31" s="211">
        <f>IFERROR(G31/G$16,0)</f>
        <v/>
      </c>
      <c r="I31" s="203" t="n">
        <v>1488</v>
      </c>
      <c r="J31" s="211">
        <f>IFERROR(I31/I$16,0)</f>
        <v/>
      </c>
      <c r="K31" s="203" t="n">
        <v>1840</v>
      </c>
      <c r="L31" s="211">
        <f>IFERROR(K31/K$16,0)</f>
        <v/>
      </c>
      <c r="M31" s="203" t="n">
        <v>3015</v>
      </c>
      <c r="N31" s="211">
        <f>IFERROR(M31/M$16,0)</f>
        <v/>
      </c>
      <c r="O31" s="203" t="n">
        <v>1840</v>
      </c>
      <c r="P31" s="211">
        <f>IFERROR(O31/O$16,0)</f>
        <v/>
      </c>
      <c r="Q31" s="203" t="n">
        <v>1840</v>
      </c>
      <c r="R31" s="211">
        <f>IFERROR(Q31/Q$16,0)</f>
        <v/>
      </c>
      <c r="S31" s="203" t="n">
        <v>1840</v>
      </c>
      <c r="T31" s="211">
        <f>IFERROR(S31/S$16,0)</f>
        <v/>
      </c>
      <c r="U31" s="203" t="n">
        <v>1840</v>
      </c>
      <c r="V31" s="211">
        <f>IFERROR(U31/U$16,0)</f>
        <v/>
      </c>
      <c r="W31" s="203" t="n">
        <v>1840</v>
      </c>
      <c r="X31" s="211">
        <f>IFERROR(W31/W$16,0)</f>
        <v/>
      </c>
      <c r="Y31" s="203" t="n">
        <v>1840</v>
      </c>
      <c r="Z31" s="211">
        <f>IFERROR(Y31/Y$16,0)</f>
        <v/>
      </c>
      <c r="AB31" s="203">
        <f>SUM(C31,E31,G31,I31,K31,M31,O31,Q31,S31,U31,W31,Y31)</f>
        <v/>
      </c>
      <c r="AC31" s="211">
        <f>IFERROR(AB31/AB$16,0)</f>
        <v/>
      </c>
    </row>
    <row r="32" ht="15" customHeight="1" s="180">
      <c r="A32" s="184" t="inlineStr">
        <is>
          <t>Bonus</t>
        </is>
      </c>
      <c r="C32" s="203" t="n">
        <v>0</v>
      </c>
      <c r="D32" s="211">
        <f>IFERROR(C32/C$16,0)</f>
        <v/>
      </c>
      <c r="E32" s="203" t="n">
        <v>0</v>
      </c>
      <c r="F32" s="211">
        <f>IFERROR(E32/E$16,0)</f>
        <v/>
      </c>
      <c r="G32" s="203" t="n">
        <v>0</v>
      </c>
      <c r="H32" s="211">
        <f>IFERROR(G32/G$16,0)</f>
        <v/>
      </c>
      <c r="I32" s="203" t="n">
        <v>0</v>
      </c>
      <c r="J32" s="211">
        <f>IFERROR(I32/I$16,0)</f>
        <v/>
      </c>
      <c r="K32" s="203" t="n">
        <v>0</v>
      </c>
      <c r="L32" s="211">
        <f>IFERROR(K32/K$16,0)</f>
        <v/>
      </c>
      <c r="M32" s="203" t="n">
        <v>0</v>
      </c>
      <c r="N32" s="211">
        <f>IFERROR(M32/M$16,0)</f>
        <v/>
      </c>
      <c r="O32" s="203" t="n">
        <v>0</v>
      </c>
      <c r="P32" s="211">
        <f>IFERROR(O32/O$16,0)</f>
        <v/>
      </c>
      <c r="Q32" s="203" t="n">
        <v>0</v>
      </c>
      <c r="R32" s="211">
        <f>IFERROR(Q32/Q$16,0)</f>
        <v/>
      </c>
      <c r="S32" s="203" t="n">
        <v>0</v>
      </c>
      <c r="T32" s="211">
        <f>IFERROR(S32/S$16,0)</f>
        <v/>
      </c>
      <c r="U32" s="203" t="n">
        <v>0</v>
      </c>
      <c r="V32" s="211">
        <f>IFERROR(U32/U$16,0)</f>
        <v/>
      </c>
      <c r="W32" s="203" t="n">
        <v>0</v>
      </c>
      <c r="X32" s="211">
        <f>IFERROR(W32/W$16,0)</f>
        <v/>
      </c>
      <c r="Y32" s="203" t="n">
        <v>0</v>
      </c>
      <c r="Z32" s="211">
        <f>IFERROR(Y32/Y$16,0)</f>
        <v/>
      </c>
      <c r="AB32" s="203">
        <f>SUM(C32,E32,G32,I32,K32,M32,O32,Q32,S32,U32,W32,Y32)</f>
        <v/>
      </c>
      <c r="AC32" s="211">
        <f>IFERROR(AB32/AB$16,0)</f>
        <v/>
      </c>
    </row>
    <row r="33" ht="15" customHeight="1" s="180">
      <c r="A33" s="185" t="inlineStr">
        <is>
          <t>Total Labor Cost</t>
        </is>
      </c>
      <c r="C33" s="206">
        <f>SUM(C28:C32)</f>
        <v/>
      </c>
      <c r="D33" s="212">
        <f>IFERROR(C33/C$16,0)</f>
        <v/>
      </c>
      <c r="E33" s="206">
        <f>SUM(E28:E32)</f>
        <v/>
      </c>
      <c r="F33" s="212">
        <f>IFERROR(E33/E$16,0)</f>
        <v/>
      </c>
      <c r="G33" s="206">
        <f>SUM(G28:G32)</f>
        <v/>
      </c>
      <c r="H33" s="212">
        <f>IFERROR(G33/G$16,0)</f>
        <v/>
      </c>
      <c r="I33" s="206">
        <f>SUM(I28:I32)</f>
        <v/>
      </c>
      <c r="J33" s="212">
        <f>IFERROR(I33/I$16,0)</f>
        <v/>
      </c>
      <c r="K33" s="206">
        <f>SUM(K28:K32)</f>
        <v/>
      </c>
      <c r="L33" s="212">
        <f>IFERROR(K33/K$16,0)</f>
        <v/>
      </c>
      <c r="M33" s="206">
        <f>SUM(M28:M32)</f>
        <v/>
      </c>
      <c r="N33" s="212">
        <f>IFERROR(M33/M$16,0)</f>
        <v/>
      </c>
      <c r="O33" s="206">
        <f>SUM(O28:O32)</f>
        <v/>
      </c>
      <c r="P33" s="212">
        <f>IFERROR(O33/O$16,0)</f>
        <v/>
      </c>
      <c r="Q33" s="206">
        <f>SUM(Q28:Q32)</f>
        <v/>
      </c>
      <c r="R33" s="212">
        <f>IFERROR(Q33/Q$16,0)</f>
        <v/>
      </c>
      <c r="S33" s="206">
        <f>SUM(S28:S32)</f>
        <v/>
      </c>
      <c r="T33" s="212">
        <f>IFERROR(S33/S$16,0)</f>
        <v/>
      </c>
      <c r="U33" s="206">
        <f>SUM(U28:U32)</f>
        <v/>
      </c>
      <c r="V33" s="212">
        <f>IFERROR(U33/U$16,0)</f>
        <v/>
      </c>
      <c r="W33" s="206">
        <f>SUM(W28:W32)</f>
        <v/>
      </c>
      <c r="X33" s="212">
        <f>IFERROR(W33/W$16,0)</f>
        <v/>
      </c>
      <c r="Y33" s="206">
        <f>SUM(Y28:Y32)</f>
        <v/>
      </c>
      <c r="Z33" s="212">
        <f>IFERROR(Y33/Y$16,0)</f>
        <v/>
      </c>
      <c r="AB33" s="206">
        <f>SUM(AB28:AB32)</f>
        <v/>
      </c>
      <c r="AC33" s="212">
        <f>IFERROR(AB33/AB$16,0)</f>
        <v/>
      </c>
    </row>
    <row r="35" ht="15" customHeight="1" s="180">
      <c r="A35" s="185" t="inlineStr">
        <is>
          <t>Prime Costs</t>
        </is>
      </c>
      <c r="C35" s="186">
        <f>C24+C33</f>
        <v/>
      </c>
      <c r="D35" s="187">
        <f>IFERROR(C35/C$16,0)</f>
        <v/>
      </c>
      <c r="E35" s="186">
        <f>E24+E33</f>
        <v/>
      </c>
      <c r="F35" s="187">
        <f>IFERROR(E35/E$16,0)</f>
        <v/>
      </c>
      <c r="G35" s="186">
        <f>G24+G33</f>
        <v/>
      </c>
      <c r="H35" s="187">
        <f>IFERROR(G35/G$16,0)</f>
        <v/>
      </c>
      <c r="I35" s="186">
        <f>I24+I33</f>
        <v/>
      </c>
      <c r="J35" s="187">
        <f>IFERROR(I35/I$16,0)</f>
        <v/>
      </c>
      <c r="K35" s="186">
        <f>K24+K33</f>
        <v/>
      </c>
      <c r="L35" s="187">
        <f>IFERROR(K35/K$16,0)</f>
        <v/>
      </c>
      <c r="M35" s="186">
        <f>M24+M33</f>
        <v/>
      </c>
      <c r="N35" s="187">
        <f>IFERROR(M35/M$16,0)</f>
        <v/>
      </c>
      <c r="O35" s="186">
        <f>O24+O33</f>
        <v/>
      </c>
      <c r="P35" s="187">
        <f>IFERROR(O35/O$16,0)</f>
        <v/>
      </c>
      <c r="Q35" s="186">
        <f>Q24+Q33</f>
        <v/>
      </c>
      <c r="R35" s="187">
        <f>IFERROR(Q35/Q$16,0)</f>
        <v/>
      </c>
      <c r="S35" s="186">
        <f>S24+S33</f>
        <v/>
      </c>
      <c r="T35" s="187">
        <f>IFERROR(S35/S$16,0)</f>
        <v/>
      </c>
      <c r="U35" s="186">
        <f>U24+U33</f>
        <v/>
      </c>
      <c r="V35" s="187">
        <f>IFERROR(U35/U$16,0)</f>
        <v/>
      </c>
      <c r="W35" s="186">
        <f>W24+W33</f>
        <v/>
      </c>
      <c r="X35" s="187">
        <f>IFERROR(W35/W$16,0)</f>
        <v/>
      </c>
      <c r="Y35" s="186">
        <f>Y24+Y33</f>
        <v/>
      </c>
      <c r="Z35" s="187">
        <f>IFERROR(Y35/Y$16,0)</f>
        <v/>
      </c>
      <c r="AB35" s="186">
        <f>AB24+AB33</f>
        <v/>
      </c>
      <c r="AC35" s="187">
        <f>IFERROR(AB35/AB$16,0)</f>
        <v/>
      </c>
    </row>
    <row r="36" ht="15" customHeight="1" s="180">
      <c r="A36" s="185" t="inlineStr">
        <is>
          <t>Operating Profit</t>
        </is>
      </c>
      <c r="C36" s="186">
        <f>C25-C33</f>
        <v/>
      </c>
      <c r="D36" s="187">
        <f>IFERROR(C36/C$16,0)</f>
        <v/>
      </c>
      <c r="E36" s="186">
        <f>E25-E33</f>
        <v/>
      </c>
      <c r="F36" s="187">
        <f>IFERROR(E36/E$16,0)</f>
        <v/>
      </c>
      <c r="G36" s="186">
        <f>G25-G33</f>
        <v/>
      </c>
      <c r="H36" s="187">
        <f>IFERROR(G36/G$16,0)</f>
        <v/>
      </c>
      <c r="I36" s="186">
        <f>I25-I33</f>
        <v/>
      </c>
      <c r="J36" s="187">
        <f>IFERROR(I36/I$16,0)</f>
        <v/>
      </c>
      <c r="K36" s="186">
        <f>K25-K33</f>
        <v/>
      </c>
      <c r="L36" s="187">
        <f>IFERROR(K36/K$16,0)</f>
        <v/>
      </c>
      <c r="M36" s="186">
        <f>M25-M33</f>
        <v/>
      </c>
      <c r="N36" s="187">
        <f>IFERROR(M36/M$16,0)</f>
        <v/>
      </c>
      <c r="O36" s="186">
        <f>O25-O33</f>
        <v/>
      </c>
      <c r="P36" s="187">
        <f>IFERROR(O36/O$16,0)</f>
        <v/>
      </c>
      <c r="Q36" s="186">
        <f>Q25-Q33</f>
        <v/>
      </c>
      <c r="R36" s="187">
        <f>IFERROR(Q36/Q$16,0)</f>
        <v/>
      </c>
      <c r="S36" s="186">
        <f>S25-S33</f>
        <v/>
      </c>
      <c r="T36" s="187">
        <f>IFERROR(S36/S$16,0)</f>
        <v/>
      </c>
      <c r="U36" s="186">
        <f>U25-U33</f>
        <v/>
      </c>
      <c r="V36" s="187">
        <f>IFERROR(U36/U$16,0)</f>
        <v/>
      </c>
      <c r="W36" s="186">
        <f>W25-W33</f>
        <v/>
      </c>
      <c r="X36" s="187">
        <f>IFERROR(W36/W$16,0)</f>
        <v/>
      </c>
      <c r="Y36" s="186">
        <f>Y25-Y33</f>
        <v/>
      </c>
      <c r="Z36" s="187">
        <f>IFERROR(Y36/Y$16,0)</f>
        <v/>
      </c>
      <c r="AB36" s="186">
        <f>AB25-AB33</f>
        <v/>
      </c>
      <c r="AC36" s="187">
        <f>IFERROR(AB36/AB$16,0)</f>
        <v/>
      </c>
    </row>
    <row r="38" ht="15" customHeight="1" s="180">
      <c r="A38" s="185" t="inlineStr">
        <is>
          <t>Controllable Expenses</t>
        </is>
      </c>
    </row>
    <row r="39" ht="15" customHeight="1" s="180">
      <c r="A39" s="184" t="inlineStr">
        <is>
          <t>Operating Expenses</t>
        </is>
      </c>
      <c r="C39" s="203" t="n">
        <v>3310</v>
      </c>
      <c r="D39" s="211">
        <f>IFERROR(C39/C$16,0)</f>
        <v/>
      </c>
      <c r="E39" s="203" t="n">
        <v>5119</v>
      </c>
      <c r="F39" s="211">
        <f>IFERROR(E39/E$16,0)</f>
        <v/>
      </c>
      <c r="G39" s="203" t="n">
        <v>1987</v>
      </c>
      <c r="H39" s="211">
        <f>IFERROR(G39/G$16,0)</f>
        <v/>
      </c>
      <c r="I39" s="203" t="n">
        <v>4160</v>
      </c>
      <c r="J39" s="211">
        <f>IFERROR(I39/I$16,0)</f>
        <v/>
      </c>
      <c r="K39" s="203" t="n">
        <v>3982</v>
      </c>
      <c r="L39" s="211">
        <f>IFERROR(K39/K$16,0)</f>
        <v/>
      </c>
      <c r="M39" s="203" t="n">
        <v>3744</v>
      </c>
      <c r="N39" s="211">
        <f>IFERROR(M39/M$16,0)</f>
        <v/>
      </c>
      <c r="O39" s="203" t="n">
        <v>3982</v>
      </c>
      <c r="P39" s="211">
        <f>IFERROR(O39/O$16,0)</f>
        <v/>
      </c>
      <c r="Q39" s="203" t="n">
        <v>3982</v>
      </c>
      <c r="R39" s="211">
        <f>IFERROR(Q39/Q$16,0)</f>
        <v/>
      </c>
      <c r="S39" s="203" t="n">
        <v>3982</v>
      </c>
      <c r="T39" s="211">
        <f>IFERROR(S39/S$16,0)</f>
        <v/>
      </c>
      <c r="U39" s="203" t="n">
        <v>3982</v>
      </c>
      <c r="V39" s="211">
        <f>IFERROR(U39/U$16,0)</f>
        <v/>
      </c>
      <c r="W39" s="203" t="n">
        <v>3982</v>
      </c>
      <c r="X39" s="211">
        <f>IFERROR(W39/W$16,0)</f>
        <v/>
      </c>
      <c r="Y39" s="203" t="n">
        <v>3982</v>
      </c>
      <c r="Z39" s="211">
        <f>IFERROR(Y39/Y$16,0)</f>
        <v/>
      </c>
      <c r="AB39" s="203">
        <f>SUM(C39,E39,G39,I39,K39,M39,O39,Q39,S39,U39,W39,Y39)</f>
        <v/>
      </c>
      <c r="AC39" s="211">
        <f>IFERROR(AB39/AB$16,0)</f>
        <v/>
      </c>
    </row>
    <row r="40" ht="15" customHeight="1" s="180">
      <c r="A40" s="184" t="inlineStr">
        <is>
          <t>Music &amp; Entertainment</t>
        </is>
      </c>
      <c r="C40" s="203" t="n">
        <v>25</v>
      </c>
      <c r="D40" s="211">
        <f>IFERROR(C40/C$16,0)</f>
        <v/>
      </c>
      <c r="E40" s="203" t="n">
        <v>0</v>
      </c>
      <c r="F40" s="211">
        <f>IFERROR(E40/E$16,0)</f>
        <v/>
      </c>
      <c r="G40" s="203" t="n">
        <v>0</v>
      </c>
      <c r="H40" s="211">
        <f>IFERROR(G40/G$16,0)</f>
        <v/>
      </c>
      <c r="I40" s="203" t="n">
        <v>0</v>
      </c>
      <c r="J40" s="211">
        <f>IFERROR(I40/I$16,0)</f>
        <v/>
      </c>
      <c r="K40" s="203" t="n">
        <v>0</v>
      </c>
      <c r="L40" s="211">
        <f>IFERROR(K40/K$16,0)</f>
        <v/>
      </c>
      <c r="M40" s="203" t="n">
        <v>0</v>
      </c>
      <c r="N40" s="211">
        <f>IFERROR(M40/M$16,0)</f>
        <v/>
      </c>
      <c r="O40" s="203" t="n">
        <v>0</v>
      </c>
      <c r="P40" s="211">
        <f>IFERROR(O40/O$16,0)</f>
        <v/>
      </c>
      <c r="Q40" s="203" t="n">
        <v>0</v>
      </c>
      <c r="R40" s="211">
        <f>IFERROR(Q40/Q$16,0)</f>
        <v/>
      </c>
      <c r="S40" s="203" t="n">
        <v>0</v>
      </c>
      <c r="T40" s="211">
        <f>IFERROR(S40/S$16,0)</f>
        <v/>
      </c>
      <c r="U40" s="203" t="n">
        <v>0</v>
      </c>
      <c r="V40" s="211">
        <f>IFERROR(U40/U$16,0)</f>
        <v/>
      </c>
      <c r="W40" s="203" t="n">
        <v>0</v>
      </c>
      <c r="X40" s="211">
        <f>IFERROR(W40/W$16,0)</f>
        <v/>
      </c>
      <c r="Y40" s="203" t="n">
        <v>0</v>
      </c>
      <c r="Z40" s="211">
        <f>IFERROR(Y40/Y$16,0)</f>
        <v/>
      </c>
      <c r="AB40" s="203">
        <f>SUM(C40,E40,G40,I40,K40,M40,O40,Q40,S40,U40,W40,Y40)</f>
        <v/>
      </c>
      <c r="AC40" s="211">
        <f>IFERROR(AB40/AB$16,0)</f>
        <v/>
      </c>
    </row>
    <row r="41" ht="15" customHeight="1" s="180">
      <c r="A41" s="184" t="inlineStr">
        <is>
          <t>Marketing &amp; Advertising</t>
        </is>
      </c>
      <c r="C41" s="203" t="n">
        <v>1883</v>
      </c>
      <c r="D41" s="211">
        <f>IFERROR(C41/C$16,0)</f>
        <v/>
      </c>
      <c r="E41" s="203" t="n">
        <v>402</v>
      </c>
      <c r="F41" s="211">
        <f>IFERROR(E41/E$16,0)</f>
        <v/>
      </c>
      <c r="G41" s="203" t="n">
        <v>714</v>
      </c>
      <c r="H41" s="211">
        <f>IFERROR(G41/G$16,0)</f>
        <v/>
      </c>
      <c r="I41" s="203" t="n">
        <v>1340</v>
      </c>
      <c r="J41" s="211">
        <f>IFERROR(I41/I$16,0)</f>
        <v/>
      </c>
      <c r="K41" s="203" t="n">
        <v>628</v>
      </c>
      <c r="L41" s="211">
        <f>IFERROR(K41/K$16,0)</f>
        <v/>
      </c>
      <c r="M41" s="203" t="n">
        <v>1047</v>
      </c>
      <c r="N41" s="211">
        <f>IFERROR(M41/M$16,0)</f>
        <v/>
      </c>
      <c r="O41" s="203" t="n">
        <v>628</v>
      </c>
      <c r="P41" s="211">
        <f>IFERROR(O41/O$16,0)</f>
        <v/>
      </c>
      <c r="Q41" s="203" t="n">
        <v>628</v>
      </c>
      <c r="R41" s="211">
        <f>IFERROR(Q41/Q$16,0)</f>
        <v/>
      </c>
      <c r="S41" s="203" t="n">
        <v>628</v>
      </c>
      <c r="T41" s="211">
        <f>IFERROR(S41/S$16,0)</f>
        <v/>
      </c>
      <c r="U41" s="203" t="n">
        <v>628</v>
      </c>
      <c r="V41" s="211">
        <f>IFERROR(U41/U$16,0)</f>
        <v/>
      </c>
      <c r="W41" s="203" t="n">
        <v>628</v>
      </c>
      <c r="X41" s="211">
        <f>IFERROR(W41/W$16,0)</f>
        <v/>
      </c>
      <c r="Y41" s="203" t="n">
        <v>628</v>
      </c>
      <c r="Z41" s="211">
        <f>IFERROR(Y41/Y$16,0)</f>
        <v/>
      </c>
      <c r="AB41" s="203">
        <f>SUM(C41,E41,G41,I41,K41,M41,O41,Q41,S41,U41,W41,Y41)</f>
        <v/>
      </c>
      <c r="AC41" s="211">
        <f>IFERROR(AB41/AB$16,0)</f>
        <v/>
      </c>
    </row>
    <row r="42" ht="15" customHeight="1" s="180">
      <c r="A42" s="184" t="inlineStr">
        <is>
          <t>General &amp; Administrative - Controllable</t>
        </is>
      </c>
      <c r="C42" s="203" t="n">
        <v>1662</v>
      </c>
      <c r="D42" s="211">
        <f>IFERROR(C42/C$16,0)</f>
        <v/>
      </c>
      <c r="E42" s="203" t="n">
        <v>1547</v>
      </c>
      <c r="F42" s="211">
        <f>IFERROR(E42/E$16,0)</f>
        <v/>
      </c>
      <c r="G42" s="203" t="n">
        <v>4317</v>
      </c>
      <c r="H42" s="211">
        <f>IFERROR(G42/G$16,0)</f>
        <v/>
      </c>
      <c r="I42" s="203" t="n">
        <v>1832</v>
      </c>
      <c r="J42" s="211">
        <f>IFERROR(I42/I$16,0)</f>
        <v/>
      </c>
      <c r="K42" s="203" t="n">
        <v>2670</v>
      </c>
      <c r="L42" s="211">
        <f>IFERROR(K42/K$16,0)</f>
        <v/>
      </c>
      <c r="M42" s="203" t="n">
        <v>3672</v>
      </c>
      <c r="N42" s="211">
        <f>IFERROR(M42/M$16,0)</f>
        <v/>
      </c>
      <c r="O42" s="203" t="n">
        <v>3392</v>
      </c>
      <c r="P42" s="211">
        <f>IFERROR(O42/O$16,0)</f>
        <v/>
      </c>
      <c r="Q42" s="203" t="n">
        <v>3392</v>
      </c>
      <c r="R42" s="211">
        <f>IFERROR(Q42/Q$16,0)</f>
        <v/>
      </c>
      <c r="S42" s="203" t="n">
        <v>3392</v>
      </c>
      <c r="T42" s="211">
        <f>IFERROR(S42/S$16,0)</f>
        <v/>
      </c>
      <c r="U42" s="203" t="n">
        <v>3392</v>
      </c>
      <c r="V42" s="211">
        <f>IFERROR(U42/U$16,0)</f>
        <v/>
      </c>
      <c r="W42" s="203" t="n">
        <v>3392</v>
      </c>
      <c r="X42" s="211">
        <f>IFERROR(W42/W$16,0)</f>
        <v/>
      </c>
      <c r="Y42" s="203" t="n">
        <v>3392</v>
      </c>
      <c r="Z42" s="211">
        <f>IFERROR(Y42/Y$16,0)</f>
        <v/>
      </c>
      <c r="AB42" s="203">
        <f>SUM(C42,E42,G42,I42,K42,M42,O42,Q42,S42,U42,W42,Y42)</f>
        <v/>
      </c>
      <c r="AC42" s="211">
        <f>IFERROR(AB42/AB$16,0)</f>
        <v/>
      </c>
    </row>
    <row r="43" ht="15" customHeight="1" s="180">
      <c r="A43" s="184" t="inlineStr">
        <is>
          <t>Repairs &amp; Maintenance</t>
        </is>
      </c>
      <c r="C43" s="203" t="n">
        <v>0</v>
      </c>
      <c r="D43" s="211">
        <f>IFERROR(C43/C$16,0)</f>
        <v/>
      </c>
      <c r="E43" s="203" t="n">
        <v>73</v>
      </c>
      <c r="F43" s="211">
        <f>IFERROR(E43/E$16,0)</f>
        <v/>
      </c>
      <c r="G43" s="203" t="n">
        <v>36</v>
      </c>
      <c r="H43" s="211">
        <f>IFERROR(G43/G$16,0)</f>
        <v/>
      </c>
      <c r="I43" s="203" t="n">
        <v>73</v>
      </c>
      <c r="J43" s="211">
        <f>IFERROR(I43/I$16,0)</f>
        <v/>
      </c>
      <c r="K43" s="203" t="n">
        <v>73</v>
      </c>
      <c r="L43" s="211">
        <f>IFERROR(K43/K$16,0)</f>
        <v/>
      </c>
      <c r="M43" s="203" t="n">
        <v>73</v>
      </c>
      <c r="N43" s="211">
        <f>IFERROR(M43/M$16,0)</f>
        <v/>
      </c>
      <c r="O43" s="203" t="n">
        <v>73</v>
      </c>
      <c r="P43" s="211">
        <f>IFERROR(O43/O$16,0)</f>
        <v/>
      </c>
      <c r="Q43" s="203" t="n">
        <v>73</v>
      </c>
      <c r="R43" s="211">
        <f>IFERROR(Q43/Q$16,0)</f>
        <v/>
      </c>
      <c r="S43" s="203" t="n">
        <v>73</v>
      </c>
      <c r="T43" s="211">
        <f>IFERROR(S43/S$16,0)</f>
        <v/>
      </c>
      <c r="U43" s="203" t="n">
        <v>73</v>
      </c>
      <c r="V43" s="211">
        <f>IFERROR(U43/U$16,0)</f>
        <v/>
      </c>
      <c r="W43" s="203" t="n">
        <v>73</v>
      </c>
      <c r="X43" s="211">
        <f>IFERROR(W43/W$16,0)</f>
        <v/>
      </c>
      <c r="Y43" s="203" t="n">
        <v>73</v>
      </c>
      <c r="Z43" s="211">
        <f>IFERROR(Y43/Y$16,0)</f>
        <v/>
      </c>
      <c r="AB43" s="203">
        <f>SUM(C43,E43,G43,I43,K43,M43,O43,Q43,S43,U43,W43,Y43)</f>
        <v/>
      </c>
      <c r="AC43" s="211">
        <f>IFERROR(AB43/AB$16,0)</f>
        <v/>
      </c>
    </row>
    <row r="44" ht="15" customHeight="1" s="180">
      <c r="A44" s="185" t="inlineStr">
        <is>
          <t>Total Controllable Expenses</t>
        </is>
      </c>
      <c r="C44" s="206">
        <f>SUM(C39:C43)</f>
        <v/>
      </c>
      <c r="D44" s="212">
        <f>IFERROR(C44/C$16,0)</f>
        <v/>
      </c>
      <c r="E44" s="206">
        <f>SUM(E39:E43)</f>
        <v/>
      </c>
      <c r="F44" s="212">
        <f>IFERROR(E44/E$16,0)</f>
        <v/>
      </c>
      <c r="G44" s="206">
        <f>SUM(G39:G43)</f>
        <v/>
      </c>
      <c r="H44" s="212">
        <f>IFERROR(G44/G$16,0)</f>
        <v/>
      </c>
      <c r="I44" s="206">
        <f>SUM(I39:I43)</f>
        <v/>
      </c>
      <c r="J44" s="212">
        <f>IFERROR(I44/I$16,0)</f>
        <v/>
      </c>
      <c r="K44" s="206">
        <f>SUM(K39:K43)</f>
        <v/>
      </c>
      <c r="L44" s="212">
        <f>IFERROR(K44/K$16,0)</f>
        <v/>
      </c>
      <c r="M44" s="206">
        <f>SUM(M39:M43)</f>
        <v/>
      </c>
      <c r="N44" s="212">
        <f>IFERROR(M44/M$16,0)</f>
        <v/>
      </c>
      <c r="O44" s="206">
        <f>SUM(O39:O43)</f>
        <v/>
      </c>
      <c r="P44" s="212">
        <f>IFERROR(O44/O$16,0)</f>
        <v/>
      </c>
      <c r="Q44" s="206">
        <f>SUM(Q39:Q43)</f>
        <v/>
      </c>
      <c r="R44" s="212">
        <f>IFERROR(Q44/Q$16,0)</f>
        <v/>
      </c>
      <c r="S44" s="206">
        <f>SUM(S39:S43)</f>
        <v/>
      </c>
      <c r="T44" s="212">
        <f>IFERROR(S44/S$16,0)</f>
        <v/>
      </c>
      <c r="U44" s="206">
        <f>SUM(U39:U43)</f>
        <v/>
      </c>
      <c r="V44" s="212">
        <f>IFERROR(U44/U$16,0)</f>
        <v/>
      </c>
      <c r="W44" s="206">
        <f>SUM(W39:W43)</f>
        <v/>
      </c>
      <c r="X44" s="212">
        <f>IFERROR(W44/W$16,0)</f>
        <v/>
      </c>
      <c r="Y44" s="206">
        <f>SUM(Y39:Y43)</f>
        <v/>
      </c>
      <c r="Z44" s="212">
        <f>IFERROR(Y44/Y$16,0)</f>
        <v/>
      </c>
      <c r="AB44" s="206">
        <f>SUM(AB39:AB43)</f>
        <v/>
      </c>
      <c r="AC44" s="212">
        <f>IFERROR(AB44/AB$16,0)</f>
        <v/>
      </c>
    </row>
    <row r="46" ht="15" customHeight="1" s="180">
      <c r="A46" s="185" t="inlineStr">
        <is>
          <t>Uncontrollable Expenses</t>
        </is>
      </c>
    </row>
    <row r="47" ht="15" customHeight="1" s="180">
      <c r="A47" s="184" t="inlineStr">
        <is>
          <t>Utilities</t>
        </is>
      </c>
      <c r="C47" s="203" t="n">
        <v>249</v>
      </c>
      <c r="D47" s="211">
        <f>IFERROR(C47/C$16,0)</f>
        <v/>
      </c>
      <c r="E47" s="203" t="n">
        <v>225</v>
      </c>
      <c r="F47" s="211">
        <f>IFERROR(E47/E$16,0)</f>
        <v/>
      </c>
      <c r="G47" s="203" t="n">
        <v>249</v>
      </c>
      <c r="H47" s="211">
        <f>IFERROR(G47/G$16,0)</f>
        <v/>
      </c>
      <c r="I47" s="203" t="n">
        <v>241</v>
      </c>
      <c r="J47" s="211">
        <f>IFERROR(I47/I$16,0)</f>
        <v/>
      </c>
      <c r="K47" s="203" t="n">
        <v>249</v>
      </c>
      <c r="L47" s="211">
        <f>IFERROR(K47/K$16,0)</f>
        <v/>
      </c>
      <c r="M47" s="203" t="n">
        <v>241</v>
      </c>
      <c r="N47" s="211">
        <f>IFERROR(M47/M$16,0)</f>
        <v/>
      </c>
      <c r="O47" s="203" t="n">
        <v>249</v>
      </c>
      <c r="P47" s="211">
        <f>IFERROR(O47/O$16,0)</f>
        <v/>
      </c>
      <c r="Q47" s="203" t="n">
        <v>249</v>
      </c>
      <c r="R47" s="211">
        <f>IFERROR(Q47/Q$16,0)</f>
        <v/>
      </c>
      <c r="S47" s="203" t="n">
        <v>249</v>
      </c>
      <c r="T47" s="211">
        <f>IFERROR(S47/S$16,0)</f>
        <v/>
      </c>
      <c r="U47" s="203" t="n">
        <v>249</v>
      </c>
      <c r="V47" s="211">
        <f>IFERROR(U47/U$16,0)</f>
        <v/>
      </c>
      <c r="W47" s="203" t="n">
        <v>249</v>
      </c>
      <c r="X47" s="211">
        <f>IFERROR(W47/W$16,0)</f>
        <v/>
      </c>
      <c r="Y47" s="203" t="n">
        <v>249</v>
      </c>
      <c r="Z47" s="211">
        <f>IFERROR(Y47/Y$16,0)</f>
        <v/>
      </c>
      <c r="AB47" s="203">
        <f>SUM(C47,E47,G47,I47,K47,M47,O47,Q47,S47,U47,W47,Y47)</f>
        <v/>
      </c>
      <c r="AC47" s="211">
        <f>IFERROR(AB47/AB$16,0)</f>
        <v/>
      </c>
    </row>
    <row r="48" ht="15" customHeight="1" s="180">
      <c r="A48" s="184" t="inlineStr">
        <is>
          <t>Occupancy Cost</t>
        </is>
      </c>
      <c r="C48" s="203" t="n">
        <v>1116</v>
      </c>
      <c r="D48" s="211">
        <f>IFERROR(C48/C$16,0)</f>
        <v/>
      </c>
      <c r="E48" s="203" t="n">
        <v>1070</v>
      </c>
      <c r="F48" s="211">
        <f>IFERROR(E48/E$16,0)</f>
        <v/>
      </c>
      <c r="G48" s="203" t="n">
        <v>1587</v>
      </c>
      <c r="H48" s="211">
        <f>IFERROR(G48/G$16,0)</f>
        <v/>
      </c>
      <c r="I48" s="203" t="n">
        <v>1251</v>
      </c>
      <c r="J48" s="211">
        <f>IFERROR(I48/I$16,0)</f>
        <v/>
      </c>
      <c r="K48" s="203" t="n">
        <v>1493</v>
      </c>
      <c r="L48" s="211">
        <f>IFERROR(K48/K$16,0)</f>
        <v/>
      </c>
      <c r="M48" s="203" t="n">
        <v>1624</v>
      </c>
      <c r="N48" s="211">
        <f>IFERROR(M48/M$16,0)</f>
        <v/>
      </c>
      <c r="O48" s="203" t="n">
        <v>1540</v>
      </c>
      <c r="P48" s="211">
        <f>IFERROR(O48/O$16,0)</f>
        <v/>
      </c>
      <c r="Q48" s="203" t="n">
        <v>1540</v>
      </c>
      <c r="R48" s="211">
        <f>IFERROR(Q48/Q$16,0)</f>
        <v/>
      </c>
      <c r="S48" s="203" t="n">
        <v>1540</v>
      </c>
      <c r="T48" s="211">
        <f>IFERROR(S48/S$16,0)</f>
        <v/>
      </c>
      <c r="U48" s="203" t="n">
        <v>1540</v>
      </c>
      <c r="V48" s="211">
        <f>IFERROR(U48/U$16,0)</f>
        <v/>
      </c>
      <c r="W48" s="203" t="n">
        <v>1540</v>
      </c>
      <c r="X48" s="211">
        <f>IFERROR(W48/W$16,0)</f>
        <v/>
      </c>
      <c r="Y48" s="203" t="n">
        <v>1540</v>
      </c>
      <c r="Z48" s="211">
        <f>IFERROR(Y48/Y$16,0)</f>
        <v/>
      </c>
      <c r="AB48" s="203">
        <f>SUM(C48,E48,G48,I48,K48,M48,O48,Q48,S48,U48,W48,Y48)</f>
        <v/>
      </c>
      <c r="AC48" s="211">
        <f>IFERROR(AB48/AB$16,0)</f>
        <v/>
      </c>
    </row>
    <row r="49" ht="15" customHeight="1" s="180">
      <c r="A49" s="184" t="inlineStr">
        <is>
          <t>General &amp; Administrative - Uncon</t>
        </is>
      </c>
      <c r="C49" s="203" t="n">
        <v>522</v>
      </c>
      <c r="D49" s="211">
        <f>IFERROR(C49/C$16,0)</f>
        <v/>
      </c>
      <c r="E49" s="203" t="n">
        <v>1062</v>
      </c>
      <c r="F49" s="211">
        <f>IFERROR(E49/E$16,0)</f>
        <v/>
      </c>
      <c r="G49" s="203" t="n">
        <v>1577</v>
      </c>
      <c r="H49" s="211">
        <f>IFERROR(G49/G$16,0)</f>
        <v/>
      </c>
      <c r="I49" s="203" t="n">
        <v>629</v>
      </c>
      <c r="J49" s="211">
        <f>IFERROR(I49/I$16,0)</f>
        <v/>
      </c>
      <c r="K49" s="203" t="n">
        <v>1784</v>
      </c>
      <c r="L49" s="211">
        <f>IFERROR(K49/K$16,0)</f>
        <v/>
      </c>
      <c r="M49" s="203" t="n">
        <v>1369</v>
      </c>
      <c r="N49" s="211">
        <f>IFERROR(M49/M$16,0)</f>
        <v/>
      </c>
      <c r="O49" s="203" t="n">
        <v>1618</v>
      </c>
      <c r="P49" s="211">
        <f>IFERROR(O49/O$16,0)</f>
        <v/>
      </c>
      <c r="Q49" s="203" t="n">
        <v>1618</v>
      </c>
      <c r="R49" s="211">
        <f>IFERROR(Q49/Q$16,0)</f>
        <v/>
      </c>
      <c r="S49" s="203" t="n">
        <v>1618</v>
      </c>
      <c r="T49" s="211">
        <f>IFERROR(S49/S$16,0)</f>
        <v/>
      </c>
      <c r="U49" s="203" t="n">
        <v>1618</v>
      </c>
      <c r="V49" s="211">
        <f>IFERROR(U49/U$16,0)</f>
        <v/>
      </c>
      <c r="W49" s="203" t="n">
        <v>1618</v>
      </c>
      <c r="X49" s="211">
        <f>IFERROR(W49/W$16,0)</f>
        <v/>
      </c>
      <c r="Y49" s="203" t="n">
        <v>1618</v>
      </c>
      <c r="Z49" s="211">
        <f>IFERROR(Y49/Y$16,0)</f>
        <v/>
      </c>
      <c r="AB49" s="203">
        <f>SUM(C49,E49,G49,I49,K49,M49,O49,Q49,S49,U49,W49,Y49)</f>
        <v/>
      </c>
      <c r="AC49" s="211">
        <f>IFERROR(AB49/AB$16,0)</f>
        <v/>
      </c>
    </row>
    <row r="50" ht="15" customHeight="1" s="180">
      <c r="A50" s="184" t="inlineStr">
        <is>
          <t>Management Fee</t>
        </is>
      </c>
      <c r="C50" s="203" t="n">
        <v>4000</v>
      </c>
      <c r="D50" s="211">
        <f>IFERROR(C50/C$16,0)</f>
        <v/>
      </c>
      <c r="E50" s="203" t="n">
        <v>4000</v>
      </c>
      <c r="F50" s="211">
        <f>IFERROR(E50/E$16,0)</f>
        <v/>
      </c>
      <c r="G50" s="203" t="n">
        <v>4000</v>
      </c>
      <c r="H50" s="211">
        <f>IFERROR(G50/G$16,0)</f>
        <v/>
      </c>
      <c r="I50" s="203" t="n">
        <v>4000</v>
      </c>
      <c r="J50" s="211">
        <f>IFERROR(I50/I$16,0)</f>
        <v/>
      </c>
      <c r="K50" s="203" t="n">
        <v>4000</v>
      </c>
      <c r="L50" s="211">
        <f>IFERROR(K50/K$16,0)</f>
        <v/>
      </c>
      <c r="M50" s="203" t="n">
        <v>4000</v>
      </c>
      <c r="N50" s="211">
        <f>IFERROR(M50/M$16,0)</f>
        <v/>
      </c>
      <c r="O50" s="203" t="n">
        <v>4000</v>
      </c>
      <c r="P50" s="211">
        <f>IFERROR(O50/O$16,0)</f>
        <v/>
      </c>
      <c r="Q50" s="203" t="n">
        <v>4000</v>
      </c>
      <c r="R50" s="211">
        <f>IFERROR(Q50/Q$16,0)</f>
        <v/>
      </c>
      <c r="S50" s="203" t="n">
        <v>4000</v>
      </c>
      <c r="T50" s="211">
        <f>IFERROR(S50/S$16,0)</f>
        <v/>
      </c>
      <c r="U50" s="203" t="n">
        <v>4000</v>
      </c>
      <c r="V50" s="211">
        <f>IFERROR(U50/U$16,0)</f>
        <v/>
      </c>
      <c r="W50" s="203" t="n">
        <v>4000</v>
      </c>
      <c r="X50" s="211">
        <f>IFERROR(W50/W$16,0)</f>
        <v/>
      </c>
      <c r="Y50" s="203" t="n">
        <v>4000</v>
      </c>
      <c r="Z50" s="211">
        <f>IFERROR(Y50/Y$16,0)</f>
        <v/>
      </c>
      <c r="AB50" s="203">
        <f>SUM(C50,E50,G50,I50,K50,M50,O50,Q50,S50,U50,W50,Y50)</f>
        <v/>
      </c>
      <c r="AC50" s="211">
        <f>IFERROR(AB50/AB$16,0)</f>
        <v/>
      </c>
    </row>
    <row r="51" ht="15" customHeight="1" s="180">
      <c r="A51" s="184" t="inlineStr">
        <is>
          <t>Owner Fee</t>
        </is>
      </c>
      <c r="C51" s="203" t="n">
        <v>0</v>
      </c>
      <c r="D51" s="211">
        <f>IFERROR(C51/C$16,0)</f>
        <v/>
      </c>
      <c r="E51" s="203" t="n">
        <v>0</v>
      </c>
      <c r="F51" s="211">
        <f>IFERROR(E51/E$16,0)</f>
        <v/>
      </c>
      <c r="G51" s="203" t="n">
        <v>0</v>
      </c>
      <c r="H51" s="211">
        <f>IFERROR(G51/G$16,0)</f>
        <v/>
      </c>
      <c r="I51" s="203" t="n">
        <v>0</v>
      </c>
      <c r="J51" s="211">
        <f>IFERROR(I51/I$16,0)</f>
        <v/>
      </c>
      <c r="K51" s="203" t="n">
        <v>0</v>
      </c>
      <c r="L51" s="211">
        <f>IFERROR(K51/K$16,0)</f>
        <v/>
      </c>
      <c r="M51" s="203" t="n">
        <v>0</v>
      </c>
      <c r="N51" s="211">
        <f>IFERROR(M51/M$16,0)</f>
        <v/>
      </c>
      <c r="O51" s="203" t="n">
        <v>0</v>
      </c>
      <c r="P51" s="211">
        <f>IFERROR(O51/O$16,0)</f>
        <v/>
      </c>
      <c r="Q51" s="203" t="n">
        <v>0</v>
      </c>
      <c r="R51" s="211">
        <f>IFERROR(Q51/Q$16,0)</f>
        <v/>
      </c>
      <c r="S51" s="203" t="n">
        <v>0</v>
      </c>
      <c r="T51" s="211">
        <f>IFERROR(S51/S$16,0)</f>
        <v/>
      </c>
      <c r="U51" s="203" t="n">
        <v>0</v>
      </c>
      <c r="V51" s="211">
        <f>IFERROR(U51/U$16,0)</f>
        <v/>
      </c>
      <c r="W51" s="203" t="n">
        <v>0</v>
      </c>
      <c r="X51" s="211">
        <f>IFERROR(W51/W$16,0)</f>
        <v/>
      </c>
      <c r="Y51" s="203" t="n">
        <v>0</v>
      </c>
      <c r="Z51" s="211">
        <f>IFERROR(Y51/Y$16,0)</f>
        <v/>
      </c>
      <c r="AB51" s="203">
        <f>SUM(C51,E51,G51,I51,K51,M51,O51,Q51,S51,U51,W51,Y51)</f>
        <v/>
      </c>
      <c r="AC51" s="211">
        <f>IFERROR(AB51/AB$16,0)</f>
        <v/>
      </c>
    </row>
    <row r="52" ht="15" customHeight="1" s="180">
      <c r="A52" s="184" t="inlineStr">
        <is>
          <t>Business Taxes</t>
        </is>
      </c>
      <c r="C52" s="203" t="n">
        <v>0</v>
      </c>
      <c r="D52" s="211">
        <f>IFERROR(C52/C$16,0)</f>
        <v/>
      </c>
      <c r="E52" s="203" t="n">
        <v>0</v>
      </c>
      <c r="F52" s="211">
        <f>IFERROR(E52/E$16,0)</f>
        <v/>
      </c>
      <c r="G52" s="203" t="n">
        <v>0</v>
      </c>
      <c r="H52" s="211">
        <f>IFERROR(G52/G$16,0)</f>
        <v/>
      </c>
      <c r="I52" s="203" t="n">
        <v>0</v>
      </c>
      <c r="J52" s="211">
        <f>IFERROR(I52/I$16,0)</f>
        <v/>
      </c>
      <c r="K52" s="203" t="n">
        <v>0</v>
      </c>
      <c r="L52" s="211">
        <f>IFERROR(K52/K$16,0)</f>
        <v/>
      </c>
      <c r="M52" s="203" t="n">
        <v>0</v>
      </c>
      <c r="N52" s="211">
        <f>IFERROR(M52/M$16,0)</f>
        <v/>
      </c>
      <c r="O52" s="203" t="n">
        <v>0</v>
      </c>
      <c r="P52" s="211">
        <f>IFERROR(O52/O$16,0)</f>
        <v/>
      </c>
      <c r="Q52" s="203" t="n">
        <v>0</v>
      </c>
      <c r="R52" s="211">
        <f>IFERROR(Q52/Q$16,0)</f>
        <v/>
      </c>
      <c r="S52" s="203" t="n">
        <v>0</v>
      </c>
      <c r="T52" s="211">
        <f>IFERROR(S52/S$16,0)</f>
        <v/>
      </c>
      <c r="U52" s="203" t="n">
        <v>0</v>
      </c>
      <c r="V52" s="211">
        <f>IFERROR(U52/U$16,0)</f>
        <v/>
      </c>
      <c r="W52" s="203" t="n">
        <v>0</v>
      </c>
      <c r="X52" s="211">
        <f>IFERROR(W52/W$16,0)</f>
        <v/>
      </c>
      <c r="Y52" s="203" t="n">
        <v>0</v>
      </c>
      <c r="Z52" s="211">
        <f>IFERROR(Y52/Y$16,0)</f>
        <v/>
      </c>
      <c r="AB52" s="203">
        <f>SUM(C52,E52,G52,I52,K52,M52,O52,Q52,S52,U52,W52,Y52)</f>
        <v/>
      </c>
      <c r="AC52" s="211">
        <f>IFERROR(AB52/AB$16,0)</f>
        <v/>
      </c>
    </row>
    <row r="53" ht="15" customHeight="1" s="180">
      <c r="A53" s="185" t="inlineStr">
        <is>
          <t>Total Uncontrollable Expenses</t>
        </is>
      </c>
      <c r="C53" s="206">
        <f>SUM(C47:C52)</f>
        <v/>
      </c>
      <c r="D53" s="212">
        <f>IFERROR(C53/C$16,0)</f>
        <v/>
      </c>
      <c r="E53" s="206">
        <f>SUM(E47:E52)</f>
        <v/>
      </c>
      <c r="F53" s="212">
        <f>IFERROR(E53/E$16,0)</f>
        <v/>
      </c>
      <c r="G53" s="206">
        <f>SUM(G47:G52)</f>
        <v/>
      </c>
      <c r="H53" s="212">
        <f>IFERROR(G53/G$16,0)</f>
        <v/>
      </c>
      <c r="I53" s="206">
        <f>SUM(I47:I52)</f>
        <v/>
      </c>
      <c r="J53" s="212">
        <f>IFERROR(I53/I$16,0)</f>
        <v/>
      </c>
      <c r="K53" s="206">
        <f>SUM(K47:K52)</f>
        <v/>
      </c>
      <c r="L53" s="212">
        <f>IFERROR(K53/K$16,0)</f>
        <v/>
      </c>
      <c r="M53" s="206">
        <f>SUM(M47:M52)</f>
        <v/>
      </c>
      <c r="N53" s="212">
        <f>IFERROR(M53/M$16,0)</f>
        <v/>
      </c>
      <c r="O53" s="206">
        <f>SUM(O47:O52)</f>
        <v/>
      </c>
      <c r="P53" s="212">
        <f>IFERROR(O53/O$16,0)</f>
        <v/>
      </c>
      <c r="Q53" s="206">
        <f>SUM(Q47:Q52)</f>
        <v/>
      </c>
      <c r="R53" s="212">
        <f>IFERROR(Q53/Q$16,0)</f>
        <v/>
      </c>
      <c r="S53" s="206">
        <f>SUM(S47:S52)</f>
        <v/>
      </c>
      <c r="T53" s="212">
        <f>IFERROR(S53/S$16,0)</f>
        <v/>
      </c>
      <c r="U53" s="206">
        <f>SUM(U47:U52)</f>
        <v/>
      </c>
      <c r="V53" s="212">
        <f>IFERROR(U53/U$16,0)</f>
        <v/>
      </c>
      <c r="W53" s="206">
        <f>SUM(W47:W52)</f>
        <v/>
      </c>
      <c r="X53" s="212">
        <f>IFERROR(W53/W$16,0)</f>
        <v/>
      </c>
      <c r="Y53" s="206">
        <f>SUM(Y47:Y52)</f>
        <v/>
      </c>
      <c r="Z53" s="212">
        <f>IFERROR(Y53/Y$16,0)</f>
        <v/>
      </c>
      <c r="AB53" s="206">
        <f>SUM(AB47:AB52)</f>
        <v/>
      </c>
      <c r="AC53" s="212">
        <f>IFERROR(AB53/AB$16,0)</f>
        <v/>
      </c>
    </row>
    <row r="55" ht="15" customHeight="1" s="180">
      <c r="A55" s="185" t="inlineStr">
        <is>
          <t>Net Operating Profit Before Debt Service</t>
        </is>
      </c>
      <c r="C55" s="206">
        <f>C36-C44-C53</f>
        <v/>
      </c>
      <c r="D55" s="212">
        <f>IFERROR(C55/C$16,0)</f>
        <v/>
      </c>
      <c r="E55" s="206">
        <f>E36-E44-E53</f>
        <v/>
      </c>
      <c r="F55" s="212">
        <f>IFERROR(E55/E$16,0)</f>
        <v/>
      </c>
      <c r="G55" s="206">
        <f>G36-G44-G53</f>
        <v/>
      </c>
      <c r="H55" s="212">
        <f>IFERROR(G55/G$16,0)</f>
        <v/>
      </c>
      <c r="I55" s="206">
        <f>I36-I44-I53</f>
        <v/>
      </c>
      <c r="J55" s="212">
        <f>IFERROR(I55/I$16,0)</f>
        <v/>
      </c>
      <c r="K55" s="206">
        <f>K36-K44-K53</f>
        <v/>
      </c>
      <c r="L55" s="212">
        <f>IFERROR(K55/K$16,0)</f>
        <v/>
      </c>
      <c r="M55" s="206">
        <f>M36-M44-M53</f>
        <v/>
      </c>
      <c r="N55" s="212">
        <f>IFERROR(M55/M$16,0)</f>
        <v/>
      </c>
      <c r="O55" s="206">
        <f>O36-O44-O53</f>
        <v/>
      </c>
      <c r="P55" s="212">
        <f>IFERROR(O55/O$16,0)</f>
        <v/>
      </c>
      <c r="Q55" s="206">
        <f>Q36-Q44-Q53</f>
        <v/>
      </c>
      <c r="R55" s="212">
        <f>IFERROR(Q55/Q$16,0)</f>
        <v/>
      </c>
      <c r="S55" s="206">
        <f>S36-S44-S53</f>
        <v/>
      </c>
      <c r="T55" s="212">
        <f>IFERROR(S55/S$16,0)</f>
        <v/>
      </c>
      <c r="U55" s="206">
        <f>U36-U44-U53</f>
        <v/>
      </c>
      <c r="V55" s="212">
        <f>IFERROR(U55/U$16,0)</f>
        <v/>
      </c>
      <c r="W55" s="206">
        <f>W36-W44-W53</f>
        <v/>
      </c>
      <c r="X55" s="212">
        <f>IFERROR(W55/W$16,0)</f>
        <v/>
      </c>
      <c r="Y55" s="206">
        <f>Y36-Y44-Y53</f>
        <v/>
      </c>
      <c r="Z55" s="212">
        <f>IFERROR(Y55/Y$16,0)</f>
        <v/>
      </c>
      <c r="AB55" s="206">
        <f>AB36-AB44-AB53</f>
        <v/>
      </c>
      <c r="AC55" s="212">
        <f>IFERROR(AB55/AB$16,0)</f>
        <v/>
      </c>
    </row>
    <row r="57" ht="15" customHeight="1" s="180">
      <c r="A57" s="184" t="inlineStr">
        <is>
          <t>Debt Service</t>
        </is>
      </c>
      <c r="C57" s="203" t="n">
        <v>0</v>
      </c>
      <c r="D57" s="211">
        <f>IFERROR(C57/C$16,0)</f>
        <v/>
      </c>
      <c r="E57" s="203" t="n">
        <v>0</v>
      </c>
      <c r="F57" s="211">
        <f>IFERROR(E57/E$16,0)</f>
        <v/>
      </c>
      <c r="G57" s="203" t="n">
        <v>0</v>
      </c>
      <c r="H57" s="211">
        <f>IFERROR(G57/G$16,0)</f>
        <v/>
      </c>
      <c r="I57" s="203" t="n">
        <v>0</v>
      </c>
      <c r="J57" s="211">
        <f>IFERROR(I57/I$16,0)</f>
        <v/>
      </c>
      <c r="K57" s="203" t="n">
        <v>0</v>
      </c>
      <c r="L57" s="211">
        <f>IFERROR(K57/K$16,0)</f>
        <v/>
      </c>
      <c r="M57" s="203" t="n">
        <v>0</v>
      </c>
      <c r="N57" s="211">
        <f>IFERROR(M57/M$16,0)</f>
        <v/>
      </c>
      <c r="O57" s="203" t="n">
        <v>0</v>
      </c>
      <c r="P57" s="211">
        <f>IFERROR(O57/O$16,0)</f>
        <v/>
      </c>
      <c r="Q57" s="203" t="n">
        <v>0</v>
      </c>
      <c r="R57" s="211">
        <f>IFERROR(Q57/Q$16,0)</f>
        <v/>
      </c>
      <c r="S57" s="203" t="n">
        <v>0</v>
      </c>
      <c r="T57" s="211">
        <f>IFERROR(S57/S$16,0)</f>
        <v/>
      </c>
      <c r="U57" s="203" t="n">
        <v>0</v>
      </c>
      <c r="V57" s="211">
        <f>IFERROR(U57/U$16,0)</f>
        <v/>
      </c>
      <c r="W57" s="203" t="n">
        <v>0</v>
      </c>
      <c r="X57" s="211">
        <f>IFERROR(W57/W$16,0)</f>
        <v/>
      </c>
      <c r="Y57" s="203" t="n">
        <v>0</v>
      </c>
      <c r="Z57" s="211">
        <f>IFERROR(Y57/Y$16,0)</f>
        <v/>
      </c>
      <c r="AB57" s="203">
        <f>SUM(C57,E57,G57,I57,K57,M57,O57,Q57,S57,U57,W57,Y57)</f>
        <v/>
      </c>
      <c r="AC57" s="211">
        <f>IFERROR(AB57/AB$16,0)</f>
        <v/>
      </c>
    </row>
    <row r="59" ht="15" customHeight="1" s="180">
      <c r="A59" s="185" t="inlineStr">
        <is>
          <t>Net Operating Profit After Debt Service</t>
        </is>
      </c>
      <c r="C59" s="186">
        <f>C55-C57</f>
        <v/>
      </c>
      <c r="D59" s="187">
        <f>IFERROR(C59/C$16,0)</f>
        <v/>
      </c>
      <c r="E59" s="186">
        <f>E55-E57</f>
        <v/>
      </c>
      <c r="F59" s="187">
        <f>IFERROR(E59/E$16,0)</f>
        <v/>
      </c>
      <c r="G59" s="186">
        <f>G55-G57</f>
        <v/>
      </c>
      <c r="H59" s="187">
        <f>IFERROR(G59/G$16,0)</f>
        <v/>
      </c>
      <c r="I59" s="186">
        <f>I55-I57</f>
        <v/>
      </c>
      <c r="J59" s="187">
        <f>IFERROR(I59/I$16,0)</f>
        <v/>
      </c>
      <c r="K59" s="186">
        <f>K55-K57</f>
        <v/>
      </c>
      <c r="L59" s="187">
        <f>IFERROR(K59/K$16,0)</f>
        <v/>
      </c>
      <c r="M59" s="186">
        <f>M55-M57</f>
        <v/>
      </c>
      <c r="N59" s="187">
        <f>IFERROR(M59/M$16,0)</f>
        <v/>
      </c>
      <c r="O59" s="186">
        <f>O55-O57</f>
        <v/>
      </c>
      <c r="P59" s="187">
        <f>IFERROR(O59/O$16,0)</f>
        <v/>
      </c>
      <c r="Q59" s="186">
        <f>Q55-Q57</f>
        <v/>
      </c>
      <c r="R59" s="187">
        <f>IFERROR(Q59/Q$16,0)</f>
        <v/>
      </c>
      <c r="S59" s="186">
        <f>S55-S57</f>
        <v/>
      </c>
      <c r="T59" s="187">
        <f>IFERROR(S59/S$16,0)</f>
        <v/>
      </c>
      <c r="U59" s="186">
        <f>U55-U57</f>
        <v/>
      </c>
      <c r="V59" s="187">
        <f>IFERROR(U59/U$16,0)</f>
        <v/>
      </c>
      <c r="W59" s="186">
        <f>W55-W57</f>
        <v/>
      </c>
      <c r="X59" s="187">
        <f>IFERROR(W59/W$16,0)</f>
        <v/>
      </c>
      <c r="Y59" s="186">
        <f>Y55-Y57</f>
        <v/>
      </c>
      <c r="Z59" s="187">
        <f>IFERROR(Y59/Y$16,0)</f>
        <v/>
      </c>
      <c r="AB59" s="186">
        <f>AB55-AB57</f>
        <v/>
      </c>
      <c r="AC59" s="187">
        <f>IFERROR(AB59/AB$16,0)</f>
        <v/>
      </c>
    </row>
    <row r="61" ht="15" customHeight="1" s="180">
      <c r="A61" s="184" t="inlineStr">
        <is>
          <t>Other (Income) Expense</t>
        </is>
      </c>
      <c r="C61" s="203" t="n">
        <v>0</v>
      </c>
      <c r="D61" s="211">
        <f>IFERROR(C61/C$16,0)</f>
        <v/>
      </c>
      <c r="E61" s="203" t="n">
        <v>0</v>
      </c>
      <c r="F61" s="211">
        <f>IFERROR(E61/E$16,0)</f>
        <v/>
      </c>
      <c r="G61" s="203" t="n">
        <v>0</v>
      </c>
      <c r="H61" s="211">
        <f>IFERROR(G61/G$16,0)</f>
        <v/>
      </c>
      <c r="I61" s="203" t="n">
        <v>0</v>
      </c>
      <c r="J61" s="211">
        <f>IFERROR(I61/I$16,0)</f>
        <v/>
      </c>
      <c r="K61" s="203" t="n">
        <v>0</v>
      </c>
      <c r="L61" s="211">
        <f>IFERROR(K61/K$16,0)</f>
        <v/>
      </c>
      <c r="M61" s="203" t="n">
        <v>0</v>
      </c>
      <c r="N61" s="211">
        <f>IFERROR(M61/M$16,0)</f>
        <v/>
      </c>
      <c r="O61" s="203" t="n">
        <v>0</v>
      </c>
      <c r="P61" s="211">
        <f>IFERROR(O61/O$16,0)</f>
        <v/>
      </c>
      <c r="Q61" s="203" t="n">
        <v>0</v>
      </c>
      <c r="R61" s="211">
        <f>IFERROR(Q61/Q$16,0)</f>
        <v/>
      </c>
      <c r="S61" s="203" t="n">
        <v>0</v>
      </c>
      <c r="T61" s="211">
        <f>IFERROR(S61/S$16,0)</f>
        <v/>
      </c>
      <c r="U61" s="203" t="n">
        <v>0</v>
      </c>
      <c r="V61" s="211">
        <f>IFERROR(U61/U$16,0)</f>
        <v/>
      </c>
      <c r="W61" s="203" t="n">
        <v>0</v>
      </c>
      <c r="X61" s="211">
        <f>IFERROR(W61/W$16,0)</f>
        <v/>
      </c>
      <c r="Y61" s="203" t="n">
        <v>0</v>
      </c>
      <c r="Z61" s="211">
        <f>IFERROR(Y61/Y$16,0)</f>
        <v/>
      </c>
      <c r="AB61" s="203">
        <f>SUM(C61,E61,G61,I61,K61,M61,O61,Q61,S61,U61,W61,Y61)</f>
        <v/>
      </c>
      <c r="AC61" s="211">
        <f>IFERROR(AB61/AB$16,0)</f>
        <v/>
      </c>
    </row>
    <row r="62" ht="15" customHeight="1" s="180">
      <c r="A62" s="184" t="inlineStr">
        <is>
          <t>Reserve / CapEx</t>
        </is>
      </c>
      <c r="C62" s="203" t="n">
        <v>239</v>
      </c>
      <c r="D62" s="211">
        <f>IFERROR(C62/C$16,0)</f>
        <v/>
      </c>
      <c r="E62" s="203" t="n">
        <v>217</v>
      </c>
      <c r="F62" s="211">
        <f>IFERROR(E62/E$16,0)</f>
        <v/>
      </c>
      <c r="G62" s="203" t="n">
        <v>239</v>
      </c>
      <c r="H62" s="211">
        <f>IFERROR(G62/G$16,0)</f>
        <v/>
      </c>
      <c r="I62" s="203" t="n">
        <v>331</v>
      </c>
      <c r="J62" s="211">
        <f>IFERROR(I62/I$16,0)</f>
        <v/>
      </c>
      <c r="K62" s="203" t="n">
        <v>249</v>
      </c>
      <c r="L62" s="211">
        <f>IFERROR(K62/K$16,0)</f>
        <v/>
      </c>
      <c r="M62" s="203" t="n">
        <v>271</v>
      </c>
      <c r="N62" s="211">
        <f>IFERROR(M62/M$16,0)</f>
        <v/>
      </c>
      <c r="O62" s="203" t="n">
        <v>249</v>
      </c>
      <c r="P62" s="211">
        <f>IFERROR(O62/O$16,0)</f>
        <v/>
      </c>
      <c r="Q62" s="203" t="n">
        <v>249</v>
      </c>
      <c r="R62" s="211">
        <f>IFERROR(Q62/Q$16,0)</f>
        <v/>
      </c>
      <c r="S62" s="203" t="n">
        <v>249</v>
      </c>
      <c r="T62" s="211">
        <f>IFERROR(S62/S$16,0)</f>
        <v/>
      </c>
      <c r="U62" s="203" t="n">
        <v>249</v>
      </c>
      <c r="V62" s="211">
        <f>IFERROR(U62/U$16,0)</f>
        <v/>
      </c>
      <c r="W62" s="203" t="n">
        <v>249</v>
      </c>
      <c r="X62" s="211">
        <f>IFERROR(W62/W$16,0)</f>
        <v/>
      </c>
      <c r="Y62" s="203" t="n">
        <v>249</v>
      </c>
      <c r="Z62" s="211">
        <f>IFERROR(Y62/Y$16,0)</f>
        <v/>
      </c>
      <c r="AB62" s="203">
        <f>SUM(C62,E62,G62,I62,K62,M62,O62,Q62,S62,U62,W62,Y62)</f>
        <v/>
      </c>
      <c r="AC62" s="211">
        <f>IFERROR(AB62/AB$16,0)</f>
        <v/>
      </c>
    </row>
    <row r="63" ht="15" customHeight="1" s="180">
      <c r="A63" s="185" t="inlineStr">
        <is>
          <t>Net Cash Flow</t>
        </is>
      </c>
      <c r="C63" s="213">
        <f>C59-C61-C62</f>
        <v/>
      </c>
      <c r="D63" s="214">
        <f>IFERROR(C63/C$16,0)</f>
        <v/>
      </c>
      <c r="E63" s="213">
        <f>E59-E61-E62</f>
        <v/>
      </c>
      <c r="F63" s="214">
        <f>IFERROR(E63/E$16,0)</f>
        <v/>
      </c>
      <c r="G63" s="213">
        <f>G59-G61-G62</f>
        <v/>
      </c>
      <c r="H63" s="214">
        <f>IFERROR(G63/G$16,0)</f>
        <v/>
      </c>
      <c r="I63" s="213">
        <f>I59-I61-I62</f>
        <v/>
      </c>
      <c r="J63" s="214">
        <f>IFERROR(I63/I$16,0)</f>
        <v/>
      </c>
      <c r="K63" s="213">
        <f>K59-K61-K62</f>
        <v/>
      </c>
      <c r="L63" s="214">
        <f>IFERROR(K63/K$16,0)</f>
        <v/>
      </c>
      <c r="M63" s="213">
        <f>M59-M61-M62</f>
        <v/>
      </c>
      <c r="N63" s="214">
        <f>IFERROR(M63/M$16,0)</f>
        <v/>
      </c>
      <c r="O63" s="213">
        <f>O59-O61-O62</f>
        <v/>
      </c>
      <c r="P63" s="214">
        <f>IFERROR(O63/O$16,0)</f>
        <v/>
      </c>
      <c r="Q63" s="213">
        <f>Q59-Q61-Q62</f>
        <v/>
      </c>
      <c r="R63" s="214">
        <f>IFERROR(Q63/Q$16,0)</f>
        <v/>
      </c>
      <c r="S63" s="213">
        <f>S59-S61-S62</f>
        <v/>
      </c>
      <c r="T63" s="214">
        <f>IFERROR(S63/S$16,0)</f>
        <v/>
      </c>
      <c r="U63" s="213">
        <f>U59-U61-U62</f>
        <v/>
      </c>
      <c r="V63" s="214">
        <f>IFERROR(U63/U$16,0)</f>
        <v/>
      </c>
      <c r="W63" s="213">
        <f>W59-W61-W62</f>
        <v/>
      </c>
      <c r="X63" s="214">
        <f>IFERROR(W63/W$16,0)</f>
        <v/>
      </c>
      <c r="Y63" s="213">
        <f>Y59-Y61-Y62</f>
        <v/>
      </c>
      <c r="Z63" s="214">
        <f>IFERROR(Y63/Y$16,0)</f>
        <v/>
      </c>
      <c r="AB63" s="213">
        <f>AB59-AB61-AB62</f>
        <v/>
      </c>
      <c r="AC63" s="214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2026 Act/For MODIFIED · Jan–Jun actual, levers live from go-live date (staffing · pricing · retail · 4%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46235</v>
      </c>
      <c r="D4" s="182" t="inlineStr">
        <is>
          <t>months on/after this date apply the levers; earlier months = unmodified Act/For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IF(1&gt;=MONTH($C$4),'LW 2026 P&amp;L'!C9+('LW Assumptions'!$C$43*'LW Assumptions'!$C$44/12)*IFERROR('LW Menu Pricing'!$C$34/'LW Menu Pricing'!$C$35,0),'LW 2026 P&amp;L'!C9)</f>
        <v/>
      </c>
      <c r="D12" s="211">
        <f>IFERROR(C12/C$20,0)</f>
        <v/>
      </c>
      <c r="E12" s="203">
        <f>IF(2&gt;=MONTH($C$4),'LW 2026 P&amp;L'!E9+('LW Assumptions'!$C$43*'LW Assumptions'!$C$44/12)*IFERROR('LW Menu Pricing'!$C$34/'LW Menu Pricing'!$C$35,0),'LW 2026 P&amp;L'!E9)</f>
        <v/>
      </c>
      <c r="F12" s="211">
        <f>IFERROR(E12/E$20,0)</f>
        <v/>
      </c>
      <c r="G12" s="203">
        <f>IF(3&gt;=MONTH($C$4),'LW 2026 P&amp;L'!G9+('LW Assumptions'!$C$43*'LW Assumptions'!$C$44/12)*IFERROR('LW Menu Pricing'!$C$34/'LW Menu Pricing'!$C$35,0),'LW 2026 P&amp;L'!G9)</f>
        <v/>
      </c>
      <c r="H12" s="211">
        <f>IFERROR(G12/G$20,0)</f>
        <v/>
      </c>
      <c r="I12" s="203">
        <f>IF(4&gt;=MONTH($C$4),'LW 2026 P&amp;L'!I9+('LW Assumptions'!$C$43*'LW Assumptions'!$C$44/12)*IFERROR('LW Menu Pricing'!$C$34/'LW Menu Pricing'!$C$35,0),'LW 2026 P&amp;L'!I9)</f>
        <v/>
      </c>
      <c r="J12" s="211">
        <f>IFERROR(I12/I$20,0)</f>
        <v/>
      </c>
      <c r="K12" s="203">
        <f>IF(5&gt;=MONTH($C$4),'LW 2026 P&amp;L'!K9+('LW Assumptions'!$C$43*'LW Assumptions'!$C$44/12)*IFERROR('LW Menu Pricing'!$C$34/'LW Menu Pricing'!$C$35,0),'LW 2026 P&amp;L'!K9)</f>
        <v/>
      </c>
      <c r="L12" s="211">
        <f>IFERROR(K12/K$20,0)</f>
        <v/>
      </c>
      <c r="M12" s="203">
        <f>IF(6&gt;=MONTH($C$4),'LW 2026 P&amp;L'!M9+('LW Assumptions'!$C$43*'LW Assumptions'!$C$44/12)*IFERROR('LW Menu Pricing'!$C$34/'LW Menu Pricing'!$C$35,0),'LW 2026 P&amp;L'!M9)</f>
        <v/>
      </c>
      <c r="N12" s="211">
        <f>IFERROR(M12/M$20,0)</f>
        <v/>
      </c>
      <c r="O12" s="203">
        <f>IF(7&gt;=MONTH($C$4),'LW 2026 P&amp;L'!O9+('LW Assumptions'!$C$43*'LW Assumptions'!$C$44/12)*IFERROR('LW Menu Pricing'!$C$34/'LW Menu Pricing'!$C$35,0),'LW 2026 P&amp;L'!O9)</f>
        <v/>
      </c>
      <c r="P12" s="211">
        <f>IFERROR(O12/O$20,0)</f>
        <v/>
      </c>
      <c r="Q12" s="203">
        <f>IF(8&gt;=MONTH($C$4),'LW 2026 P&amp;L'!Q9+('LW Assumptions'!$C$43*'LW Assumptions'!$C$44/12)*IFERROR('LW Menu Pricing'!$C$34/'LW Menu Pricing'!$C$35,0),'LW 2026 P&amp;L'!Q9)</f>
        <v/>
      </c>
      <c r="R12" s="211">
        <f>IFERROR(Q12/Q$20,0)</f>
        <v/>
      </c>
      <c r="S12" s="203">
        <f>IF(9&gt;=MONTH($C$4),'LW 2026 P&amp;L'!S9+('LW Assumptions'!$C$43*'LW Assumptions'!$C$44/12)*IFERROR('LW Menu Pricing'!$C$34/'LW Menu Pricing'!$C$35,0),'LW 2026 P&amp;L'!S9)</f>
        <v/>
      </c>
      <c r="T12" s="211">
        <f>IFERROR(S12/S$20,0)</f>
        <v/>
      </c>
      <c r="U12" s="203">
        <f>IF(10&gt;=MONTH($C$4),'LW 2026 P&amp;L'!U9+('LW Assumptions'!$C$43*'LW Assumptions'!$C$44/12)*IFERROR('LW Menu Pricing'!$C$34/'LW Menu Pricing'!$C$35,0),'LW 2026 P&amp;L'!U9)</f>
        <v/>
      </c>
      <c r="V12" s="211">
        <f>IFERROR(U12/U$20,0)</f>
        <v/>
      </c>
      <c r="W12" s="203">
        <f>IF(11&gt;=MONTH($C$4),'LW 2026 P&amp;L'!W9+('LW Assumptions'!$C$43*'LW Assumptions'!$C$44/12)*IFERROR('LW Menu Pricing'!$C$34/'LW Menu Pricing'!$C$35,0),'LW 2026 P&amp;L'!W9)</f>
        <v/>
      </c>
      <c r="X12" s="211">
        <f>IFERROR(W12/W$20,0)</f>
        <v/>
      </c>
      <c r="Y12" s="203">
        <f>IF(12&gt;=MONTH($C$4),'LW 2026 P&amp;L'!Y9+('LW Assumptions'!$C$43*'LW Assumptions'!$C$44/12)*IFERROR('LW Menu Pricing'!$C$34/'LW Menu Pricing'!$C$35,0),'LW 2026 P&amp;L'!Y9)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IF(1&gt;=MONTH($C$4),'LW 2026 P&amp;L'!C10+('LW Assumptions'!$C$43*'LW Assumptions'!$C$44/12)*IFERROR('LW Menu Pricing'!$C$33/'LW Menu Pricing'!$C$35,0),'LW 2026 P&amp;L'!C10)</f>
        <v/>
      </c>
      <c r="D13" s="211">
        <f>IFERROR(C13/C$20,0)</f>
        <v/>
      </c>
      <c r="E13" s="203">
        <f>IF(2&gt;=MONTH($C$4),'LW 2026 P&amp;L'!E10+('LW Assumptions'!$C$43*'LW Assumptions'!$C$44/12)*IFERROR('LW Menu Pricing'!$C$33/'LW Menu Pricing'!$C$35,0),'LW 2026 P&amp;L'!E10)</f>
        <v/>
      </c>
      <c r="F13" s="211">
        <f>IFERROR(E13/E$20,0)</f>
        <v/>
      </c>
      <c r="G13" s="203">
        <f>IF(3&gt;=MONTH($C$4),'LW 2026 P&amp;L'!G10+('LW Assumptions'!$C$43*'LW Assumptions'!$C$44/12)*IFERROR('LW Menu Pricing'!$C$33/'LW Menu Pricing'!$C$35,0),'LW 2026 P&amp;L'!G10)</f>
        <v/>
      </c>
      <c r="H13" s="211">
        <f>IFERROR(G13/G$20,0)</f>
        <v/>
      </c>
      <c r="I13" s="203">
        <f>IF(4&gt;=MONTH($C$4),'LW 2026 P&amp;L'!I10+('LW Assumptions'!$C$43*'LW Assumptions'!$C$44/12)*IFERROR('LW Menu Pricing'!$C$33/'LW Menu Pricing'!$C$35,0),'LW 2026 P&amp;L'!I10)</f>
        <v/>
      </c>
      <c r="J13" s="211">
        <f>IFERROR(I13/I$20,0)</f>
        <v/>
      </c>
      <c r="K13" s="203">
        <f>IF(5&gt;=MONTH($C$4),'LW 2026 P&amp;L'!K10+('LW Assumptions'!$C$43*'LW Assumptions'!$C$44/12)*IFERROR('LW Menu Pricing'!$C$33/'LW Menu Pricing'!$C$35,0),'LW 2026 P&amp;L'!K10)</f>
        <v/>
      </c>
      <c r="L13" s="211">
        <f>IFERROR(K13/K$20,0)</f>
        <v/>
      </c>
      <c r="M13" s="203">
        <f>IF(6&gt;=MONTH($C$4),'LW 2026 P&amp;L'!M10+('LW Assumptions'!$C$43*'LW Assumptions'!$C$44/12)*IFERROR('LW Menu Pricing'!$C$33/'LW Menu Pricing'!$C$35,0),'LW 2026 P&amp;L'!M10)</f>
        <v/>
      </c>
      <c r="N13" s="211">
        <f>IFERROR(M13/M$20,0)</f>
        <v/>
      </c>
      <c r="O13" s="203">
        <f>IF(7&gt;=MONTH($C$4),'LW 2026 P&amp;L'!O10+('LW Assumptions'!$C$43*'LW Assumptions'!$C$44/12)*IFERROR('LW Menu Pricing'!$C$33/'LW Menu Pricing'!$C$35,0),'LW 2026 P&amp;L'!O10)</f>
        <v/>
      </c>
      <c r="P13" s="211">
        <f>IFERROR(O13/O$20,0)</f>
        <v/>
      </c>
      <c r="Q13" s="203">
        <f>IF(8&gt;=MONTH($C$4),'LW 2026 P&amp;L'!Q10+('LW Assumptions'!$C$43*'LW Assumptions'!$C$44/12)*IFERROR('LW Menu Pricing'!$C$33/'LW Menu Pricing'!$C$35,0),'LW 2026 P&amp;L'!Q10)</f>
        <v/>
      </c>
      <c r="R13" s="211">
        <f>IFERROR(Q13/Q$20,0)</f>
        <v/>
      </c>
      <c r="S13" s="203">
        <f>IF(9&gt;=MONTH($C$4),'LW 2026 P&amp;L'!S10+('LW Assumptions'!$C$43*'LW Assumptions'!$C$44/12)*IFERROR('LW Menu Pricing'!$C$33/'LW Menu Pricing'!$C$35,0),'LW 2026 P&amp;L'!S10)</f>
        <v/>
      </c>
      <c r="T13" s="211">
        <f>IFERROR(S13/S$20,0)</f>
        <v/>
      </c>
      <c r="U13" s="203">
        <f>IF(10&gt;=MONTH($C$4),'LW 2026 P&amp;L'!U10+('LW Assumptions'!$C$43*'LW Assumptions'!$C$44/12)*IFERROR('LW Menu Pricing'!$C$33/'LW Menu Pricing'!$C$35,0),'LW 2026 P&amp;L'!U10)</f>
        <v/>
      </c>
      <c r="V13" s="211">
        <f>IFERROR(U13/U$20,0)</f>
        <v/>
      </c>
      <c r="W13" s="203">
        <f>IF(11&gt;=MONTH($C$4),'LW 2026 P&amp;L'!W10+('LW Assumptions'!$C$43*'LW Assumptions'!$C$44/12)*IFERROR('LW Menu Pricing'!$C$33/'LW Menu Pricing'!$C$35,0),'LW 2026 P&amp;L'!W10)</f>
        <v/>
      </c>
      <c r="X13" s="211">
        <f>IFERROR(W13/W$20,0)</f>
        <v/>
      </c>
      <c r="Y13" s="203">
        <f>IF(12&gt;=MONTH($C$4),'LW 2026 P&amp;L'!Y10+('LW Assumptions'!$C$43*'LW Assumptions'!$C$44/12)*IFERROR('LW Menu Pricing'!$C$33/'LW Menu Pricing'!$C$35,0),'LW 2026 P&amp;L'!Y10)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IF(1&gt;=MONTH($C$4),'LW 2026 P&amp;L'!C11+('LW Assumptions'!$C$43*'LW Assumptions'!$C$44/12)*(1-IFERROR('LW Menu Pricing'!$C$34/'LW Menu Pricing'!$C$35,0)-IFERROR('LW Menu Pricing'!$C$33/'LW Menu Pricing'!$C$35,0)),'LW 2026 P&amp;L'!C11)</f>
        <v/>
      </c>
      <c r="D14" s="211">
        <f>IFERROR(C14/C$20,0)</f>
        <v/>
      </c>
      <c r="E14" s="203">
        <f>IF(2&gt;=MONTH($C$4),'LW 2026 P&amp;L'!E11+('LW Assumptions'!$C$43*'LW Assumptions'!$C$44/12)*(1-IFERROR('LW Menu Pricing'!$C$34/'LW Menu Pricing'!$C$35,0)-IFERROR('LW Menu Pricing'!$C$33/'LW Menu Pricing'!$C$35,0)),'LW 2026 P&amp;L'!E11)</f>
        <v/>
      </c>
      <c r="F14" s="211">
        <f>IFERROR(E14/E$20,0)</f>
        <v/>
      </c>
      <c r="G14" s="203">
        <f>IF(3&gt;=MONTH($C$4),'LW 2026 P&amp;L'!G11+('LW Assumptions'!$C$43*'LW Assumptions'!$C$44/12)*(1-IFERROR('LW Menu Pricing'!$C$34/'LW Menu Pricing'!$C$35,0)-IFERROR('LW Menu Pricing'!$C$33/'LW Menu Pricing'!$C$35,0)),'LW 2026 P&amp;L'!G11)</f>
        <v/>
      </c>
      <c r="H14" s="211">
        <f>IFERROR(G14/G$20,0)</f>
        <v/>
      </c>
      <c r="I14" s="203">
        <f>IF(4&gt;=MONTH($C$4),'LW 2026 P&amp;L'!I11+('LW Assumptions'!$C$43*'LW Assumptions'!$C$44/12)*(1-IFERROR('LW Menu Pricing'!$C$34/'LW Menu Pricing'!$C$35,0)-IFERROR('LW Menu Pricing'!$C$33/'LW Menu Pricing'!$C$35,0)),'LW 2026 P&amp;L'!I11)</f>
        <v/>
      </c>
      <c r="J14" s="211">
        <f>IFERROR(I14/I$20,0)</f>
        <v/>
      </c>
      <c r="K14" s="203">
        <f>IF(5&gt;=MONTH($C$4),'LW 2026 P&amp;L'!K11+('LW Assumptions'!$C$43*'LW Assumptions'!$C$44/12)*(1-IFERROR('LW Menu Pricing'!$C$34/'LW Menu Pricing'!$C$35,0)-IFERROR('LW Menu Pricing'!$C$33/'LW Menu Pricing'!$C$35,0)),'LW 2026 P&amp;L'!K11)</f>
        <v/>
      </c>
      <c r="L14" s="211">
        <f>IFERROR(K14/K$20,0)</f>
        <v/>
      </c>
      <c r="M14" s="203">
        <f>IF(6&gt;=MONTH($C$4),'LW 2026 P&amp;L'!M11+('LW Assumptions'!$C$43*'LW Assumptions'!$C$44/12)*(1-IFERROR('LW Menu Pricing'!$C$34/'LW Menu Pricing'!$C$35,0)-IFERROR('LW Menu Pricing'!$C$33/'LW Menu Pricing'!$C$35,0)),'LW 2026 P&amp;L'!M11)</f>
        <v/>
      </c>
      <c r="N14" s="211">
        <f>IFERROR(M14/M$20,0)</f>
        <v/>
      </c>
      <c r="O14" s="203">
        <f>IF(7&gt;=MONTH($C$4),'LW 2026 P&amp;L'!O11+('LW Assumptions'!$C$43*'LW Assumptions'!$C$44/12)*(1-IFERROR('LW Menu Pricing'!$C$34/'LW Menu Pricing'!$C$35,0)-IFERROR('LW Menu Pricing'!$C$33/'LW Menu Pricing'!$C$35,0)),'LW 2026 P&amp;L'!O11)</f>
        <v/>
      </c>
      <c r="P14" s="211">
        <f>IFERROR(O14/O$20,0)</f>
        <v/>
      </c>
      <c r="Q14" s="203">
        <f>IF(8&gt;=MONTH($C$4),'LW 2026 P&amp;L'!Q11+('LW Assumptions'!$C$43*'LW Assumptions'!$C$44/12)*(1-IFERROR('LW Menu Pricing'!$C$34/'LW Menu Pricing'!$C$35,0)-IFERROR('LW Menu Pricing'!$C$33/'LW Menu Pricing'!$C$35,0)),'LW 2026 P&amp;L'!Q11)</f>
        <v/>
      </c>
      <c r="R14" s="211">
        <f>IFERROR(Q14/Q$20,0)</f>
        <v/>
      </c>
      <c r="S14" s="203">
        <f>IF(9&gt;=MONTH($C$4),'LW 2026 P&amp;L'!S11+('LW Assumptions'!$C$43*'LW Assumptions'!$C$44/12)*(1-IFERROR('LW Menu Pricing'!$C$34/'LW Menu Pricing'!$C$35,0)-IFERROR('LW Menu Pricing'!$C$33/'LW Menu Pricing'!$C$35,0)),'LW 2026 P&amp;L'!S11)</f>
        <v/>
      </c>
      <c r="T14" s="211">
        <f>IFERROR(S14/S$20,0)</f>
        <v/>
      </c>
      <c r="U14" s="203">
        <f>IF(10&gt;=MONTH($C$4),'LW 2026 P&amp;L'!U11+('LW Assumptions'!$C$43*'LW Assumptions'!$C$44/12)*(1-IFERROR('LW Menu Pricing'!$C$34/'LW Menu Pricing'!$C$35,0)-IFERROR('LW Menu Pricing'!$C$33/'LW Menu Pricing'!$C$35,0)),'LW 2026 P&amp;L'!U11)</f>
        <v/>
      </c>
      <c r="V14" s="211">
        <f>IFERROR(U14/U$20,0)</f>
        <v/>
      </c>
      <c r="W14" s="203">
        <f>IF(11&gt;=MONTH($C$4),'LW 2026 P&amp;L'!W11+('LW Assumptions'!$C$43*'LW Assumptions'!$C$44/12)*(1-IFERROR('LW Menu Pricing'!$C$34/'LW Menu Pricing'!$C$35,0)-IFERROR('LW Menu Pricing'!$C$33/'LW Menu Pricing'!$C$35,0)),'LW 2026 P&amp;L'!W11)</f>
        <v/>
      </c>
      <c r="X14" s="211">
        <f>IFERROR(W14/W$20,0)</f>
        <v/>
      </c>
      <c r="Y14" s="203">
        <f>IF(12&gt;=MONTH($C$4),'LW 2026 P&amp;L'!Y11+('LW Assumptions'!$C$43*'LW Assumptions'!$C$44/12)*(1-IFERROR('LW Menu Pricing'!$C$34/'LW Menu Pricing'!$C$35,0)-IFERROR('LW Menu Pricing'!$C$33/'LW Menu Pricing'!$C$35,0)),'LW 2026 P&amp;L'!Y11)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P&amp;L'!C12</f>
        <v/>
      </c>
      <c r="D15" s="211">
        <f>IFERROR(C15/C$20,0)</f>
        <v/>
      </c>
      <c r="E15" s="203">
        <f>'LW 2026 P&amp;L'!E12</f>
        <v/>
      </c>
      <c r="F15" s="211">
        <f>IFERROR(E15/E$20,0)</f>
        <v/>
      </c>
      <c r="G15" s="203">
        <f>'LW 2026 P&amp;L'!G12</f>
        <v/>
      </c>
      <c r="H15" s="211">
        <f>IFERROR(G15/G$20,0)</f>
        <v/>
      </c>
      <c r="I15" s="203">
        <f>'LW 2026 P&amp;L'!I12</f>
        <v/>
      </c>
      <c r="J15" s="211">
        <f>IFERROR(I15/I$20,0)</f>
        <v/>
      </c>
      <c r="K15" s="203">
        <f>'LW 2026 P&amp;L'!K12</f>
        <v/>
      </c>
      <c r="L15" s="211">
        <f>IFERROR(K15/K$20,0)</f>
        <v/>
      </c>
      <c r="M15" s="203">
        <f>'LW 2026 P&amp;L'!M12</f>
        <v/>
      </c>
      <c r="N15" s="211">
        <f>IFERROR(M15/M$20,0)</f>
        <v/>
      </c>
      <c r="O15" s="203">
        <f>'LW 2026 P&amp;L'!O12</f>
        <v/>
      </c>
      <c r="P15" s="211">
        <f>IFERROR(O15/O$20,0)</f>
        <v/>
      </c>
      <c r="Q15" s="203">
        <f>'LW 2026 P&amp;L'!Q12</f>
        <v/>
      </c>
      <c r="R15" s="211">
        <f>IFERROR(Q15/Q$20,0)</f>
        <v/>
      </c>
      <c r="S15" s="203">
        <f>'LW 2026 P&amp;L'!S12</f>
        <v/>
      </c>
      <c r="T15" s="211">
        <f>IFERROR(S15/S$20,0)</f>
        <v/>
      </c>
      <c r="U15" s="203">
        <f>'LW 2026 P&amp;L'!U12</f>
        <v/>
      </c>
      <c r="V15" s="211">
        <f>IFERROR(U15/U$20,0)</f>
        <v/>
      </c>
      <c r="W15" s="203">
        <f>'LW 2026 P&amp;L'!W12</f>
        <v/>
      </c>
      <c r="X15" s="211">
        <f>IFERROR(W15/W$20,0)</f>
        <v/>
      </c>
      <c r="Y15" s="203">
        <f>'LW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P&amp;L'!C13</f>
        <v/>
      </c>
      <c r="D16" s="211">
        <f>IFERROR(C16/C$20,0)</f>
        <v/>
      </c>
      <c r="E16" s="203">
        <f>'LW 2026 P&amp;L'!E13</f>
        <v/>
      </c>
      <c r="F16" s="211">
        <f>IFERROR(E16/E$20,0)</f>
        <v/>
      </c>
      <c r="G16" s="203">
        <f>'LW 2026 P&amp;L'!G13</f>
        <v/>
      </c>
      <c r="H16" s="211">
        <f>IFERROR(G16/G$20,0)</f>
        <v/>
      </c>
      <c r="I16" s="203">
        <f>'LW 2026 P&amp;L'!I13</f>
        <v/>
      </c>
      <c r="J16" s="211">
        <f>IFERROR(I16/I$20,0)</f>
        <v/>
      </c>
      <c r="K16" s="203">
        <f>'LW 2026 P&amp;L'!K13</f>
        <v/>
      </c>
      <c r="L16" s="211">
        <f>IFERROR(K16/K$20,0)</f>
        <v/>
      </c>
      <c r="M16" s="203">
        <f>'LW 2026 P&amp;L'!M13</f>
        <v/>
      </c>
      <c r="N16" s="211">
        <f>IFERROR(M16/M$20,0)</f>
        <v/>
      </c>
      <c r="O16" s="203">
        <f>'LW 2026 P&amp;L'!O13</f>
        <v/>
      </c>
      <c r="P16" s="211">
        <f>IFERROR(O16/O$20,0)</f>
        <v/>
      </c>
      <c r="Q16" s="203">
        <f>'LW 2026 P&amp;L'!Q13</f>
        <v/>
      </c>
      <c r="R16" s="211">
        <f>IFERROR(Q16/Q$20,0)</f>
        <v/>
      </c>
      <c r="S16" s="203">
        <f>'LW 2026 P&amp;L'!S13</f>
        <v/>
      </c>
      <c r="T16" s="211">
        <f>IFERROR(S16/S$20,0)</f>
        <v/>
      </c>
      <c r="U16" s="203">
        <f>'LW 2026 P&amp;L'!U13</f>
        <v/>
      </c>
      <c r="V16" s="211">
        <f>IFERROR(U16/U$20,0)</f>
        <v/>
      </c>
      <c r="W16" s="203">
        <f>'LW 2026 P&amp;L'!W13</f>
        <v/>
      </c>
      <c r="X16" s="211">
        <f>IFERROR(W16/W$20,0)</f>
        <v/>
      </c>
      <c r="Y16" s="203">
        <f>'LW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IF(1&gt;=MONTH($C$4),('LW Assumptions'!$C$47+'LW Assumptions'!$C$36)/12,0)</f>
        <v/>
      </c>
      <c r="D17" s="211">
        <f>IFERROR(C17/C$20,0)</f>
        <v/>
      </c>
      <c r="E17" s="203">
        <f>IF(2&gt;=MONTH($C$4),('LW Assumptions'!$C$47+'LW Assumptions'!$C$36)/12,0)</f>
        <v/>
      </c>
      <c r="F17" s="211">
        <f>IFERROR(E17/E$20,0)</f>
        <v/>
      </c>
      <c r="G17" s="203">
        <f>IF(3&gt;=MONTH($C$4),('LW Assumptions'!$C$47+'LW Assumptions'!$C$36)/12,0)</f>
        <v/>
      </c>
      <c r="H17" s="211">
        <f>IFERROR(G17/G$20,0)</f>
        <v/>
      </c>
      <c r="I17" s="203">
        <f>IF(4&gt;=MONTH($C$4),('LW Assumptions'!$C$47+'LW Assumptions'!$C$36)/12,0)</f>
        <v/>
      </c>
      <c r="J17" s="211">
        <f>IFERROR(I17/I$20,0)</f>
        <v/>
      </c>
      <c r="K17" s="203">
        <f>IF(5&gt;=MONTH($C$4),('LW Assumptions'!$C$47+'LW Assumptions'!$C$36)/12,0)</f>
        <v/>
      </c>
      <c r="L17" s="211">
        <f>IFERROR(K17/K$20,0)</f>
        <v/>
      </c>
      <c r="M17" s="203">
        <f>IF(6&gt;=MONTH($C$4),('LW Assumptions'!$C$47+'LW Assumptions'!$C$36)/12,0)</f>
        <v/>
      </c>
      <c r="N17" s="211">
        <f>IFERROR(M17/M$20,0)</f>
        <v/>
      </c>
      <c r="O17" s="203">
        <f>IF(7&gt;=MONTH($C$4),('LW Assumptions'!$C$47+'LW Assumptions'!$C$36)/12,0)</f>
        <v/>
      </c>
      <c r="P17" s="211">
        <f>IFERROR(O17/O$20,0)</f>
        <v/>
      </c>
      <c r="Q17" s="203">
        <f>IF(8&gt;=MONTH($C$4),('LW Assumptions'!$C$47+'LW Assumptions'!$C$36)/12,0)</f>
        <v/>
      </c>
      <c r="R17" s="211">
        <f>IFERROR(Q17/Q$20,0)</f>
        <v/>
      </c>
      <c r="S17" s="203">
        <f>IF(9&gt;=MONTH($C$4),('LW Assumptions'!$C$47+'LW Assumptions'!$C$36)/12,0)</f>
        <v/>
      </c>
      <c r="T17" s="211">
        <f>IFERROR(S17/S$20,0)</f>
        <v/>
      </c>
      <c r="U17" s="203">
        <f>IF(10&gt;=MONTH($C$4),('LW Assumptions'!$C$47+'LW Assumptions'!$C$36)/12,0)</f>
        <v/>
      </c>
      <c r="V17" s="211">
        <f>IFERROR(U17/U$20,0)</f>
        <v/>
      </c>
      <c r="W17" s="203">
        <f>IF(11&gt;=MONTH($C$4),('LW Assumptions'!$C$47+'LW Assumptions'!$C$36)/12,0)</f>
        <v/>
      </c>
      <c r="X17" s="211">
        <f>IFERROR(W17/W$20,0)</f>
        <v/>
      </c>
      <c r="Y17" s="203">
        <f>IF(12&gt;=MONTH($C$4),('LW Assumptions'!$C$47+'LW Assumptions'!$C$36)/12,0)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P&amp;L'!C14</f>
        <v/>
      </c>
      <c r="D18" s="211">
        <f>IFERROR(C18/C$20,0)</f>
        <v/>
      </c>
      <c r="E18" s="203">
        <f>'LW 2026 P&amp;L'!E14</f>
        <v/>
      </c>
      <c r="F18" s="211">
        <f>IFERROR(E18/E$20,0)</f>
        <v/>
      </c>
      <c r="G18" s="203">
        <f>'LW 2026 P&amp;L'!G14</f>
        <v/>
      </c>
      <c r="H18" s="211">
        <f>IFERROR(G18/G$20,0)</f>
        <v/>
      </c>
      <c r="I18" s="203">
        <f>'LW 2026 P&amp;L'!I14</f>
        <v/>
      </c>
      <c r="J18" s="211">
        <f>IFERROR(I18/I$20,0)</f>
        <v/>
      </c>
      <c r="K18" s="203">
        <f>'LW 2026 P&amp;L'!K14</f>
        <v/>
      </c>
      <c r="L18" s="211">
        <f>IFERROR(K18/K$20,0)</f>
        <v/>
      </c>
      <c r="M18" s="203">
        <f>'LW 2026 P&amp;L'!M14</f>
        <v/>
      </c>
      <c r="N18" s="211">
        <f>IFERROR(M18/M$20,0)</f>
        <v/>
      </c>
      <c r="O18" s="203">
        <f>'LW 2026 P&amp;L'!O14</f>
        <v/>
      </c>
      <c r="P18" s="211">
        <f>IFERROR(O18/O$20,0)</f>
        <v/>
      </c>
      <c r="Q18" s="203">
        <f>'LW 2026 P&amp;L'!Q14</f>
        <v/>
      </c>
      <c r="R18" s="211">
        <f>IFERROR(Q18/Q$20,0)</f>
        <v/>
      </c>
      <c r="S18" s="203">
        <f>'LW 2026 P&amp;L'!S14</f>
        <v/>
      </c>
      <c r="T18" s="211">
        <f>IFERROR(S18/S$20,0)</f>
        <v/>
      </c>
      <c r="U18" s="203">
        <f>'LW 2026 P&amp;L'!U14</f>
        <v/>
      </c>
      <c r="V18" s="211">
        <f>IFERROR(U18/U$20,0)</f>
        <v/>
      </c>
      <c r="W18" s="203">
        <f>'LW 2026 P&amp;L'!W14</f>
        <v/>
      </c>
      <c r="X18" s="211">
        <f>IFERROR(W18/W$20,0)</f>
        <v/>
      </c>
      <c r="Y18" s="203">
        <f>'LW 2026 P&amp;L'!Y14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target when live)</t>
        </is>
      </c>
      <c r="C19" s="203">
        <f>IF(1&gt;=MONTH($C$4),-SUM(C12:C18)*'LW Assumptions'!$C$53,'LW 2026 P&amp;L'!C15)</f>
        <v/>
      </c>
      <c r="D19" s="211">
        <f>IFERROR(C19/C$20,0)</f>
        <v/>
      </c>
      <c r="E19" s="203">
        <f>IF(2&gt;=MONTH($C$4),-SUM(E12:E18)*'LW Assumptions'!$C$53,'LW 2026 P&amp;L'!E15)</f>
        <v/>
      </c>
      <c r="F19" s="211">
        <f>IFERROR(E19/E$20,0)</f>
        <v/>
      </c>
      <c r="G19" s="203">
        <f>IF(3&gt;=MONTH($C$4),-SUM(G12:G18)*'LW Assumptions'!$C$53,'LW 2026 P&amp;L'!G15)</f>
        <v/>
      </c>
      <c r="H19" s="211">
        <f>IFERROR(G19/G$20,0)</f>
        <v/>
      </c>
      <c r="I19" s="203">
        <f>IF(4&gt;=MONTH($C$4),-SUM(I12:I18)*'LW Assumptions'!$C$53,'LW 2026 P&amp;L'!I15)</f>
        <v/>
      </c>
      <c r="J19" s="211">
        <f>IFERROR(I19/I$20,0)</f>
        <v/>
      </c>
      <c r="K19" s="203">
        <f>IF(5&gt;=MONTH($C$4),-SUM(K12:K18)*'LW Assumptions'!$C$53,'LW 2026 P&amp;L'!K15)</f>
        <v/>
      </c>
      <c r="L19" s="211">
        <f>IFERROR(K19/K$20,0)</f>
        <v/>
      </c>
      <c r="M19" s="203">
        <f>IF(6&gt;=MONTH($C$4),-SUM(M12:M18)*'LW Assumptions'!$C$53,'LW 2026 P&amp;L'!M15)</f>
        <v/>
      </c>
      <c r="N19" s="211">
        <f>IFERROR(M19/M$20,0)</f>
        <v/>
      </c>
      <c r="O19" s="203">
        <f>IF(7&gt;=MONTH($C$4),-SUM(O12:O18)*'LW Assumptions'!$C$53,'LW 2026 P&amp;L'!O15)</f>
        <v/>
      </c>
      <c r="P19" s="211">
        <f>IFERROR(O19/O$20,0)</f>
        <v/>
      </c>
      <c r="Q19" s="203">
        <f>IF(8&gt;=MONTH($C$4),-SUM(Q12:Q18)*'LW Assumptions'!$C$53,'LW 2026 P&amp;L'!Q15)</f>
        <v/>
      </c>
      <c r="R19" s="211">
        <f>IFERROR(Q19/Q$20,0)</f>
        <v/>
      </c>
      <c r="S19" s="203">
        <f>IF(9&gt;=MONTH($C$4),-SUM(S12:S18)*'LW Assumptions'!$C$53,'LW 2026 P&amp;L'!S15)</f>
        <v/>
      </c>
      <c r="T19" s="211">
        <f>IFERROR(S19/S$20,0)</f>
        <v/>
      </c>
      <c r="U19" s="203">
        <f>IF(10&gt;=MONTH($C$4),-SUM(U12:U18)*'LW Assumptions'!$C$53,'LW 2026 P&amp;L'!U15)</f>
        <v/>
      </c>
      <c r="V19" s="211">
        <f>IFERROR(U19/U$20,0)</f>
        <v/>
      </c>
      <c r="W19" s="203">
        <f>IF(11&gt;=MONTH($C$4),-SUM(W12:W18)*'LW Assumptions'!$C$53,'LW 2026 P&amp;L'!W15)</f>
        <v/>
      </c>
      <c r="X19" s="211">
        <f>IFERROR(W19/W$20,0)</f>
        <v/>
      </c>
      <c r="Y19" s="203">
        <f>IF(12&gt;=MONTH($C$4),-SUM(Y12:Y18)*'LW Assumptions'!$C$53,'LW 2026 P&amp;L'!Y15)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when live)</t>
        </is>
      </c>
      <c r="C23" s="203">
        <f>IF(1&gt;=MONTH($C$4),'LW 2026 P&amp;L'!C9*'LW Assumptions'!$C$51,'LW 2026 P&amp;L'!C19)</f>
        <v/>
      </c>
      <c r="D23" s="211">
        <f>IFERROR(C23/C$12,0)</f>
        <v/>
      </c>
      <c r="E23" s="203">
        <f>IF(2&gt;=MONTH($C$4),'LW 2026 P&amp;L'!E9*'LW Assumptions'!$C$51,'LW 2026 P&amp;L'!E19)</f>
        <v/>
      </c>
      <c r="F23" s="211">
        <f>IFERROR(E23/E$12,0)</f>
        <v/>
      </c>
      <c r="G23" s="203">
        <f>IF(3&gt;=MONTH($C$4),'LW 2026 P&amp;L'!G9*'LW Assumptions'!$C$51,'LW 2026 P&amp;L'!G19)</f>
        <v/>
      </c>
      <c r="H23" s="211">
        <f>IFERROR(G23/G$12,0)</f>
        <v/>
      </c>
      <c r="I23" s="203">
        <f>IF(4&gt;=MONTH($C$4),'LW 2026 P&amp;L'!I9*'LW Assumptions'!$C$51,'LW 2026 P&amp;L'!I19)</f>
        <v/>
      </c>
      <c r="J23" s="211">
        <f>IFERROR(I23/I$12,0)</f>
        <v/>
      </c>
      <c r="K23" s="203">
        <f>IF(5&gt;=MONTH($C$4),'LW 2026 P&amp;L'!K9*'LW Assumptions'!$C$51,'LW 2026 P&amp;L'!K19)</f>
        <v/>
      </c>
      <c r="L23" s="211">
        <f>IFERROR(K23/K$12,0)</f>
        <v/>
      </c>
      <c r="M23" s="203">
        <f>IF(6&gt;=MONTH($C$4),'LW 2026 P&amp;L'!M9*'LW Assumptions'!$C$51,'LW 2026 P&amp;L'!M19)</f>
        <v/>
      </c>
      <c r="N23" s="211">
        <f>IFERROR(M23/M$12,0)</f>
        <v/>
      </c>
      <c r="O23" s="203">
        <f>IF(7&gt;=MONTH($C$4),'LW 2026 P&amp;L'!O9*'LW Assumptions'!$C$51,'LW 2026 P&amp;L'!O19)</f>
        <v/>
      </c>
      <c r="P23" s="211">
        <f>IFERROR(O23/O$12,0)</f>
        <v/>
      </c>
      <c r="Q23" s="203">
        <f>IF(8&gt;=MONTH($C$4),'LW 2026 P&amp;L'!Q9*'LW Assumptions'!$C$51,'LW 2026 P&amp;L'!Q19)</f>
        <v/>
      </c>
      <c r="R23" s="211">
        <f>IFERROR(Q23/Q$12,0)</f>
        <v/>
      </c>
      <c r="S23" s="203">
        <f>IF(9&gt;=MONTH($C$4),'LW 2026 P&amp;L'!S9*'LW Assumptions'!$C$51,'LW 2026 P&amp;L'!S19)</f>
        <v/>
      </c>
      <c r="T23" s="211">
        <f>IFERROR(S23/S$12,0)</f>
        <v/>
      </c>
      <c r="U23" s="203">
        <f>IF(10&gt;=MONTH($C$4),'LW 2026 P&amp;L'!U9*'LW Assumptions'!$C$51,'LW 2026 P&amp;L'!U19)</f>
        <v/>
      </c>
      <c r="V23" s="211">
        <f>IFERROR(U23/U$12,0)</f>
        <v/>
      </c>
      <c r="W23" s="203">
        <f>IF(11&gt;=MONTH($C$4),'LW 2026 P&amp;L'!W9*'LW Assumptions'!$C$51,'LW 2026 P&amp;L'!W19)</f>
        <v/>
      </c>
      <c r="X23" s="211">
        <f>IFERROR(W23/W$12,0)</f>
        <v/>
      </c>
      <c r="Y23" s="203">
        <f>IF(12&gt;=MONTH($C$4),'LW 2026 P&amp;L'!Y9*'LW Assumptions'!$C$51,'LW 2026 P&amp;L'!Y19)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P&amp;L'!C20</f>
        <v/>
      </c>
      <c r="D24" s="211">
        <f>IFERROR(C24/C$13,0)</f>
        <v/>
      </c>
      <c r="E24" s="203">
        <f>'LW 2026 P&amp;L'!E20</f>
        <v/>
      </c>
      <c r="F24" s="211">
        <f>IFERROR(E24/E$13,0)</f>
        <v/>
      </c>
      <c r="G24" s="203">
        <f>'LW 2026 P&amp;L'!G20</f>
        <v/>
      </c>
      <c r="H24" s="211">
        <f>IFERROR(G24/G$13,0)</f>
        <v/>
      </c>
      <c r="I24" s="203">
        <f>'LW 2026 P&amp;L'!I20</f>
        <v/>
      </c>
      <c r="J24" s="211">
        <f>IFERROR(I24/I$13,0)</f>
        <v/>
      </c>
      <c r="K24" s="203">
        <f>'LW 2026 P&amp;L'!K20</f>
        <v/>
      </c>
      <c r="L24" s="211">
        <f>IFERROR(K24/K$13,0)</f>
        <v/>
      </c>
      <c r="M24" s="203">
        <f>'LW 2026 P&amp;L'!M20</f>
        <v/>
      </c>
      <c r="N24" s="211">
        <f>IFERROR(M24/M$13,0)</f>
        <v/>
      </c>
      <c r="O24" s="203">
        <f>'LW 2026 P&amp;L'!O20</f>
        <v/>
      </c>
      <c r="P24" s="211">
        <f>IFERROR(O24/O$13,0)</f>
        <v/>
      </c>
      <c r="Q24" s="203">
        <f>'LW 2026 P&amp;L'!Q20</f>
        <v/>
      </c>
      <c r="R24" s="211">
        <f>IFERROR(Q24/Q$13,0)</f>
        <v/>
      </c>
      <c r="S24" s="203">
        <f>'LW 2026 P&amp;L'!S20</f>
        <v/>
      </c>
      <c r="T24" s="211">
        <f>IFERROR(S24/S$13,0)</f>
        <v/>
      </c>
      <c r="U24" s="203">
        <f>'LW 2026 P&amp;L'!U20</f>
        <v/>
      </c>
      <c r="V24" s="211">
        <f>IFERROR(U24/U$13,0)</f>
        <v/>
      </c>
      <c r="W24" s="203">
        <f>'LW 2026 P&amp;L'!W20</f>
        <v/>
      </c>
      <c r="X24" s="211">
        <f>IFERROR(W24/W$13,0)</f>
        <v/>
      </c>
      <c r="Y24" s="203">
        <f>'LW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P&amp;L'!C21</f>
        <v/>
      </c>
      <c r="D25" s="211">
        <f>IFERROR(C25/C$14,0)</f>
        <v/>
      </c>
      <c r="E25" s="203">
        <f>'LW 2026 P&amp;L'!E21</f>
        <v/>
      </c>
      <c r="F25" s="211">
        <f>IFERROR(E25/E$14,0)</f>
        <v/>
      </c>
      <c r="G25" s="203">
        <f>'LW 2026 P&amp;L'!G21</f>
        <v/>
      </c>
      <c r="H25" s="211">
        <f>IFERROR(G25/G$14,0)</f>
        <v/>
      </c>
      <c r="I25" s="203">
        <f>'LW 2026 P&amp;L'!I21</f>
        <v/>
      </c>
      <c r="J25" s="211">
        <f>IFERROR(I25/I$14,0)</f>
        <v/>
      </c>
      <c r="K25" s="203">
        <f>'LW 2026 P&amp;L'!K21</f>
        <v/>
      </c>
      <c r="L25" s="211">
        <f>IFERROR(K25/K$14,0)</f>
        <v/>
      </c>
      <c r="M25" s="203">
        <f>'LW 2026 P&amp;L'!M21</f>
        <v/>
      </c>
      <c r="N25" s="211">
        <f>IFERROR(M25/M$14,0)</f>
        <v/>
      </c>
      <c r="O25" s="203">
        <f>'LW 2026 P&amp;L'!O21</f>
        <v/>
      </c>
      <c r="P25" s="211">
        <f>IFERROR(O25/O$14,0)</f>
        <v/>
      </c>
      <c r="Q25" s="203">
        <f>'LW 2026 P&amp;L'!Q21</f>
        <v/>
      </c>
      <c r="R25" s="211">
        <f>IFERROR(Q25/Q$14,0)</f>
        <v/>
      </c>
      <c r="S25" s="203">
        <f>'LW 2026 P&amp;L'!S21</f>
        <v/>
      </c>
      <c r="T25" s="211">
        <f>IFERROR(S25/S$14,0)</f>
        <v/>
      </c>
      <c r="U25" s="203">
        <f>'LW 2026 P&amp;L'!U21</f>
        <v/>
      </c>
      <c r="V25" s="211">
        <f>IFERROR(U25/U$14,0)</f>
        <v/>
      </c>
      <c r="W25" s="203">
        <f>'LW 2026 P&amp;L'!W21</f>
        <v/>
      </c>
      <c r="X25" s="211">
        <f>IFERROR(W25/W$14,0)</f>
        <v/>
      </c>
      <c r="Y25" s="203">
        <f>'LW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P&amp;L'!C22</f>
        <v/>
      </c>
      <c r="D26" s="211">
        <f>IFERROR(C26/C$15,0)</f>
        <v/>
      </c>
      <c r="E26" s="203">
        <f>'LW 2026 P&amp;L'!E22</f>
        <v/>
      </c>
      <c r="F26" s="211">
        <f>IFERROR(E26/E$15,0)</f>
        <v/>
      </c>
      <c r="G26" s="203">
        <f>'LW 2026 P&amp;L'!G22</f>
        <v/>
      </c>
      <c r="H26" s="211">
        <f>IFERROR(G26/G$15,0)</f>
        <v/>
      </c>
      <c r="I26" s="203">
        <f>'LW 2026 P&amp;L'!I22</f>
        <v/>
      </c>
      <c r="J26" s="211">
        <f>IFERROR(I26/I$15,0)</f>
        <v/>
      </c>
      <c r="K26" s="203">
        <f>'LW 2026 P&amp;L'!K22</f>
        <v/>
      </c>
      <c r="L26" s="211">
        <f>IFERROR(K26/K$15,0)</f>
        <v/>
      </c>
      <c r="M26" s="203">
        <f>'LW 2026 P&amp;L'!M22</f>
        <v/>
      </c>
      <c r="N26" s="211">
        <f>IFERROR(M26/M$15,0)</f>
        <v/>
      </c>
      <c r="O26" s="203">
        <f>'LW 2026 P&amp;L'!O22</f>
        <v/>
      </c>
      <c r="P26" s="211">
        <f>IFERROR(O26/O$15,0)</f>
        <v/>
      </c>
      <c r="Q26" s="203">
        <f>'LW 2026 P&amp;L'!Q22</f>
        <v/>
      </c>
      <c r="R26" s="211">
        <f>IFERROR(Q26/Q$15,0)</f>
        <v/>
      </c>
      <c r="S26" s="203">
        <f>'LW 2026 P&amp;L'!S22</f>
        <v/>
      </c>
      <c r="T26" s="211">
        <f>IFERROR(S26/S$15,0)</f>
        <v/>
      </c>
      <c r="U26" s="203">
        <f>'LW 2026 P&amp;L'!U22</f>
        <v/>
      </c>
      <c r="V26" s="211">
        <f>IFERROR(U26/U$15,0)</f>
        <v/>
      </c>
      <c r="W26" s="203">
        <f>'LW 2026 P&amp;L'!W22</f>
        <v/>
      </c>
      <c r="X26" s="211">
        <f>IFERROR(W26/W$15,0)</f>
        <v/>
      </c>
      <c r="Y26" s="203">
        <f>'LW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P&amp;L'!C23</f>
        <v/>
      </c>
      <c r="D27" s="211">
        <f>IFERROR(C27/C$16,0)</f>
        <v/>
      </c>
      <c r="E27" s="203">
        <f>'LW 2026 P&amp;L'!E23</f>
        <v/>
      </c>
      <c r="F27" s="211">
        <f>IFERROR(E27/E$16,0)</f>
        <v/>
      </c>
      <c r="G27" s="203">
        <f>'LW 2026 P&amp;L'!G23</f>
        <v/>
      </c>
      <c r="H27" s="211">
        <f>IFERROR(G27/G$16,0)</f>
        <v/>
      </c>
      <c r="I27" s="203">
        <f>'LW 2026 P&amp;L'!I23</f>
        <v/>
      </c>
      <c r="J27" s="211">
        <f>IFERROR(I27/I$16,0)</f>
        <v/>
      </c>
      <c r="K27" s="203">
        <f>'LW 2026 P&amp;L'!K23</f>
        <v/>
      </c>
      <c r="L27" s="211">
        <f>IFERROR(K27/K$16,0)</f>
        <v/>
      </c>
      <c r="M27" s="203">
        <f>'LW 2026 P&amp;L'!M23</f>
        <v/>
      </c>
      <c r="N27" s="211">
        <f>IFERROR(M27/M$16,0)</f>
        <v/>
      </c>
      <c r="O27" s="203">
        <f>'LW 2026 P&amp;L'!O23</f>
        <v/>
      </c>
      <c r="P27" s="211">
        <f>IFERROR(O27/O$16,0)</f>
        <v/>
      </c>
      <c r="Q27" s="203">
        <f>'LW 2026 P&amp;L'!Q23</f>
        <v/>
      </c>
      <c r="R27" s="211">
        <f>IFERROR(Q27/Q$16,0)</f>
        <v/>
      </c>
      <c r="S27" s="203">
        <f>'LW 2026 P&amp;L'!S23</f>
        <v/>
      </c>
      <c r="T27" s="211">
        <f>IFERROR(S27/S$16,0)</f>
        <v/>
      </c>
      <c r="U27" s="203">
        <f>'LW 2026 P&amp;L'!U23</f>
        <v/>
      </c>
      <c r="V27" s="211">
        <f>IFERROR(U27/U$16,0)</f>
        <v/>
      </c>
      <c r="W27" s="203">
        <f>'LW 2026 P&amp;L'!W23</f>
        <v/>
      </c>
      <c r="X27" s="211">
        <f>IFERROR(W27/W$16,0)</f>
        <v/>
      </c>
      <c r="Y27" s="203">
        <f>'LW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IF(1&gt;=MONTH($C$4),'LW Assumptions'!$C$36*'LW Assumptions'!$C$37/12,0)</f>
        <v/>
      </c>
      <c r="D28" s="211">
        <f>IFERROR(C28/C$17,0)</f>
        <v/>
      </c>
      <c r="E28" s="203">
        <f>IF(2&gt;=MONTH($C$4),'LW Assumptions'!$C$36*'LW Assumptions'!$C$37/12,0)</f>
        <v/>
      </c>
      <c r="F28" s="211">
        <f>IFERROR(E28/E$17,0)</f>
        <v/>
      </c>
      <c r="G28" s="203">
        <f>IF(3&gt;=MONTH($C$4),'LW Assumptions'!$C$36*'LW Assumptions'!$C$37/12,0)</f>
        <v/>
      </c>
      <c r="H28" s="211">
        <f>IFERROR(G28/G$17,0)</f>
        <v/>
      </c>
      <c r="I28" s="203">
        <f>IF(4&gt;=MONTH($C$4),'LW Assumptions'!$C$36*'LW Assumptions'!$C$37/12,0)</f>
        <v/>
      </c>
      <c r="J28" s="211">
        <f>IFERROR(I28/I$17,0)</f>
        <v/>
      </c>
      <c r="K28" s="203">
        <f>IF(5&gt;=MONTH($C$4),'LW Assumptions'!$C$36*'LW Assumptions'!$C$37/12,0)</f>
        <v/>
      </c>
      <c r="L28" s="211">
        <f>IFERROR(K28/K$17,0)</f>
        <v/>
      </c>
      <c r="M28" s="203">
        <f>IF(6&gt;=MONTH($C$4),'LW Assumptions'!$C$36*'LW Assumptions'!$C$37/12,0)</f>
        <v/>
      </c>
      <c r="N28" s="211">
        <f>IFERROR(M28/M$17,0)</f>
        <v/>
      </c>
      <c r="O28" s="203">
        <f>IF(7&gt;=MONTH($C$4),'LW Assumptions'!$C$36*'LW Assumptions'!$C$37/12,0)</f>
        <v/>
      </c>
      <c r="P28" s="211">
        <f>IFERROR(O28/O$17,0)</f>
        <v/>
      </c>
      <c r="Q28" s="203">
        <f>IF(8&gt;=MONTH($C$4),'LW Assumptions'!$C$36*'LW Assumptions'!$C$37/12,0)</f>
        <v/>
      </c>
      <c r="R28" s="211">
        <f>IFERROR(Q28/Q$17,0)</f>
        <v/>
      </c>
      <c r="S28" s="203">
        <f>IF(9&gt;=MONTH($C$4),'LW Assumptions'!$C$36*'LW Assumptions'!$C$37/12,0)</f>
        <v/>
      </c>
      <c r="T28" s="211">
        <f>IFERROR(S28/S$17,0)</f>
        <v/>
      </c>
      <c r="U28" s="203">
        <f>IF(10&gt;=MONTH($C$4),'LW Assumptions'!$C$36*'LW Assumptions'!$C$37/12,0)</f>
        <v/>
      </c>
      <c r="V28" s="211">
        <f>IFERROR(U28/U$17,0)</f>
        <v/>
      </c>
      <c r="W28" s="203">
        <f>IF(11&gt;=MONTH($C$4),'LW Assumptions'!$C$36*'LW Assumptions'!$C$37/12,0)</f>
        <v/>
      </c>
      <c r="X28" s="211">
        <f>IFERROR(W28/W$17,0)</f>
        <v/>
      </c>
      <c r="Y28" s="203">
        <f>IF(12&gt;=MONTH($C$4),'LW Assumptions'!$C$36*'LW Assumptions'!$C$37/12,0)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P&amp;L'!C28</f>
        <v/>
      </c>
      <c r="D33" s="211">
        <f>IFERROR(C33/C$20,0)</f>
        <v/>
      </c>
      <c r="E33" s="203">
        <f>'LW 2026 P&amp;L'!E28</f>
        <v/>
      </c>
      <c r="F33" s="211">
        <f>IFERROR(E33/E$20,0)</f>
        <v/>
      </c>
      <c r="G33" s="203">
        <f>'LW 2026 P&amp;L'!G28</f>
        <v/>
      </c>
      <c r="H33" s="211">
        <f>IFERROR(G33/G$20,0)</f>
        <v/>
      </c>
      <c r="I33" s="203">
        <f>'LW 2026 P&amp;L'!I28</f>
        <v/>
      </c>
      <c r="J33" s="211">
        <f>IFERROR(I33/I$20,0)</f>
        <v/>
      </c>
      <c r="K33" s="203">
        <f>'LW 2026 P&amp;L'!K28</f>
        <v/>
      </c>
      <c r="L33" s="211">
        <f>IFERROR(K33/K$20,0)</f>
        <v/>
      </c>
      <c r="M33" s="203">
        <f>'LW 2026 P&amp;L'!M28</f>
        <v/>
      </c>
      <c r="N33" s="211">
        <f>IFERROR(M33/M$20,0)</f>
        <v/>
      </c>
      <c r="O33" s="203">
        <f>'LW 2026 P&amp;L'!O28</f>
        <v/>
      </c>
      <c r="P33" s="211">
        <f>IFERROR(O33/O$20,0)</f>
        <v/>
      </c>
      <c r="Q33" s="203">
        <f>'LW 2026 P&amp;L'!Q28</f>
        <v/>
      </c>
      <c r="R33" s="211">
        <f>IFERROR(Q33/Q$20,0)</f>
        <v/>
      </c>
      <c r="S33" s="203">
        <f>'LW 2026 P&amp;L'!S28</f>
        <v/>
      </c>
      <c r="T33" s="211">
        <f>IFERROR(S33/S$20,0)</f>
        <v/>
      </c>
      <c r="U33" s="203">
        <f>'LW 2026 P&amp;L'!U28</f>
        <v/>
      </c>
      <c r="V33" s="211">
        <f>IFERROR(U33/U$20,0)</f>
        <v/>
      </c>
      <c r="W33" s="203">
        <f>'LW 2026 P&amp;L'!W28</f>
        <v/>
      </c>
      <c r="X33" s="211">
        <f>IFERROR(W33/W$20,0)</f>
        <v/>
      </c>
      <c r="Y33" s="203">
        <f>'LW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IF(1&gt;=MONTH($C$4),'LW Assumptions'!$C$26*52/12,'LW 2026 P&amp;L'!C29)</f>
        <v/>
      </c>
      <c r="D34" s="211">
        <f>IFERROR(C34/C$20,0)</f>
        <v/>
      </c>
      <c r="E34" s="203">
        <f>IF(2&gt;=MONTH($C$4),'LW Assumptions'!$C$26*52/12,'LW 2026 P&amp;L'!E29)</f>
        <v/>
      </c>
      <c r="F34" s="211">
        <f>IFERROR(E34/E$20,0)</f>
        <v/>
      </c>
      <c r="G34" s="203">
        <f>IF(3&gt;=MONTH($C$4),'LW Assumptions'!$C$26*52/12,'LW 2026 P&amp;L'!G29)</f>
        <v/>
      </c>
      <c r="H34" s="211">
        <f>IFERROR(G34/G$20,0)</f>
        <v/>
      </c>
      <c r="I34" s="203">
        <f>IF(4&gt;=MONTH($C$4),'LW Assumptions'!$C$26*52/12,'LW 2026 P&amp;L'!I29)</f>
        <v/>
      </c>
      <c r="J34" s="211">
        <f>IFERROR(I34/I$20,0)</f>
        <v/>
      </c>
      <c r="K34" s="203">
        <f>IF(5&gt;=MONTH($C$4),'LW Assumptions'!$C$26*52/12,'LW 2026 P&amp;L'!K29)</f>
        <v/>
      </c>
      <c r="L34" s="211">
        <f>IFERROR(K34/K$20,0)</f>
        <v/>
      </c>
      <c r="M34" s="203">
        <f>IF(6&gt;=MONTH($C$4),'LW Assumptions'!$C$26*52/12,'LW 2026 P&amp;L'!M29)</f>
        <v/>
      </c>
      <c r="N34" s="211">
        <f>IFERROR(M34/M$20,0)</f>
        <v/>
      </c>
      <c r="O34" s="203">
        <f>IF(7&gt;=MONTH($C$4),'LW Assumptions'!$C$26*52/12,'LW 2026 P&amp;L'!O29)</f>
        <v/>
      </c>
      <c r="P34" s="211">
        <f>IFERROR(O34/O$20,0)</f>
        <v/>
      </c>
      <c r="Q34" s="203">
        <f>IF(8&gt;=MONTH($C$4),'LW Assumptions'!$C$26*52/12,'LW 2026 P&amp;L'!Q29)</f>
        <v/>
      </c>
      <c r="R34" s="211">
        <f>IFERROR(Q34/Q$20,0)</f>
        <v/>
      </c>
      <c r="S34" s="203">
        <f>IF(9&gt;=MONTH($C$4),'LW Assumptions'!$C$26*52/12,'LW 2026 P&amp;L'!S29)</f>
        <v/>
      </c>
      <c r="T34" s="211">
        <f>IFERROR(S34/S$20,0)</f>
        <v/>
      </c>
      <c r="U34" s="203">
        <f>IF(10&gt;=MONTH($C$4),'LW Assumptions'!$C$26*52/12,'LW 2026 P&amp;L'!U29)</f>
        <v/>
      </c>
      <c r="V34" s="211">
        <f>IFERROR(U34/U$20,0)</f>
        <v/>
      </c>
      <c r="W34" s="203">
        <f>IF(11&gt;=MONTH($C$4),'LW Assumptions'!$C$26*52/12,'LW 2026 P&amp;L'!W29)</f>
        <v/>
      </c>
      <c r="X34" s="211">
        <f>IFERROR(W34/W$20,0)</f>
        <v/>
      </c>
      <c r="Y34" s="203">
        <f>IF(12&gt;=MONTH($C$4),'LW Assumptions'!$C$26*52/12,'LW 2026 P&amp;L'!Y29)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IF(1&gt;=MONTH($C$4),('LW Assumptions'!$C$20+'LW Assumptions'!$C$21)*'LW Assumptions'!$C$22*52*'LW Assumptions'!$C$23/12,'LW 2026 P&amp;L'!C30)</f>
        <v/>
      </c>
      <c r="D35" s="211">
        <f>IFERROR(C35/C$20,0)</f>
        <v/>
      </c>
      <c r="E35" s="203">
        <f>IF(2&gt;=MONTH($C$4),('LW Assumptions'!$C$20+'LW Assumptions'!$C$21)*'LW Assumptions'!$C$22*52*'LW Assumptions'!$C$23/12,'LW 2026 P&amp;L'!E30)</f>
        <v/>
      </c>
      <c r="F35" s="211">
        <f>IFERROR(E35/E$20,0)</f>
        <v/>
      </c>
      <c r="G35" s="203">
        <f>IF(3&gt;=MONTH($C$4),('LW Assumptions'!$C$20+'LW Assumptions'!$C$21)*'LW Assumptions'!$C$22*52*'LW Assumptions'!$C$23/12,'LW 2026 P&amp;L'!G30)</f>
        <v/>
      </c>
      <c r="H35" s="211">
        <f>IFERROR(G35/G$20,0)</f>
        <v/>
      </c>
      <c r="I35" s="203">
        <f>IF(4&gt;=MONTH($C$4),('LW Assumptions'!$C$20+'LW Assumptions'!$C$21)*'LW Assumptions'!$C$22*52*'LW Assumptions'!$C$23/12,'LW 2026 P&amp;L'!I30)</f>
        <v/>
      </c>
      <c r="J35" s="211">
        <f>IFERROR(I35/I$20,0)</f>
        <v/>
      </c>
      <c r="K35" s="203">
        <f>IF(5&gt;=MONTH($C$4),('LW Assumptions'!$C$20+'LW Assumptions'!$C$21)*'LW Assumptions'!$C$22*52*'LW Assumptions'!$C$23/12,'LW 2026 P&amp;L'!K30)</f>
        <v/>
      </c>
      <c r="L35" s="211">
        <f>IFERROR(K35/K$20,0)</f>
        <v/>
      </c>
      <c r="M35" s="203">
        <f>IF(6&gt;=MONTH($C$4),('LW Assumptions'!$C$20+'LW Assumptions'!$C$21)*'LW Assumptions'!$C$22*52*'LW Assumptions'!$C$23/12,'LW 2026 P&amp;L'!M30)</f>
        <v/>
      </c>
      <c r="N35" s="211">
        <f>IFERROR(M35/M$20,0)</f>
        <v/>
      </c>
      <c r="O35" s="203">
        <f>IF(7&gt;=MONTH($C$4),('LW Assumptions'!$C$20+'LW Assumptions'!$C$21)*'LW Assumptions'!$C$22*52*'LW Assumptions'!$C$23/12,'LW 2026 P&amp;L'!O30)</f>
        <v/>
      </c>
      <c r="P35" s="211">
        <f>IFERROR(O35/O$20,0)</f>
        <v/>
      </c>
      <c r="Q35" s="203">
        <f>IF(8&gt;=MONTH($C$4),('LW Assumptions'!$C$20+'LW Assumptions'!$C$21)*'LW Assumptions'!$C$22*52*'LW Assumptions'!$C$23/12,'LW 2026 P&amp;L'!Q30)</f>
        <v/>
      </c>
      <c r="R35" s="211">
        <f>IFERROR(Q35/Q$20,0)</f>
        <v/>
      </c>
      <c r="S35" s="203">
        <f>IF(9&gt;=MONTH($C$4),('LW Assumptions'!$C$20+'LW Assumptions'!$C$21)*'LW Assumptions'!$C$22*52*'LW Assumptions'!$C$23/12,'LW 2026 P&amp;L'!S30)</f>
        <v/>
      </c>
      <c r="T35" s="211">
        <f>IFERROR(S35/S$20,0)</f>
        <v/>
      </c>
      <c r="U35" s="203">
        <f>IF(10&gt;=MONTH($C$4),('LW Assumptions'!$C$20+'LW Assumptions'!$C$21)*'LW Assumptions'!$C$22*52*'LW Assumptions'!$C$23/12,'LW 2026 P&amp;L'!U30)</f>
        <v/>
      </c>
      <c r="V35" s="211">
        <f>IFERROR(U35/U$20,0)</f>
        <v/>
      </c>
      <c r="W35" s="203">
        <f>IF(11&gt;=MONTH($C$4),('LW Assumptions'!$C$20+'LW Assumptions'!$C$21)*'LW Assumptions'!$C$22*52*'LW Assumptions'!$C$23/12,'LW 2026 P&amp;L'!W30)</f>
        <v/>
      </c>
      <c r="X35" s="211">
        <f>IFERROR(W35/W$20,0)</f>
        <v/>
      </c>
      <c r="Y35" s="203">
        <f>IF(12&gt;=MONTH($C$4),('LW Assumptions'!$C$20+'LW Assumptions'!$C$21)*'LW Assumptions'!$C$22*52*'LW Assumptions'!$C$23/12,'LW 2026 P&amp;L'!Y30)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IF(1&gt;=MONTH($C$4),(C33+C34+C35)*'LW Assumptions'!$C$24,'LW 2026 P&amp;L'!C31)</f>
        <v/>
      </c>
      <c r="D36" s="211">
        <f>IFERROR(C36/C$20,0)</f>
        <v/>
      </c>
      <c r="E36" s="203">
        <f>IF(2&gt;=MONTH($C$4),(E33+E34+E35)*'LW Assumptions'!$C$24,'LW 2026 P&amp;L'!E31)</f>
        <v/>
      </c>
      <c r="F36" s="211">
        <f>IFERROR(E36/E$20,0)</f>
        <v/>
      </c>
      <c r="G36" s="203">
        <f>IF(3&gt;=MONTH($C$4),(G33+G34+G35)*'LW Assumptions'!$C$24,'LW 2026 P&amp;L'!G31)</f>
        <v/>
      </c>
      <c r="H36" s="211">
        <f>IFERROR(G36/G$20,0)</f>
        <v/>
      </c>
      <c r="I36" s="203">
        <f>IF(4&gt;=MONTH($C$4),(I33+I34+I35)*'LW Assumptions'!$C$24,'LW 2026 P&amp;L'!I31)</f>
        <v/>
      </c>
      <c r="J36" s="211">
        <f>IFERROR(I36/I$20,0)</f>
        <v/>
      </c>
      <c r="K36" s="203">
        <f>IF(5&gt;=MONTH($C$4),(K33+K34+K35)*'LW Assumptions'!$C$24,'LW 2026 P&amp;L'!K31)</f>
        <v/>
      </c>
      <c r="L36" s="211">
        <f>IFERROR(K36/K$20,0)</f>
        <v/>
      </c>
      <c r="M36" s="203">
        <f>IF(6&gt;=MONTH($C$4),(M33+M34+M35)*'LW Assumptions'!$C$24,'LW 2026 P&amp;L'!M31)</f>
        <v/>
      </c>
      <c r="N36" s="211">
        <f>IFERROR(M36/M$20,0)</f>
        <v/>
      </c>
      <c r="O36" s="203">
        <f>IF(7&gt;=MONTH($C$4),(O33+O34+O35)*'LW Assumptions'!$C$24,'LW 2026 P&amp;L'!O31)</f>
        <v/>
      </c>
      <c r="P36" s="211">
        <f>IFERROR(O36/O$20,0)</f>
        <v/>
      </c>
      <c r="Q36" s="203">
        <f>IF(8&gt;=MONTH($C$4),(Q33+Q34+Q35)*'LW Assumptions'!$C$24,'LW 2026 P&amp;L'!Q31)</f>
        <v/>
      </c>
      <c r="R36" s="211">
        <f>IFERROR(Q36/Q$20,0)</f>
        <v/>
      </c>
      <c r="S36" s="203">
        <f>IF(9&gt;=MONTH($C$4),(S33+S34+S35)*'LW Assumptions'!$C$24,'LW 2026 P&amp;L'!S31)</f>
        <v/>
      </c>
      <c r="T36" s="211">
        <f>IFERROR(S36/S$20,0)</f>
        <v/>
      </c>
      <c r="U36" s="203">
        <f>IF(10&gt;=MONTH($C$4),(U33+U34+U35)*'LW Assumptions'!$C$24,'LW 2026 P&amp;L'!U31)</f>
        <v/>
      </c>
      <c r="V36" s="211">
        <f>IFERROR(U36/U$20,0)</f>
        <v/>
      </c>
      <c r="W36" s="203">
        <f>IF(11&gt;=MONTH($C$4),(W33+W34+W35)*'LW Assumptions'!$C$24,'LW 2026 P&amp;L'!W31)</f>
        <v/>
      </c>
      <c r="X36" s="211">
        <f>IFERROR(W36/W$20,0)</f>
        <v/>
      </c>
      <c r="Y36" s="203">
        <f>IF(12&gt;=MONTH($C$4),(Y33+Y34+Y35)*'LW Assumptions'!$C$24,'LW 2026 P&amp;L'!Y31)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'LW 2026 P&amp;L'!C32</f>
        <v/>
      </c>
      <c r="D37" s="211">
        <f>IFERROR(C37/C$20,0)</f>
        <v/>
      </c>
      <c r="E37" s="203">
        <f>'LW 2026 P&amp;L'!E32</f>
        <v/>
      </c>
      <c r="F37" s="211">
        <f>IFERROR(E37/E$20,0)</f>
        <v/>
      </c>
      <c r="G37" s="203">
        <f>'LW 2026 P&amp;L'!G32</f>
        <v/>
      </c>
      <c r="H37" s="211">
        <f>IFERROR(G37/G$20,0)</f>
        <v/>
      </c>
      <c r="I37" s="203">
        <f>'LW 2026 P&amp;L'!I32</f>
        <v/>
      </c>
      <c r="J37" s="211">
        <f>IFERROR(I37/I$20,0)</f>
        <v/>
      </c>
      <c r="K37" s="203">
        <f>'LW 2026 P&amp;L'!K32</f>
        <v/>
      </c>
      <c r="L37" s="211">
        <f>IFERROR(K37/K$20,0)</f>
        <v/>
      </c>
      <c r="M37" s="203">
        <f>'LW 2026 P&amp;L'!M32</f>
        <v/>
      </c>
      <c r="N37" s="211">
        <f>IFERROR(M37/M$20,0)</f>
        <v/>
      </c>
      <c r="O37" s="203">
        <f>'LW 2026 P&amp;L'!O32</f>
        <v/>
      </c>
      <c r="P37" s="211">
        <f>IFERROR(O37/O$20,0)</f>
        <v/>
      </c>
      <c r="Q37" s="203">
        <f>'LW 2026 P&amp;L'!Q32</f>
        <v/>
      </c>
      <c r="R37" s="211">
        <f>IFERROR(Q37/Q$20,0)</f>
        <v/>
      </c>
      <c r="S37" s="203">
        <f>'LW 2026 P&amp;L'!S32</f>
        <v/>
      </c>
      <c r="T37" s="211">
        <f>IFERROR(S37/S$20,0)</f>
        <v/>
      </c>
      <c r="U37" s="203">
        <f>'LW 2026 P&amp;L'!U32</f>
        <v/>
      </c>
      <c r="V37" s="211">
        <f>IFERROR(U37/U$20,0)</f>
        <v/>
      </c>
      <c r="W37" s="203">
        <f>'LW 2026 P&amp;L'!W32</f>
        <v/>
      </c>
      <c r="X37" s="211">
        <f>IFERROR(W37/W$20,0)</f>
        <v/>
      </c>
      <c r="Y37" s="203">
        <f>'LW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target when live · incl CC)</t>
        </is>
      </c>
      <c r="C44" s="203">
        <f>IF(1&gt;=MONTH($C$4),C20*'LW Assumptions'!$C$48,'LW 2026 P&amp;L'!C39)</f>
        <v/>
      </c>
      <c r="D44" s="211">
        <f>IFERROR(C44/C$20,0)</f>
        <v/>
      </c>
      <c r="E44" s="203">
        <f>IF(2&gt;=MONTH($C$4),E20*'LW Assumptions'!$C$48,'LW 2026 P&amp;L'!E39)</f>
        <v/>
      </c>
      <c r="F44" s="211">
        <f>IFERROR(E44/E$20,0)</f>
        <v/>
      </c>
      <c r="G44" s="203">
        <f>IF(3&gt;=MONTH($C$4),G20*'LW Assumptions'!$C$48,'LW 2026 P&amp;L'!G39)</f>
        <v/>
      </c>
      <c r="H44" s="211">
        <f>IFERROR(G44/G$20,0)</f>
        <v/>
      </c>
      <c r="I44" s="203">
        <f>IF(4&gt;=MONTH($C$4),I20*'LW Assumptions'!$C$48,'LW 2026 P&amp;L'!I39)</f>
        <v/>
      </c>
      <c r="J44" s="211">
        <f>IFERROR(I44/I$20,0)</f>
        <v/>
      </c>
      <c r="K44" s="203">
        <f>IF(5&gt;=MONTH($C$4),K20*'LW Assumptions'!$C$48,'LW 2026 P&amp;L'!K39)</f>
        <v/>
      </c>
      <c r="L44" s="211">
        <f>IFERROR(K44/K$20,0)</f>
        <v/>
      </c>
      <c r="M44" s="203">
        <f>IF(6&gt;=MONTH($C$4),M20*'LW Assumptions'!$C$48,'LW 2026 P&amp;L'!M39)</f>
        <v/>
      </c>
      <c r="N44" s="211">
        <f>IFERROR(M44/M$20,0)</f>
        <v/>
      </c>
      <c r="O44" s="203">
        <f>IF(7&gt;=MONTH($C$4),O20*'LW Assumptions'!$C$48,'LW 2026 P&amp;L'!O39)</f>
        <v/>
      </c>
      <c r="P44" s="211">
        <f>IFERROR(O44/O$20,0)</f>
        <v/>
      </c>
      <c r="Q44" s="203">
        <f>IF(8&gt;=MONTH($C$4),Q20*'LW Assumptions'!$C$48,'LW 2026 P&amp;L'!Q39)</f>
        <v/>
      </c>
      <c r="R44" s="211">
        <f>IFERROR(Q44/Q$20,0)</f>
        <v/>
      </c>
      <c r="S44" s="203">
        <f>IF(9&gt;=MONTH($C$4),S20*'LW Assumptions'!$C$48,'LW 2026 P&amp;L'!S39)</f>
        <v/>
      </c>
      <c r="T44" s="211">
        <f>IFERROR(S44/S$20,0)</f>
        <v/>
      </c>
      <c r="U44" s="203">
        <f>IF(10&gt;=MONTH($C$4),U20*'LW Assumptions'!$C$48,'LW 2026 P&amp;L'!U39)</f>
        <v/>
      </c>
      <c r="V44" s="211">
        <f>IFERROR(U44/U$20,0)</f>
        <v/>
      </c>
      <c r="W44" s="203">
        <f>IF(11&gt;=MONTH($C$4),W20*'LW Assumptions'!$C$48,'LW 2026 P&amp;L'!W39)</f>
        <v/>
      </c>
      <c r="X44" s="211">
        <f>IFERROR(W44/W$20,0)</f>
        <v/>
      </c>
      <c r="Y44" s="203">
        <f>IF(12&gt;=MONTH($C$4),Y20*'LW Assumptions'!$C$48,'LW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P&amp;L'!C40</f>
        <v/>
      </c>
      <c r="D45" s="211">
        <f>IFERROR(C45/C$20,0)</f>
        <v/>
      </c>
      <c r="E45" s="203">
        <f>'LW 2026 P&amp;L'!E40</f>
        <v/>
      </c>
      <c r="F45" s="211">
        <f>IFERROR(E45/E$20,0)</f>
        <v/>
      </c>
      <c r="G45" s="203">
        <f>'LW 2026 P&amp;L'!G40</f>
        <v/>
      </c>
      <c r="H45" s="211">
        <f>IFERROR(G45/G$20,0)</f>
        <v/>
      </c>
      <c r="I45" s="203">
        <f>'LW 2026 P&amp;L'!I40</f>
        <v/>
      </c>
      <c r="J45" s="211">
        <f>IFERROR(I45/I$20,0)</f>
        <v/>
      </c>
      <c r="K45" s="203">
        <f>'LW 2026 P&amp;L'!K40</f>
        <v/>
      </c>
      <c r="L45" s="211">
        <f>IFERROR(K45/K$20,0)</f>
        <v/>
      </c>
      <c r="M45" s="203">
        <f>'LW 2026 P&amp;L'!M40</f>
        <v/>
      </c>
      <c r="N45" s="211">
        <f>IFERROR(M45/M$20,0)</f>
        <v/>
      </c>
      <c r="O45" s="203">
        <f>'LW 2026 P&amp;L'!O40</f>
        <v/>
      </c>
      <c r="P45" s="211">
        <f>IFERROR(O45/O$20,0)</f>
        <v/>
      </c>
      <c r="Q45" s="203">
        <f>'LW 2026 P&amp;L'!Q40</f>
        <v/>
      </c>
      <c r="R45" s="211">
        <f>IFERROR(Q45/Q$20,0)</f>
        <v/>
      </c>
      <c r="S45" s="203">
        <f>'LW 2026 P&amp;L'!S40</f>
        <v/>
      </c>
      <c r="T45" s="211">
        <f>IFERROR(S45/S$20,0)</f>
        <v/>
      </c>
      <c r="U45" s="203">
        <f>'LW 2026 P&amp;L'!U40</f>
        <v/>
      </c>
      <c r="V45" s="211">
        <f>IFERROR(U45/U$20,0)</f>
        <v/>
      </c>
      <c r="W45" s="203">
        <f>'LW 2026 P&amp;L'!W40</f>
        <v/>
      </c>
      <c r="X45" s="211">
        <f>IFERROR(W45/W$20,0)</f>
        <v/>
      </c>
      <c r="Y45" s="203">
        <f>'LW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IF(1&gt;=MONTH($C$4),C20*'LW Assumptions'!$C$49,'LW 2026 P&amp;L'!C41)</f>
        <v/>
      </c>
      <c r="D46" s="211">
        <f>IFERROR(C46/C$20,0)</f>
        <v/>
      </c>
      <c r="E46" s="203">
        <f>IF(2&gt;=MONTH($C$4),E20*'LW Assumptions'!$C$49,'LW 2026 P&amp;L'!E41)</f>
        <v/>
      </c>
      <c r="F46" s="211">
        <f>IFERROR(E46/E$20,0)</f>
        <v/>
      </c>
      <c r="G46" s="203">
        <f>IF(3&gt;=MONTH($C$4),G20*'LW Assumptions'!$C$49,'LW 2026 P&amp;L'!G41)</f>
        <v/>
      </c>
      <c r="H46" s="211">
        <f>IFERROR(G46/G$20,0)</f>
        <v/>
      </c>
      <c r="I46" s="203">
        <f>IF(4&gt;=MONTH($C$4),I20*'LW Assumptions'!$C$49,'LW 2026 P&amp;L'!I41)</f>
        <v/>
      </c>
      <c r="J46" s="211">
        <f>IFERROR(I46/I$20,0)</f>
        <v/>
      </c>
      <c r="K46" s="203">
        <f>IF(5&gt;=MONTH($C$4),K20*'LW Assumptions'!$C$49,'LW 2026 P&amp;L'!K41)</f>
        <v/>
      </c>
      <c r="L46" s="211">
        <f>IFERROR(K46/K$20,0)</f>
        <v/>
      </c>
      <c r="M46" s="203">
        <f>IF(6&gt;=MONTH($C$4),M20*'LW Assumptions'!$C$49,'LW 2026 P&amp;L'!M41)</f>
        <v/>
      </c>
      <c r="N46" s="211">
        <f>IFERROR(M46/M$20,0)</f>
        <v/>
      </c>
      <c r="O46" s="203">
        <f>IF(7&gt;=MONTH($C$4),O20*'LW Assumptions'!$C$49,'LW 2026 P&amp;L'!O41)</f>
        <v/>
      </c>
      <c r="P46" s="211">
        <f>IFERROR(O46/O$20,0)</f>
        <v/>
      </c>
      <c r="Q46" s="203">
        <f>IF(8&gt;=MONTH($C$4),Q20*'LW Assumptions'!$C$49,'LW 2026 P&amp;L'!Q41)</f>
        <v/>
      </c>
      <c r="R46" s="211">
        <f>IFERROR(Q46/Q$20,0)</f>
        <v/>
      </c>
      <c r="S46" s="203">
        <f>IF(9&gt;=MONTH($C$4),S20*'LW Assumptions'!$C$49,'LW 2026 P&amp;L'!S41)</f>
        <v/>
      </c>
      <c r="T46" s="211">
        <f>IFERROR(S46/S$20,0)</f>
        <v/>
      </c>
      <c r="U46" s="203">
        <f>IF(10&gt;=MONTH($C$4),U20*'LW Assumptions'!$C$49,'LW 2026 P&amp;L'!U41)</f>
        <v/>
      </c>
      <c r="V46" s="211">
        <f>IFERROR(U46/U$20,0)</f>
        <v/>
      </c>
      <c r="W46" s="203">
        <f>IF(11&gt;=MONTH($C$4),W20*'LW Assumptions'!$C$49,'LW 2026 P&amp;L'!W41)</f>
        <v/>
      </c>
      <c r="X46" s="211">
        <f>IFERROR(W46/W$20,0)</f>
        <v/>
      </c>
      <c r="Y46" s="203">
        <f>IF(12&gt;=MONTH($C$4),Y20*'LW Assumptions'!$C$49,'LW 2026 P&amp;L'!Y41)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IF(1&gt;=MONTH($C$4),C20*'LW Assumptions'!$C$50,'LW 2026 P&amp;L'!C42)</f>
        <v/>
      </c>
      <c r="D47" s="211">
        <f>IFERROR(C47/C$20,0)</f>
        <v/>
      </c>
      <c r="E47" s="203">
        <f>IF(2&gt;=MONTH($C$4),E20*'LW Assumptions'!$C$50,'LW 2026 P&amp;L'!E42)</f>
        <v/>
      </c>
      <c r="F47" s="211">
        <f>IFERROR(E47/E$20,0)</f>
        <v/>
      </c>
      <c r="G47" s="203">
        <f>IF(3&gt;=MONTH($C$4),G20*'LW Assumptions'!$C$50,'LW 2026 P&amp;L'!G42)</f>
        <v/>
      </c>
      <c r="H47" s="211">
        <f>IFERROR(G47/G$20,0)</f>
        <v/>
      </c>
      <c r="I47" s="203">
        <f>IF(4&gt;=MONTH($C$4),I20*'LW Assumptions'!$C$50,'LW 2026 P&amp;L'!I42)</f>
        <v/>
      </c>
      <c r="J47" s="211">
        <f>IFERROR(I47/I$20,0)</f>
        <v/>
      </c>
      <c r="K47" s="203">
        <f>IF(5&gt;=MONTH($C$4),K20*'LW Assumptions'!$C$50,'LW 2026 P&amp;L'!K42)</f>
        <v/>
      </c>
      <c r="L47" s="211">
        <f>IFERROR(K47/K$20,0)</f>
        <v/>
      </c>
      <c r="M47" s="203">
        <f>IF(6&gt;=MONTH($C$4),M20*'LW Assumptions'!$C$50,'LW 2026 P&amp;L'!M42)</f>
        <v/>
      </c>
      <c r="N47" s="211">
        <f>IFERROR(M47/M$20,0)</f>
        <v/>
      </c>
      <c r="O47" s="203">
        <f>IF(7&gt;=MONTH($C$4),O20*'LW Assumptions'!$C$50,'LW 2026 P&amp;L'!O42)</f>
        <v/>
      </c>
      <c r="P47" s="211">
        <f>IFERROR(O47/O$20,0)</f>
        <v/>
      </c>
      <c r="Q47" s="203">
        <f>IF(8&gt;=MONTH($C$4),Q20*'LW Assumptions'!$C$50,'LW 2026 P&amp;L'!Q42)</f>
        <v/>
      </c>
      <c r="R47" s="211">
        <f>IFERROR(Q47/Q$20,0)</f>
        <v/>
      </c>
      <c r="S47" s="203">
        <f>IF(9&gt;=MONTH($C$4),S20*'LW Assumptions'!$C$50,'LW 2026 P&amp;L'!S42)</f>
        <v/>
      </c>
      <c r="T47" s="211">
        <f>IFERROR(S47/S$20,0)</f>
        <v/>
      </c>
      <c r="U47" s="203">
        <f>IF(10&gt;=MONTH($C$4),U20*'LW Assumptions'!$C$50,'LW 2026 P&amp;L'!U42)</f>
        <v/>
      </c>
      <c r="V47" s="211">
        <f>IFERROR(U47/U$20,0)</f>
        <v/>
      </c>
      <c r="W47" s="203">
        <f>IF(11&gt;=MONTH($C$4),W20*'LW Assumptions'!$C$50,'LW 2026 P&amp;L'!W42)</f>
        <v/>
      </c>
      <c r="X47" s="211">
        <f>IFERROR(W47/W$20,0)</f>
        <v/>
      </c>
      <c r="Y47" s="203">
        <f>IF(12&gt;=MONTH($C$4),Y20*'LW Assumptions'!$C$50,'LW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P&amp;L'!C43</f>
        <v/>
      </c>
      <c r="D48" s="211">
        <f>IFERROR(C48/C$20,0)</f>
        <v/>
      </c>
      <c r="E48" s="203">
        <f>'LW 2026 P&amp;L'!E43</f>
        <v/>
      </c>
      <c r="F48" s="211">
        <f>IFERROR(E48/E$20,0)</f>
        <v/>
      </c>
      <c r="G48" s="203">
        <f>'LW 2026 P&amp;L'!G43</f>
        <v/>
      </c>
      <c r="H48" s="211">
        <f>IFERROR(G48/G$20,0)</f>
        <v/>
      </c>
      <c r="I48" s="203">
        <f>'LW 2026 P&amp;L'!I43</f>
        <v/>
      </c>
      <c r="J48" s="211">
        <f>IFERROR(I48/I$20,0)</f>
        <v/>
      </c>
      <c r="K48" s="203">
        <f>'LW 2026 P&amp;L'!K43</f>
        <v/>
      </c>
      <c r="L48" s="211">
        <f>IFERROR(K48/K$20,0)</f>
        <v/>
      </c>
      <c r="M48" s="203">
        <f>'LW 2026 P&amp;L'!M43</f>
        <v/>
      </c>
      <c r="N48" s="211">
        <f>IFERROR(M48/M$20,0)</f>
        <v/>
      </c>
      <c r="O48" s="203">
        <f>'LW 2026 P&amp;L'!O43</f>
        <v/>
      </c>
      <c r="P48" s="211">
        <f>IFERROR(O48/O$20,0)</f>
        <v/>
      </c>
      <c r="Q48" s="203">
        <f>'LW 2026 P&amp;L'!Q43</f>
        <v/>
      </c>
      <c r="R48" s="211">
        <f>IFERROR(Q48/Q$20,0)</f>
        <v/>
      </c>
      <c r="S48" s="203">
        <f>'LW 2026 P&amp;L'!S43</f>
        <v/>
      </c>
      <c r="T48" s="211">
        <f>IFERROR(S48/S$20,0)</f>
        <v/>
      </c>
      <c r="U48" s="203">
        <f>'LW 2026 P&amp;L'!U43</f>
        <v/>
      </c>
      <c r="V48" s="211">
        <f>IFERROR(U48/U$20,0)</f>
        <v/>
      </c>
      <c r="W48" s="203">
        <f>'LW 2026 P&amp;L'!W43</f>
        <v/>
      </c>
      <c r="X48" s="211">
        <f>IFERROR(W48/W$20,0)</f>
        <v/>
      </c>
      <c r="Y48" s="203">
        <f>'LW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P&amp;L'!C47</f>
        <v/>
      </c>
      <c r="D53" s="211">
        <f>IFERROR(C53/C$20,0)</f>
        <v/>
      </c>
      <c r="E53" s="203">
        <f>'LW 2026 P&amp;L'!E47</f>
        <v/>
      </c>
      <c r="F53" s="211">
        <f>IFERROR(E53/E$20,0)</f>
        <v/>
      </c>
      <c r="G53" s="203">
        <f>'LW 2026 P&amp;L'!G47</f>
        <v/>
      </c>
      <c r="H53" s="211">
        <f>IFERROR(G53/G$20,0)</f>
        <v/>
      </c>
      <c r="I53" s="203">
        <f>'LW 2026 P&amp;L'!I47</f>
        <v/>
      </c>
      <c r="J53" s="211">
        <f>IFERROR(I53/I$20,0)</f>
        <v/>
      </c>
      <c r="K53" s="203">
        <f>'LW 2026 P&amp;L'!K47</f>
        <v/>
      </c>
      <c r="L53" s="211">
        <f>IFERROR(K53/K$20,0)</f>
        <v/>
      </c>
      <c r="M53" s="203">
        <f>'LW 2026 P&amp;L'!M47</f>
        <v/>
      </c>
      <c r="N53" s="211">
        <f>IFERROR(M53/M$20,0)</f>
        <v/>
      </c>
      <c r="O53" s="203">
        <f>'LW 2026 P&amp;L'!O47</f>
        <v/>
      </c>
      <c r="P53" s="211">
        <f>IFERROR(O53/O$20,0)</f>
        <v/>
      </c>
      <c r="Q53" s="203">
        <f>'LW 2026 P&amp;L'!Q47</f>
        <v/>
      </c>
      <c r="R53" s="211">
        <f>IFERROR(Q53/Q$20,0)</f>
        <v/>
      </c>
      <c r="S53" s="203">
        <f>'LW 2026 P&amp;L'!S47</f>
        <v/>
      </c>
      <c r="T53" s="211">
        <f>IFERROR(S53/S$20,0)</f>
        <v/>
      </c>
      <c r="U53" s="203">
        <f>'LW 2026 P&amp;L'!U47</f>
        <v/>
      </c>
      <c r="V53" s="211">
        <f>IFERROR(U53/U$20,0)</f>
        <v/>
      </c>
      <c r="W53" s="203">
        <f>'LW 2026 P&amp;L'!W47</f>
        <v/>
      </c>
      <c r="X53" s="211">
        <f>IFERROR(W53/W$20,0)</f>
        <v/>
      </c>
      <c r="Y53" s="203">
        <f>'LW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IF(1&gt;=MONTH($C$4),C20*'LW Assumptions'!$C$41,'LW 2026 P&amp;L'!C48)</f>
        <v/>
      </c>
      <c r="D54" s="211">
        <f>IFERROR(C54/C$20,0)</f>
        <v/>
      </c>
      <c r="E54" s="203">
        <f>IF(2&gt;=MONTH($C$4),E20*'LW Assumptions'!$C$41,'LW 2026 P&amp;L'!E48)</f>
        <v/>
      </c>
      <c r="F54" s="211">
        <f>IFERROR(E54/E$20,0)</f>
        <v/>
      </c>
      <c r="G54" s="203">
        <f>IF(3&gt;=MONTH($C$4),G20*'LW Assumptions'!$C$41,'LW 2026 P&amp;L'!G48)</f>
        <v/>
      </c>
      <c r="H54" s="211">
        <f>IFERROR(G54/G$20,0)</f>
        <v/>
      </c>
      <c r="I54" s="203">
        <f>IF(4&gt;=MONTH($C$4),I20*'LW Assumptions'!$C$41,'LW 2026 P&amp;L'!I48)</f>
        <v/>
      </c>
      <c r="J54" s="211">
        <f>IFERROR(I54/I$20,0)</f>
        <v/>
      </c>
      <c r="K54" s="203">
        <f>IF(5&gt;=MONTH($C$4),K20*'LW Assumptions'!$C$41,'LW 2026 P&amp;L'!K48)</f>
        <v/>
      </c>
      <c r="L54" s="211">
        <f>IFERROR(K54/K$20,0)</f>
        <v/>
      </c>
      <c r="M54" s="203">
        <f>IF(6&gt;=MONTH($C$4),M20*'LW Assumptions'!$C$41,'LW 2026 P&amp;L'!M48)</f>
        <v/>
      </c>
      <c r="N54" s="211">
        <f>IFERROR(M54/M$20,0)</f>
        <v/>
      </c>
      <c r="O54" s="203">
        <f>IF(7&gt;=MONTH($C$4),O20*'LW Assumptions'!$C$41,'LW 2026 P&amp;L'!O48)</f>
        <v/>
      </c>
      <c r="P54" s="211">
        <f>IFERROR(O54/O$20,0)</f>
        <v/>
      </c>
      <c r="Q54" s="203">
        <f>IF(8&gt;=MONTH($C$4),Q20*'LW Assumptions'!$C$41,'LW 2026 P&amp;L'!Q48)</f>
        <v/>
      </c>
      <c r="R54" s="211">
        <f>IFERROR(Q54/Q$20,0)</f>
        <v/>
      </c>
      <c r="S54" s="203">
        <f>IF(9&gt;=MONTH($C$4),S20*'LW Assumptions'!$C$41,'LW 2026 P&amp;L'!S48)</f>
        <v/>
      </c>
      <c r="T54" s="211">
        <f>IFERROR(S54/S$20,0)</f>
        <v/>
      </c>
      <c r="U54" s="203">
        <f>IF(10&gt;=MONTH($C$4),U20*'LW Assumptions'!$C$41,'LW 2026 P&amp;L'!U48)</f>
        <v/>
      </c>
      <c r="V54" s="211">
        <f>IFERROR(U54/U$20,0)</f>
        <v/>
      </c>
      <c r="W54" s="203">
        <f>IF(11&gt;=MONTH($C$4),W20*'LW Assumptions'!$C$41,'LW 2026 P&amp;L'!W48)</f>
        <v/>
      </c>
      <c r="X54" s="211">
        <f>IFERROR(W54/W$20,0)</f>
        <v/>
      </c>
      <c r="Y54" s="203">
        <f>IF(12&gt;=MONTH($C$4),Y20*'LW Assumptions'!$C$41,'LW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G&amp;A - Uncon (4.5% target when live)</t>
        </is>
      </c>
      <c r="C55" s="203">
        <f>IF(1&gt;=MONTH($C$4),C20*'LW Assumptions'!$C$52,'LW 2026 P&amp;L'!C49)</f>
        <v/>
      </c>
      <c r="D55" s="211">
        <f>IFERROR(C55/C$20,0)</f>
        <v/>
      </c>
      <c r="E55" s="203">
        <f>IF(2&gt;=MONTH($C$4),E20*'LW Assumptions'!$C$52,'LW 2026 P&amp;L'!E49)</f>
        <v/>
      </c>
      <c r="F55" s="211">
        <f>IFERROR(E55/E$20,0)</f>
        <v/>
      </c>
      <c r="G55" s="203">
        <f>IF(3&gt;=MONTH($C$4),G20*'LW Assumptions'!$C$52,'LW 2026 P&amp;L'!G49)</f>
        <v/>
      </c>
      <c r="H55" s="211">
        <f>IFERROR(G55/G$20,0)</f>
        <v/>
      </c>
      <c r="I55" s="203">
        <f>IF(4&gt;=MONTH($C$4),I20*'LW Assumptions'!$C$52,'LW 2026 P&amp;L'!I49)</f>
        <v/>
      </c>
      <c r="J55" s="211">
        <f>IFERROR(I55/I$20,0)</f>
        <v/>
      </c>
      <c r="K55" s="203">
        <f>IF(5&gt;=MONTH($C$4),K20*'LW Assumptions'!$C$52,'LW 2026 P&amp;L'!K49)</f>
        <v/>
      </c>
      <c r="L55" s="211">
        <f>IFERROR(K55/K$20,0)</f>
        <v/>
      </c>
      <c r="M55" s="203">
        <f>IF(6&gt;=MONTH($C$4),M20*'LW Assumptions'!$C$52,'LW 2026 P&amp;L'!M49)</f>
        <v/>
      </c>
      <c r="N55" s="211">
        <f>IFERROR(M55/M$20,0)</f>
        <v/>
      </c>
      <c r="O55" s="203">
        <f>IF(7&gt;=MONTH($C$4),O20*'LW Assumptions'!$C$52,'LW 2026 P&amp;L'!O49)</f>
        <v/>
      </c>
      <c r="P55" s="211">
        <f>IFERROR(O55/O$20,0)</f>
        <v/>
      </c>
      <c r="Q55" s="203">
        <f>IF(8&gt;=MONTH($C$4),Q20*'LW Assumptions'!$C$52,'LW 2026 P&amp;L'!Q49)</f>
        <v/>
      </c>
      <c r="R55" s="211">
        <f>IFERROR(Q55/Q$20,0)</f>
        <v/>
      </c>
      <c r="S55" s="203">
        <f>IF(9&gt;=MONTH($C$4),S20*'LW Assumptions'!$C$52,'LW 2026 P&amp;L'!S49)</f>
        <v/>
      </c>
      <c r="T55" s="211">
        <f>IFERROR(S55/S$20,0)</f>
        <v/>
      </c>
      <c r="U55" s="203">
        <f>IF(10&gt;=MONTH($C$4),U20*'LW Assumptions'!$C$52,'LW 2026 P&amp;L'!U49)</f>
        <v/>
      </c>
      <c r="V55" s="211">
        <f>IFERROR(U55/U$20,0)</f>
        <v/>
      </c>
      <c r="W55" s="203">
        <f>IF(11&gt;=MONTH($C$4),W20*'LW Assumptions'!$C$52,'LW 2026 P&amp;L'!W49)</f>
        <v/>
      </c>
      <c r="X55" s="211">
        <f>IFERROR(W55/W$20,0)</f>
        <v/>
      </c>
      <c r="Y55" s="203">
        <f>IF(12&gt;=MONTH($C$4),Y20*'LW Assumptions'!$C$52,'LW 2026 P&amp;L'!Y49)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IF(1&gt;=MONTH($C$4),C20*'LW Assumptions'!$C$40,'LW 2026 P&amp;L'!C50)</f>
        <v/>
      </c>
      <c r="D56" s="211">
        <f>IFERROR(C56/C$20,0)</f>
        <v/>
      </c>
      <c r="E56" s="203">
        <f>IF(2&gt;=MONTH($C$4),E20*'LW Assumptions'!$C$40,'LW 2026 P&amp;L'!E50)</f>
        <v/>
      </c>
      <c r="F56" s="211">
        <f>IFERROR(E56/E$20,0)</f>
        <v/>
      </c>
      <c r="G56" s="203">
        <f>IF(3&gt;=MONTH($C$4),G20*'LW Assumptions'!$C$40,'LW 2026 P&amp;L'!G50)</f>
        <v/>
      </c>
      <c r="H56" s="211">
        <f>IFERROR(G56/G$20,0)</f>
        <v/>
      </c>
      <c r="I56" s="203">
        <f>IF(4&gt;=MONTH($C$4),I20*'LW Assumptions'!$C$40,'LW 2026 P&amp;L'!I50)</f>
        <v/>
      </c>
      <c r="J56" s="211">
        <f>IFERROR(I56/I$20,0)</f>
        <v/>
      </c>
      <c r="K56" s="203">
        <f>IF(5&gt;=MONTH($C$4),K20*'LW Assumptions'!$C$40,'LW 2026 P&amp;L'!K50)</f>
        <v/>
      </c>
      <c r="L56" s="211">
        <f>IFERROR(K56/K$20,0)</f>
        <v/>
      </c>
      <c r="M56" s="203">
        <f>IF(6&gt;=MONTH($C$4),M20*'LW Assumptions'!$C$40,'LW 2026 P&amp;L'!M50)</f>
        <v/>
      </c>
      <c r="N56" s="211">
        <f>IFERROR(M56/M$20,0)</f>
        <v/>
      </c>
      <c r="O56" s="203">
        <f>IF(7&gt;=MONTH($C$4),O20*'LW Assumptions'!$C$40,'LW 2026 P&amp;L'!O50)</f>
        <v/>
      </c>
      <c r="P56" s="211">
        <f>IFERROR(O56/O$20,0)</f>
        <v/>
      </c>
      <c r="Q56" s="203">
        <f>IF(8&gt;=MONTH($C$4),Q20*'LW Assumptions'!$C$40,'LW 2026 P&amp;L'!Q50)</f>
        <v/>
      </c>
      <c r="R56" s="211">
        <f>IFERROR(Q56/Q$20,0)</f>
        <v/>
      </c>
      <c r="S56" s="203">
        <f>IF(9&gt;=MONTH($C$4),S20*'LW Assumptions'!$C$40,'LW 2026 P&amp;L'!S50)</f>
        <v/>
      </c>
      <c r="T56" s="211">
        <f>IFERROR(S56/S$20,0)</f>
        <v/>
      </c>
      <c r="U56" s="203">
        <f>IF(10&gt;=MONTH($C$4),U20*'LW Assumptions'!$C$40,'LW 2026 P&amp;L'!U50)</f>
        <v/>
      </c>
      <c r="V56" s="211">
        <f>IFERROR(U56/U$20,0)</f>
        <v/>
      </c>
      <c r="W56" s="203">
        <f>IF(11&gt;=MONTH($C$4),W20*'LW Assumptions'!$C$40,'LW 2026 P&amp;L'!W50)</f>
        <v/>
      </c>
      <c r="X56" s="211">
        <f>IFERROR(W56/W$20,0)</f>
        <v/>
      </c>
      <c r="Y56" s="203">
        <f>IF(12&gt;=MONTH($C$4),Y20*'LW Assumptions'!$C$40,'LW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P&amp;L'!C51</f>
        <v/>
      </c>
      <c r="D58" s="211">
        <f>IFERROR(C58/C$20,0)</f>
        <v/>
      </c>
      <c r="E58" s="203">
        <f>'LW 2026 P&amp;L'!E51</f>
        <v/>
      </c>
      <c r="F58" s="211">
        <f>IFERROR(E58/E$20,0)</f>
        <v/>
      </c>
      <c r="G58" s="203">
        <f>'LW 2026 P&amp;L'!G51</f>
        <v/>
      </c>
      <c r="H58" s="211">
        <f>IFERROR(G58/G$20,0)</f>
        <v/>
      </c>
      <c r="I58" s="203">
        <f>'LW 2026 P&amp;L'!I51</f>
        <v/>
      </c>
      <c r="J58" s="211">
        <f>IFERROR(I58/I$20,0)</f>
        <v/>
      </c>
      <c r="K58" s="203">
        <f>'LW 2026 P&amp;L'!K51</f>
        <v/>
      </c>
      <c r="L58" s="211">
        <f>IFERROR(K58/K$20,0)</f>
        <v/>
      </c>
      <c r="M58" s="203">
        <f>'LW 2026 P&amp;L'!M51</f>
        <v/>
      </c>
      <c r="N58" s="211">
        <f>IFERROR(M58/M$20,0)</f>
        <v/>
      </c>
      <c r="O58" s="203">
        <f>'LW 2026 P&amp;L'!O51</f>
        <v/>
      </c>
      <c r="P58" s="211">
        <f>IFERROR(O58/O$20,0)</f>
        <v/>
      </c>
      <c r="Q58" s="203">
        <f>'LW 2026 P&amp;L'!Q51</f>
        <v/>
      </c>
      <c r="R58" s="211">
        <f>IFERROR(Q58/Q$20,0)</f>
        <v/>
      </c>
      <c r="S58" s="203">
        <f>'LW 2026 P&amp;L'!S51</f>
        <v/>
      </c>
      <c r="T58" s="211">
        <f>IFERROR(S58/S$20,0)</f>
        <v/>
      </c>
      <c r="U58" s="203">
        <f>'LW 2026 P&amp;L'!U51</f>
        <v/>
      </c>
      <c r="V58" s="211">
        <f>IFERROR(U58/U$20,0)</f>
        <v/>
      </c>
      <c r="W58" s="203">
        <f>'LW 2026 P&amp;L'!W51</f>
        <v/>
      </c>
      <c r="X58" s="211">
        <f>IFERROR(W58/W$20,0)</f>
        <v/>
      </c>
      <c r="Y58" s="203">
        <f>'LW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P&amp;L'!C52</f>
        <v/>
      </c>
      <c r="D59" s="211">
        <f>IFERROR(C59/C$20,0)</f>
        <v/>
      </c>
      <c r="E59" s="203">
        <f>'LW 2026 P&amp;L'!E52</f>
        <v/>
      </c>
      <c r="F59" s="211">
        <f>IFERROR(E59/E$20,0)</f>
        <v/>
      </c>
      <c r="G59" s="203">
        <f>'LW 2026 P&amp;L'!G52</f>
        <v/>
      </c>
      <c r="H59" s="211">
        <f>IFERROR(G59/G$20,0)</f>
        <v/>
      </c>
      <c r="I59" s="203">
        <f>'LW 2026 P&amp;L'!I52</f>
        <v/>
      </c>
      <c r="J59" s="211">
        <f>IFERROR(I59/I$20,0)</f>
        <v/>
      </c>
      <c r="K59" s="203">
        <f>'LW 2026 P&amp;L'!K52</f>
        <v/>
      </c>
      <c r="L59" s="211">
        <f>IFERROR(K59/K$20,0)</f>
        <v/>
      </c>
      <c r="M59" s="203">
        <f>'LW 2026 P&amp;L'!M52</f>
        <v/>
      </c>
      <c r="N59" s="211">
        <f>IFERROR(M59/M$20,0)</f>
        <v/>
      </c>
      <c r="O59" s="203">
        <f>'LW 2026 P&amp;L'!O52</f>
        <v/>
      </c>
      <c r="P59" s="211">
        <f>IFERROR(O59/O$20,0)</f>
        <v/>
      </c>
      <c r="Q59" s="203">
        <f>'LW 2026 P&amp;L'!Q52</f>
        <v/>
      </c>
      <c r="R59" s="211">
        <f>IFERROR(Q59/Q$20,0)</f>
        <v/>
      </c>
      <c r="S59" s="203">
        <f>'LW 2026 P&amp;L'!S52</f>
        <v/>
      </c>
      <c r="T59" s="211">
        <f>IFERROR(S59/S$20,0)</f>
        <v/>
      </c>
      <c r="U59" s="203">
        <f>'LW 2026 P&amp;L'!U52</f>
        <v/>
      </c>
      <c r="V59" s="211">
        <f>IFERROR(U59/U$20,0)</f>
        <v/>
      </c>
      <c r="W59" s="203">
        <f>'LW 2026 P&amp;L'!W52</f>
        <v/>
      </c>
      <c r="X59" s="211">
        <f>IFERROR(W59/W$20,0)</f>
        <v/>
      </c>
      <c r="Y59" s="203">
        <f>'LW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P&amp;L'!C57</f>
        <v/>
      </c>
      <c r="D64" s="211">
        <f>IFERROR(C64/C$20,0)</f>
        <v/>
      </c>
      <c r="E64" s="203">
        <f>'LW 2026 P&amp;L'!E57</f>
        <v/>
      </c>
      <c r="F64" s="211">
        <f>IFERROR(E64/E$20,0)</f>
        <v/>
      </c>
      <c r="G64" s="203">
        <f>'LW 2026 P&amp;L'!G57</f>
        <v/>
      </c>
      <c r="H64" s="211">
        <f>IFERROR(G64/G$20,0)</f>
        <v/>
      </c>
      <c r="I64" s="203">
        <f>'LW 2026 P&amp;L'!I57</f>
        <v/>
      </c>
      <c r="J64" s="211">
        <f>IFERROR(I64/I$20,0)</f>
        <v/>
      </c>
      <c r="K64" s="203">
        <f>'LW 2026 P&amp;L'!K57</f>
        <v/>
      </c>
      <c r="L64" s="211">
        <f>IFERROR(K64/K$20,0)</f>
        <v/>
      </c>
      <c r="M64" s="203">
        <f>'LW 2026 P&amp;L'!M57</f>
        <v/>
      </c>
      <c r="N64" s="211">
        <f>IFERROR(M64/M$20,0)</f>
        <v/>
      </c>
      <c r="O64" s="203">
        <f>'LW 2026 P&amp;L'!O57</f>
        <v/>
      </c>
      <c r="P64" s="211">
        <f>IFERROR(O64/O$20,0)</f>
        <v/>
      </c>
      <c r="Q64" s="203">
        <f>'LW 2026 P&amp;L'!Q57</f>
        <v/>
      </c>
      <c r="R64" s="211">
        <f>IFERROR(Q64/Q$20,0)</f>
        <v/>
      </c>
      <c r="S64" s="203">
        <f>'LW 2026 P&amp;L'!S57</f>
        <v/>
      </c>
      <c r="T64" s="211">
        <f>IFERROR(S64/S$20,0)</f>
        <v/>
      </c>
      <c r="U64" s="203">
        <f>'LW 2026 P&amp;L'!U57</f>
        <v/>
      </c>
      <c r="V64" s="211">
        <f>IFERROR(U64/U$20,0)</f>
        <v/>
      </c>
      <c r="W64" s="203">
        <f>'LW 2026 P&amp;L'!W57</f>
        <v/>
      </c>
      <c r="X64" s="211">
        <f>IFERROR(W64/W$20,0)</f>
        <v/>
      </c>
      <c r="Y64" s="203">
        <f>'LW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P&amp;L'!C61</f>
        <v/>
      </c>
      <c r="D68" s="211">
        <f>IFERROR(C68/C$20,0)</f>
        <v/>
      </c>
      <c r="E68" s="203">
        <f>'LW 2026 P&amp;L'!E61</f>
        <v/>
      </c>
      <c r="F68" s="211">
        <f>IFERROR(E68/E$20,0)</f>
        <v/>
      </c>
      <c r="G68" s="203">
        <f>'LW 2026 P&amp;L'!G61</f>
        <v/>
      </c>
      <c r="H68" s="211">
        <f>IFERROR(G68/G$20,0)</f>
        <v/>
      </c>
      <c r="I68" s="203">
        <f>'LW 2026 P&amp;L'!I61</f>
        <v/>
      </c>
      <c r="J68" s="211">
        <f>IFERROR(I68/I$20,0)</f>
        <v/>
      </c>
      <c r="K68" s="203">
        <f>'LW 2026 P&amp;L'!K61</f>
        <v/>
      </c>
      <c r="L68" s="211">
        <f>IFERROR(K68/K$20,0)</f>
        <v/>
      </c>
      <c r="M68" s="203">
        <f>'LW 2026 P&amp;L'!M61</f>
        <v/>
      </c>
      <c r="N68" s="211">
        <f>IFERROR(M68/M$20,0)</f>
        <v/>
      </c>
      <c r="O68" s="203">
        <f>'LW 2026 P&amp;L'!O61</f>
        <v/>
      </c>
      <c r="P68" s="211">
        <f>IFERROR(O68/O$20,0)</f>
        <v/>
      </c>
      <c r="Q68" s="203">
        <f>'LW 2026 P&amp;L'!Q61</f>
        <v/>
      </c>
      <c r="R68" s="211">
        <f>IFERROR(Q68/Q$20,0)</f>
        <v/>
      </c>
      <c r="S68" s="203">
        <f>'LW 2026 P&amp;L'!S61</f>
        <v/>
      </c>
      <c r="T68" s="211">
        <f>IFERROR(S68/S$20,0)</f>
        <v/>
      </c>
      <c r="U68" s="203">
        <f>'LW 2026 P&amp;L'!U61</f>
        <v/>
      </c>
      <c r="V68" s="211">
        <f>IFERROR(U68/U$20,0)</f>
        <v/>
      </c>
      <c r="W68" s="203">
        <f>'LW 2026 P&amp;L'!W61</f>
        <v/>
      </c>
      <c r="X68" s="211">
        <f>IFERROR(W68/W$20,0)</f>
        <v/>
      </c>
      <c r="Y68" s="203">
        <f>'LW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P&amp;L'!C62</f>
        <v/>
      </c>
      <c r="D69" s="211">
        <f>IFERROR(C69/C$20,0)</f>
        <v/>
      </c>
      <c r="E69" s="203">
        <f>'LW 2026 P&amp;L'!E62</f>
        <v/>
      </c>
      <c r="F69" s="211">
        <f>IFERROR(E69/E$20,0)</f>
        <v/>
      </c>
      <c r="G69" s="203">
        <f>'LW 2026 P&amp;L'!G62</f>
        <v/>
      </c>
      <c r="H69" s="211">
        <f>IFERROR(G69/G$20,0)</f>
        <v/>
      </c>
      <c r="I69" s="203">
        <f>'LW 2026 P&amp;L'!I62</f>
        <v/>
      </c>
      <c r="J69" s="211">
        <f>IFERROR(I69/I$20,0)</f>
        <v/>
      </c>
      <c r="K69" s="203">
        <f>'LW 2026 P&amp;L'!K62</f>
        <v/>
      </c>
      <c r="L69" s="211">
        <f>IFERROR(K69/K$20,0)</f>
        <v/>
      </c>
      <c r="M69" s="203">
        <f>'LW 2026 P&amp;L'!M62</f>
        <v/>
      </c>
      <c r="N69" s="211">
        <f>IFERROR(M69/M$20,0)</f>
        <v/>
      </c>
      <c r="O69" s="203">
        <f>'LW 2026 P&amp;L'!O62</f>
        <v/>
      </c>
      <c r="P69" s="211">
        <f>IFERROR(O69/O$20,0)</f>
        <v/>
      </c>
      <c r="Q69" s="203">
        <f>'LW 2026 P&amp;L'!Q62</f>
        <v/>
      </c>
      <c r="R69" s="211">
        <f>IFERROR(Q69/Q$20,0)</f>
        <v/>
      </c>
      <c r="S69" s="203">
        <f>'LW 2026 P&amp;L'!S62</f>
        <v/>
      </c>
      <c r="T69" s="211">
        <f>IFERROR(S69/S$20,0)</f>
        <v/>
      </c>
      <c r="U69" s="203">
        <f>'LW 2026 P&amp;L'!U62</f>
        <v/>
      </c>
      <c r="V69" s="211">
        <f>IFERROR(U69/U$20,0)</f>
        <v/>
      </c>
      <c r="W69" s="203">
        <f>'LW 2026 P&amp;L'!W62</f>
        <v/>
      </c>
      <c r="X69" s="211">
        <f>IFERROR(W69/W$20,0)</f>
        <v/>
      </c>
      <c r="Y69" s="203">
        <f>'LW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Vessel</t>
        </is>
      </c>
    </row>
    <row r="2" ht="15" customHeight="1" s="180">
      <c r="A2" s="181" t="inlineStr">
        <is>
          <t>Profit &amp; Loss — 2026 Act/For MODIFIED · Jan–Jun actual, levers live from go-live date (4% mgmt fee · rent waived · 5% admin fee)</t>
        </is>
      </c>
    </row>
    <row r="3" ht="15" customHeight="1" s="180">
      <c r="A3" s="181" t="inlineStr">
        <is>
          <t>2026 Modified</t>
        </is>
      </c>
    </row>
    <row r="4" ht="15" customHeight="1" s="180">
      <c r="A4" s="185" t="inlineStr">
        <is>
          <t>Changes go-live date (INPUT):</t>
        </is>
      </c>
      <c r="C4" s="254" t="n">
        <v>46235</v>
      </c>
      <c r="D4" s="182" t="inlineStr">
        <is>
          <t>months on/after this date apply the levers; earlier months = unmodified Act/For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2026</t>
        </is>
      </c>
    </row>
    <row r="6" ht="15" customHeight="1" s="180">
      <c r="C6" s="210" t="inlineStr">
        <is>
          <t>Actual</t>
        </is>
      </c>
      <c r="E6" s="210" t="inlineStr">
        <is>
          <t>Actual</t>
        </is>
      </c>
      <c r="G6" s="210" t="inlineStr">
        <is>
          <t>Actual</t>
        </is>
      </c>
      <c r="I6" s="210" t="inlineStr">
        <is>
          <t>Actual</t>
        </is>
      </c>
      <c r="K6" s="210" t="inlineStr">
        <is>
          <t>Actual</t>
        </is>
      </c>
      <c r="M6" s="210" t="inlineStr">
        <is>
          <t>Actual</t>
        </is>
      </c>
      <c r="O6" s="210" t="inlineStr">
        <is>
          <t>Fcst mod.</t>
        </is>
      </c>
      <c r="Q6" s="210" t="inlineStr">
        <is>
          <t>Fcst mod.</t>
        </is>
      </c>
      <c r="S6" s="210" t="inlineStr">
        <is>
          <t>Fcst mod.</t>
        </is>
      </c>
      <c r="U6" s="210" t="inlineStr">
        <is>
          <t>Fcst mod.</t>
        </is>
      </c>
      <c r="W6" s="210" t="inlineStr">
        <is>
          <t>Fcst mod.</t>
        </is>
      </c>
      <c r="Y6" s="210" t="inlineStr">
        <is>
          <t>Fcst mod.</t>
        </is>
      </c>
      <c r="AB6" s="210" t="inlineStr">
        <is>
          <t>Modified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'Vessel 2026 P&amp;L'!C9</f>
        <v/>
      </c>
      <c r="D12" s="211">
        <f>IFERROR(C12/C$20,0)</f>
        <v/>
      </c>
      <c r="E12" s="203">
        <f>'Vessel 2026 P&amp;L'!E9</f>
        <v/>
      </c>
      <c r="F12" s="211">
        <f>IFERROR(E12/E$20,0)</f>
        <v/>
      </c>
      <c r="G12" s="203">
        <f>'Vessel 2026 P&amp;L'!G9</f>
        <v/>
      </c>
      <c r="H12" s="211">
        <f>IFERROR(G12/G$20,0)</f>
        <v/>
      </c>
      <c r="I12" s="203">
        <f>'Vessel 2026 P&amp;L'!I9</f>
        <v/>
      </c>
      <c r="J12" s="211">
        <f>IFERROR(I12/I$20,0)</f>
        <v/>
      </c>
      <c r="K12" s="203">
        <f>'Vessel 2026 P&amp;L'!K9</f>
        <v/>
      </c>
      <c r="L12" s="211">
        <f>IFERROR(K12/K$20,0)</f>
        <v/>
      </c>
      <c r="M12" s="203">
        <f>'Vessel 2026 P&amp;L'!M9</f>
        <v/>
      </c>
      <c r="N12" s="211">
        <f>IFERROR(M12/M$20,0)</f>
        <v/>
      </c>
      <c r="O12" s="203">
        <f>'Vessel 2026 P&amp;L'!O9</f>
        <v/>
      </c>
      <c r="P12" s="211">
        <f>IFERROR(O12/O$20,0)</f>
        <v/>
      </c>
      <c r="Q12" s="203">
        <f>'Vessel 2026 P&amp;L'!Q9</f>
        <v/>
      </c>
      <c r="R12" s="211">
        <f>IFERROR(Q12/Q$20,0)</f>
        <v/>
      </c>
      <c r="S12" s="203">
        <f>'Vessel 2026 P&amp;L'!S9</f>
        <v/>
      </c>
      <c r="T12" s="211">
        <f>IFERROR(S12/S$20,0)</f>
        <v/>
      </c>
      <c r="U12" s="203">
        <f>'Vessel 2026 P&amp;L'!U9</f>
        <v/>
      </c>
      <c r="V12" s="211">
        <f>IFERROR(U12/U$20,0)</f>
        <v/>
      </c>
      <c r="W12" s="203">
        <f>'Vessel 2026 P&amp;L'!W9</f>
        <v/>
      </c>
      <c r="X12" s="211">
        <f>IFERROR(W12/W$20,0)</f>
        <v/>
      </c>
      <c r="Y12" s="203">
        <f>'Vessel 2026 P&amp;L'!Y9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'Vessel 2026 P&amp;L'!C10</f>
        <v/>
      </c>
      <c r="D13" s="211">
        <f>IFERROR(C13/C$20,0)</f>
        <v/>
      </c>
      <c r="E13" s="203">
        <f>'Vessel 2026 P&amp;L'!E10</f>
        <v/>
      </c>
      <c r="F13" s="211">
        <f>IFERROR(E13/E$20,0)</f>
        <v/>
      </c>
      <c r="G13" s="203">
        <f>'Vessel 2026 P&amp;L'!G10</f>
        <v/>
      </c>
      <c r="H13" s="211">
        <f>IFERROR(G13/G$20,0)</f>
        <v/>
      </c>
      <c r="I13" s="203">
        <f>'Vessel 2026 P&amp;L'!I10</f>
        <v/>
      </c>
      <c r="J13" s="211">
        <f>IFERROR(I13/I$20,0)</f>
        <v/>
      </c>
      <c r="K13" s="203">
        <f>'Vessel 2026 P&amp;L'!K10</f>
        <v/>
      </c>
      <c r="L13" s="211">
        <f>IFERROR(K13/K$20,0)</f>
        <v/>
      </c>
      <c r="M13" s="203">
        <f>'Vessel 2026 P&amp;L'!M10</f>
        <v/>
      </c>
      <c r="N13" s="211">
        <f>IFERROR(M13/M$20,0)</f>
        <v/>
      </c>
      <c r="O13" s="203">
        <f>'Vessel 2026 P&amp;L'!O10</f>
        <v/>
      </c>
      <c r="P13" s="211">
        <f>IFERROR(O13/O$20,0)</f>
        <v/>
      </c>
      <c r="Q13" s="203">
        <f>'Vessel 2026 P&amp;L'!Q10</f>
        <v/>
      </c>
      <c r="R13" s="211">
        <f>IFERROR(Q13/Q$20,0)</f>
        <v/>
      </c>
      <c r="S13" s="203">
        <f>'Vessel 2026 P&amp;L'!S10</f>
        <v/>
      </c>
      <c r="T13" s="211">
        <f>IFERROR(S13/S$20,0)</f>
        <v/>
      </c>
      <c r="U13" s="203">
        <f>'Vessel 2026 P&amp;L'!U10</f>
        <v/>
      </c>
      <c r="V13" s="211">
        <f>IFERROR(U13/U$20,0)</f>
        <v/>
      </c>
      <c r="W13" s="203">
        <f>'Vessel 2026 P&amp;L'!W10</f>
        <v/>
      </c>
      <c r="X13" s="211">
        <f>IFERROR(W13/W$20,0)</f>
        <v/>
      </c>
      <c r="Y13" s="203">
        <f>'Vessel 2026 P&amp;L'!Y10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'Vessel 2026 P&amp;L'!C11</f>
        <v/>
      </c>
      <c r="D14" s="211">
        <f>IFERROR(C14/C$20,0)</f>
        <v/>
      </c>
      <c r="E14" s="203">
        <f>'Vessel 2026 P&amp;L'!E11</f>
        <v/>
      </c>
      <c r="F14" s="211">
        <f>IFERROR(E14/E$20,0)</f>
        <v/>
      </c>
      <c r="G14" s="203">
        <f>'Vessel 2026 P&amp;L'!G11</f>
        <v/>
      </c>
      <c r="H14" s="211">
        <f>IFERROR(G14/G$20,0)</f>
        <v/>
      </c>
      <c r="I14" s="203">
        <f>'Vessel 2026 P&amp;L'!I11</f>
        <v/>
      </c>
      <c r="J14" s="211">
        <f>IFERROR(I14/I$20,0)</f>
        <v/>
      </c>
      <c r="K14" s="203">
        <f>'Vessel 2026 P&amp;L'!K11</f>
        <v/>
      </c>
      <c r="L14" s="211">
        <f>IFERROR(K14/K$20,0)</f>
        <v/>
      </c>
      <c r="M14" s="203">
        <f>'Vessel 2026 P&amp;L'!M11</f>
        <v/>
      </c>
      <c r="N14" s="211">
        <f>IFERROR(M14/M$20,0)</f>
        <v/>
      </c>
      <c r="O14" s="203">
        <f>'Vessel 2026 P&amp;L'!O11</f>
        <v/>
      </c>
      <c r="P14" s="211">
        <f>IFERROR(O14/O$20,0)</f>
        <v/>
      </c>
      <c r="Q14" s="203">
        <f>'Vessel 2026 P&amp;L'!Q11</f>
        <v/>
      </c>
      <c r="R14" s="211">
        <f>IFERROR(Q14/Q$20,0)</f>
        <v/>
      </c>
      <c r="S14" s="203">
        <f>'Vessel 2026 P&amp;L'!S11</f>
        <v/>
      </c>
      <c r="T14" s="211">
        <f>IFERROR(S14/S$20,0)</f>
        <v/>
      </c>
      <c r="U14" s="203">
        <f>'Vessel 2026 P&amp;L'!U11</f>
        <v/>
      </c>
      <c r="V14" s="211">
        <f>IFERROR(U14/U$20,0)</f>
        <v/>
      </c>
      <c r="W14" s="203">
        <f>'Vessel 2026 P&amp;L'!W11</f>
        <v/>
      </c>
      <c r="X14" s="211">
        <f>IFERROR(W14/W$20,0)</f>
        <v/>
      </c>
      <c r="Y14" s="203">
        <f>'Vessel 2026 P&amp;L'!Y11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'Vessel 2026 P&amp;L'!C12</f>
        <v/>
      </c>
      <c r="D15" s="211">
        <f>IFERROR(C15/C$20,0)</f>
        <v/>
      </c>
      <c r="E15" s="203">
        <f>'Vessel 2026 P&amp;L'!E12</f>
        <v/>
      </c>
      <c r="F15" s="211">
        <f>IFERROR(E15/E$20,0)</f>
        <v/>
      </c>
      <c r="G15" s="203">
        <f>'Vessel 2026 P&amp;L'!G12</f>
        <v/>
      </c>
      <c r="H15" s="211">
        <f>IFERROR(G15/G$20,0)</f>
        <v/>
      </c>
      <c r="I15" s="203">
        <f>'Vessel 2026 P&amp;L'!I12</f>
        <v/>
      </c>
      <c r="J15" s="211">
        <f>IFERROR(I15/I$20,0)</f>
        <v/>
      </c>
      <c r="K15" s="203">
        <f>'Vessel 2026 P&amp;L'!K12</f>
        <v/>
      </c>
      <c r="L15" s="211">
        <f>IFERROR(K15/K$20,0)</f>
        <v/>
      </c>
      <c r="M15" s="203">
        <f>'Vessel 2026 P&amp;L'!M12</f>
        <v/>
      </c>
      <c r="N15" s="211">
        <f>IFERROR(M15/M$20,0)</f>
        <v/>
      </c>
      <c r="O15" s="203">
        <f>'Vessel 2026 P&amp;L'!O12</f>
        <v/>
      </c>
      <c r="P15" s="211">
        <f>IFERROR(O15/O$20,0)</f>
        <v/>
      </c>
      <c r="Q15" s="203">
        <f>'Vessel 2026 P&amp;L'!Q12</f>
        <v/>
      </c>
      <c r="R15" s="211">
        <f>IFERROR(Q15/Q$20,0)</f>
        <v/>
      </c>
      <c r="S15" s="203">
        <f>'Vessel 2026 P&amp;L'!S12</f>
        <v/>
      </c>
      <c r="T15" s="211">
        <f>IFERROR(S15/S$20,0)</f>
        <v/>
      </c>
      <c r="U15" s="203">
        <f>'Vessel 2026 P&amp;L'!U12</f>
        <v/>
      </c>
      <c r="V15" s="211">
        <f>IFERROR(U15/U$20,0)</f>
        <v/>
      </c>
      <c r="W15" s="203">
        <f>'Vessel 2026 P&amp;L'!W12</f>
        <v/>
      </c>
      <c r="X15" s="211">
        <f>IFERROR(W15/W$20,0)</f>
        <v/>
      </c>
      <c r="Y15" s="203">
        <f>'Vessel 2026 P&amp;L'!Y12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'Vessel 2026 P&amp;L'!C13</f>
        <v/>
      </c>
      <c r="D16" s="211">
        <f>IFERROR(C16/C$20,0)</f>
        <v/>
      </c>
      <c r="E16" s="203">
        <f>'Vessel 2026 P&amp;L'!E13</f>
        <v/>
      </c>
      <c r="F16" s="211">
        <f>IFERROR(E16/E$20,0)</f>
        <v/>
      </c>
      <c r="G16" s="203">
        <f>'Vessel 2026 P&amp;L'!G13</f>
        <v/>
      </c>
      <c r="H16" s="211">
        <f>IFERROR(G16/G$20,0)</f>
        <v/>
      </c>
      <c r="I16" s="203">
        <f>'Vessel 2026 P&amp;L'!I13</f>
        <v/>
      </c>
      <c r="J16" s="211">
        <f>IFERROR(I16/I$20,0)</f>
        <v/>
      </c>
      <c r="K16" s="203">
        <f>'Vessel 2026 P&amp;L'!K13</f>
        <v/>
      </c>
      <c r="L16" s="211">
        <f>IFERROR(K16/K$20,0)</f>
        <v/>
      </c>
      <c r="M16" s="203">
        <f>'Vessel 2026 P&amp;L'!M13</f>
        <v/>
      </c>
      <c r="N16" s="211">
        <f>IFERROR(M16/M$20,0)</f>
        <v/>
      </c>
      <c r="O16" s="203">
        <f>'Vessel 2026 P&amp;L'!O13</f>
        <v/>
      </c>
      <c r="P16" s="211">
        <f>IFERROR(O16/O$20,0)</f>
        <v/>
      </c>
      <c r="Q16" s="203">
        <f>'Vessel 2026 P&amp;L'!Q13</f>
        <v/>
      </c>
      <c r="R16" s="211">
        <f>IFERROR(Q16/Q$20,0)</f>
        <v/>
      </c>
      <c r="S16" s="203">
        <f>'Vessel 2026 P&amp;L'!S13</f>
        <v/>
      </c>
      <c r="T16" s="211">
        <f>IFERROR(S16/S$20,0)</f>
        <v/>
      </c>
      <c r="U16" s="203">
        <f>'Vessel 2026 P&amp;L'!U13</f>
        <v/>
      </c>
      <c r="V16" s="211">
        <f>IFERROR(U16/U$20,0)</f>
        <v/>
      </c>
      <c r="W16" s="203">
        <f>'Vessel 2026 P&amp;L'!W13</f>
        <v/>
      </c>
      <c r="X16" s="211">
        <f>IFERROR(W16/W$20,0)</f>
        <v/>
      </c>
      <c r="Y16" s="203">
        <f>'Vessel 2026 P&amp;L'!Y13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 t="n">
        <v>0</v>
      </c>
      <c r="D17" s="211">
        <f>IFERROR(C17/C$20,0)</f>
        <v/>
      </c>
      <c r="E17" s="203" t="n">
        <v>0</v>
      </c>
      <c r="F17" s="211">
        <f>IFERROR(E17/E$20,0)</f>
        <v/>
      </c>
      <c r="G17" s="203" t="n">
        <v>0</v>
      </c>
      <c r="H17" s="211">
        <f>IFERROR(G17/G$20,0)</f>
        <v/>
      </c>
      <c r="I17" s="203" t="n">
        <v>0</v>
      </c>
      <c r="J17" s="211">
        <f>IFERROR(I17/I$20,0)</f>
        <v/>
      </c>
      <c r="K17" s="203" t="n">
        <v>0</v>
      </c>
      <c r="L17" s="211">
        <f>IFERROR(K17/K$20,0)</f>
        <v/>
      </c>
      <c r="M17" s="203" t="n">
        <v>0</v>
      </c>
      <c r="N17" s="211">
        <f>IFERROR(M17/M$20,0)</f>
        <v/>
      </c>
      <c r="O17" s="203" t="n">
        <v>0</v>
      </c>
      <c r="P17" s="211">
        <f>IFERROR(O17/O$20,0)</f>
        <v/>
      </c>
      <c r="Q17" s="203" t="n">
        <v>0</v>
      </c>
      <c r="R17" s="211">
        <f>IFERROR(Q17/Q$20,0)</f>
        <v/>
      </c>
      <c r="S17" s="203" t="n">
        <v>0</v>
      </c>
      <c r="T17" s="211">
        <f>IFERROR(S17/S$20,0)</f>
        <v/>
      </c>
      <c r="U17" s="203" t="n">
        <v>0</v>
      </c>
      <c r="V17" s="211">
        <f>IFERROR(U17/U$20,0)</f>
        <v/>
      </c>
      <c r="W17" s="203" t="n">
        <v>0</v>
      </c>
      <c r="X17" s="211">
        <f>IFERROR(W17/W$20,0)</f>
        <v/>
      </c>
      <c r="Y17" s="203" t="n">
        <v>0</v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 (svc charge + 5% admin fee when live)</t>
        </is>
      </c>
      <c r="C18" s="203">
        <f>IF(1&gt;=MONTH($C$4),'Vessel 2026 P&amp;L'!C14+SUM(C12:C16)*'Vessel Assumptions'!$C$32,'Vessel 2026 P&amp;L'!C14)</f>
        <v/>
      </c>
      <c r="D18" s="211">
        <f>IFERROR(C18/C$20,0)</f>
        <v/>
      </c>
      <c r="E18" s="203">
        <f>IF(2&gt;=MONTH($C$4),'Vessel 2026 P&amp;L'!E14+SUM(E12:E16)*'Vessel Assumptions'!$C$32,'Vessel 2026 P&amp;L'!E14)</f>
        <v/>
      </c>
      <c r="F18" s="211">
        <f>IFERROR(E18/E$20,0)</f>
        <v/>
      </c>
      <c r="G18" s="203">
        <f>IF(3&gt;=MONTH($C$4),'Vessel 2026 P&amp;L'!G14+SUM(G12:G16)*'Vessel Assumptions'!$C$32,'Vessel 2026 P&amp;L'!G14)</f>
        <v/>
      </c>
      <c r="H18" s="211">
        <f>IFERROR(G18/G$20,0)</f>
        <v/>
      </c>
      <c r="I18" s="203">
        <f>IF(4&gt;=MONTH($C$4),'Vessel 2026 P&amp;L'!I14+SUM(I12:I16)*'Vessel Assumptions'!$C$32,'Vessel 2026 P&amp;L'!I14)</f>
        <v/>
      </c>
      <c r="J18" s="211">
        <f>IFERROR(I18/I$20,0)</f>
        <v/>
      </c>
      <c r="K18" s="203">
        <f>IF(5&gt;=MONTH($C$4),'Vessel 2026 P&amp;L'!K14+SUM(K12:K16)*'Vessel Assumptions'!$C$32,'Vessel 2026 P&amp;L'!K14)</f>
        <v/>
      </c>
      <c r="L18" s="211">
        <f>IFERROR(K18/K$20,0)</f>
        <v/>
      </c>
      <c r="M18" s="203">
        <f>IF(6&gt;=MONTH($C$4),'Vessel 2026 P&amp;L'!M14+SUM(M12:M16)*'Vessel Assumptions'!$C$32,'Vessel 2026 P&amp;L'!M14)</f>
        <v/>
      </c>
      <c r="N18" s="211">
        <f>IFERROR(M18/M$20,0)</f>
        <v/>
      </c>
      <c r="O18" s="203">
        <f>IF(7&gt;=MONTH($C$4),'Vessel 2026 P&amp;L'!O14+SUM(O12:O16)*'Vessel Assumptions'!$C$32,'Vessel 2026 P&amp;L'!O14)</f>
        <v/>
      </c>
      <c r="P18" s="211">
        <f>IFERROR(O18/O$20,0)</f>
        <v/>
      </c>
      <c r="Q18" s="203">
        <f>IF(8&gt;=MONTH($C$4),'Vessel 2026 P&amp;L'!Q14+SUM(Q12:Q16)*'Vessel Assumptions'!$C$32,'Vessel 2026 P&amp;L'!Q14)</f>
        <v/>
      </c>
      <c r="R18" s="211">
        <f>IFERROR(Q18/Q$20,0)</f>
        <v/>
      </c>
      <c r="S18" s="203">
        <f>IF(9&gt;=MONTH($C$4),'Vessel 2026 P&amp;L'!S14+SUM(S12:S16)*'Vessel Assumptions'!$C$32,'Vessel 2026 P&amp;L'!S14)</f>
        <v/>
      </c>
      <c r="T18" s="211">
        <f>IFERROR(S18/S$20,0)</f>
        <v/>
      </c>
      <c r="U18" s="203">
        <f>IF(10&gt;=MONTH($C$4),'Vessel 2026 P&amp;L'!U14+SUM(U12:U16)*'Vessel Assumptions'!$C$32,'Vessel 2026 P&amp;L'!U14)</f>
        <v/>
      </c>
      <c r="V18" s="211">
        <f>IFERROR(U18/U$20,0)</f>
        <v/>
      </c>
      <c r="W18" s="203">
        <f>IF(11&gt;=MONTH($C$4),'Vessel 2026 P&amp;L'!W14+SUM(W12:W16)*'Vessel Assumptions'!$C$32,'Vessel 2026 P&amp;L'!W14)</f>
        <v/>
      </c>
      <c r="X18" s="211">
        <f>IFERROR(W18/W$20,0)</f>
        <v/>
      </c>
      <c r="Y18" s="203">
        <f>IF(12&gt;=MONTH($C$4),'Vessel 2026 P&amp;L'!Y14+SUM(Y12:Y16)*'Vessel Assumptions'!$C$32,'Vessel 2026 P&amp;L'!Y14)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</t>
        </is>
      </c>
      <c r="C19" s="203">
        <f>'Vessel 2026 P&amp;L'!C15</f>
        <v/>
      </c>
      <c r="D19" s="211">
        <f>IFERROR(C19/C$20,0)</f>
        <v/>
      </c>
      <c r="E19" s="203">
        <f>'Vessel 2026 P&amp;L'!E15</f>
        <v/>
      </c>
      <c r="F19" s="211">
        <f>IFERROR(E19/E$20,0)</f>
        <v/>
      </c>
      <c r="G19" s="203">
        <f>'Vessel 2026 P&amp;L'!G15</f>
        <v/>
      </c>
      <c r="H19" s="211">
        <f>IFERROR(G19/G$20,0)</f>
        <v/>
      </c>
      <c r="I19" s="203">
        <f>'Vessel 2026 P&amp;L'!I15</f>
        <v/>
      </c>
      <c r="J19" s="211">
        <f>IFERROR(I19/I$20,0)</f>
        <v/>
      </c>
      <c r="K19" s="203">
        <f>'Vessel 2026 P&amp;L'!K15</f>
        <v/>
      </c>
      <c r="L19" s="211">
        <f>IFERROR(K19/K$20,0)</f>
        <v/>
      </c>
      <c r="M19" s="203">
        <f>'Vessel 2026 P&amp;L'!M15</f>
        <v/>
      </c>
      <c r="N19" s="211">
        <f>IFERROR(M19/M$20,0)</f>
        <v/>
      </c>
      <c r="O19" s="203">
        <f>'Vessel 2026 P&amp;L'!O15</f>
        <v/>
      </c>
      <c r="P19" s="211">
        <f>IFERROR(O19/O$20,0)</f>
        <v/>
      </c>
      <c r="Q19" s="203">
        <f>'Vessel 2026 P&amp;L'!Q15</f>
        <v/>
      </c>
      <c r="R19" s="211">
        <f>IFERROR(Q19/Q$20,0)</f>
        <v/>
      </c>
      <c r="S19" s="203">
        <f>'Vessel 2026 P&amp;L'!S15</f>
        <v/>
      </c>
      <c r="T19" s="211">
        <f>IFERROR(S19/S$20,0)</f>
        <v/>
      </c>
      <c r="U19" s="203">
        <f>'Vessel 2026 P&amp;L'!U15</f>
        <v/>
      </c>
      <c r="V19" s="211">
        <f>IFERROR(U19/U$20,0)</f>
        <v/>
      </c>
      <c r="W19" s="203">
        <f>'Vessel 2026 P&amp;L'!W15</f>
        <v/>
      </c>
      <c r="X19" s="211">
        <f>IFERROR(W19/W$20,0)</f>
        <v/>
      </c>
      <c r="Y19" s="203">
        <f>'Vessel 2026 P&amp;L'!Y15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'Vessel 2026 P&amp;L'!C19</f>
        <v/>
      </c>
      <c r="D23" s="211">
        <f>IFERROR(C23/C$12,0)</f>
        <v/>
      </c>
      <c r="E23" s="203">
        <f>'Vessel 2026 P&amp;L'!E19</f>
        <v/>
      </c>
      <c r="F23" s="211">
        <f>IFERROR(E23/E$12,0)</f>
        <v/>
      </c>
      <c r="G23" s="203">
        <f>'Vessel 2026 P&amp;L'!G19</f>
        <v/>
      </c>
      <c r="H23" s="211">
        <f>IFERROR(G23/G$12,0)</f>
        <v/>
      </c>
      <c r="I23" s="203">
        <f>'Vessel 2026 P&amp;L'!I19</f>
        <v/>
      </c>
      <c r="J23" s="211">
        <f>IFERROR(I23/I$12,0)</f>
        <v/>
      </c>
      <c r="K23" s="203">
        <f>'Vessel 2026 P&amp;L'!K19</f>
        <v/>
      </c>
      <c r="L23" s="211">
        <f>IFERROR(K23/K$12,0)</f>
        <v/>
      </c>
      <c r="M23" s="203">
        <f>'Vessel 2026 P&amp;L'!M19</f>
        <v/>
      </c>
      <c r="N23" s="211">
        <f>IFERROR(M23/M$12,0)</f>
        <v/>
      </c>
      <c r="O23" s="203">
        <f>'Vessel 2026 P&amp;L'!O19</f>
        <v/>
      </c>
      <c r="P23" s="211">
        <f>IFERROR(O23/O$12,0)</f>
        <v/>
      </c>
      <c r="Q23" s="203">
        <f>'Vessel 2026 P&amp;L'!Q19</f>
        <v/>
      </c>
      <c r="R23" s="211">
        <f>IFERROR(Q23/Q$12,0)</f>
        <v/>
      </c>
      <c r="S23" s="203">
        <f>'Vessel 2026 P&amp;L'!S19</f>
        <v/>
      </c>
      <c r="T23" s="211">
        <f>IFERROR(S23/S$12,0)</f>
        <v/>
      </c>
      <c r="U23" s="203">
        <f>'Vessel 2026 P&amp;L'!U19</f>
        <v/>
      </c>
      <c r="V23" s="211">
        <f>IFERROR(U23/U$12,0)</f>
        <v/>
      </c>
      <c r="W23" s="203">
        <f>'Vessel 2026 P&amp;L'!W19</f>
        <v/>
      </c>
      <c r="X23" s="211">
        <f>IFERROR(W23/W$12,0)</f>
        <v/>
      </c>
      <c r="Y23" s="203">
        <f>'Vessel 2026 P&amp;L'!Y19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'Vessel 2026 P&amp;L'!C20</f>
        <v/>
      </c>
      <c r="D24" s="211">
        <f>IFERROR(C24/C$13,0)</f>
        <v/>
      </c>
      <c r="E24" s="203">
        <f>'Vessel 2026 P&amp;L'!E20</f>
        <v/>
      </c>
      <c r="F24" s="211">
        <f>IFERROR(E24/E$13,0)</f>
        <v/>
      </c>
      <c r="G24" s="203">
        <f>'Vessel 2026 P&amp;L'!G20</f>
        <v/>
      </c>
      <c r="H24" s="211">
        <f>IFERROR(G24/G$13,0)</f>
        <v/>
      </c>
      <c r="I24" s="203">
        <f>'Vessel 2026 P&amp;L'!I20</f>
        <v/>
      </c>
      <c r="J24" s="211">
        <f>IFERROR(I24/I$13,0)</f>
        <v/>
      </c>
      <c r="K24" s="203">
        <f>'Vessel 2026 P&amp;L'!K20</f>
        <v/>
      </c>
      <c r="L24" s="211">
        <f>IFERROR(K24/K$13,0)</f>
        <v/>
      </c>
      <c r="M24" s="203">
        <f>'Vessel 2026 P&amp;L'!M20</f>
        <v/>
      </c>
      <c r="N24" s="211">
        <f>IFERROR(M24/M$13,0)</f>
        <v/>
      </c>
      <c r="O24" s="203">
        <f>'Vessel 2026 P&amp;L'!O20</f>
        <v/>
      </c>
      <c r="P24" s="211">
        <f>IFERROR(O24/O$13,0)</f>
        <v/>
      </c>
      <c r="Q24" s="203">
        <f>'Vessel 2026 P&amp;L'!Q20</f>
        <v/>
      </c>
      <c r="R24" s="211">
        <f>IFERROR(Q24/Q$13,0)</f>
        <v/>
      </c>
      <c r="S24" s="203">
        <f>'Vessel 2026 P&amp;L'!S20</f>
        <v/>
      </c>
      <c r="T24" s="211">
        <f>IFERROR(S24/S$13,0)</f>
        <v/>
      </c>
      <c r="U24" s="203">
        <f>'Vessel 2026 P&amp;L'!U20</f>
        <v/>
      </c>
      <c r="V24" s="211">
        <f>IFERROR(U24/U$13,0)</f>
        <v/>
      </c>
      <c r="W24" s="203">
        <f>'Vessel 2026 P&amp;L'!W20</f>
        <v/>
      </c>
      <c r="X24" s="211">
        <f>IFERROR(W24/W$13,0)</f>
        <v/>
      </c>
      <c r="Y24" s="203">
        <f>'Vessel 2026 P&amp;L'!Y20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'Vessel 2026 P&amp;L'!C21</f>
        <v/>
      </c>
      <c r="D25" s="211">
        <f>IFERROR(C25/C$14,0)</f>
        <v/>
      </c>
      <c r="E25" s="203">
        <f>'Vessel 2026 P&amp;L'!E21</f>
        <v/>
      </c>
      <c r="F25" s="211">
        <f>IFERROR(E25/E$14,0)</f>
        <v/>
      </c>
      <c r="G25" s="203">
        <f>'Vessel 2026 P&amp;L'!G21</f>
        <v/>
      </c>
      <c r="H25" s="211">
        <f>IFERROR(G25/G$14,0)</f>
        <v/>
      </c>
      <c r="I25" s="203">
        <f>'Vessel 2026 P&amp;L'!I21</f>
        <v/>
      </c>
      <c r="J25" s="211">
        <f>IFERROR(I25/I$14,0)</f>
        <v/>
      </c>
      <c r="K25" s="203">
        <f>'Vessel 2026 P&amp;L'!K21</f>
        <v/>
      </c>
      <c r="L25" s="211">
        <f>IFERROR(K25/K$14,0)</f>
        <v/>
      </c>
      <c r="M25" s="203">
        <f>'Vessel 2026 P&amp;L'!M21</f>
        <v/>
      </c>
      <c r="N25" s="211">
        <f>IFERROR(M25/M$14,0)</f>
        <v/>
      </c>
      <c r="O25" s="203">
        <f>'Vessel 2026 P&amp;L'!O21</f>
        <v/>
      </c>
      <c r="P25" s="211">
        <f>IFERROR(O25/O$14,0)</f>
        <v/>
      </c>
      <c r="Q25" s="203">
        <f>'Vessel 2026 P&amp;L'!Q21</f>
        <v/>
      </c>
      <c r="R25" s="211">
        <f>IFERROR(Q25/Q$14,0)</f>
        <v/>
      </c>
      <c r="S25" s="203">
        <f>'Vessel 2026 P&amp;L'!S21</f>
        <v/>
      </c>
      <c r="T25" s="211">
        <f>IFERROR(S25/S$14,0)</f>
        <v/>
      </c>
      <c r="U25" s="203">
        <f>'Vessel 2026 P&amp;L'!U21</f>
        <v/>
      </c>
      <c r="V25" s="211">
        <f>IFERROR(U25/U$14,0)</f>
        <v/>
      </c>
      <c r="W25" s="203">
        <f>'Vessel 2026 P&amp;L'!W21</f>
        <v/>
      </c>
      <c r="X25" s="211">
        <f>IFERROR(W25/W$14,0)</f>
        <v/>
      </c>
      <c r="Y25" s="203">
        <f>'Vessel 2026 P&amp;L'!Y21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'Vessel 2026 P&amp;L'!C22</f>
        <v/>
      </c>
      <c r="D26" s="211">
        <f>IFERROR(C26/C$15,0)</f>
        <v/>
      </c>
      <c r="E26" s="203">
        <f>'Vessel 2026 P&amp;L'!E22</f>
        <v/>
      </c>
      <c r="F26" s="211">
        <f>IFERROR(E26/E$15,0)</f>
        <v/>
      </c>
      <c r="G26" s="203">
        <f>'Vessel 2026 P&amp;L'!G22</f>
        <v/>
      </c>
      <c r="H26" s="211">
        <f>IFERROR(G26/G$15,0)</f>
        <v/>
      </c>
      <c r="I26" s="203">
        <f>'Vessel 2026 P&amp;L'!I22</f>
        <v/>
      </c>
      <c r="J26" s="211">
        <f>IFERROR(I26/I$15,0)</f>
        <v/>
      </c>
      <c r="K26" s="203">
        <f>'Vessel 2026 P&amp;L'!K22</f>
        <v/>
      </c>
      <c r="L26" s="211">
        <f>IFERROR(K26/K$15,0)</f>
        <v/>
      </c>
      <c r="M26" s="203">
        <f>'Vessel 2026 P&amp;L'!M22</f>
        <v/>
      </c>
      <c r="N26" s="211">
        <f>IFERROR(M26/M$15,0)</f>
        <v/>
      </c>
      <c r="O26" s="203">
        <f>'Vessel 2026 P&amp;L'!O22</f>
        <v/>
      </c>
      <c r="P26" s="211">
        <f>IFERROR(O26/O$15,0)</f>
        <v/>
      </c>
      <c r="Q26" s="203">
        <f>'Vessel 2026 P&amp;L'!Q22</f>
        <v/>
      </c>
      <c r="R26" s="211">
        <f>IFERROR(Q26/Q$15,0)</f>
        <v/>
      </c>
      <c r="S26" s="203">
        <f>'Vessel 2026 P&amp;L'!S22</f>
        <v/>
      </c>
      <c r="T26" s="211">
        <f>IFERROR(S26/S$15,0)</f>
        <v/>
      </c>
      <c r="U26" s="203">
        <f>'Vessel 2026 P&amp;L'!U22</f>
        <v/>
      </c>
      <c r="V26" s="211">
        <f>IFERROR(U26/U$15,0)</f>
        <v/>
      </c>
      <c r="W26" s="203">
        <f>'Vessel 2026 P&amp;L'!W22</f>
        <v/>
      </c>
      <c r="X26" s="211">
        <f>IFERROR(W26/W$15,0)</f>
        <v/>
      </c>
      <c r="Y26" s="203">
        <f>'Vessel 2026 P&amp;L'!Y22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'Vessel 2026 P&amp;L'!C23</f>
        <v/>
      </c>
      <c r="D27" s="211">
        <f>IFERROR(C27/C$16,0)</f>
        <v/>
      </c>
      <c r="E27" s="203">
        <f>'Vessel 2026 P&amp;L'!E23</f>
        <v/>
      </c>
      <c r="F27" s="211">
        <f>IFERROR(E27/E$16,0)</f>
        <v/>
      </c>
      <c r="G27" s="203">
        <f>'Vessel 2026 P&amp;L'!G23</f>
        <v/>
      </c>
      <c r="H27" s="211">
        <f>IFERROR(G27/G$16,0)</f>
        <v/>
      </c>
      <c r="I27" s="203">
        <f>'Vessel 2026 P&amp;L'!I23</f>
        <v/>
      </c>
      <c r="J27" s="211">
        <f>IFERROR(I27/I$16,0)</f>
        <v/>
      </c>
      <c r="K27" s="203">
        <f>'Vessel 2026 P&amp;L'!K23</f>
        <v/>
      </c>
      <c r="L27" s="211">
        <f>IFERROR(K27/K$16,0)</f>
        <v/>
      </c>
      <c r="M27" s="203">
        <f>'Vessel 2026 P&amp;L'!M23</f>
        <v/>
      </c>
      <c r="N27" s="211">
        <f>IFERROR(M27/M$16,0)</f>
        <v/>
      </c>
      <c r="O27" s="203">
        <f>'Vessel 2026 P&amp;L'!O23</f>
        <v/>
      </c>
      <c r="P27" s="211">
        <f>IFERROR(O27/O$16,0)</f>
        <v/>
      </c>
      <c r="Q27" s="203">
        <f>'Vessel 2026 P&amp;L'!Q23</f>
        <v/>
      </c>
      <c r="R27" s="211">
        <f>IFERROR(Q27/Q$16,0)</f>
        <v/>
      </c>
      <c r="S27" s="203">
        <f>'Vessel 2026 P&amp;L'!S23</f>
        <v/>
      </c>
      <c r="T27" s="211">
        <f>IFERROR(S27/S$16,0)</f>
        <v/>
      </c>
      <c r="U27" s="203">
        <f>'Vessel 2026 P&amp;L'!U23</f>
        <v/>
      </c>
      <c r="V27" s="211">
        <f>IFERROR(U27/U$16,0)</f>
        <v/>
      </c>
      <c r="W27" s="203">
        <f>'Vessel 2026 P&amp;L'!W23</f>
        <v/>
      </c>
      <c r="X27" s="211">
        <f>IFERROR(W27/W$16,0)</f>
        <v/>
      </c>
      <c r="Y27" s="203">
        <f>'Vessel 2026 P&amp;L'!Y23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 t="n">
        <v>0</v>
      </c>
      <c r="D28" s="211">
        <f>IFERROR(C28/C$17,0)</f>
        <v/>
      </c>
      <c r="E28" s="203" t="n">
        <v>0</v>
      </c>
      <c r="F28" s="211">
        <f>IFERROR(E28/E$17,0)</f>
        <v/>
      </c>
      <c r="G28" s="203" t="n">
        <v>0</v>
      </c>
      <c r="H28" s="211">
        <f>IFERROR(G28/G$17,0)</f>
        <v/>
      </c>
      <c r="I28" s="203" t="n">
        <v>0</v>
      </c>
      <c r="J28" s="211">
        <f>IFERROR(I28/I$17,0)</f>
        <v/>
      </c>
      <c r="K28" s="203" t="n">
        <v>0</v>
      </c>
      <c r="L28" s="211">
        <f>IFERROR(K28/K$17,0)</f>
        <v/>
      </c>
      <c r="M28" s="203" t="n">
        <v>0</v>
      </c>
      <c r="N28" s="211">
        <f>IFERROR(M28/M$17,0)</f>
        <v/>
      </c>
      <c r="O28" s="203" t="n">
        <v>0</v>
      </c>
      <c r="P28" s="211">
        <f>IFERROR(O28/O$17,0)</f>
        <v/>
      </c>
      <c r="Q28" s="203" t="n">
        <v>0</v>
      </c>
      <c r="R28" s="211">
        <f>IFERROR(Q28/Q$17,0)</f>
        <v/>
      </c>
      <c r="S28" s="203" t="n">
        <v>0</v>
      </c>
      <c r="T28" s="211">
        <f>IFERROR(S28/S$17,0)</f>
        <v/>
      </c>
      <c r="U28" s="203" t="n">
        <v>0</v>
      </c>
      <c r="V28" s="211">
        <f>IFERROR(U28/U$17,0)</f>
        <v/>
      </c>
      <c r="W28" s="203" t="n">
        <v>0</v>
      </c>
      <c r="X28" s="211">
        <f>IFERROR(W28/W$17,0)</f>
        <v/>
      </c>
      <c r="Y28" s="203" t="n">
        <v>0</v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'Vessel 2026 P&amp;L'!C28</f>
        <v/>
      </c>
      <c r="D33" s="211">
        <f>IFERROR(C33/C$20,0)</f>
        <v/>
      </c>
      <c r="E33" s="203">
        <f>'Vessel 2026 P&amp;L'!E28</f>
        <v/>
      </c>
      <c r="F33" s="211">
        <f>IFERROR(E33/E$20,0)</f>
        <v/>
      </c>
      <c r="G33" s="203">
        <f>'Vessel 2026 P&amp;L'!G28</f>
        <v/>
      </c>
      <c r="H33" s="211">
        <f>IFERROR(G33/G$20,0)</f>
        <v/>
      </c>
      <c r="I33" s="203">
        <f>'Vessel 2026 P&amp;L'!I28</f>
        <v/>
      </c>
      <c r="J33" s="211">
        <f>IFERROR(I33/I$20,0)</f>
        <v/>
      </c>
      <c r="K33" s="203">
        <f>'Vessel 2026 P&amp;L'!K28</f>
        <v/>
      </c>
      <c r="L33" s="211">
        <f>IFERROR(K33/K$20,0)</f>
        <v/>
      </c>
      <c r="M33" s="203">
        <f>'Vessel 2026 P&amp;L'!M28</f>
        <v/>
      </c>
      <c r="N33" s="211">
        <f>IFERROR(M33/M$20,0)</f>
        <v/>
      </c>
      <c r="O33" s="203">
        <f>'Vessel 2026 P&amp;L'!O28</f>
        <v/>
      </c>
      <c r="P33" s="211">
        <f>IFERROR(O33/O$20,0)</f>
        <v/>
      </c>
      <c r="Q33" s="203">
        <f>'Vessel 2026 P&amp;L'!Q28</f>
        <v/>
      </c>
      <c r="R33" s="211">
        <f>IFERROR(Q33/Q$20,0)</f>
        <v/>
      </c>
      <c r="S33" s="203">
        <f>'Vessel 2026 P&amp;L'!S28</f>
        <v/>
      </c>
      <c r="T33" s="211">
        <f>IFERROR(S33/S$20,0)</f>
        <v/>
      </c>
      <c r="U33" s="203">
        <f>'Vessel 2026 P&amp;L'!U28</f>
        <v/>
      </c>
      <c r="V33" s="211">
        <f>IFERROR(U33/U$20,0)</f>
        <v/>
      </c>
      <c r="W33" s="203">
        <f>'Vessel 2026 P&amp;L'!W28</f>
        <v/>
      </c>
      <c r="X33" s="211">
        <f>IFERROR(W33/W$20,0)</f>
        <v/>
      </c>
      <c r="Y33" s="203">
        <f>'Vessel 2026 P&amp;L'!Y28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'Vessel 2026 P&amp;L'!C29</f>
        <v/>
      </c>
      <c r="D34" s="211">
        <f>IFERROR(C34/C$20,0)</f>
        <v/>
      </c>
      <c r="E34" s="203">
        <f>'Vessel 2026 P&amp;L'!E29</f>
        <v/>
      </c>
      <c r="F34" s="211">
        <f>IFERROR(E34/E$20,0)</f>
        <v/>
      </c>
      <c r="G34" s="203">
        <f>'Vessel 2026 P&amp;L'!G29</f>
        <v/>
      </c>
      <c r="H34" s="211">
        <f>IFERROR(G34/G$20,0)</f>
        <v/>
      </c>
      <c r="I34" s="203">
        <f>'Vessel 2026 P&amp;L'!I29</f>
        <v/>
      </c>
      <c r="J34" s="211">
        <f>IFERROR(I34/I$20,0)</f>
        <v/>
      </c>
      <c r="K34" s="203">
        <f>'Vessel 2026 P&amp;L'!K29</f>
        <v/>
      </c>
      <c r="L34" s="211">
        <f>IFERROR(K34/K$20,0)</f>
        <v/>
      </c>
      <c r="M34" s="203">
        <f>'Vessel 2026 P&amp;L'!M29</f>
        <v/>
      </c>
      <c r="N34" s="211">
        <f>IFERROR(M34/M$20,0)</f>
        <v/>
      </c>
      <c r="O34" s="203">
        <f>'Vessel 2026 P&amp;L'!O29</f>
        <v/>
      </c>
      <c r="P34" s="211">
        <f>IFERROR(O34/O$20,0)</f>
        <v/>
      </c>
      <c r="Q34" s="203">
        <f>'Vessel 2026 P&amp;L'!Q29</f>
        <v/>
      </c>
      <c r="R34" s="211">
        <f>IFERROR(Q34/Q$20,0)</f>
        <v/>
      </c>
      <c r="S34" s="203">
        <f>'Vessel 2026 P&amp;L'!S29</f>
        <v/>
      </c>
      <c r="T34" s="211">
        <f>IFERROR(S34/S$20,0)</f>
        <v/>
      </c>
      <c r="U34" s="203">
        <f>'Vessel 2026 P&amp;L'!U29</f>
        <v/>
      </c>
      <c r="V34" s="211">
        <f>IFERROR(U34/U$20,0)</f>
        <v/>
      </c>
      <c r="W34" s="203">
        <f>'Vessel 2026 P&amp;L'!W29</f>
        <v/>
      </c>
      <c r="X34" s="211">
        <f>IFERROR(W34/W$20,0)</f>
        <v/>
      </c>
      <c r="Y34" s="203">
        <f>'Vessel 2026 P&amp;L'!Y29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'Vessel 2026 P&amp;L'!C30</f>
        <v/>
      </c>
      <c r="D35" s="211">
        <f>IFERROR(C35/C$20,0)</f>
        <v/>
      </c>
      <c r="E35" s="203">
        <f>'Vessel 2026 P&amp;L'!E30</f>
        <v/>
      </c>
      <c r="F35" s="211">
        <f>IFERROR(E35/E$20,0)</f>
        <v/>
      </c>
      <c r="G35" s="203">
        <f>'Vessel 2026 P&amp;L'!G30</f>
        <v/>
      </c>
      <c r="H35" s="211">
        <f>IFERROR(G35/G$20,0)</f>
        <v/>
      </c>
      <c r="I35" s="203">
        <f>'Vessel 2026 P&amp;L'!I30</f>
        <v/>
      </c>
      <c r="J35" s="211">
        <f>IFERROR(I35/I$20,0)</f>
        <v/>
      </c>
      <c r="K35" s="203">
        <f>'Vessel 2026 P&amp;L'!K30</f>
        <v/>
      </c>
      <c r="L35" s="211">
        <f>IFERROR(K35/K$20,0)</f>
        <v/>
      </c>
      <c r="M35" s="203">
        <f>'Vessel 2026 P&amp;L'!M30</f>
        <v/>
      </c>
      <c r="N35" s="211">
        <f>IFERROR(M35/M$20,0)</f>
        <v/>
      </c>
      <c r="O35" s="203">
        <f>'Vessel 2026 P&amp;L'!O30</f>
        <v/>
      </c>
      <c r="P35" s="211">
        <f>IFERROR(O35/O$20,0)</f>
        <v/>
      </c>
      <c r="Q35" s="203">
        <f>'Vessel 2026 P&amp;L'!Q30</f>
        <v/>
      </c>
      <c r="R35" s="211">
        <f>IFERROR(Q35/Q$20,0)</f>
        <v/>
      </c>
      <c r="S35" s="203">
        <f>'Vessel 2026 P&amp;L'!S30</f>
        <v/>
      </c>
      <c r="T35" s="211">
        <f>IFERROR(S35/S$20,0)</f>
        <v/>
      </c>
      <c r="U35" s="203">
        <f>'Vessel 2026 P&amp;L'!U30</f>
        <v/>
      </c>
      <c r="V35" s="211">
        <f>IFERROR(U35/U$20,0)</f>
        <v/>
      </c>
      <c r="W35" s="203">
        <f>'Vessel 2026 P&amp;L'!W30</f>
        <v/>
      </c>
      <c r="X35" s="211">
        <f>IFERROR(W35/W$20,0)</f>
        <v/>
      </c>
      <c r="Y35" s="203">
        <f>'Vessel 2026 P&amp;L'!Y30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'Vessel 2026 P&amp;L'!C31</f>
        <v/>
      </c>
      <c r="D36" s="211">
        <f>IFERROR(C36/C$20,0)</f>
        <v/>
      </c>
      <c r="E36" s="203">
        <f>'Vessel 2026 P&amp;L'!E31</f>
        <v/>
      </c>
      <c r="F36" s="211">
        <f>IFERROR(E36/E$20,0)</f>
        <v/>
      </c>
      <c r="G36" s="203">
        <f>'Vessel 2026 P&amp;L'!G31</f>
        <v/>
      </c>
      <c r="H36" s="211">
        <f>IFERROR(G36/G$20,0)</f>
        <v/>
      </c>
      <c r="I36" s="203">
        <f>'Vessel 2026 P&amp;L'!I31</f>
        <v/>
      </c>
      <c r="J36" s="211">
        <f>IFERROR(I36/I$20,0)</f>
        <v/>
      </c>
      <c r="K36" s="203">
        <f>'Vessel 2026 P&amp;L'!K31</f>
        <v/>
      </c>
      <c r="L36" s="211">
        <f>IFERROR(K36/K$20,0)</f>
        <v/>
      </c>
      <c r="M36" s="203">
        <f>'Vessel 2026 P&amp;L'!M31</f>
        <v/>
      </c>
      <c r="N36" s="211">
        <f>IFERROR(M36/M$20,0)</f>
        <v/>
      </c>
      <c r="O36" s="203">
        <f>'Vessel 2026 P&amp;L'!O31</f>
        <v/>
      </c>
      <c r="P36" s="211">
        <f>IFERROR(O36/O$20,0)</f>
        <v/>
      </c>
      <c r="Q36" s="203">
        <f>'Vessel 2026 P&amp;L'!Q31</f>
        <v/>
      </c>
      <c r="R36" s="211">
        <f>IFERROR(Q36/Q$20,0)</f>
        <v/>
      </c>
      <c r="S36" s="203">
        <f>'Vessel 2026 P&amp;L'!S31</f>
        <v/>
      </c>
      <c r="T36" s="211">
        <f>IFERROR(S36/S$20,0)</f>
        <v/>
      </c>
      <c r="U36" s="203">
        <f>'Vessel 2026 P&amp;L'!U31</f>
        <v/>
      </c>
      <c r="V36" s="211">
        <f>IFERROR(U36/U$20,0)</f>
        <v/>
      </c>
      <c r="W36" s="203">
        <f>'Vessel 2026 P&amp;L'!W31</f>
        <v/>
      </c>
      <c r="X36" s="211">
        <f>IFERROR(W36/W$20,0)</f>
        <v/>
      </c>
      <c r="Y36" s="203">
        <f>'Vessel 2026 P&amp;L'!Y31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</t>
        </is>
      </c>
      <c r="C37" s="203">
        <f>'Vessel 2026 P&amp;L'!C32</f>
        <v/>
      </c>
      <c r="D37" s="211">
        <f>IFERROR(C37/C$20,0)</f>
        <v/>
      </c>
      <c r="E37" s="203">
        <f>'Vessel 2026 P&amp;L'!E32</f>
        <v/>
      </c>
      <c r="F37" s="211">
        <f>IFERROR(E37/E$20,0)</f>
        <v/>
      </c>
      <c r="G37" s="203">
        <f>'Vessel 2026 P&amp;L'!G32</f>
        <v/>
      </c>
      <c r="H37" s="211">
        <f>IFERROR(G37/G$20,0)</f>
        <v/>
      </c>
      <c r="I37" s="203">
        <f>'Vessel 2026 P&amp;L'!I32</f>
        <v/>
      </c>
      <c r="J37" s="211">
        <f>IFERROR(I37/I$20,0)</f>
        <v/>
      </c>
      <c r="K37" s="203">
        <f>'Vessel 2026 P&amp;L'!K32</f>
        <v/>
      </c>
      <c r="L37" s="211">
        <f>IFERROR(K37/K$20,0)</f>
        <v/>
      </c>
      <c r="M37" s="203">
        <f>'Vessel 2026 P&amp;L'!M32</f>
        <v/>
      </c>
      <c r="N37" s="211">
        <f>IFERROR(M37/M$20,0)</f>
        <v/>
      </c>
      <c r="O37" s="203">
        <f>'Vessel 2026 P&amp;L'!O32</f>
        <v/>
      </c>
      <c r="P37" s="211">
        <f>IFERROR(O37/O$20,0)</f>
        <v/>
      </c>
      <c r="Q37" s="203">
        <f>'Vessel 2026 P&amp;L'!Q32</f>
        <v/>
      </c>
      <c r="R37" s="211">
        <f>IFERROR(Q37/Q$20,0)</f>
        <v/>
      </c>
      <c r="S37" s="203">
        <f>'Vessel 2026 P&amp;L'!S32</f>
        <v/>
      </c>
      <c r="T37" s="211">
        <f>IFERROR(S37/S$20,0)</f>
        <v/>
      </c>
      <c r="U37" s="203">
        <f>'Vessel 2026 P&amp;L'!U32</f>
        <v/>
      </c>
      <c r="V37" s="211">
        <f>IFERROR(U37/U$20,0)</f>
        <v/>
      </c>
      <c r="W37" s="203">
        <f>'Vessel 2026 P&amp;L'!W32</f>
        <v/>
      </c>
      <c r="X37" s="211">
        <f>IFERROR(W37/W$20,0)</f>
        <v/>
      </c>
      <c r="Y37" s="203">
        <f>'Vessel 2026 P&amp;L'!Y32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(incl CC on added rev)</t>
        </is>
      </c>
      <c r="C44" s="203">
        <f>IF(1&gt;=MONTH($C$4),C20*'Vessel Assumptions'!$C$34,'Vessel 2026 P&amp;L'!C39)</f>
        <v/>
      </c>
      <c r="D44" s="211">
        <f>IFERROR(C44/C$20,0)</f>
        <v/>
      </c>
      <c r="E44" s="203">
        <f>IF(2&gt;=MONTH($C$4),E20*'Vessel Assumptions'!$C$34,'Vessel 2026 P&amp;L'!E39)</f>
        <v/>
      </c>
      <c r="F44" s="211">
        <f>IFERROR(E44/E$20,0)</f>
        <v/>
      </c>
      <c r="G44" s="203">
        <f>IF(3&gt;=MONTH($C$4),G20*'Vessel Assumptions'!$C$34,'Vessel 2026 P&amp;L'!G39)</f>
        <v/>
      </c>
      <c r="H44" s="211">
        <f>IFERROR(G44/G$20,0)</f>
        <v/>
      </c>
      <c r="I44" s="203">
        <f>IF(4&gt;=MONTH($C$4),I20*'Vessel Assumptions'!$C$34,'Vessel 2026 P&amp;L'!I39)</f>
        <v/>
      </c>
      <c r="J44" s="211">
        <f>IFERROR(I44/I$20,0)</f>
        <v/>
      </c>
      <c r="K44" s="203">
        <f>IF(5&gt;=MONTH($C$4),K20*'Vessel Assumptions'!$C$34,'Vessel 2026 P&amp;L'!K39)</f>
        <v/>
      </c>
      <c r="L44" s="211">
        <f>IFERROR(K44/K$20,0)</f>
        <v/>
      </c>
      <c r="M44" s="203">
        <f>IF(6&gt;=MONTH($C$4),M20*'Vessel Assumptions'!$C$34,'Vessel 2026 P&amp;L'!M39)</f>
        <v/>
      </c>
      <c r="N44" s="211">
        <f>IFERROR(M44/M$20,0)</f>
        <v/>
      </c>
      <c r="O44" s="203">
        <f>IF(7&gt;=MONTH($C$4),O20*'Vessel Assumptions'!$C$34,'Vessel 2026 P&amp;L'!O39)</f>
        <v/>
      </c>
      <c r="P44" s="211">
        <f>IFERROR(O44/O$20,0)</f>
        <v/>
      </c>
      <c r="Q44" s="203">
        <f>IF(8&gt;=MONTH($C$4),Q20*'Vessel Assumptions'!$C$34,'Vessel 2026 P&amp;L'!Q39)</f>
        <v/>
      </c>
      <c r="R44" s="211">
        <f>IFERROR(Q44/Q$20,0)</f>
        <v/>
      </c>
      <c r="S44" s="203">
        <f>IF(9&gt;=MONTH($C$4),S20*'Vessel Assumptions'!$C$34,'Vessel 2026 P&amp;L'!S39)</f>
        <v/>
      </c>
      <c r="T44" s="211">
        <f>IFERROR(S44/S$20,0)</f>
        <v/>
      </c>
      <c r="U44" s="203">
        <f>IF(10&gt;=MONTH($C$4),U20*'Vessel Assumptions'!$C$34,'Vessel 2026 P&amp;L'!U39)</f>
        <v/>
      </c>
      <c r="V44" s="211">
        <f>IFERROR(U44/U$20,0)</f>
        <v/>
      </c>
      <c r="W44" s="203">
        <f>IF(11&gt;=MONTH($C$4),W20*'Vessel Assumptions'!$C$34,'Vessel 2026 P&amp;L'!W39)</f>
        <v/>
      </c>
      <c r="X44" s="211">
        <f>IFERROR(W44/W$20,0)</f>
        <v/>
      </c>
      <c r="Y44" s="203">
        <f>IF(12&gt;=MONTH($C$4),Y20*'Vessel Assumptions'!$C$34,'Vessel 2026 P&amp;L'!Y39)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'Vessel 2026 P&amp;L'!C40</f>
        <v/>
      </c>
      <c r="D45" s="211">
        <f>IFERROR(C45/C$20,0)</f>
        <v/>
      </c>
      <c r="E45" s="203">
        <f>'Vessel 2026 P&amp;L'!E40</f>
        <v/>
      </c>
      <c r="F45" s="211">
        <f>IFERROR(E45/E$20,0)</f>
        <v/>
      </c>
      <c r="G45" s="203">
        <f>'Vessel 2026 P&amp;L'!G40</f>
        <v/>
      </c>
      <c r="H45" s="211">
        <f>IFERROR(G45/G$20,0)</f>
        <v/>
      </c>
      <c r="I45" s="203">
        <f>'Vessel 2026 P&amp;L'!I40</f>
        <v/>
      </c>
      <c r="J45" s="211">
        <f>IFERROR(I45/I$20,0)</f>
        <v/>
      </c>
      <c r="K45" s="203">
        <f>'Vessel 2026 P&amp;L'!K40</f>
        <v/>
      </c>
      <c r="L45" s="211">
        <f>IFERROR(K45/K$20,0)</f>
        <v/>
      </c>
      <c r="M45" s="203">
        <f>'Vessel 2026 P&amp;L'!M40</f>
        <v/>
      </c>
      <c r="N45" s="211">
        <f>IFERROR(M45/M$20,0)</f>
        <v/>
      </c>
      <c r="O45" s="203">
        <f>'Vessel 2026 P&amp;L'!O40</f>
        <v/>
      </c>
      <c r="P45" s="211">
        <f>IFERROR(O45/O$20,0)</f>
        <v/>
      </c>
      <c r="Q45" s="203">
        <f>'Vessel 2026 P&amp;L'!Q40</f>
        <v/>
      </c>
      <c r="R45" s="211">
        <f>IFERROR(Q45/Q$20,0)</f>
        <v/>
      </c>
      <c r="S45" s="203">
        <f>'Vessel 2026 P&amp;L'!S40</f>
        <v/>
      </c>
      <c r="T45" s="211">
        <f>IFERROR(S45/S$20,0)</f>
        <v/>
      </c>
      <c r="U45" s="203">
        <f>'Vessel 2026 P&amp;L'!U40</f>
        <v/>
      </c>
      <c r="V45" s="211">
        <f>IFERROR(U45/U$20,0)</f>
        <v/>
      </c>
      <c r="W45" s="203">
        <f>'Vessel 2026 P&amp;L'!W40</f>
        <v/>
      </c>
      <c r="X45" s="211">
        <f>IFERROR(W45/W$20,0)</f>
        <v/>
      </c>
      <c r="Y45" s="203">
        <f>'Vessel 2026 P&amp;L'!Y40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'Vessel 2026 P&amp;L'!C41</f>
        <v/>
      </c>
      <c r="D46" s="211">
        <f>IFERROR(C46/C$20,0)</f>
        <v/>
      </c>
      <c r="E46" s="203">
        <f>'Vessel 2026 P&amp;L'!E41</f>
        <v/>
      </c>
      <c r="F46" s="211">
        <f>IFERROR(E46/E$20,0)</f>
        <v/>
      </c>
      <c r="G46" s="203">
        <f>'Vessel 2026 P&amp;L'!G41</f>
        <v/>
      </c>
      <c r="H46" s="211">
        <f>IFERROR(G46/G$20,0)</f>
        <v/>
      </c>
      <c r="I46" s="203">
        <f>'Vessel 2026 P&amp;L'!I41</f>
        <v/>
      </c>
      <c r="J46" s="211">
        <f>IFERROR(I46/I$20,0)</f>
        <v/>
      </c>
      <c r="K46" s="203">
        <f>'Vessel 2026 P&amp;L'!K41</f>
        <v/>
      </c>
      <c r="L46" s="211">
        <f>IFERROR(K46/K$20,0)</f>
        <v/>
      </c>
      <c r="M46" s="203">
        <f>'Vessel 2026 P&amp;L'!M41</f>
        <v/>
      </c>
      <c r="N46" s="211">
        <f>IFERROR(M46/M$20,0)</f>
        <v/>
      </c>
      <c r="O46" s="203">
        <f>'Vessel 2026 P&amp;L'!O41</f>
        <v/>
      </c>
      <c r="P46" s="211">
        <f>IFERROR(O46/O$20,0)</f>
        <v/>
      </c>
      <c r="Q46" s="203">
        <f>'Vessel 2026 P&amp;L'!Q41</f>
        <v/>
      </c>
      <c r="R46" s="211">
        <f>IFERROR(Q46/Q$20,0)</f>
        <v/>
      </c>
      <c r="S46" s="203">
        <f>'Vessel 2026 P&amp;L'!S41</f>
        <v/>
      </c>
      <c r="T46" s="211">
        <f>IFERROR(S46/S$20,0)</f>
        <v/>
      </c>
      <c r="U46" s="203">
        <f>'Vessel 2026 P&amp;L'!U41</f>
        <v/>
      </c>
      <c r="V46" s="211">
        <f>IFERROR(U46/U$20,0)</f>
        <v/>
      </c>
      <c r="W46" s="203">
        <f>'Vessel 2026 P&amp;L'!W41</f>
        <v/>
      </c>
      <c r="X46" s="211">
        <f>IFERROR(W46/W$20,0)</f>
        <v/>
      </c>
      <c r="Y46" s="203">
        <f>'Vessel 2026 P&amp;L'!Y41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IF(1&gt;=MONTH($C$4),C20*'Vessel Assumptions'!$C$35,'Vessel 2026 P&amp;L'!C42)</f>
        <v/>
      </c>
      <c r="D47" s="211">
        <f>IFERROR(C47/C$20,0)</f>
        <v/>
      </c>
      <c r="E47" s="203">
        <f>IF(2&gt;=MONTH($C$4),E20*'Vessel Assumptions'!$C$35,'Vessel 2026 P&amp;L'!E42)</f>
        <v/>
      </c>
      <c r="F47" s="211">
        <f>IFERROR(E47/E$20,0)</f>
        <v/>
      </c>
      <c r="G47" s="203">
        <f>IF(3&gt;=MONTH($C$4),G20*'Vessel Assumptions'!$C$35,'Vessel 2026 P&amp;L'!G42)</f>
        <v/>
      </c>
      <c r="H47" s="211">
        <f>IFERROR(G47/G$20,0)</f>
        <v/>
      </c>
      <c r="I47" s="203">
        <f>IF(4&gt;=MONTH($C$4),I20*'Vessel Assumptions'!$C$35,'Vessel 2026 P&amp;L'!I42)</f>
        <v/>
      </c>
      <c r="J47" s="211">
        <f>IFERROR(I47/I$20,0)</f>
        <v/>
      </c>
      <c r="K47" s="203">
        <f>IF(5&gt;=MONTH($C$4),K20*'Vessel Assumptions'!$C$35,'Vessel 2026 P&amp;L'!K42)</f>
        <v/>
      </c>
      <c r="L47" s="211">
        <f>IFERROR(K47/K$20,0)</f>
        <v/>
      </c>
      <c r="M47" s="203">
        <f>IF(6&gt;=MONTH($C$4),M20*'Vessel Assumptions'!$C$35,'Vessel 2026 P&amp;L'!M42)</f>
        <v/>
      </c>
      <c r="N47" s="211">
        <f>IFERROR(M47/M$20,0)</f>
        <v/>
      </c>
      <c r="O47" s="203">
        <f>IF(7&gt;=MONTH($C$4),O20*'Vessel Assumptions'!$C$35,'Vessel 2026 P&amp;L'!O42)</f>
        <v/>
      </c>
      <c r="P47" s="211">
        <f>IFERROR(O47/O$20,0)</f>
        <v/>
      </c>
      <c r="Q47" s="203">
        <f>IF(8&gt;=MONTH($C$4),Q20*'Vessel Assumptions'!$C$35,'Vessel 2026 P&amp;L'!Q42)</f>
        <v/>
      </c>
      <c r="R47" s="211">
        <f>IFERROR(Q47/Q$20,0)</f>
        <v/>
      </c>
      <c r="S47" s="203">
        <f>IF(9&gt;=MONTH($C$4),S20*'Vessel Assumptions'!$C$35,'Vessel 2026 P&amp;L'!S42)</f>
        <v/>
      </c>
      <c r="T47" s="211">
        <f>IFERROR(S47/S$20,0)</f>
        <v/>
      </c>
      <c r="U47" s="203">
        <f>IF(10&gt;=MONTH($C$4),U20*'Vessel Assumptions'!$C$35,'Vessel 2026 P&amp;L'!U42)</f>
        <v/>
      </c>
      <c r="V47" s="211">
        <f>IFERROR(U47/U$20,0)</f>
        <v/>
      </c>
      <c r="W47" s="203">
        <f>IF(11&gt;=MONTH($C$4),W20*'Vessel Assumptions'!$C$35,'Vessel 2026 P&amp;L'!W42)</f>
        <v/>
      </c>
      <c r="X47" s="211">
        <f>IFERROR(W47/W$20,0)</f>
        <v/>
      </c>
      <c r="Y47" s="203">
        <f>IF(12&gt;=MONTH($C$4),Y20*'Vessel Assumptions'!$C$35,'Vessel 2026 P&amp;L'!Y42)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'Vessel 2026 P&amp;L'!C43</f>
        <v/>
      </c>
      <c r="D48" s="211">
        <f>IFERROR(C48/C$20,0)</f>
        <v/>
      </c>
      <c r="E48" s="203">
        <f>'Vessel 2026 P&amp;L'!E43</f>
        <v/>
      </c>
      <c r="F48" s="211">
        <f>IFERROR(E48/E$20,0)</f>
        <v/>
      </c>
      <c r="G48" s="203">
        <f>'Vessel 2026 P&amp;L'!G43</f>
        <v/>
      </c>
      <c r="H48" s="211">
        <f>IFERROR(G48/G$20,0)</f>
        <v/>
      </c>
      <c r="I48" s="203">
        <f>'Vessel 2026 P&amp;L'!I43</f>
        <v/>
      </c>
      <c r="J48" s="211">
        <f>IFERROR(I48/I$20,0)</f>
        <v/>
      </c>
      <c r="K48" s="203">
        <f>'Vessel 2026 P&amp;L'!K43</f>
        <v/>
      </c>
      <c r="L48" s="211">
        <f>IFERROR(K48/K$20,0)</f>
        <v/>
      </c>
      <c r="M48" s="203">
        <f>'Vessel 2026 P&amp;L'!M43</f>
        <v/>
      </c>
      <c r="N48" s="211">
        <f>IFERROR(M48/M$20,0)</f>
        <v/>
      </c>
      <c r="O48" s="203">
        <f>'Vessel 2026 P&amp;L'!O43</f>
        <v/>
      </c>
      <c r="P48" s="211">
        <f>IFERROR(O48/O$20,0)</f>
        <v/>
      </c>
      <c r="Q48" s="203">
        <f>'Vessel 2026 P&amp;L'!Q43</f>
        <v/>
      </c>
      <c r="R48" s="211">
        <f>IFERROR(Q48/Q$20,0)</f>
        <v/>
      </c>
      <c r="S48" s="203">
        <f>'Vessel 2026 P&amp;L'!S43</f>
        <v/>
      </c>
      <c r="T48" s="211">
        <f>IFERROR(S48/S$20,0)</f>
        <v/>
      </c>
      <c r="U48" s="203">
        <f>'Vessel 2026 P&amp;L'!U43</f>
        <v/>
      </c>
      <c r="V48" s="211">
        <f>IFERROR(U48/U$20,0)</f>
        <v/>
      </c>
      <c r="W48" s="203">
        <f>'Vessel 2026 P&amp;L'!W43</f>
        <v/>
      </c>
      <c r="X48" s="211">
        <f>IFERROR(W48/W$20,0)</f>
        <v/>
      </c>
      <c r="Y48" s="203">
        <f>'Vessel 2026 P&amp;L'!Y43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'Vessel 2026 P&amp;L'!C47</f>
        <v/>
      </c>
      <c r="D53" s="211">
        <f>IFERROR(C53/C$20,0)</f>
        <v/>
      </c>
      <c r="E53" s="203">
        <f>'Vessel 2026 P&amp;L'!E47</f>
        <v/>
      </c>
      <c r="F53" s="211">
        <f>IFERROR(E53/E$20,0)</f>
        <v/>
      </c>
      <c r="G53" s="203">
        <f>'Vessel 2026 P&amp;L'!G47</f>
        <v/>
      </c>
      <c r="H53" s="211">
        <f>IFERROR(G53/G$20,0)</f>
        <v/>
      </c>
      <c r="I53" s="203">
        <f>'Vessel 2026 P&amp;L'!I47</f>
        <v/>
      </c>
      <c r="J53" s="211">
        <f>IFERROR(I53/I$20,0)</f>
        <v/>
      </c>
      <c r="K53" s="203">
        <f>'Vessel 2026 P&amp;L'!K47</f>
        <v/>
      </c>
      <c r="L53" s="211">
        <f>IFERROR(K53/K$20,0)</f>
        <v/>
      </c>
      <c r="M53" s="203">
        <f>'Vessel 2026 P&amp;L'!M47</f>
        <v/>
      </c>
      <c r="N53" s="211">
        <f>IFERROR(M53/M$20,0)</f>
        <v/>
      </c>
      <c r="O53" s="203">
        <f>'Vessel 2026 P&amp;L'!O47</f>
        <v/>
      </c>
      <c r="P53" s="211">
        <f>IFERROR(O53/O$20,0)</f>
        <v/>
      </c>
      <c r="Q53" s="203">
        <f>'Vessel 2026 P&amp;L'!Q47</f>
        <v/>
      </c>
      <c r="R53" s="211">
        <f>IFERROR(Q53/Q$20,0)</f>
        <v/>
      </c>
      <c r="S53" s="203">
        <f>'Vessel 2026 P&amp;L'!S47</f>
        <v/>
      </c>
      <c r="T53" s="211">
        <f>IFERROR(S53/S$20,0)</f>
        <v/>
      </c>
      <c r="U53" s="203">
        <f>'Vessel 2026 P&amp;L'!U47</f>
        <v/>
      </c>
      <c r="V53" s="211">
        <f>IFERROR(U53/U$20,0)</f>
        <v/>
      </c>
      <c r="W53" s="203">
        <f>'Vessel 2026 P&amp;L'!W47</f>
        <v/>
      </c>
      <c r="X53" s="211">
        <f>IFERROR(W53/W$20,0)</f>
        <v/>
      </c>
      <c r="Y53" s="203">
        <f>'Vessel 2026 P&amp;L'!Y47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IF(1&gt;=MONTH($C$4),C20*'Vessel Assumptions'!$C$31,'Vessel 2026 P&amp;L'!C48)</f>
        <v/>
      </c>
      <c r="D54" s="211">
        <f>IFERROR(C54/C$20,0)</f>
        <v/>
      </c>
      <c r="E54" s="203">
        <f>IF(2&gt;=MONTH($C$4),E20*'Vessel Assumptions'!$C$31,'Vessel 2026 P&amp;L'!E48)</f>
        <v/>
      </c>
      <c r="F54" s="211">
        <f>IFERROR(E54/E$20,0)</f>
        <v/>
      </c>
      <c r="G54" s="203">
        <f>IF(3&gt;=MONTH($C$4),G20*'Vessel Assumptions'!$C$31,'Vessel 2026 P&amp;L'!G48)</f>
        <v/>
      </c>
      <c r="H54" s="211">
        <f>IFERROR(G54/G$20,0)</f>
        <v/>
      </c>
      <c r="I54" s="203">
        <f>IF(4&gt;=MONTH($C$4),I20*'Vessel Assumptions'!$C$31,'Vessel 2026 P&amp;L'!I48)</f>
        <v/>
      </c>
      <c r="J54" s="211">
        <f>IFERROR(I54/I$20,0)</f>
        <v/>
      </c>
      <c r="K54" s="203">
        <f>IF(5&gt;=MONTH($C$4),K20*'Vessel Assumptions'!$C$31,'Vessel 2026 P&amp;L'!K48)</f>
        <v/>
      </c>
      <c r="L54" s="211">
        <f>IFERROR(K54/K$20,0)</f>
        <v/>
      </c>
      <c r="M54" s="203">
        <f>IF(6&gt;=MONTH($C$4),M20*'Vessel Assumptions'!$C$31,'Vessel 2026 P&amp;L'!M48)</f>
        <v/>
      </c>
      <c r="N54" s="211">
        <f>IFERROR(M54/M$20,0)</f>
        <v/>
      </c>
      <c r="O54" s="203">
        <f>IF(7&gt;=MONTH($C$4),O20*'Vessel Assumptions'!$C$31,'Vessel 2026 P&amp;L'!O48)</f>
        <v/>
      </c>
      <c r="P54" s="211">
        <f>IFERROR(O54/O$20,0)</f>
        <v/>
      </c>
      <c r="Q54" s="203">
        <f>IF(8&gt;=MONTH($C$4),Q20*'Vessel Assumptions'!$C$31,'Vessel 2026 P&amp;L'!Q48)</f>
        <v/>
      </c>
      <c r="R54" s="211">
        <f>IFERROR(Q54/Q$20,0)</f>
        <v/>
      </c>
      <c r="S54" s="203">
        <f>IF(9&gt;=MONTH($C$4),S20*'Vessel Assumptions'!$C$31,'Vessel 2026 P&amp;L'!S48)</f>
        <v/>
      </c>
      <c r="T54" s="211">
        <f>IFERROR(S54/S$20,0)</f>
        <v/>
      </c>
      <c r="U54" s="203">
        <f>IF(10&gt;=MONTH($C$4),U20*'Vessel Assumptions'!$C$31,'Vessel 2026 P&amp;L'!U48)</f>
        <v/>
      </c>
      <c r="V54" s="211">
        <f>IFERROR(U54/U$20,0)</f>
        <v/>
      </c>
      <c r="W54" s="203">
        <f>IF(11&gt;=MONTH($C$4),W20*'Vessel Assumptions'!$C$31,'Vessel 2026 P&amp;L'!W48)</f>
        <v/>
      </c>
      <c r="X54" s="211">
        <f>IFERROR(W54/W$20,0)</f>
        <v/>
      </c>
      <c r="Y54" s="203">
        <f>IF(12&gt;=MONTH($C$4),Y20*'Vessel Assumptions'!$C$31,'Vessel 2026 P&amp;L'!Y48)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</t>
        </is>
      </c>
      <c r="C55" s="203">
        <f>'Vessel 2026 P&amp;L'!C49</f>
        <v/>
      </c>
      <c r="D55" s="211">
        <f>IFERROR(C55/C$20,0)</f>
        <v/>
      </c>
      <c r="E55" s="203">
        <f>'Vessel 2026 P&amp;L'!E49</f>
        <v/>
      </c>
      <c r="F55" s="211">
        <f>IFERROR(E55/E$20,0)</f>
        <v/>
      </c>
      <c r="G55" s="203">
        <f>'Vessel 2026 P&amp;L'!G49</f>
        <v/>
      </c>
      <c r="H55" s="211">
        <f>IFERROR(G55/G$20,0)</f>
        <v/>
      </c>
      <c r="I55" s="203">
        <f>'Vessel 2026 P&amp;L'!I49</f>
        <v/>
      </c>
      <c r="J55" s="211">
        <f>IFERROR(I55/I$20,0)</f>
        <v/>
      </c>
      <c r="K55" s="203">
        <f>'Vessel 2026 P&amp;L'!K49</f>
        <v/>
      </c>
      <c r="L55" s="211">
        <f>IFERROR(K55/K$20,0)</f>
        <v/>
      </c>
      <c r="M55" s="203">
        <f>'Vessel 2026 P&amp;L'!M49</f>
        <v/>
      </c>
      <c r="N55" s="211">
        <f>IFERROR(M55/M$20,0)</f>
        <v/>
      </c>
      <c r="O55" s="203">
        <f>'Vessel 2026 P&amp;L'!O49</f>
        <v/>
      </c>
      <c r="P55" s="211">
        <f>IFERROR(O55/O$20,0)</f>
        <v/>
      </c>
      <c r="Q55" s="203">
        <f>'Vessel 2026 P&amp;L'!Q49</f>
        <v/>
      </c>
      <c r="R55" s="211">
        <f>IFERROR(Q55/Q$20,0)</f>
        <v/>
      </c>
      <c r="S55" s="203">
        <f>'Vessel 2026 P&amp;L'!S49</f>
        <v/>
      </c>
      <c r="T55" s="211">
        <f>IFERROR(S55/S$20,0)</f>
        <v/>
      </c>
      <c r="U55" s="203">
        <f>'Vessel 2026 P&amp;L'!U49</f>
        <v/>
      </c>
      <c r="V55" s="211">
        <f>IFERROR(U55/U$20,0)</f>
        <v/>
      </c>
      <c r="W55" s="203">
        <f>'Vessel 2026 P&amp;L'!W49</f>
        <v/>
      </c>
      <c r="X55" s="211">
        <f>IFERROR(W55/W$20,0)</f>
        <v/>
      </c>
      <c r="Y55" s="203">
        <f>'Vessel 2026 P&amp;L'!Y49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IF(1&gt;=MONTH($C$4),C20*'Vessel Assumptions'!$C$30,'Vessel 2026 P&amp;L'!C50)</f>
        <v/>
      </c>
      <c r="D56" s="211">
        <f>IFERROR(C56/C$20,0)</f>
        <v/>
      </c>
      <c r="E56" s="203">
        <f>IF(2&gt;=MONTH($C$4),E20*'Vessel Assumptions'!$C$30,'Vessel 2026 P&amp;L'!E50)</f>
        <v/>
      </c>
      <c r="F56" s="211">
        <f>IFERROR(E56/E$20,0)</f>
        <v/>
      </c>
      <c r="G56" s="203">
        <f>IF(3&gt;=MONTH($C$4),G20*'Vessel Assumptions'!$C$30,'Vessel 2026 P&amp;L'!G50)</f>
        <v/>
      </c>
      <c r="H56" s="211">
        <f>IFERROR(G56/G$20,0)</f>
        <v/>
      </c>
      <c r="I56" s="203">
        <f>IF(4&gt;=MONTH($C$4),I20*'Vessel Assumptions'!$C$30,'Vessel 2026 P&amp;L'!I50)</f>
        <v/>
      </c>
      <c r="J56" s="211">
        <f>IFERROR(I56/I$20,0)</f>
        <v/>
      </c>
      <c r="K56" s="203">
        <f>IF(5&gt;=MONTH($C$4),K20*'Vessel Assumptions'!$C$30,'Vessel 2026 P&amp;L'!K50)</f>
        <v/>
      </c>
      <c r="L56" s="211">
        <f>IFERROR(K56/K$20,0)</f>
        <v/>
      </c>
      <c r="M56" s="203">
        <f>IF(6&gt;=MONTH($C$4),M20*'Vessel Assumptions'!$C$30,'Vessel 2026 P&amp;L'!M50)</f>
        <v/>
      </c>
      <c r="N56" s="211">
        <f>IFERROR(M56/M$20,0)</f>
        <v/>
      </c>
      <c r="O56" s="203">
        <f>IF(7&gt;=MONTH($C$4),O20*'Vessel Assumptions'!$C$30,'Vessel 2026 P&amp;L'!O50)</f>
        <v/>
      </c>
      <c r="P56" s="211">
        <f>IFERROR(O56/O$20,0)</f>
        <v/>
      </c>
      <c r="Q56" s="203">
        <f>IF(8&gt;=MONTH($C$4),Q20*'Vessel Assumptions'!$C$30,'Vessel 2026 P&amp;L'!Q50)</f>
        <v/>
      </c>
      <c r="R56" s="211">
        <f>IFERROR(Q56/Q$20,0)</f>
        <v/>
      </c>
      <c r="S56" s="203">
        <f>IF(9&gt;=MONTH($C$4),S20*'Vessel Assumptions'!$C$30,'Vessel 2026 P&amp;L'!S50)</f>
        <v/>
      </c>
      <c r="T56" s="211">
        <f>IFERROR(S56/S$20,0)</f>
        <v/>
      </c>
      <c r="U56" s="203">
        <f>IF(10&gt;=MONTH($C$4),U20*'Vessel Assumptions'!$C$30,'Vessel 2026 P&amp;L'!U50)</f>
        <v/>
      </c>
      <c r="V56" s="211">
        <f>IFERROR(U56/U$20,0)</f>
        <v/>
      </c>
      <c r="W56" s="203">
        <f>IF(11&gt;=MONTH($C$4),W20*'Vessel Assumptions'!$C$30,'Vessel 2026 P&amp;L'!W50)</f>
        <v/>
      </c>
      <c r="X56" s="211">
        <f>IFERROR(W56/W$20,0)</f>
        <v/>
      </c>
      <c r="Y56" s="203">
        <f>IF(12&gt;=MONTH($C$4),Y20*'Vessel Assumptions'!$C$30,'Vessel 2026 P&amp;L'!Y50)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 — billed to clients, in income above)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'Vessel 2026 P&amp;L'!C51</f>
        <v/>
      </c>
      <c r="D58" s="211">
        <f>IFERROR(C58/C$20,0)</f>
        <v/>
      </c>
      <c r="E58" s="203">
        <f>'Vessel 2026 P&amp;L'!E51</f>
        <v/>
      </c>
      <c r="F58" s="211">
        <f>IFERROR(E58/E$20,0)</f>
        <v/>
      </c>
      <c r="G58" s="203">
        <f>'Vessel 2026 P&amp;L'!G51</f>
        <v/>
      </c>
      <c r="H58" s="211">
        <f>IFERROR(G58/G$20,0)</f>
        <v/>
      </c>
      <c r="I58" s="203">
        <f>'Vessel 2026 P&amp;L'!I51</f>
        <v/>
      </c>
      <c r="J58" s="211">
        <f>IFERROR(I58/I$20,0)</f>
        <v/>
      </c>
      <c r="K58" s="203">
        <f>'Vessel 2026 P&amp;L'!K51</f>
        <v/>
      </c>
      <c r="L58" s="211">
        <f>IFERROR(K58/K$20,0)</f>
        <v/>
      </c>
      <c r="M58" s="203">
        <f>'Vessel 2026 P&amp;L'!M51</f>
        <v/>
      </c>
      <c r="N58" s="211">
        <f>IFERROR(M58/M$20,0)</f>
        <v/>
      </c>
      <c r="O58" s="203">
        <f>'Vessel 2026 P&amp;L'!O51</f>
        <v/>
      </c>
      <c r="P58" s="211">
        <f>IFERROR(O58/O$20,0)</f>
        <v/>
      </c>
      <c r="Q58" s="203">
        <f>'Vessel 2026 P&amp;L'!Q51</f>
        <v/>
      </c>
      <c r="R58" s="211">
        <f>IFERROR(Q58/Q$20,0)</f>
        <v/>
      </c>
      <c r="S58" s="203">
        <f>'Vessel 2026 P&amp;L'!S51</f>
        <v/>
      </c>
      <c r="T58" s="211">
        <f>IFERROR(S58/S$20,0)</f>
        <v/>
      </c>
      <c r="U58" s="203">
        <f>'Vessel 2026 P&amp;L'!U51</f>
        <v/>
      </c>
      <c r="V58" s="211">
        <f>IFERROR(U58/U$20,0)</f>
        <v/>
      </c>
      <c r="W58" s="203">
        <f>'Vessel 2026 P&amp;L'!W51</f>
        <v/>
      </c>
      <c r="X58" s="211">
        <f>IFERROR(W58/W$20,0)</f>
        <v/>
      </c>
      <c r="Y58" s="203">
        <f>'Vessel 2026 P&amp;L'!Y51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'Vessel 2026 P&amp;L'!C52</f>
        <v/>
      </c>
      <c r="D59" s="211">
        <f>IFERROR(C59/C$20,0)</f>
        <v/>
      </c>
      <c r="E59" s="203">
        <f>'Vessel 2026 P&amp;L'!E52</f>
        <v/>
      </c>
      <c r="F59" s="211">
        <f>IFERROR(E59/E$20,0)</f>
        <v/>
      </c>
      <c r="G59" s="203">
        <f>'Vessel 2026 P&amp;L'!G52</f>
        <v/>
      </c>
      <c r="H59" s="211">
        <f>IFERROR(G59/G$20,0)</f>
        <v/>
      </c>
      <c r="I59" s="203">
        <f>'Vessel 2026 P&amp;L'!I52</f>
        <v/>
      </c>
      <c r="J59" s="211">
        <f>IFERROR(I59/I$20,0)</f>
        <v/>
      </c>
      <c r="K59" s="203">
        <f>'Vessel 2026 P&amp;L'!K52</f>
        <v/>
      </c>
      <c r="L59" s="211">
        <f>IFERROR(K59/K$20,0)</f>
        <v/>
      </c>
      <c r="M59" s="203">
        <f>'Vessel 2026 P&amp;L'!M52</f>
        <v/>
      </c>
      <c r="N59" s="211">
        <f>IFERROR(M59/M$20,0)</f>
        <v/>
      </c>
      <c r="O59" s="203">
        <f>'Vessel 2026 P&amp;L'!O52</f>
        <v/>
      </c>
      <c r="P59" s="211">
        <f>IFERROR(O59/O$20,0)</f>
        <v/>
      </c>
      <c r="Q59" s="203">
        <f>'Vessel 2026 P&amp;L'!Q52</f>
        <v/>
      </c>
      <c r="R59" s="211">
        <f>IFERROR(Q59/Q$20,0)</f>
        <v/>
      </c>
      <c r="S59" s="203">
        <f>'Vessel 2026 P&amp;L'!S52</f>
        <v/>
      </c>
      <c r="T59" s="211">
        <f>IFERROR(S59/S$20,0)</f>
        <v/>
      </c>
      <c r="U59" s="203">
        <f>'Vessel 2026 P&amp;L'!U52</f>
        <v/>
      </c>
      <c r="V59" s="211">
        <f>IFERROR(U59/U$20,0)</f>
        <v/>
      </c>
      <c r="W59" s="203">
        <f>'Vessel 2026 P&amp;L'!W52</f>
        <v/>
      </c>
      <c r="X59" s="211">
        <f>IFERROR(W59/W$20,0)</f>
        <v/>
      </c>
      <c r="Y59" s="203">
        <f>'Vessel 2026 P&amp;L'!Y52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'Vessel 2026 P&amp;L'!C57</f>
        <v/>
      </c>
      <c r="D64" s="211">
        <f>IFERROR(C64/C$20,0)</f>
        <v/>
      </c>
      <c r="E64" s="203">
        <f>'Vessel 2026 P&amp;L'!E57</f>
        <v/>
      </c>
      <c r="F64" s="211">
        <f>IFERROR(E64/E$20,0)</f>
        <v/>
      </c>
      <c r="G64" s="203">
        <f>'Vessel 2026 P&amp;L'!G57</f>
        <v/>
      </c>
      <c r="H64" s="211">
        <f>IFERROR(G64/G$20,0)</f>
        <v/>
      </c>
      <c r="I64" s="203">
        <f>'Vessel 2026 P&amp;L'!I57</f>
        <v/>
      </c>
      <c r="J64" s="211">
        <f>IFERROR(I64/I$20,0)</f>
        <v/>
      </c>
      <c r="K64" s="203">
        <f>'Vessel 2026 P&amp;L'!K57</f>
        <v/>
      </c>
      <c r="L64" s="211">
        <f>IFERROR(K64/K$20,0)</f>
        <v/>
      </c>
      <c r="M64" s="203">
        <f>'Vessel 2026 P&amp;L'!M57</f>
        <v/>
      </c>
      <c r="N64" s="211">
        <f>IFERROR(M64/M$20,0)</f>
        <v/>
      </c>
      <c r="O64" s="203">
        <f>'Vessel 2026 P&amp;L'!O57</f>
        <v/>
      </c>
      <c r="P64" s="211">
        <f>IFERROR(O64/O$20,0)</f>
        <v/>
      </c>
      <c r="Q64" s="203">
        <f>'Vessel 2026 P&amp;L'!Q57</f>
        <v/>
      </c>
      <c r="R64" s="211">
        <f>IFERROR(Q64/Q$20,0)</f>
        <v/>
      </c>
      <c r="S64" s="203">
        <f>'Vessel 2026 P&amp;L'!S57</f>
        <v/>
      </c>
      <c r="T64" s="211">
        <f>IFERROR(S64/S$20,0)</f>
        <v/>
      </c>
      <c r="U64" s="203">
        <f>'Vessel 2026 P&amp;L'!U57</f>
        <v/>
      </c>
      <c r="V64" s="211">
        <f>IFERROR(U64/U$20,0)</f>
        <v/>
      </c>
      <c r="W64" s="203">
        <f>'Vessel 2026 P&amp;L'!W57</f>
        <v/>
      </c>
      <c r="X64" s="211">
        <f>IFERROR(W64/W$20,0)</f>
        <v/>
      </c>
      <c r="Y64" s="203">
        <f>'Vessel 2026 P&amp;L'!Y57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'Vessel 2026 P&amp;L'!C61</f>
        <v/>
      </c>
      <c r="D68" s="211">
        <f>IFERROR(C68/C$20,0)</f>
        <v/>
      </c>
      <c r="E68" s="203">
        <f>'Vessel 2026 P&amp;L'!E61</f>
        <v/>
      </c>
      <c r="F68" s="211">
        <f>IFERROR(E68/E$20,0)</f>
        <v/>
      </c>
      <c r="G68" s="203">
        <f>'Vessel 2026 P&amp;L'!G61</f>
        <v/>
      </c>
      <c r="H68" s="211">
        <f>IFERROR(G68/G$20,0)</f>
        <v/>
      </c>
      <c r="I68" s="203">
        <f>'Vessel 2026 P&amp;L'!I61</f>
        <v/>
      </c>
      <c r="J68" s="211">
        <f>IFERROR(I68/I$20,0)</f>
        <v/>
      </c>
      <c r="K68" s="203">
        <f>'Vessel 2026 P&amp;L'!K61</f>
        <v/>
      </c>
      <c r="L68" s="211">
        <f>IFERROR(K68/K$20,0)</f>
        <v/>
      </c>
      <c r="M68" s="203">
        <f>'Vessel 2026 P&amp;L'!M61</f>
        <v/>
      </c>
      <c r="N68" s="211">
        <f>IFERROR(M68/M$20,0)</f>
        <v/>
      </c>
      <c r="O68" s="203">
        <f>'Vessel 2026 P&amp;L'!O61</f>
        <v/>
      </c>
      <c r="P68" s="211">
        <f>IFERROR(O68/O$20,0)</f>
        <v/>
      </c>
      <c r="Q68" s="203">
        <f>'Vessel 2026 P&amp;L'!Q61</f>
        <v/>
      </c>
      <c r="R68" s="211">
        <f>IFERROR(Q68/Q$20,0)</f>
        <v/>
      </c>
      <c r="S68" s="203">
        <f>'Vessel 2026 P&amp;L'!S61</f>
        <v/>
      </c>
      <c r="T68" s="211">
        <f>IFERROR(S68/S$20,0)</f>
        <v/>
      </c>
      <c r="U68" s="203">
        <f>'Vessel 2026 P&amp;L'!U61</f>
        <v/>
      </c>
      <c r="V68" s="211">
        <f>IFERROR(U68/U$20,0)</f>
        <v/>
      </c>
      <c r="W68" s="203">
        <f>'Vessel 2026 P&amp;L'!W61</f>
        <v/>
      </c>
      <c r="X68" s="211">
        <f>IFERROR(W68/W$20,0)</f>
        <v/>
      </c>
      <c r="Y68" s="203">
        <f>'Vessel 2026 P&amp;L'!Y61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'Vessel 2026 P&amp;L'!C62</f>
        <v/>
      </c>
      <c r="D69" s="211">
        <f>IFERROR(C69/C$20,0)</f>
        <v/>
      </c>
      <c r="E69" s="203">
        <f>'Vessel 2026 P&amp;L'!E62</f>
        <v/>
      </c>
      <c r="F69" s="211">
        <f>IFERROR(E69/E$20,0)</f>
        <v/>
      </c>
      <c r="G69" s="203">
        <f>'Vessel 2026 P&amp;L'!G62</f>
        <v/>
      </c>
      <c r="H69" s="211">
        <f>IFERROR(G69/G$20,0)</f>
        <v/>
      </c>
      <c r="I69" s="203">
        <f>'Vessel 2026 P&amp;L'!I62</f>
        <v/>
      </c>
      <c r="J69" s="211">
        <f>IFERROR(I69/I$20,0)</f>
        <v/>
      </c>
      <c r="K69" s="203">
        <f>'Vessel 2026 P&amp;L'!K62</f>
        <v/>
      </c>
      <c r="L69" s="211">
        <f>IFERROR(K69/K$20,0)</f>
        <v/>
      </c>
      <c r="M69" s="203">
        <f>'Vessel 2026 P&amp;L'!M62</f>
        <v/>
      </c>
      <c r="N69" s="211">
        <f>IFERROR(M69/M$20,0)</f>
        <v/>
      </c>
      <c r="O69" s="203">
        <f>'Vessel 2026 P&amp;L'!O62</f>
        <v/>
      </c>
      <c r="P69" s="211">
        <f>IFERROR(O69/O$20,0)</f>
        <v/>
      </c>
      <c r="Q69" s="203">
        <f>'Vessel 2026 P&amp;L'!Q62</f>
        <v/>
      </c>
      <c r="R69" s="211">
        <f>IFERROR(Q69/Q$20,0)</f>
        <v/>
      </c>
      <c r="S69" s="203">
        <f>'Vessel 2026 P&amp;L'!S62</f>
        <v/>
      </c>
      <c r="T69" s="211">
        <f>IFERROR(S69/S$20,0)</f>
        <v/>
      </c>
      <c r="U69" s="203">
        <f>'Vessel 2026 P&amp;L'!U62</f>
        <v/>
      </c>
      <c r="V69" s="211">
        <f>IFERROR(U69/U$20,0)</f>
        <v/>
      </c>
      <c r="W69" s="203">
        <f>'Vessel 2026 P&amp;L'!W62</f>
        <v/>
      </c>
      <c r="X69" s="211">
        <f>IFERROR(W69/W$20,0)</f>
        <v/>
      </c>
      <c r="Y69" s="203">
        <f>'Vessel 2026 P&amp;L'!Y62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Modified months: management fee $4,000/mo → 4% of revenue, occupancy → 0% (waived), NEW 5% admin fee on F&amp;B billed to event clients — added to Other Operating Income (revenue), so the 4% mgmt fee also applies to it. Inputs on Vessel Assumptions C30–C32.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40" customWidth="1" style="179" min="2" max="2"/>
    <col width="15" customWidth="1" style="179" min="3" max="3"/>
    <col width="46" customWidth="1" style="179" min="4" max="4"/>
  </cols>
  <sheetData>
    <row r="1" ht="37.5" customHeight="1" s="180">
      <c r="A1" s="217" t="inlineStr">
        <is>
          <t>LITTLE WING  ·  COFFEE SHOP MODEL</t>
        </is>
      </c>
    </row>
    <row r="2" ht="15" customHeight="1" s="180">
      <c r="A2" s="218" t="inlineStr">
        <is>
          <t>Single-shift efficiency model — shift 6am–4pm, doors 6:30am–4pm (2nd barista Sat/Sun) + BOH cook kept, self-serve/retail after 4pm</t>
        </is>
      </c>
    </row>
    <row r="4" ht="19.5" customHeight="1" s="180">
      <c r="B4" s="238" t="inlineStr">
        <is>
          <t>REVENUE  (Toast H1 2026 actuals ×2 — Jan–Jun item detail, reconciled to Sales Summary)</t>
        </is>
      </c>
    </row>
    <row r="5" ht="15" customHeight="1" s="180">
      <c r="B5" s="224" t="inlineStr">
        <is>
          <t>Food</t>
        </is>
      </c>
      <c r="C5" s="239" t="n">
        <v>106838.2</v>
      </c>
    </row>
    <row r="6" ht="15" customHeight="1" s="180">
      <c r="B6" s="224" t="inlineStr">
        <is>
          <t>NA / Coffee</t>
        </is>
      </c>
      <c r="C6" s="239" t="n">
        <v>131727.36</v>
      </c>
      <c r="D6" s="237" t="inlineStr">
        <is>
          <t>the margin engine — 22.2% cost</t>
        </is>
      </c>
    </row>
    <row r="7" ht="15" customHeight="1" s="180">
      <c r="B7" s="224" t="inlineStr">
        <is>
          <t>Alcohol</t>
        </is>
      </c>
      <c r="C7" s="239" t="n">
        <v>13996.3</v>
      </c>
    </row>
    <row r="8" ht="15" customHeight="1" s="180">
      <c r="B8" s="224" t="inlineStr">
        <is>
          <t>Retail / merch</t>
        </is>
      </c>
      <c r="C8" s="239" t="n">
        <v>5847.56</v>
      </c>
    </row>
    <row r="9" ht="15" customHeight="1" s="180">
      <c r="B9" s="224" t="inlineStr">
        <is>
          <t>Other</t>
        </is>
      </c>
      <c r="C9" s="239" t="n">
        <v>7792.6</v>
      </c>
      <c r="D9" s="179" t="inlineStr">
        <is>
          <t>gift cards, open items, uncategorized rings</t>
        </is>
      </c>
    </row>
    <row r="10" ht="15" customHeight="1" s="180">
      <c r="B10" s="242" t="inlineStr">
        <is>
          <t>TOTAL REVENUE</t>
        </is>
      </c>
      <c r="C10" s="243">
        <f>SUM(C5:C9)</f>
        <v/>
      </c>
    </row>
    <row r="12" ht="19.5" customHeight="1" s="180">
      <c r="B12" s="238" t="inlineStr">
        <is>
          <t>COST OF SALES  (% of each category · GL actual)</t>
        </is>
      </c>
    </row>
    <row r="13" ht="15" customHeight="1" s="180">
      <c r="B13" s="224" t="inlineStr">
        <is>
          <t>Food cost %</t>
        </is>
      </c>
      <c r="C13" s="240" t="n">
        <v>0.4407</v>
      </c>
      <c r="D13" s="179" t="inlineStr">
        <is>
          <t>GL cost ÷ net sales</t>
        </is>
      </c>
    </row>
    <row r="14" ht="15" customHeight="1" s="180">
      <c r="B14" s="224" t="inlineStr">
        <is>
          <t>NA / Coffee cost %</t>
        </is>
      </c>
      <c r="C14" s="240" t="n">
        <v>0.2216</v>
      </c>
    </row>
    <row r="15" ht="15" customHeight="1" s="180">
      <c r="B15" s="224" t="inlineStr">
        <is>
          <t>Alcohol cost %</t>
        </is>
      </c>
      <c r="C15" s="240" t="n">
        <v>0.3328</v>
      </c>
    </row>
    <row r="16" ht="15" customHeight="1" s="180">
      <c r="B16" s="224" t="inlineStr">
        <is>
          <t>Retail cost %</t>
        </is>
      </c>
      <c r="C16" s="240" t="n">
        <v>0</v>
      </c>
      <c r="D16" s="179" t="inlineStr">
        <is>
          <t>no COGS booked in GL for retail</t>
        </is>
      </c>
    </row>
    <row r="17" ht="15" customHeight="1" s="180">
      <c r="B17" s="224" t="inlineStr">
        <is>
          <t>Other cost %</t>
        </is>
      </c>
      <c r="C17" s="240" t="n">
        <v>0</v>
      </c>
      <c r="D17" s="179" t="inlineStr">
        <is>
          <t>no COGS booked in GL for other</t>
        </is>
      </c>
    </row>
    <row r="19" ht="19.5" customHeight="1" s="180">
      <c r="B19" s="238" t="inlineStr">
        <is>
          <t>ADJUSTED LABOR  (single 6am–4pm shift · doors 6:30am + 2nd barista peak days)</t>
        </is>
      </c>
    </row>
    <row r="20" ht="15" customHeight="1" s="180">
      <c r="B20" s="224" t="inlineStr">
        <is>
          <t>Opener/supervisor hours/day</t>
        </is>
      </c>
      <c r="C20" s="241" t="n">
        <v>10</v>
      </c>
      <c r="D20" s="237" t="inlineStr">
        <is>
          <t>shift 6:00am–4:00pm (10h) · doors open 6:30am</t>
        </is>
      </c>
    </row>
    <row r="21" ht="15" customHeight="1" s="180">
      <c r="B21" s="224" t="inlineStr">
        <is>
          <t>2nd barista avg hrs/day</t>
        </is>
      </c>
      <c r="C21" s="241">
        <f>2*4/7</f>
        <v/>
      </c>
      <c r="D21" s="237" t="inlineStr">
        <is>
          <t>Sat &amp; Sun opener/closer overlap, 4 hrs/day ×2 days ÷7 — covers the 8–11a weekend rush</t>
        </is>
      </c>
    </row>
    <row r="22" ht="15" customHeight="1" s="180">
      <c r="B22" s="224" t="inlineStr">
        <is>
          <t>Days per week</t>
        </is>
      </c>
      <c r="C22" s="241" t="n">
        <v>7</v>
      </c>
    </row>
    <row r="23" ht="15" customHeight="1" s="180">
      <c r="B23" s="224" t="inlineStr">
        <is>
          <t>Blended wage $/hr</t>
        </is>
      </c>
      <c r="C23" s="239" t="n">
        <v>20</v>
      </c>
      <c r="D23" s="237" t="inlineStr">
        <is>
          <t>Dolce actual blended FOH rate ~$20/hr</t>
        </is>
      </c>
    </row>
    <row r="24" ht="15" customHeight="1" s="180">
      <c r="B24" s="224" t="inlineStr">
        <is>
          <t>Payroll taxes &amp; benefits %</t>
        </is>
      </c>
      <c r="C24" s="240" t="n">
        <v>0.16</v>
      </c>
    </row>
    <row r="25" ht="15" customHeight="1" s="180">
      <c r="B25" s="242" t="inlineStr">
        <is>
          <t>Adjusted labor / year</t>
        </is>
      </c>
      <c r="C25" s="243">
        <f>(C20+C21)*C22*52*C23*(1+C24)+C26*52*(1+C24)</f>
        <v/>
      </c>
      <c r="D25" s="237" t="inlineStr">
        <is>
          <t>servers eliminated (self-serve); BOH cook KEPT at $296/wk</t>
        </is>
      </c>
    </row>
    <row r="26" ht="15" customHeight="1" s="180">
      <c r="B26" s="224" t="inlineStr">
        <is>
          <t>BOH cook labor — kept ($/wk base)</t>
        </is>
      </c>
      <c r="C26" s="239" t="n">
        <v>296</v>
      </c>
      <c r="D26" s="179" t="inlineStr">
        <is>
          <t>current cook schedule held (~13.3 hrs/wk) — food program stays in-house</t>
        </is>
      </c>
    </row>
    <row r="27" ht="19.5" customHeight="1" s="180">
      <c r="B27" s="238" t="inlineStr">
        <is>
          <t>CURRENT LABOR  (GL actual, for comparison)</t>
        </is>
      </c>
    </row>
    <row r="28" ht="15" customHeight="1" s="180">
      <c r="B28" s="224" t="inlineStr">
        <is>
          <t>Current labor / year (incl burden)</t>
        </is>
      </c>
      <c r="C28" s="239" t="n">
        <v>164857</v>
      </c>
      <c r="D28" s="237" t="inlineStr">
        <is>
          <t>GL T12 actual: wages+taxes+benefits</t>
        </is>
      </c>
    </row>
    <row r="30" ht="19.5" customHeight="1" s="180">
      <c r="B30" s="238" t="inlineStr">
        <is>
          <t>VARIABLE &amp; OVERHEAD  (annual)</t>
        </is>
      </c>
    </row>
    <row r="31" ht="15" customHeight="1" s="180">
      <c r="B31" s="224" t="inlineStr">
        <is>
          <t>Credit card fee (% of revenue)</t>
        </is>
      </c>
      <c r="C31" s="240" t="n">
        <v>0.025</v>
      </c>
      <c r="D31" s="237" t="inlineStr">
        <is>
          <t>go-forward target (Current column uses GL actual → C42)</t>
        </is>
      </c>
    </row>
    <row r="32" ht="15" customHeight="1" s="180">
      <c r="B32" s="224" t="inlineStr">
        <is>
          <t>Controllable exp (excl CC)</t>
        </is>
      </c>
      <c r="C32" s="239" t="n">
        <v>89675</v>
      </c>
      <c r="D32" s="237" t="inlineStr">
        <is>
          <t>paper/plastics, accounting, linen…</t>
        </is>
      </c>
    </row>
    <row r="33" ht="15" customHeight="1" s="180">
      <c r="B33" s="224" t="inlineStr">
        <is>
          <t>Non-controllable</t>
        </is>
      </c>
      <c r="C33" s="239" t="n">
        <v>5657</v>
      </c>
      <c r="D33" s="237" t="inlineStr">
        <is>
          <t>insurance, legal, reserves</t>
        </is>
      </c>
    </row>
    <row r="35" ht="19.5" customHeight="1" s="180">
      <c r="B35" s="238" t="inlineStr">
        <is>
          <t>RETAIL PROGRAMMING  (expanded merch/goods — new lever)</t>
        </is>
      </c>
    </row>
    <row r="36" ht="15" customHeight="1" s="180">
      <c r="B36" s="224" t="inlineStr">
        <is>
          <t>Retail programming — incremental revenue ($/yr)</t>
        </is>
      </c>
      <c r="C36" s="239">
        <f>'LW Retail Plan'!$C$19</f>
        <v/>
      </c>
      <c r="D36" s="179" t="inlineStr">
        <is>
          <t>fed by the LW Retail Plan category build-up (edit there)</t>
        </is>
      </c>
    </row>
    <row r="37" ht="15" customHeight="1" s="180">
      <c r="B37" s="224" t="inlineStr">
        <is>
          <t>Retail programming COGS %</t>
        </is>
      </c>
      <c r="C37" s="255">
        <f>'LW Retail Plan'!$C$20</f>
        <v/>
      </c>
      <c r="D37" s="179" t="inlineStr">
        <is>
          <t>blended product COGS % from the LW Retail Plan tab</t>
        </is>
      </c>
    </row>
    <row r="39" ht="15" customHeight="1" s="180">
      <c r="B39" s="256" t="inlineStr">
        <is>
          <t>BELOW NOI  (owner / occupancy)</t>
        </is>
      </c>
    </row>
    <row r="40" ht="15" customHeight="1" s="180">
      <c r="B40" s="224" t="inlineStr">
        <is>
          <t>Management fee (% of revenue)</t>
        </is>
      </c>
      <c r="C40" s="257" t="n">
        <v>0.04</v>
      </c>
      <c r="D40" s="237" t="inlineStr">
        <is>
          <t>4% of gross revenue → Method (replaces $48K flat fee)</t>
        </is>
      </c>
    </row>
    <row r="41" ht="15" customHeight="1" s="180">
      <c r="B41" s="224" t="inlineStr">
        <is>
          <t>Rent (% of revenue)</t>
        </is>
      </c>
      <c r="C41" s="257" t="n">
        <v>0</v>
      </c>
      <c r="D41" s="237" t="inlineStr">
        <is>
          <t>rent WAIVED (was 6% of revenue) — same treatment as Vessel; actuals keep booked occupancy</t>
        </is>
      </c>
    </row>
    <row r="42" ht="15" customHeight="1" s="180">
      <c r="B42" s="224" t="inlineStr">
        <is>
          <t>Credit card fee — GL actual (T12 $)</t>
        </is>
      </c>
      <c r="C42" s="222" t="n">
        <v>10012</v>
      </c>
      <c r="D42" s="237" t="inlineStr">
        <is>
          <t>3.9% of rev — used for Current column; go-forward uses 2.5% target</t>
        </is>
      </c>
    </row>
    <row r="43" ht="15" customHeight="1" s="180">
      <c r="B43" s="224" t="inlineStr">
        <is>
          <t>Menu price uplift ($/yr, pure margin)</t>
        </is>
      </c>
      <c r="C43" s="222">
        <f>'LW Menu Pricing'!$C$53</f>
        <v/>
      </c>
      <c r="D43" s="237" t="inlineStr">
        <is>
          <t>from LW Menu Pricing tab · held volume</t>
        </is>
      </c>
    </row>
    <row r="44" ht="15" customHeight="1" s="180">
      <c r="B44" s="224" t="inlineStr">
        <is>
          <t>Apply price increase? (1=yes,0=no)</t>
        </is>
      </c>
      <c r="C44" s="258" t="n">
        <v>1</v>
      </c>
      <c r="D44" s="237" t="inlineStr">
        <is>
          <t>toggle the 2027 pricing scenario on/off</t>
        </is>
      </c>
    </row>
    <row r="45" ht="15" customHeight="1" s="180">
      <c r="B45" s="224" t="inlineStr">
        <is>
          <t>Management labor — GL 610300 ($/yr)</t>
        </is>
      </c>
      <c r="C45" s="222" t="n">
        <v>12880</v>
      </c>
      <c r="D45" s="237" t="inlineStr">
        <is>
          <t>FOH Management wage, annualized ×12/5 — separate from hourly schedule</t>
        </is>
      </c>
    </row>
    <row r="46" ht="15" customHeight="1" s="180">
      <c r="B46" s="179" t="inlineStr">
        <is>
          <t>Retail improvement uplift %  (INPUT)</t>
        </is>
      </c>
      <c r="C46" s="259" t="n">
        <v>0.5</v>
      </c>
      <c r="D46" s="179" t="inlineStr">
        <is>
          <t>incremental retail rev from expanded inventory — % of current retail base</t>
        </is>
      </c>
    </row>
    <row r="47" ht="15" customHeight="1" s="180">
      <c r="B47" s="179" t="inlineStr">
        <is>
          <t xml:space="preserve">  → incremental retail $ / yr</t>
        </is>
      </c>
      <c r="C47" s="252">
        <f>'LW Assumptions'!$C$8*'LW Assumptions'!$C$46</f>
        <v/>
      </c>
    </row>
    <row r="48" ht="15" customHeight="1" s="180">
      <c r="B48" s="224" t="inlineStr">
        <is>
          <t>Operating expenses (% of revenue — modified/plan)</t>
        </is>
      </c>
      <c r="C48" s="257" t="n">
        <v>0.125</v>
      </c>
      <c r="D48" s="237" t="inlineStr">
        <is>
          <t>target ratios replace the GL run-rate lines in modified months &amp; 2027 (incl CC fees)</t>
        </is>
      </c>
    </row>
    <row r="49" ht="15" customHeight="1" s="180">
      <c r="B49" s="224" t="inlineStr">
        <is>
          <t>Marketing (% of revenue — modified/plan)</t>
        </is>
      </c>
      <c r="C49" s="257" t="n">
        <v>0.035</v>
      </c>
      <c r="D49" s="237" t="n"/>
    </row>
    <row r="50" ht="15" customHeight="1" s="180">
      <c r="B50" s="224" t="inlineStr">
        <is>
          <t>G&amp;A controllable (% of revenue — modified/plan)</t>
        </is>
      </c>
      <c r="C50" s="257" t="n">
        <v>0.08500000000000001</v>
      </c>
      <c r="D50" s="237" t="n"/>
    </row>
    <row r="51" ht="15" customHeight="1" s="180">
      <c r="B51" s="224" t="inlineStr">
        <is>
          <t>Food COGS % target (of food sales — modified/plan)</t>
        </is>
      </c>
      <c r="C51" s="257" t="n">
        <v>0.4</v>
      </c>
      <c r="D51" s="237" t="inlineStr">
        <is>
          <t>was booking 52–58% in the forecast; POS math says ~44 — waste/coding cleanup to 40%</t>
        </is>
      </c>
    </row>
    <row r="52" ht="15" customHeight="1" s="180">
      <c r="B52" s="224" t="inlineStr">
        <is>
          <t>G&amp;A uncontrollable (% of revenue — modified/plan)</t>
        </is>
      </c>
      <c r="C52" s="257" t="n">
        <v>0.045</v>
      </c>
      <c r="D52" s="237" t="inlineStr">
        <is>
          <t>was ~5.4% of revenue in the forecast</t>
        </is>
      </c>
    </row>
    <row r="53" ht="15" customHeight="1" s="180">
      <c r="B53" s="224" t="inlineStr">
        <is>
          <t>Discounts &amp; comps (% of gross sales — modified/plan)</t>
        </is>
      </c>
      <c r="C53" s="257" t="n">
        <v>0.025</v>
      </c>
      <c r="D53" s="237" t="inlineStr">
        <is>
          <t>was ~5% — Peninsula Perks / employee comp discipline</t>
        </is>
      </c>
    </row>
  </sheetData>
  <mergeCells count="9">
    <mergeCell ref="A1:D1"/>
    <mergeCell ref="B19:D19"/>
    <mergeCell ref="B35:D35"/>
    <mergeCell ref="B4:D4"/>
    <mergeCell ref="B27:D27"/>
    <mergeCell ref="B30:D30"/>
    <mergeCell ref="A2:D2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9" min="1" max="1"/>
    <col width="2" customWidth="1" style="179" min="2" max="2"/>
    <col width="11" customWidth="1" style="179" min="3" max="3"/>
    <col width="7" customWidth="1" style="179" min="4" max="5"/>
    <col width="11" customWidth="1" style="179" min="6" max="6"/>
    <col width="7" customWidth="1" style="179" min="7" max="8"/>
    <col width="11" customWidth="1" style="179" min="9" max="9"/>
    <col width="7" customWidth="1" style="179" min="10" max="10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— Current staffing vs adjusted single-shift (annual · base revenue · go-forward owner terms)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Current</t>
        </is>
      </c>
      <c r="E5" s="209" t="n"/>
      <c r="F5" s="209" t="inlineStr">
        <is>
          <t>Adjusted</t>
        </is>
      </c>
      <c r="H5" s="209" t="n"/>
      <c r="I5" s="209" t="inlineStr">
        <is>
          <t>Change</t>
        </is>
      </c>
    </row>
    <row r="6" ht="15" customHeight="1" s="180">
      <c r="C6" s="210" t="inlineStr">
        <is>
          <t>Annual</t>
        </is>
      </c>
      <c r="E6" s="210" t="n"/>
      <c r="F6" s="210" t="inlineStr">
        <is>
          <t>Annual</t>
        </is>
      </c>
      <c r="H6" s="210" t="n"/>
      <c r="I6" s="210" t="inlineStr">
        <is>
          <t>Annual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n"/>
      <c r="F7" s="209" t="inlineStr">
        <is>
          <t>Amount $</t>
        </is>
      </c>
      <c r="G7" s="209" t="inlineStr">
        <is>
          <t>%</t>
        </is>
      </c>
      <c r="H7" s="209" t="n"/>
      <c r="I7" s="209" t="inlineStr">
        <is>
          <t>Amount $</t>
        </is>
      </c>
      <c r="J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Assumptions'!$C$5</f>
        <v/>
      </c>
      <c r="D12" s="211">
        <f>IFERROR(C12/C$20,0)</f>
        <v/>
      </c>
      <c r="F12" s="203">
        <f>'LW Assumptions'!$C$5</f>
        <v/>
      </c>
      <c r="G12" s="211">
        <f>IFERROR(F12/F$20,0)</f>
        <v/>
      </c>
      <c r="I12" s="203">
        <f>F12-C12</f>
        <v/>
      </c>
      <c r="J12" s="211">
        <f>IFERROR(I12/C12,0)</f>
        <v/>
      </c>
    </row>
    <row r="13" ht="15" customHeight="1" s="180">
      <c r="A13" s="184" t="inlineStr">
        <is>
          <t>Non-Alcoholic Beverage Sales</t>
        </is>
      </c>
      <c r="C13" s="203">
        <f>'LW Assumptions'!$C$6</f>
        <v/>
      </c>
      <c r="D13" s="211">
        <f>IFERROR(C13/C$20,0)</f>
        <v/>
      </c>
      <c r="F13" s="203">
        <f>'LW Assumptions'!$C$6</f>
        <v/>
      </c>
      <c r="G13" s="211">
        <f>IFERROR(F13/F$20,0)</f>
        <v/>
      </c>
      <c r="I13" s="203">
        <f>F13-C13</f>
        <v/>
      </c>
      <c r="J13" s="211">
        <f>IFERROR(I13/C13,0)</f>
        <v/>
      </c>
    </row>
    <row r="14" ht="15" customHeight="1" s="180">
      <c r="A14" s="184" t="inlineStr">
        <is>
          <t>Liquor Sales</t>
        </is>
      </c>
      <c r="C14" s="203">
        <f>'LW Assumptions'!$C$7</f>
        <v/>
      </c>
      <c r="D14" s="211">
        <f>IFERROR(C14/C$20,0)</f>
        <v/>
      </c>
      <c r="F14" s="203">
        <f>'LW Assumptions'!$C$7</f>
        <v/>
      </c>
      <c r="G14" s="211">
        <f>IFERROR(F14/F$20,0)</f>
        <v/>
      </c>
      <c r="I14" s="203">
        <f>F14-C14</f>
        <v/>
      </c>
      <c r="J14" s="211">
        <f>IFERROR(I14/C14,0)</f>
        <v/>
      </c>
    </row>
    <row r="15" ht="15" customHeight="1" s="180">
      <c r="A15" s="184" t="inlineStr">
        <is>
          <t>Beer Sales</t>
        </is>
      </c>
      <c r="C15" s="203" t="n">
        <v>0</v>
      </c>
      <c r="D15" s="211">
        <f>IFERROR(C15/C$20,0)</f>
        <v/>
      </c>
      <c r="F15" s="203" t="n">
        <v>0</v>
      </c>
      <c r="G15" s="211">
        <f>IFERROR(F15/F$20,0)</f>
        <v/>
      </c>
      <c r="I15" s="203">
        <f>F15-C15</f>
        <v/>
      </c>
      <c r="J15" s="211">
        <f>IFERROR(I15/C15,0)</f>
        <v/>
      </c>
    </row>
    <row r="16" ht="15" customHeight="1" s="180">
      <c r="A16" s="184" t="inlineStr">
        <is>
          <t>Wine Sales</t>
        </is>
      </c>
      <c r="C16" s="203" t="n">
        <v>0</v>
      </c>
      <c r="D16" s="211">
        <f>IFERROR(C16/C$20,0)</f>
        <v/>
      </c>
      <c r="F16" s="203" t="n">
        <v>0</v>
      </c>
      <c r="G16" s="211">
        <f>IFERROR(F16/F$20,0)</f>
        <v/>
      </c>
      <c r="I16" s="203">
        <f>F16-C16</f>
        <v/>
      </c>
      <c r="J16" s="211">
        <f>IFERROR(I16/C16,0)</f>
        <v/>
      </c>
    </row>
    <row r="17" ht="15" customHeight="1" s="180">
      <c r="A17" s="184" t="inlineStr">
        <is>
          <t>Retail / Merch Sales</t>
        </is>
      </c>
      <c r="C17" s="203">
        <f>'LW Assumptions'!$C$8</f>
        <v/>
      </c>
      <c r="D17" s="211">
        <f>IFERROR(C17/C$20,0)</f>
        <v/>
      </c>
      <c r="F17" s="203">
        <f>'LW Assumptions'!$C$8</f>
        <v/>
      </c>
      <c r="G17" s="211">
        <f>IFERROR(F17/F$20,0)</f>
        <v/>
      </c>
      <c r="I17" s="203">
        <f>F17-C17</f>
        <v/>
      </c>
      <c r="J17" s="211">
        <f>IFERROR(I17/C17,0)</f>
        <v/>
      </c>
    </row>
    <row r="18" ht="15" customHeight="1" s="180">
      <c r="A18" s="184" t="inlineStr">
        <is>
          <t>Other Operating Income</t>
        </is>
      </c>
      <c r="C18" s="203">
        <f>'LW Assumptions'!$C$9</f>
        <v/>
      </c>
      <c r="D18" s="211">
        <f>IFERROR(C18/C$20,0)</f>
        <v/>
      </c>
      <c r="F18" s="203">
        <f>'LW Assumptions'!$C$9</f>
        <v/>
      </c>
      <c r="G18" s="211">
        <f>IFERROR(F18/F$20,0)</f>
        <v/>
      </c>
      <c r="I18" s="203">
        <f>F18-C18</f>
        <v/>
      </c>
      <c r="J18" s="211">
        <f>IFERROR(I18/C18,0)</f>
        <v/>
      </c>
    </row>
    <row r="19" ht="15" customHeight="1" s="180">
      <c r="A19" s="184" t="inlineStr">
        <is>
          <t>Discounts &amp; Comps</t>
        </is>
      </c>
      <c r="C19" s="203" t="n">
        <v>0</v>
      </c>
      <c r="D19" s="211">
        <f>IFERROR(C19/C$20,0)</f>
        <v/>
      </c>
      <c r="F19" s="203" t="n">
        <v>0</v>
      </c>
      <c r="G19" s="211">
        <f>IFERROR(F19/F$20,0)</f>
        <v/>
      </c>
      <c r="I19" s="203">
        <f>F19-C19</f>
        <v/>
      </c>
      <c r="J19" s="211">
        <f>IFERROR(I19/C19,0)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F20" s="206">
        <f>SUM(F12:F19)</f>
        <v/>
      </c>
      <c r="G20" s="212">
        <f>IFERROR(F20/F$20,0)</f>
        <v/>
      </c>
      <c r="I20" s="206">
        <f>F20-C20</f>
        <v/>
      </c>
      <c r="J20" s="212">
        <f>IFERROR(I20/C20,0)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</t>
        </is>
      </c>
      <c r="C23" s="203">
        <f>'LW Assumptions'!$C$5*'LW Assumptions'!$C$13</f>
        <v/>
      </c>
      <c r="D23" s="211">
        <f>IFERROR(C23/C$12,0)</f>
        <v/>
      </c>
      <c r="F23" s="203">
        <f>'LW Assumptions'!$C$5*'LW Assumptions'!$C$13</f>
        <v/>
      </c>
      <c r="G23" s="211">
        <f>IFERROR(F23/F$12,0)</f>
        <v/>
      </c>
      <c r="I23" s="203">
        <f>F23-C23</f>
        <v/>
      </c>
      <c r="J23" s="211">
        <f>IFERROR(I23/C23,0)</f>
        <v/>
      </c>
    </row>
    <row r="24" ht="15" customHeight="1" s="180">
      <c r="A24" s="184" t="inlineStr">
        <is>
          <t>Non-Alcoholic Beverage Cost</t>
        </is>
      </c>
      <c r="C24" s="203">
        <f>'LW Assumptions'!$C$6*'LW Assumptions'!$C$14</f>
        <v/>
      </c>
      <c r="D24" s="211">
        <f>IFERROR(C24/C$13,0)</f>
        <v/>
      </c>
      <c r="F24" s="203">
        <f>'LW Assumptions'!$C$6*'LW Assumptions'!$C$14</f>
        <v/>
      </c>
      <c r="G24" s="211">
        <f>IFERROR(F24/F$13,0)</f>
        <v/>
      </c>
      <c r="I24" s="203">
        <f>F24-C24</f>
        <v/>
      </c>
      <c r="J24" s="211">
        <f>IFERROR(I24/C24,0)</f>
        <v/>
      </c>
    </row>
    <row r="25" ht="15" customHeight="1" s="180">
      <c r="A25" s="184" t="inlineStr">
        <is>
          <t>Liquor Cost</t>
        </is>
      </c>
      <c r="C25" s="203">
        <f>'LW Assumptions'!$C$7*'LW Assumptions'!$C$15</f>
        <v/>
      </c>
      <c r="D25" s="211">
        <f>IFERROR(C25/C$14,0)</f>
        <v/>
      </c>
      <c r="F25" s="203">
        <f>'LW Assumptions'!$C$7*'LW Assumptions'!$C$15</f>
        <v/>
      </c>
      <c r="G25" s="211">
        <f>IFERROR(F25/F$14,0)</f>
        <v/>
      </c>
      <c r="I25" s="203">
        <f>F25-C25</f>
        <v/>
      </c>
      <c r="J25" s="211">
        <f>IFERROR(I25/C25,0)</f>
        <v/>
      </c>
    </row>
    <row r="26" ht="15" customHeight="1" s="180">
      <c r="A26" s="184" t="inlineStr">
        <is>
          <t>Beer Cost</t>
        </is>
      </c>
      <c r="C26" s="203" t="n">
        <v>0</v>
      </c>
      <c r="D26" s="211">
        <f>IFERROR(C26/C$15,0)</f>
        <v/>
      </c>
      <c r="F26" s="203" t="n">
        <v>0</v>
      </c>
      <c r="G26" s="211">
        <f>IFERROR(F26/F$15,0)</f>
        <v/>
      </c>
      <c r="I26" s="203">
        <f>F26-C26</f>
        <v/>
      </c>
      <c r="J26" s="211">
        <f>IFERROR(I26/C26,0)</f>
        <v/>
      </c>
    </row>
    <row r="27" ht="15" customHeight="1" s="180">
      <c r="A27" s="184" t="inlineStr">
        <is>
          <t>Wine/Sake Cost</t>
        </is>
      </c>
      <c r="C27" s="203" t="n">
        <v>0</v>
      </c>
      <c r="D27" s="211">
        <f>IFERROR(C27/C$16,0)</f>
        <v/>
      </c>
      <c r="F27" s="203" t="n">
        <v>0</v>
      </c>
      <c r="G27" s="211">
        <f>IFERROR(F27/F$16,0)</f>
        <v/>
      </c>
      <c r="I27" s="203">
        <f>F27-C27</f>
        <v/>
      </c>
      <c r="J27" s="211">
        <f>IFERROR(I27/C27,0)</f>
        <v/>
      </c>
    </row>
    <row r="28" ht="15" customHeight="1" s="180">
      <c r="A28" s="184" t="inlineStr">
        <is>
          <t>Retail Cost</t>
        </is>
      </c>
      <c r="C28" s="203">
        <f>'LW Assumptions'!$C$8*'LW Assumptions'!$C$16</f>
        <v/>
      </c>
      <c r="D28" s="211">
        <f>IFERROR(C28/C$17,0)</f>
        <v/>
      </c>
      <c r="F28" s="203">
        <f>'LW Assumptions'!$C$8*'LW Assumptions'!$C$16</f>
        <v/>
      </c>
      <c r="G28" s="211">
        <f>IFERROR(F28/F$17,0)</f>
        <v/>
      </c>
      <c r="I28" s="203">
        <f>F28-C28</f>
        <v/>
      </c>
      <c r="J28" s="211">
        <f>IFERROR(I28/C28,0)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F29" s="206">
        <f>SUM(F23:F28)</f>
        <v/>
      </c>
      <c r="G29" s="212">
        <f>IFERROR(F29/F$20,0)</f>
        <v/>
      </c>
      <c r="I29" s="206">
        <f>F29-C29</f>
        <v/>
      </c>
      <c r="J29" s="212">
        <f>IFERROR(I29/C29,0)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F30" s="186">
        <f>F20-F29</f>
        <v/>
      </c>
      <c r="G30" s="187">
        <f>IFERROR(F30/F$20,0)</f>
        <v/>
      </c>
      <c r="I30" s="186">
        <f>F30-C30</f>
        <v/>
      </c>
      <c r="J30" s="187">
        <f>IFERROR(I30/C30,0)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Assumptions'!$C$45</f>
        <v/>
      </c>
      <c r="D33" s="211">
        <f>IFERROR(C33/C$20,0)</f>
        <v/>
      </c>
      <c r="F33" s="203" t="n">
        <v>0</v>
      </c>
      <c r="G33" s="211">
        <f>IFERROR(F33/F$20,0)</f>
        <v/>
      </c>
      <c r="I33" s="203">
        <f>F33-C33</f>
        <v/>
      </c>
      <c r="J33" s="211">
        <f>IFERROR(I33/C33,0)</f>
        <v/>
      </c>
    </row>
    <row r="34" ht="15" customHeight="1" s="180">
      <c r="A34" s="184" t="inlineStr">
        <is>
          <t>Back of House Hourly Labor</t>
        </is>
      </c>
      <c r="C34" s="203" t="n">
        <v>30727</v>
      </c>
      <c r="D34" s="211">
        <f>IFERROR(C34/C$20,0)</f>
        <v/>
      </c>
      <c r="F34" s="203">
        <f>'LW Assumptions'!$C$26*52</f>
        <v/>
      </c>
      <c r="G34" s="211">
        <f>IFERROR(F34/F$20,0)</f>
        <v/>
      </c>
      <c r="I34" s="203">
        <f>F34-C34</f>
        <v/>
      </c>
      <c r="J34" s="211">
        <f>IFERROR(I34/C34,0)</f>
        <v/>
      </c>
    </row>
    <row r="35" ht="15" customHeight="1" s="180">
      <c r="A35" s="184" t="inlineStr">
        <is>
          <t>Front of House Hourly Labor</t>
        </is>
      </c>
      <c r="C35" s="203">
        <f>42998+54634+886</f>
        <v/>
      </c>
      <c r="D35" s="211">
        <f>IFERROR(C35/C$20,0)</f>
        <v/>
      </c>
      <c r="F35" s="203">
        <f>('LW Assumptions'!$C$20+'LW Assumptions'!$C$21)*'LW Assumptions'!$C$22*52*'LW Assumptions'!$C$23</f>
        <v/>
      </c>
      <c r="G35" s="211">
        <f>IFERROR(F35/F$20,0)</f>
        <v/>
      </c>
      <c r="I35" s="203">
        <f>F35-C35</f>
        <v/>
      </c>
      <c r="J35" s="211">
        <f>IFERROR(I35/C35,0)</f>
        <v/>
      </c>
    </row>
    <row r="36" ht="15" customHeight="1" s="180">
      <c r="A36" s="184" t="inlineStr">
        <is>
          <t>Payroll Taxes &amp; Benefits</t>
        </is>
      </c>
      <c r="C36" s="203" t="n">
        <v>22733</v>
      </c>
      <c r="D36" s="211">
        <f>IFERROR(C36/C$20,0)</f>
        <v/>
      </c>
      <c r="F36" s="203">
        <f>(F34+F35)*'LW Assumptions'!$C$24</f>
        <v/>
      </c>
      <c r="G36" s="211">
        <f>IFERROR(F36/F$20,0)</f>
        <v/>
      </c>
      <c r="I36" s="203">
        <f>F36-C36</f>
        <v/>
      </c>
      <c r="J36" s="211">
        <f>IFERROR(I36/C36,0)</f>
        <v/>
      </c>
    </row>
    <row r="37" ht="15" customHeight="1" s="180">
      <c r="A37" s="184" t="inlineStr">
        <is>
          <t>Bonus</t>
        </is>
      </c>
      <c r="C37" s="203" t="n">
        <v>0</v>
      </c>
      <c r="D37" s="211">
        <f>IFERROR(C37/C$20,0)</f>
        <v/>
      </c>
      <c r="F37" s="203" t="n">
        <v>0</v>
      </c>
      <c r="G37" s="211">
        <f>IFERROR(F37/F$20,0)</f>
        <v/>
      </c>
      <c r="I37" s="203">
        <f>F37-C37</f>
        <v/>
      </c>
      <c r="J37" s="211">
        <f>IFERROR(I37/C37,0)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F38" s="206">
        <f>SUM(F33:F37)</f>
        <v/>
      </c>
      <c r="G38" s="212">
        <f>IFERROR(F38/F$20,0)</f>
        <v/>
      </c>
      <c r="I38" s="206">
        <f>F38-C38</f>
        <v/>
      </c>
      <c r="J38" s="212">
        <f>IFERROR(I38/C38,0)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F40" s="186">
        <f>F29+F38</f>
        <v/>
      </c>
      <c r="G40" s="187">
        <f>IFERROR(F40/F$20,0)</f>
        <v/>
      </c>
      <c r="I40" s="186">
        <f>F40-C40</f>
        <v/>
      </c>
      <c r="J40" s="187">
        <f>IFERROR(I40/C40,0)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F41" s="186">
        <f>F30-F38</f>
        <v/>
      </c>
      <c r="G41" s="187">
        <f>IFERROR(F41/F$20,0)</f>
        <v/>
      </c>
      <c r="I41" s="186">
        <f>F41-C41</f>
        <v/>
      </c>
      <c r="J41" s="187">
        <f>IFERROR(I41/C41,0)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</t>
        </is>
      </c>
      <c r="C44" s="203">
        <f>'LW Assumptions'!$C$32</f>
        <v/>
      </c>
      <c r="D44" s="211">
        <f>IFERROR(C44/C$20,0)</f>
        <v/>
      </c>
      <c r="F44" s="203">
        <f>'LW Assumptions'!$C$32</f>
        <v/>
      </c>
      <c r="G44" s="211">
        <f>IFERROR(F44/F$20,0)</f>
        <v/>
      </c>
      <c r="I44" s="203">
        <f>F44-C44</f>
        <v/>
      </c>
      <c r="J44" s="211">
        <f>IFERROR(I44/C44,0)</f>
        <v/>
      </c>
    </row>
    <row r="45" ht="15" customHeight="1" s="180">
      <c r="A45" s="184" t="inlineStr">
        <is>
          <t>Music &amp; Entertainment</t>
        </is>
      </c>
      <c r="C45" s="203" t="n">
        <v>0</v>
      </c>
      <c r="D45" s="211">
        <f>IFERROR(C45/C$20,0)</f>
        <v/>
      </c>
      <c r="F45" s="203" t="n">
        <v>0</v>
      </c>
      <c r="G45" s="211">
        <f>IFERROR(F45/F$20,0)</f>
        <v/>
      </c>
      <c r="I45" s="203">
        <f>F45-C45</f>
        <v/>
      </c>
      <c r="J45" s="211">
        <f>IFERROR(I45/C45,0)</f>
        <v/>
      </c>
    </row>
    <row r="46" ht="15" customHeight="1" s="180">
      <c r="A46" s="184" t="inlineStr">
        <is>
          <t>Marketing &amp; Advertising</t>
        </is>
      </c>
      <c r="C46" s="203" t="n">
        <v>0</v>
      </c>
      <c r="D46" s="211">
        <f>IFERROR(C46/C$20,0)</f>
        <v/>
      </c>
      <c r="F46" s="203" t="n">
        <v>0</v>
      </c>
      <c r="G46" s="211">
        <f>IFERROR(F46/F$20,0)</f>
        <v/>
      </c>
      <c r="I46" s="203">
        <f>F46-C46</f>
        <v/>
      </c>
      <c r="J46" s="211">
        <f>IFERROR(I46/C46,0)</f>
        <v/>
      </c>
    </row>
    <row r="47" ht="15" customHeight="1" s="180">
      <c r="A47" s="184" t="inlineStr">
        <is>
          <t>General &amp; Administrative - Controllable</t>
        </is>
      </c>
      <c r="C47" s="203" t="n">
        <v>0</v>
      </c>
      <c r="D47" s="211">
        <f>IFERROR(C47/C$20,0)</f>
        <v/>
      </c>
      <c r="F47" s="203" t="n">
        <v>0</v>
      </c>
      <c r="G47" s="211">
        <f>IFERROR(F47/F$20,0)</f>
        <v/>
      </c>
      <c r="I47" s="203">
        <f>F47-C47</f>
        <v/>
      </c>
      <c r="J47" s="211">
        <f>IFERROR(I47/C47,0)</f>
        <v/>
      </c>
    </row>
    <row r="48" ht="15" customHeight="1" s="180">
      <c r="A48" s="184" t="inlineStr">
        <is>
          <t>Repairs &amp; Maintenance</t>
        </is>
      </c>
      <c r="C48" s="203" t="n">
        <v>0</v>
      </c>
      <c r="D48" s="211">
        <f>IFERROR(C48/C$20,0)</f>
        <v/>
      </c>
      <c r="F48" s="203" t="n">
        <v>0</v>
      </c>
      <c r="G48" s="211">
        <f>IFERROR(F48/F$20,0)</f>
        <v/>
      </c>
      <c r="I48" s="203">
        <f>F48-C48</f>
        <v/>
      </c>
      <c r="J48" s="211">
        <f>IFERROR(I48/C48,0)</f>
        <v/>
      </c>
    </row>
    <row r="49" ht="15" customHeight="1" s="180">
      <c r="A49" s="184" t="inlineStr">
        <is>
          <t>Credit Card Fees</t>
        </is>
      </c>
      <c r="C49" s="203">
        <f>'LW Assumptions'!$C$42</f>
        <v/>
      </c>
      <c r="D49" s="211">
        <f>IFERROR(C49/C$20,0)</f>
        <v/>
      </c>
      <c r="F49" s="203">
        <f>F20*'LW Assumptions'!$C$31</f>
        <v/>
      </c>
      <c r="G49" s="211">
        <f>IFERROR(F49/F$20,0)</f>
        <v/>
      </c>
      <c r="I49" s="203">
        <f>F49-C49</f>
        <v/>
      </c>
      <c r="J49" s="211">
        <f>IFERROR(I49/C49,0)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F50" s="206">
        <f>SUM(F44:F49)</f>
        <v/>
      </c>
      <c r="G50" s="212">
        <f>IFERROR(F50/F$20,0)</f>
        <v/>
      </c>
      <c r="I50" s="206">
        <f>F50-C50</f>
        <v/>
      </c>
      <c r="J50" s="212">
        <f>IFERROR(I50/C50,0)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 t="n">
        <v>0</v>
      </c>
      <c r="D53" s="211">
        <f>IFERROR(C53/C$20,0)</f>
        <v/>
      </c>
      <c r="F53" s="203" t="n">
        <v>0</v>
      </c>
      <c r="G53" s="211">
        <f>IFERROR(F53/F$20,0)</f>
        <v/>
      </c>
      <c r="I53" s="203">
        <f>F53-C53</f>
        <v/>
      </c>
      <c r="J53" s="211">
        <f>IFERROR(I53/C53,0)</f>
        <v/>
      </c>
    </row>
    <row r="54" ht="15" customHeight="1" s="180">
      <c r="A54" s="184" t="inlineStr">
        <is>
          <t>Occupancy Cost  (Current: GL ~6% · Adjusted: waived)</t>
        </is>
      </c>
      <c r="C54" s="203">
        <f>C20*0.06</f>
        <v/>
      </c>
      <c r="D54" s="211">
        <f>IFERROR(C54/C$20,0)</f>
        <v/>
      </c>
      <c r="F54" s="203">
        <f>F20*'LW Assumptions'!$C$41</f>
        <v/>
      </c>
      <c r="G54" s="211">
        <f>IFERROR(F54/F$20,0)</f>
        <v/>
      </c>
      <c r="I54" s="203">
        <f>F54-C54</f>
        <v/>
      </c>
      <c r="J54" s="211">
        <f>IFERROR(I54/C54,0)</f>
        <v/>
      </c>
    </row>
    <row r="55" ht="15" customHeight="1" s="180">
      <c r="A55" s="184" t="inlineStr">
        <is>
          <t>General &amp; Administrative - Uncon</t>
        </is>
      </c>
      <c r="C55" s="203">
        <f>'LW Assumptions'!$C$33</f>
        <v/>
      </c>
      <c r="D55" s="211">
        <f>IFERROR(C55/C$20,0)</f>
        <v/>
      </c>
      <c r="F55" s="203">
        <f>'LW Assumptions'!$C$33</f>
        <v/>
      </c>
      <c r="G55" s="211">
        <f>IFERROR(F55/F$20,0)</f>
        <v/>
      </c>
      <c r="I55" s="203">
        <f>F55-C55</f>
        <v/>
      </c>
      <c r="J55" s="211">
        <f>IFERROR(I55/C55,0)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F56" s="203">
        <f>F20*'LW Assumptions'!$C$40</f>
        <v/>
      </c>
      <c r="G56" s="211">
        <f>IFERROR(F56/F$20,0)</f>
        <v/>
      </c>
      <c r="I56" s="203">
        <f>F56-C56</f>
        <v/>
      </c>
      <c r="J56" s="211">
        <f>IFERROR(I56/C56,0)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F57" s="203" t="n">
        <v>0</v>
      </c>
      <c r="G57" s="211">
        <f>IFERROR(F57/F$20,0)</f>
        <v/>
      </c>
      <c r="I57" s="203">
        <f>F57-C57</f>
        <v/>
      </c>
      <c r="J57" s="211">
        <f>IFERROR(I57/C57,0)</f>
        <v/>
      </c>
    </row>
    <row r="58" ht="15" customHeight="1" s="180">
      <c r="A58" s="184" t="inlineStr">
        <is>
          <t>Owner Fee</t>
        </is>
      </c>
      <c r="C58" s="203" t="n">
        <v>0</v>
      </c>
      <c r="D58" s="211">
        <f>IFERROR(C58/C$20,0)</f>
        <v/>
      </c>
      <c r="F58" s="203" t="n">
        <v>0</v>
      </c>
      <c r="G58" s="211">
        <f>IFERROR(F58/F$20,0)</f>
        <v/>
      </c>
      <c r="I58" s="203">
        <f>F58-C58</f>
        <v/>
      </c>
      <c r="J58" s="211">
        <f>IFERROR(I58/C58,0)</f>
        <v/>
      </c>
    </row>
    <row r="59" ht="15" customHeight="1" s="180">
      <c r="A59" s="184" t="inlineStr">
        <is>
          <t>Business Taxes</t>
        </is>
      </c>
      <c r="C59" s="203" t="n">
        <v>0</v>
      </c>
      <c r="D59" s="211">
        <f>IFERROR(C59/C$20,0)</f>
        <v/>
      </c>
      <c r="F59" s="203" t="n">
        <v>0</v>
      </c>
      <c r="G59" s="211">
        <f>IFERROR(F59/F$20,0)</f>
        <v/>
      </c>
      <c r="I59" s="203">
        <f>F59-C59</f>
        <v/>
      </c>
      <c r="J59" s="211">
        <f>IFERROR(I59/C59,0)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F60" s="206">
        <f>SUM(F53:F59)</f>
        <v/>
      </c>
      <c r="G60" s="212">
        <f>IFERROR(F60/F$20,0)</f>
        <v/>
      </c>
      <c r="I60" s="206">
        <f>F60-C60</f>
        <v/>
      </c>
      <c r="J60" s="212">
        <f>IFERROR(I60/C60,0)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F62" s="206">
        <f>F41-F50-F60</f>
        <v/>
      </c>
      <c r="G62" s="212">
        <f>IFERROR(F62/F$20,0)</f>
        <v/>
      </c>
      <c r="I62" s="206">
        <f>F62-C62</f>
        <v/>
      </c>
      <c r="J62" s="212">
        <f>IFERROR(I62/C62,0)</f>
        <v/>
      </c>
    </row>
    <row r="64" ht="15" customHeight="1" s="180">
      <c r="A64" s="184" t="inlineStr">
        <is>
          <t>Debt Service</t>
        </is>
      </c>
      <c r="C64" s="203" t="n">
        <v>0</v>
      </c>
      <c r="D64" s="211">
        <f>IFERROR(C64/C$20,0)</f>
        <v/>
      </c>
      <c r="F64" s="203" t="n">
        <v>0</v>
      </c>
      <c r="G64" s="211">
        <f>IFERROR(F64/F$20,0)</f>
        <v/>
      </c>
      <c r="I64" s="203">
        <f>F64-C64</f>
        <v/>
      </c>
      <c r="J64" s="211">
        <f>IFERROR(I64/C64,0)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F66" s="186">
        <f>F62-F64</f>
        <v/>
      </c>
      <c r="G66" s="187">
        <f>IFERROR(F66/F$20,0)</f>
        <v/>
      </c>
      <c r="I66" s="186">
        <f>F66-C66</f>
        <v/>
      </c>
      <c r="J66" s="187">
        <f>IFERROR(I66/C66,0)</f>
        <v/>
      </c>
    </row>
    <row r="68" ht="15" customHeight="1" s="180">
      <c r="A68" s="184" t="inlineStr">
        <is>
          <t>Other (Income) Expense</t>
        </is>
      </c>
      <c r="C68" s="203" t="n">
        <v>0</v>
      </c>
      <c r="D68" s="211">
        <f>IFERROR(C68/C$20,0)</f>
        <v/>
      </c>
      <c r="F68" s="203" t="n">
        <v>0</v>
      </c>
      <c r="G68" s="211">
        <f>IFERROR(F68/F$20,0)</f>
        <v/>
      </c>
      <c r="I68" s="203">
        <f>F68-C68</f>
        <v/>
      </c>
      <c r="J68" s="211">
        <f>IFERROR(I68/C68,0)</f>
        <v/>
      </c>
    </row>
    <row r="69" ht="15" customHeight="1" s="180">
      <c r="A69" s="184" t="inlineStr">
        <is>
          <t>Reserve / CapEx</t>
        </is>
      </c>
      <c r="C69" s="203" t="n">
        <v>0</v>
      </c>
      <c r="D69" s="211">
        <f>IFERROR(C69/C$20,0)</f>
        <v/>
      </c>
      <c r="F69" s="203" t="n">
        <v>0</v>
      </c>
      <c r="G69" s="211">
        <f>IFERROR(F69/F$20,0)</f>
        <v/>
      </c>
      <c r="I69" s="203">
        <f>F69-C69</f>
        <v/>
      </c>
      <c r="J69" s="211">
        <f>IFERROR(I69/C69,0)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F70" s="213">
        <f>F66-F68-F69</f>
        <v/>
      </c>
      <c r="G70" s="214">
        <f>IFERROR(F70/F$20,0)</f>
        <v/>
      </c>
      <c r="I70" s="213">
        <f>F70-C70</f>
        <v/>
      </c>
      <c r="J70" s="214">
        <f>IFERROR(I70/C70,0)</f>
        <v/>
      </c>
    </row>
    <row r="72" ht="15" customHeight="1" s="180">
      <c r="A72" s="182" t="inlineStr">
        <is>
          <t>Both columns at base revenue (no pricing/retail uplift). Current column carries GL-style terms (6% occupancy, GL CC); Adjusted column carries go-forward terms (4% fee, rent waived, 2.5% CC) plus the single-shift labor model with BOH cook kept.</t>
        </is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9" min="1" max="1"/>
    <col width="2" customWidth="1" style="179" min="2" max="2"/>
    <col width="10" customWidth="1" style="179" min="3" max="3"/>
    <col width="6.5" customWidth="1" style="179" min="4" max="4"/>
    <col width="10" customWidth="1" style="179" min="5" max="5"/>
    <col width="6.5" customWidth="1" style="179" min="6" max="6"/>
    <col width="10" customWidth="1" style="179" min="7" max="7"/>
    <col width="6.5" customWidth="1" style="179" min="8" max="8"/>
    <col width="10" customWidth="1" style="179" min="9" max="9"/>
    <col width="6.5" customWidth="1" style="179" min="10" max="10"/>
    <col width="10" customWidth="1" style="179" min="11" max="11"/>
    <col width="6.5" customWidth="1" style="179" min="12" max="12"/>
    <col width="10" customWidth="1" style="179" min="13" max="13"/>
    <col width="6.5" customWidth="1" style="179" min="14" max="14"/>
    <col width="10" customWidth="1" style="179" min="15" max="15"/>
    <col width="6.5" customWidth="1" style="179" min="16" max="16"/>
    <col width="10" customWidth="1" style="179" min="17" max="17"/>
    <col width="6.5" customWidth="1" style="179" min="18" max="18"/>
    <col width="10" customWidth="1" style="179" min="19" max="19"/>
    <col width="6.5" customWidth="1" style="179" min="20" max="20"/>
    <col width="10" customWidth="1" style="179" min="21" max="21"/>
    <col width="6.5" customWidth="1" style="179" min="22" max="22"/>
    <col width="10" customWidth="1" style="179" min="23" max="23"/>
    <col width="6.5" customWidth="1" style="179" min="24" max="24"/>
    <col width="10" customWidth="1" style="179" min="25" max="25"/>
    <col width="6.5" customWidth="1" style="179" min="26" max="26"/>
    <col width="2" customWidth="1" style="179" min="27" max="27"/>
    <col width="11" customWidth="1" style="179" min="28" max="28"/>
    <col width="6.5" customWidth="1" style="179" min="29" max="29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Profit &amp; Loss Budget — annualized 2026 Modified run-rate (shift 6am–4pm, doors 6:30am · BOH cook kept)</t>
        </is>
      </c>
    </row>
    <row r="3" ht="15" customHeight="1" s="180">
      <c r="A3" s="181" t="inlineStr">
        <is>
          <t>2027</t>
        </is>
      </c>
    </row>
    <row r="5" ht="15" customHeight="1" s="180">
      <c r="C5" s="209" t="inlineStr">
        <is>
          <t>January</t>
        </is>
      </c>
      <c r="E5" s="209" t="inlineStr">
        <is>
          <t>February</t>
        </is>
      </c>
      <c r="G5" s="209" t="inlineStr">
        <is>
          <t>March</t>
        </is>
      </c>
      <c r="I5" s="209" t="inlineStr">
        <is>
          <t>April</t>
        </is>
      </c>
      <c r="K5" s="209" t="inlineStr">
        <is>
          <t>May</t>
        </is>
      </c>
      <c r="M5" s="209" t="inlineStr">
        <is>
          <t>June</t>
        </is>
      </c>
      <c r="O5" s="209" t="inlineStr">
        <is>
          <t>July</t>
        </is>
      </c>
      <c r="Q5" s="209" t="inlineStr">
        <is>
          <t>August</t>
        </is>
      </c>
      <c r="S5" s="209" t="inlineStr">
        <is>
          <t>September</t>
        </is>
      </c>
      <c r="U5" s="209" t="inlineStr">
        <is>
          <t>October</t>
        </is>
      </c>
      <c r="W5" s="209" t="inlineStr">
        <is>
          <t>November</t>
        </is>
      </c>
      <c r="Y5" s="209" t="inlineStr">
        <is>
          <t>December</t>
        </is>
      </c>
      <c r="AB5" s="209" t="inlineStr">
        <is>
          <t>2027</t>
        </is>
      </c>
    </row>
    <row r="6" ht="15" customHeight="1" s="180">
      <c r="C6" s="210" t="inlineStr">
        <is>
          <t>Budget</t>
        </is>
      </c>
      <c r="E6" s="210" t="inlineStr">
        <is>
          <t>Budget</t>
        </is>
      </c>
      <c r="G6" s="210" t="inlineStr">
        <is>
          <t>Budget</t>
        </is>
      </c>
      <c r="I6" s="210" t="inlineStr">
        <is>
          <t>Budget</t>
        </is>
      </c>
      <c r="K6" s="210" t="inlineStr">
        <is>
          <t>Budget</t>
        </is>
      </c>
      <c r="M6" s="210" t="inlineStr">
        <is>
          <t>Budget</t>
        </is>
      </c>
      <c r="O6" s="210" t="inlineStr">
        <is>
          <t>Budget</t>
        </is>
      </c>
      <c r="Q6" s="210" t="inlineStr">
        <is>
          <t>Budget</t>
        </is>
      </c>
      <c r="S6" s="210" t="inlineStr">
        <is>
          <t>Budget</t>
        </is>
      </c>
      <c r="U6" s="210" t="inlineStr">
        <is>
          <t>Budget</t>
        </is>
      </c>
      <c r="W6" s="210" t="inlineStr">
        <is>
          <t>Budget</t>
        </is>
      </c>
      <c r="Y6" s="210" t="inlineStr">
        <is>
          <t>Budget</t>
        </is>
      </c>
      <c r="AB6" s="210" t="inlineStr">
        <is>
          <t>FY 2027</t>
        </is>
      </c>
    </row>
    <row r="7" ht="15" customHeight="1" s="180">
      <c r="C7" s="209" t="inlineStr">
        <is>
          <t>Amount $</t>
        </is>
      </c>
      <c r="D7" s="209" t="inlineStr">
        <is>
          <t>%</t>
        </is>
      </c>
      <c r="E7" s="209" t="inlineStr">
        <is>
          <t>Amount $</t>
        </is>
      </c>
      <c r="F7" s="209" t="inlineStr">
        <is>
          <t>%</t>
        </is>
      </c>
      <c r="G7" s="209" t="inlineStr">
        <is>
          <t>Amount $</t>
        </is>
      </c>
      <c r="H7" s="209" t="inlineStr">
        <is>
          <t>%</t>
        </is>
      </c>
      <c r="I7" s="209" t="inlineStr">
        <is>
          <t>Amount $</t>
        </is>
      </c>
      <c r="J7" s="209" t="inlineStr">
        <is>
          <t>%</t>
        </is>
      </c>
      <c r="K7" s="209" t="inlineStr">
        <is>
          <t>Amount $</t>
        </is>
      </c>
      <c r="L7" s="209" t="inlineStr">
        <is>
          <t>%</t>
        </is>
      </c>
      <c r="M7" s="209" t="inlineStr">
        <is>
          <t>Amount $</t>
        </is>
      </c>
      <c r="N7" s="209" t="inlineStr">
        <is>
          <t>%</t>
        </is>
      </c>
      <c r="O7" s="209" t="inlineStr">
        <is>
          <t>Amount $</t>
        </is>
      </c>
      <c r="P7" s="209" t="inlineStr">
        <is>
          <t>%</t>
        </is>
      </c>
      <c r="Q7" s="209" t="inlineStr">
        <is>
          <t>Amount $</t>
        </is>
      </c>
      <c r="R7" s="209" t="inlineStr">
        <is>
          <t>%</t>
        </is>
      </c>
      <c r="S7" s="209" t="inlineStr">
        <is>
          <t>Amount $</t>
        </is>
      </c>
      <c r="T7" s="209" t="inlineStr">
        <is>
          <t>%</t>
        </is>
      </c>
      <c r="U7" s="209" t="inlineStr">
        <is>
          <t>Amount $</t>
        </is>
      </c>
      <c r="V7" s="209" t="inlineStr">
        <is>
          <t>%</t>
        </is>
      </c>
      <c r="W7" s="209" t="inlineStr">
        <is>
          <t>Amount $</t>
        </is>
      </c>
      <c r="X7" s="209" t="inlineStr">
        <is>
          <t>%</t>
        </is>
      </c>
      <c r="Y7" s="209" t="inlineStr">
        <is>
          <t>Amount $</t>
        </is>
      </c>
      <c r="Z7" s="209" t="inlineStr">
        <is>
          <t>%</t>
        </is>
      </c>
      <c r="AB7" s="209" t="inlineStr">
        <is>
          <t>Amount $</t>
        </is>
      </c>
      <c r="AC7" s="209" t="inlineStr">
        <is>
          <t>%</t>
        </is>
      </c>
    </row>
    <row r="11" ht="15" customHeight="1" s="180">
      <c r="A11" s="185" t="inlineStr">
        <is>
          <t>Income</t>
        </is>
      </c>
    </row>
    <row r="12" ht="15" customHeight="1" s="180">
      <c r="A12" s="184" t="inlineStr">
        <is>
          <t>Food Sales</t>
        </is>
      </c>
      <c r="C12" s="203">
        <f>'LW 2026 P&amp;L'!$Y$9+('LW Assumptions'!$C$43*'LW Assumptions'!$C$44/12)*IFERROR('LW Menu Pricing'!$C$34/'LW Menu Pricing'!$C$35,0)</f>
        <v/>
      </c>
      <c r="D12" s="211">
        <f>IFERROR(C12/C$20,0)</f>
        <v/>
      </c>
      <c r="E12" s="203">
        <f>'LW 2026 P&amp;L'!$Y$9+('LW Assumptions'!$C$43*'LW Assumptions'!$C$44/12)*IFERROR('LW Menu Pricing'!$C$34/'LW Menu Pricing'!$C$35,0)</f>
        <v/>
      </c>
      <c r="F12" s="211">
        <f>IFERROR(E12/E$20,0)</f>
        <v/>
      </c>
      <c r="G12" s="203">
        <f>'LW 2026 P&amp;L'!$Y$9+('LW Assumptions'!$C$43*'LW Assumptions'!$C$44/12)*IFERROR('LW Menu Pricing'!$C$34/'LW Menu Pricing'!$C$35,0)</f>
        <v/>
      </c>
      <c r="H12" s="211">
        <f>IFERROR(G12/G$20,0)</f>
        <v/>
      </c>
      <c r="I12" s="203">
        <f>'LW 2026 P&amp;L'!$Y$9+('LW Assumptions'!$C$43*'LW Assumptions'!$C$44/12)*IFERROR('LW Menu Pricing'!$C$34/'LW Menu Pricing'!$C$35,0)</f>
        <v/>
      </c>
      <c r="J12" s="211">
        <f>IFERROR(I12/I$20,0)</f>
        <v/>
      </c>
      <c r="K12" s="203">
        <f>'LW 2026 P&amp;L'!$Y$9+('LW Assumptions'!$C$43*'LW Assumptions'!$C$44/12)*IFERROR('LW Menu Pricing'!$C$34/'LW Menu Pricing'!$C$35,0)</f>
        <v/>
      </c>
      <c r="L12" s="211">
        <f>IFERROR(K12/K$20,0)</f>
        <v/>
      </c>
      <c r="M12" s="203">
        <f>'LW 2026 P&amp;L'!$Y$9+('LW Assumptions'!$C$43*'LW Assumptions'!$C$44/12)*IFERROR('LW Menu Pricing'!$C$34/'LW Menu Pricing'!$C$35,0)</f>
        <v/>
      </c>
      <c r="N12" s="211">
        <f>IFERROR(M12/M$20,0)</f>
        <v/>
      </c>
      <c r="O12" s="203">
        <f>'LW 2026 P&amp;L'!$Y$9+('LW Assumptions'!$C$43*'LW Assumptions'!$C$44/12)*IFERROR('LW Menu Pricing'!$C$34/'LW Menu Pricing'!$C$35,0)</f>
        <v/>
      </c>
      <c r="P12" s="211">
        <f>IFERROR(O12/O$20,0)</f>
        <v/>
      </c>
      <c r="Q12" s="203">
        <f>'LW 2026 P&amp;L'!$Y$9+('LW Assumptions'!$C$43*'LW Assumptions'!$C$44/12)*IFERROR('LW Menu Pricing'!$C$34/'LW Menu Pricing'!$C$35,0)</f>
        <v/>
      </c>
      <c r="R12" s="211">
        <f>IFERROR(Q12/Q$20,0)</f>
        <v/>
      </c>
      <c r="S12" s="203">
        <f>'LW 2026 P&amp;L'!$Y$9+('LW Assumptions'!$C$43*'LW Assumptions'!$C$44/12)*IFERROR('LW Menu Pricing'!$C$34/'LW Menu Pricing'!$C$35,0)</f>
        <v/>
      </c>
      <c r="T12" s="211">
        <f>IFERROR(S12/S$20,0)</f>
        <v/>
      </c>
      <c r="U12" s="203">
        <f>'LW 2026 P&amp;L'!$Y$9+('LW Assumptions'!$C$43*'LW Assumptions'!$C$44/12)*IFERROR('LW Menu Pricing'!$C$34/'LW Menu Pricing'!$C$35,0)</f>
        <v/>
      </c>
      <c r="V12" s="211">
        <f>IFERROR(U12/U$20,0)</f>
        <v/>
      </c>
      <c r="W12" s="203">
        <f>'LW 2026 P&amp;L'!$Y$9+('LW Assumptions'!$C$43*'LW Assumptions'!$C$44/12)*IFERROR('LW Menu Pricing'!$C$34/'LW Menu Pricing'!$C$35,0)</f>
        <v/>
      </c>
      <c r="X12" s="211">
        <f>IFERROR(W12/W$20,0)</f>
        <v/>
      </c>
      <c r="Y12" s="203">
        <f>'LW 2026 P&amp;L'!$Y$9+('LW Assumptions'!$C$43*'LW Assumptions'!$C$44/12)*IFERROR('LW Menu Pricing'!$C$34/'LW Menu Pricing'!$C$35,0)</f>
        <v/>
      </c>
      <c r="Z12" s="211">
        <f>IFERROR(Y12/Y$20,0)</f>
        <v/>
      </c>
      <c r="AB12" s="203">
        <f>SUM(C12,E12,G12,I12,K12,M12,O12,Q12,S12,U12,W12,Y12)</f>
        <v/>
      </c>
      <c r="AC12" s="211">
        <f>IFERROR(AB12/AB$20,0)</f>
        <v/>
      </c>
    </row>
    <row r="13" ht="15" customHeight="1" s="180">
      <c r="A13" s="184" t="inlineStr">
        <is>
          <t>Non-Alcoholic Beverage Sales</t>
        </is>
      </c>
      <c r="C13" s="203">
        <f>'LW 2026 P&amp;L'!$Y$10+('LW Assumptions'!$C$43*'LW Assumptions'!$C$44/12)*IFERROR('LW Menu Pricing'!$C$33/'LW Menu Pricing'!$C$35,0)</f>
        <v/>
      </c>
      <c r="D13" s="211">
        <f>IFERROR(C13/C$20,0)</f>
        <v/>
      </c>
      <c r="E13" s="203">
        <f>'LW 2026 P&amp;L'!$Y$10+('LW Assumptions'!$C$43*'LW Assumptions'!$C$44/12)*IFERROR('LW Menu Pricing'!$C$33/'LW Menu Pricing'!$C$35,0)</f>
        <v/>
      </c>
      <c r="F13" s="211">
        <f>IFERROR(E13/E$20,0)</f>
        <v/>
      </c>
      <c r="G13" s="203">
        <f>'LW 2026 P&amp;L'!$Y$10+('LW Assumptions'!$C$43*'LW Assumptions'!$C$44/12)*IFERROR('LW Menu Pricing'!$C$33/'LW Menu Pricing'!$C$35,0)</f>
        <v/>
      </c>
      <c r="H13" s="211">
        <f>IFERROR(G13/G$20,0)</f>
        <v/>
      </c>
      <c r="I13" s="203">
        <f>'LW 2026 P&amp;L'!$Y$10+('LW Assumptions'!$C$43*'LW Assumptions'!$C$44/12)*IFERROR('LW Menu Pricing'!$C$33/'LW Menu Pricing'!$C$35,0)</f>
        <v/>
      </c>
      <c r="J13" s="211">
        <f>IFERROR(I13/I$20,0)</f>
        <v/>
      </c>
      <c r="K13" s="203">
        <f>'LW 2026 P&amp;L'!$Y$10+('LW Assumptions'!$C$43*'LW Assumptions'!$C$44/12)*IFERROR('LW Menu Pricing'!$C$33/'LW Menu Pricing'!$C$35,0)</f>
        <v/>
      </c>
      <c r="L13" s="211">
        <f>IFERROR(K13/K$20,0)</f>
        <v/>
      </c>
      <c r="M13" s="203">
        <f>'LW 2026 P&amp;L'!$Y$10+('LW Assumptions'!$C$43*'LW Assumptions'!$C$44/12)*IFERROR('LW Menu Pricing'!$C$33/'LW Menu Pricing'!$C$35,0)</f>
        <v/>
      </c>
      <c r="N13" s="211">
        <f>IFERROR(M13/M$20,0)</f>
        <v/>
      </c>
      <c r="O13" s="203">
        <f>'LW 2026 P&amp;L'!$Y$10+('LW Assumptions'!$C$43*'LW Assumptions'!$C$44/12)*IFERROR('LW Menu Pricing'!$C$33/'LW Menu Pricing'!$C$35,0)</f>
        <v/>
      </c>
      <c r="P13" s="211">
        <f>IFERROR(O13/O$20,0)</f>
        <v/>
      </c>
      <c r="Q13" s="203">
        <f>'LW 2026 P&amp;L'!$Y$10+('LW Assumptions'!$C$43*'LW Assumptions'!$C$44/12)*IFERROR('LW Menu Pricing'!$C$33/'LW Menu Pricing'!$C$35,0)</f>
        <v/>
      </c>
      <c r="R13" s="211">
        <f>IFERROR(Q13/Q$20,0)</f>
        <v/>
      </c>
      <c r="S13" s="203">
        <f>'LW 2026 P&amp;L'!$Y$10+('LW Assumptions'!$C$43*'LW Assumptions'!$C$44/12)*IFERROR('LW Menu Pricing'!$C$33/'LW Menu Pricing'!$C$35,0)</f>
        <v/>
      </c>
      <c r="T13" s="211">
        <f>IFERROR(S13/S$20,0)</f>
        <v/>
      </c>
      <c r="U13" s="203">
        <f>'LW 2026 P&amp;L'!$Y$10+('LW Assumptions'!$C$43*'LW Assumptions'!$C$44/12)*IFERROR('LW Menu Pricing'!$C$33/'LW Menu Pricing'!$C$35,0)</f>
        <v/>
      </c>
      <c r="V13" s="211">
        <f>IFERROR(U13/U$20,0)</f>
        <v/>
      </c>
      <c r="W13" s="203">
        <f>'LW 2026 P&amp;L'!$Y$10+('LW Assumptions'!$C$43*'LW Assumptions'!$C$44/12)*IFERROR('LW Menu Pricing'!$C$33/'LW Menu Pricing'!$C$35,0)</f>
        <v/>
      </c>
      <c r="X13" s="211">
        <f>IFERROR(W13/W$20,0)</f>
        <v/>
      </c>
      <c r="Y13" s="203">
        <f>'LW 2026 P&amp;L'!$Y$10+('LW Assumptions'!$C$43*'LW Assumptions'!$C$44/12)*IFERROR('LW Menu Pricing'!$C$33/'LW Menu Pricing'!$C$35,0)</f>
        <v/>
      </c>
      <c r="Z13" s="211">
        <f>IFERROR(Y13/Y$20,0)</f>
        <v/>
      </c>
      <c r="AB13" s="203">
        <f>SUM(C13,E13,G13,I13,K13,M13,O13,Q13,S13,U13,W13,Y13)</f>
        <v/>
      </c>
      <c r="AC13" s="211">
        <f>IFERROR(AB13/AB$20,0)</f>
        <v/>
      </c>
    </row>
    <row r="14" ht="15" customHeight="1" s="180">
      <c r="A14" s="184" t="inlineStr">
        <is>
          <t>Liquor Sales</t>
        </is>
      </c>
      <c r="C14" s="203">
        <f>'LW 2026 P&amp;L'!$Y$11+('LW Assumptions'!$C$43*'LW Assumptions'!$C$44/12)*(1-IFERROR('LW Menu Pricing'!$C$34/'LW Menu Pricing'!$C$35,0)-IFERROR('LW Menu Pricing'!$C$33/'LW Menu Pricing'!$C$35,0))</f>
        <v/>
      </c>
      <c r="D14" s="211">
        <f>IFERROR(C14/C$20,0)</f>
        <v/>
      </c>
      <c r="E14" s="203">
        <f>'LW 2026 P&amp;L'!$Y$11+('LW Assumptions'!$C$43*'LW Assumptions'!$C$44/12)*(1-IFERROR('LW Menu Pricing'!$C$34/'LW Menu Pricing'!$C$35,0)-IFERROR('LW Menu Pricing'!$C$33/'LW Menu Pricing'!$C$35,0))</f>
        <v/>
      </c>
      <c r="F14" s="211">
        <f>IFERROR(E14/E$20,0)</f>
        <v/>
      </c>
      <c r="G14" s="203">
        <f>'LW 2026 P&amp;L'!$Y$11+('LW Assumptions'!$C$43*'LW Assumptions'!$C$44/12)*(1-IFERROR('LW Menu Pricing'!$C$34/'LW Menu Pricing'!$C$35,0)-IFERROR('LW Menu Pricing'!$C$33/'LW Menu Pricing'!$C$35,0))</f>
        <v/>
      </c>
      <c r="H14" s="211">
        <f>IFERROR(G14/G$20,0)</f>
        <v/>
      </c>
      <c r="I14" s="203">
        <f>'LW 2026 P&amp;L'!$Y$11+('LW Assumptions'!$C$43*'LW Assumptions'!$C$44/12)*(1-IFERROR('LW Menu Pricing'!$C$34/'LW Menu Pricing'!$C$35,0)-IFERROR('LW Menu Pricing'!$C$33/'LW Menu Pricing'!$C$35,0))</f>
        <v/>
      </c>
      <c r="J14" s="211">
        <f>IFERROR(I14/I$20,0)</f>
        <v/>
      </c>
      <c r="K14" s="203">
        <f>'LW 2026 P&amp;L'!$Y$11+('LW Assumptions'!$C$43*'LW Assumptions'!$C$44/12)*(1-IFERROR('LW Menu Pricing'!$C$34/'LW Menu Pricing'!$C$35,0)-IFERROR('LW Menu Pricing'!$C$33/'LW Menu Pricing'!$C$35,0))</f>
        <v/>
      </c>
      <c r="L14" s="211">
        <f>IFERROR(K14/K$20,0)</f>
        <v/>
      </c>
      <c r="M14" s="203">
        <f>'LW 2026 P&amp;L'!$Y$11+('LW Assumptions'!$C$43*'LW Assumptions'!$C$44/12)*(1-IFERROR('LW Menu Pricing'!$C$34/'LW Menu Pricing'!$C$35,0)-IFERROR('LW Menu Pricing'!$C$33/'LW Menu Pricing'!$C$35,0))</f>
        <v/>
      </c>
      <c r="N14" s="211">
        <f>IFERROR(M14/M$20,0)</f>
        <v/>
      </c>
      <c r="O14" s="203">
        <f>'LW 2026 P&amp;L'!$Y$11+('LW Assumptions'!$C$43*'LW Assumptions'!$C$44/12)*(1-IFERROR('LW Menu Pricing'!$C$34/'LW Menu Pricing'!$C$35,0)-IFERROR('LW Menu Pricing'!$C$33/'LW Menu Pricing'!$C$35,0))</f>
        <v/>
      </c>
      <c r="P14" s="211">
        <f>IFERROR(O14/O$20,0)</f>
        <v/>
      </c>
      <c r="Q14" s="203">
        <f>'LW 2026 P&amp;L'!$Y$11+('LW Assumptions'!$C$43*'LW Assumptions'!$C$44/12)*(1-IFERROR('LW Menu Pricing'!$C$34/'LW Menu Pricing'!$C$35,0)-IFERROR('LW Menu Pricing'!$C$33/'LW Menu Pricing'!$C$35,0))</f>
        <v/>
      </c>
      <c r="R14" s="211">
        <f>IFERROR(Q14/Q$20,0)</f>
        <v/>
      </c>
      <c r="S14" s="203">
        <f>'LW 2026 P&amp;L'!$Y$11+('LW Assumptions'!$C$43*'LW Assumptions'!$C$44/12)*(1-IFERROR('LW Menu Pricing'!$C$34/'LW Menu Pricing'!$C$35,0)-IFERROR('LW Menu Pricing'!$C$33/'LW Menu Pricing'!$C$35,0))</f>
        <v/>
      </c>
      <c r="T14" s="211">
        <f>IFERROR(S14/S$20,0)</f>
        <v/>
      </c>
      <c r="U14" s="203">
        <f>'LW 2026 P&amp;L'!$Y$11+('LW Assumptions'!$C$43*'LW Assumptions'!$C$44/12)*(1-IFERROR('LW Menu Pricing'!$C$34/'LW Menu Pricing'!$C$35,0)-IFERROR('LW Menu Pricing'!$C$33/'LW Menu Pricing'!$C$35,0))</f>
        <v/>
      </c>
      <c r="V14" s="211">
        <f>IFERROR(U14/U$20,0)</f>
        <v/>
      </c>
      <c r="W14" s="203">
        <f>'LW 2026 P&amp;L'!$Y$11+('LW Assumptions'!$C$43*'LW Assumptions'!$C$44/12)*(1-IFERROR('LW Menu Pricing'!$C$34/'LW Menu Pricing'!$C$35,0)-IFERROR('LW Menu Pricing'!$C$33/'LW Menu Pricing'!$C$35,0))</f>
        <v/>
      </c>
      <c r="X14" s="211">
        <f>IFERROR(W14/W$20,0)</f>
        <v/>
      </c>
      <c r="Y14" s="203">
        <f>'LW 2026 P&amp;L'!$Y$11+('LW Assumptions'!$C$43*'LW Assumptions'!$C$44/12)*(1-IFERROR('LW Menu Pricing'!$C$34/'LW Menu Pricing'!$C$35,0)-IFERROR('LW Menu Pricing'!$C$33/'LW Menu Pricing'!$C$35,0))</f>
        <v/>
      </c>
      <c r="Z14" s="211">
        <f>IFERROR(Y14/Y$20,0)</f>
        <v/>
      </c>
      <c r="AB14" s="203">
        <f>SUM(C14,E14,G14,I14,K14,M14,O14,Q14,S14,U14,W14,Y14)</f>
        <v/>
      </c>
      <c r="AC14" s="211">
        <f>IFERROR(AB14/AB$20,0)</f>
        <v/>
      </c>
    </row>
    <row r="15" ht="15" customHeight="1" s="180">
      <c r="A15" s="184" t="inlineStr">
        <is>
          <t>Beer Sales</t>
        </is>
      </c>
      <c r="C15" s="203">
        <f>'LW 2026 P&amp;L'!$Y$12</f>
        <v/>
      </c>
      <c r="D15" s="211">
        <f>IFERROR(C15/C$20,0)</f>
        <v/>
      </c>
      <c r="E15" s="203">
        <f>'LW 2026 P&amp;L'!$Y$12</f>
        <v/>
      </c>
      <c r="F15" s="211">
        <f>IFERROR(E15/E$20,0)</f>
        <v/>
      </c>
      <c r="G15" s="203">
        <f>'LW 2026 P&amp;L'!$Y$12</f>
        <v/>
      </c>
      <c r="H15" s="211">
        <f>IFERROR(G15/G$20,0)</f>
        <v/>
      </c>
      <c r="I15" s="203">
        <f>'LW 2026 P&amp;L'!$Y$12</f>
        <v/>
      </c>
      <c r="J15" s="211">
        <f>IFERROR(I15/I$20,0)</f>
        <v/>
      </c>
      <c r="K15" s="203">
        <f>'LW 2026 P&amp;L'!$Y$12</f>
        <v/>
      </c>
      <c r="L15" s="211">
        <f>IFERROR(K15/K$20,0)</f>
        <v/>
      </c>
      <c r="M15" s="203">
        <f>'LW 2026 P&amp;L'!$Y$12</f>
        <v/>
      </c>
      <c r="N15" s="211">
        <f>IFERROR(M15/M$20,0)</f>
        <v/>
      </c>
      <c r="O15" s="203">
        <f>'LW 2026 P&amp;L'!$Y$12</f>
        <v/>
      </c>
      <c r="P15" s="211">
        <f>IFERROR(O15/O$20,0)</f>
        <v/>
      </c>
      <c r="Q15" s="203">
        <f>'LW 2026 P&amp;L'!$Y$12</f>
        <v/>
      </c>
      <c r="R15" s="211">
        <f>IFERROR(Q15/Q$20,0)</f>
        <v/>
      </c>
      <c r="S15" s="203">
        <f>'LW 2026 P&amp;L'!$Y$12</f>
        <v/>
      </c>
      <c r="T15" s="211">
        <f>IFERROR(S15/S$20,0)</f>
        <v/>
      </c>
      <c r="U15" s="203">
        <f>'LW 2026 P&amp;L'!$Y$12</f>
        <v/>
      </c>
      <c r="V15" s="211">
        <f>IFERROR(U15/U$20,0)</f>
        <v/>
      </c>
      <c r="W15" s="203">
        <f>'LW 2026 P&amp;L'!$Y$12</f>
        <v/>
      </c>
      <c r="X15" s="211">
        <f>IFERROR(W15/W$20,0)</f>
        <v/>
      </c>
      <c r="Y15" s="203">
        <f>'LW 2026 P&amp;L'!$Y$12</f>
        <v/>
      </c>
      <c r="Z15" s="211">
        <f>IFERROR(Y15/Y$20,0)</f>
        <v/>
      </c>
      <c r="AB15" s="203">
        <f>SUM(C15,E15,G15,I15,K15,M15,O15,Q15,S15,U15,W15,Y15)</f>
        <v/>
      </c>
      <c r="AC15" s="211">
        <f>IFERROR(AB15/AB$20,0)</f>
        <v/>
      </c>
    </row>
    <row r="16" ht="15" customHeight="1" s="180">
      <c r="A16" s="184" t="inlineStr">
        <is>
          <t>Wine Sales</t>
        </is>
      </c>
      <c r="C16" s="203">
        <f>'LW 2026 P&amp;L'!$Y$13</f>
        <v/>
      </c>
      <c r="D16" s="211">
        <f>IFERROR(C16/C$20,0)</f>
        <v/>
      </c>
      <c r="E16" s="203">
        <f>'LW 2026 P&amp;L'!$Y$13</f>
        <v/>
      </c>
      <c r="F16" s="211">
        <f>IFERROR(E16/E$20,0)</f>
        <v/>
      </c>
      <c r="G16" s="203">
        <f>'LW 2026 P&amp;L'!$Y$13</f>
        <v/>
      </c>
      <c r="H16" s="211">
        <f>IFERROR(G16/G$20,0)</f>
        <v/>
      </c>
      <c r="I16" s="203">
        <f>'LW 2026 P&amp;L'!$Y$13</f>
        <v/>
      </c>
      <c r="J16" s="211">
        <f>IFERROR(I16/I$20,0)</f>
        <v/>
      </c>
      <c r="K16" s="203">
        <f>'LW 2026 P&amp;L'!$Y$13</f>
        <v/>
      </c>
      <c r="L16" s="211">
        <f>IFERROR(K16/K$20,0)</f>
        <v/>
      </c>
      <c r="M16" s="203">
        <f>'LW 2026 P&amp;L'!$Y$13</f>
        <v/>
      </c>
      <c r="N16" s="211">
        <f>IFERROR(M16/M$20,0)</f>
        <v/>
      </c>
      <c r="O16" s="203">
        <f>'LW 2026 P&amp;L'!$Y$13</f>
        <v/>
      </c>
      <c r="P16" s="211">
        <f>IFERROR(O16/O$20,0)</f>
        <v/>
      </c>
      <c r="Q16" s="203">
        <f>'LW 2026 P&amp;L'!$Y$13</f>
        <v/>
      </c>
      <c r="R16" s="211">
        <f>IFERROR(Q16/Q$20,0)</f>
        <v/>
      </c>
      <c r="S16" s="203">
        <f>'LW 2026 P&amp;L'!$Y$13</f>
        <v/>
      </c>
      <c r="T16" s="211">
        <f>IFERROR(S16/S$20,0)</f>
        <v/>
      </c>
      <c r="U16" s="203">
        <f>'LW 2026 P&amp;L'!$Y$13</f>
        <v/>
      </c>
      <c r="V16" s="211">
        <f>IFERROR(U16/U$20,0)</f>
        <v/>
      </c>
      <c r="W16" s="203">
        <f>'LW 2026 P&amp;L'!$Y$13</f>
        <v/>
      </c>
      <c r="X16" s="211">
        <f>IFERROR(W16/W$20,0)</f>
        <v/>
      </c>
      <c r="Y16" s="203">
        <f>'LW 2026 P&amp;L'!$Y$13</f>
        <v/>
      </c>
      <c r="Z16" s="211">
        <f>IFERROR(Y16/Y$20,0)</f>
        <v/>
      </c>
      <c r="AB16" s="203">
        <f>SUM(C16,E16,G16,I16,K16,M16,O16,Q16,S16,U16,W16,Y16)</f>
        <v/>
      </c>
      <c r="AC16" s="211">
        <f>IFERROR(AB16/AB$20,0)</f>
        <v/>
      </c>
    </row>
    <row r="17" ht="15" customHeight="1" s="180">
      <c r="A17" s="184" t="inlineStr">
        <is>
          <t>Retail / Merch Sales (new programming)</t>
        </is>
      </c>
      <c r="C17" s="203">
        <f>('LW Assumptions'!$C$47+'LW Assumptions'!$C$36)/12</f>
        <v/>
      </c>
      <c r="D17" s="211">
        <f>IFERROR(C17/C$20,0)</f>
        <v/>
      </c>
      <c r="E17" s="203">
        <f>('LW Assumptions'!$C$47+'LW Assumptions'!$C$36)/12</f>
        <v/>
      </c>
      <c r="F17" s="211">
        <f>IFERROR(E17/E$20,0)</f>
        <v/>
      </c>
      <c r="G17" s="203">
        <f>('LW Assumptions'!$C$47+'LW Assumptions'!$C$36)/12</f>
        <v/>
      </c>
      <c r="H17" s="211">
        <f>IFERROR(G17/G$20,0)</f>
        <v/>
      </c>
      <c r="I17" s="203">
        <f>('LW Assumptions'!$C$47+'LW Assumptions'!$C$36)/12</f>
        <v/>
      </c>
      <c r="J17" s="211">
        <f>IFERROR(I17/I$20,0)</f>
        <v/>
      </c>
      <c r="K17" s="203">
        <f>('LW Assumptions'!$C$47+'LW Assumptions'!$C$36)/12</f>
        <v/>
      </c>
      <c r="L17" s="211">
        <f>IFERROR(K17/K$20,0)</f>
        <v/>
      </c>
      <c r="M17" s="203">
        <f>('LW Assumptions'!$C$47+'LW Assumptions'!$C$36)/12</f>
        <v/>
      </c>
      <c r="N17" s="211">
        <f>IFERROR(M17/M$20,0)</f>
        <v/>
      </c>
      <c r="O17" s="203">
        <f>('LW Assumptions'!$C$47+'LW Assumptions'!$C$36)/12</f>
        <v/>
      </c>
      <c r="P17" s="211">
        <f>IFERROR(O17/O$20,0)</f>
        <v/>
      </c>
      <c r="Q17" s="203">
        <f>('LW Assumptions'!$C$47+'LW Assumptions'!$C$36)/12</f>
        <v/>
      </c>
      <c r="R17" s="211">
        <f>IFERROR(Q17/Q$20,0)</f>
        <v/>
      </c>
      <c r="S17" s="203">
        <f>('LW Assumptions'!$C$47+'LW Assumptions'!$C$36)/12</f>
        <v/>
      </c>
      <c r="T17" s="211">
        <f>IFERROR(S17/S$20,0)</f>
        <v/>
      </c>
      <c r="U17" s="203">
        <f>('LW Assumptions'!$C$47+'LW Assumptions'!$C$36)/12</f>
        <v/>
      </c>
      <c r="V17" s="211">
        <f>IFERROR(U17/U$20,0)</f>
        <v/>
      </c>
      <c r="W17" s="203">
        <f>('LW Assumptions'!$C$47+'LW Assumptions'!$C$36)/12</f>
        <v/>
      </c>
      <c r="X17" s="211">
        <f>IFERROR(W17/W$20,0)</f>
        <v/>
      </c>
      <c r="Y17" s="203">
        <f>('LW Assumptions'!$C$47+'LW Assumptions'!$C$36)/12</f>
        <v/>
      </c>
      <c r="Z17" s="211">
        <f>IFERROR(Y17/Y$20,0)</f>
        <v/>
      </c>
      <c r="AB17" s="203">
        <f>SUM(C17,E17,G17,I17,K17,M17,O17,Q17,S17,U17,W17,Y17)</f>
        <v/>
      </c>
      <c r="AC17" s="211">
        <f>IFERROR(AB17/AB$20,0)</f>
        <v/>
      </c>
    </row>
    <row r="18" ht="15" customHeight="1" s="180">
      <c r="A18" s="184" t="inlineStr">
        <is>
          <t>Other Operating Income</t>
        </is>
      </c>
      <c r="C18" s="203">
        <f>'LW 2026 P&amp;L'!$Y$14</f>
        <v/>
      </c>
      <c r="D18" s="211">
        <f>IFERROR(C18/C$20,0)</f>
        <v/>
      </c>
      <c r="E18" s="203">
        <f>'LW 2026 P&amp;L'!$Y$14</f>
        <v/>
      </c>
      <c r="F18" s="211">
        <f>IFERROR(E18/E$20,0)</f>
        <v/>
      </c>
      <c r="G18" s="203">
        <f>'LW 2026 P&amp;L'!$Y$14</f>
        <v/>
      </c>
      <c r="H18" s="211">
        <f>IFERROR(G18/G$20,0)</f>
        <v/>
      </c>
      <c r="I18" s="203">
        <f>'LW 2026 P&amp;L'!$Y$14</f>
        <v/>
      </c>
      <c r="J18" s="211">
        <f>IFERROR(I18/I$20,0)</f>
        <v/>
      </c>
      <c r="K18" s="203">
        <f>'LW 2026 P&amp;L'!$Y$14</f>
        <v/>
      </c>
      <c r="L18" s="211">
        <f>IFERROR(K18/K$20,0)</f>
        <v/>
      </c>
      <c r="M18" s="203">
        <f>'LW 2026 P&amp;L'!$Y$14</f>
        <v/>
      </c>
      <c r="N18" s="211">
        <f>IFERROR(M18/M$20,0)</f>
        <v/>
      </c>
      <c r="O18" s="203">
        <f>'LW 2026 P&amp;L'!$Y$14</f>
        <v/>
      </c>
      <c r="P18" s="211">
        <f>IFERROR(O18/O$20,0)</f>
        <v/>
      </c>
      <c r="Q18" s="203">
        <f>'LW 2026 P&amp;L'!$Y$14</f>
        <v/>
      </c>
      <c r="R18" s="211">
        <f>IFERROR(Q18/Q$20,0)</f>
        <v/>
      </c>
      <c r="S18" s="203">
        <f>'LW 2026 P&amp;L'!$Y$14</f>
        <v/>
      </c>
      <c r="T18" s="211">
        <f>IFERROR(S18/S$20,0)</f>
        <v/>
      </c>
      <c r="U18" s="203">
        <f>'LW 2026 P&amp;L'!$Y$14</f>
        <v/>
      </c>
      <c r="V18" s="211">
        <f>IFERROR(U18/U$20,0)</f>
        <v/>
      </c>
      <c r="W18" s="203">
        <f>'LW 2026 P&amp;L'!$Y$14</f>
        <v/>
      </c>
      <c r="X18" s="211">
        <f>IFERROR(W18/W$20,0)</f>
        <v/>
      </c>
      <c r="Y18" s="203">
        <f>'LW 2026 P&amp;L'!$Y$14</f>
        <v/>
      </c>
      <c r="Z18" s="211">
        <f>IFERROR(Y18/Y$20,0)</f>
        <v/>
      </c>
      <c r="AB18" s="203">
        <f>SUM(C18,E18,G18,I18,K18,M18,O18,Q18,S18,U18,W18,Y18)</f>
        <v/>
      </c>
      <c r="AC18" s="211">
        <f>IFERROR(AB18/AB$20,0)</f>
        <v/>
      </c>
    </row>
    <row r="19" ht="15" customHeight="1" s="180">
      <c r="A19" s="184" t="inlineStr">
        <is>
          <t>Discounts &amp; Comps (2.5% of gross sales target)</t>
        </is>
      </c>
      <c r="C19" s="203">
        <f>-SUM(C12:C18)*'LW Assumptions'!$C$53</f>
        <v/>
      </c>
      <c r="D19" s="211">
        <f>IFERROR(C19/C$20,0)</f>
        <v/>
      </c>
      <c r="E19" s="203">
        <f>-SUM(E12:E18)*'LW Assumptions'!$C$53</f>
        <v/>
      </c>
      <c r="F19" s="211">
        <f>IFERROR(E19/E$20,0)</f>
        <v/>
      </c>
      <c r="G19" s="203">
        <f>-SUM(G12:G18)*'LW Assumptions'!$C$53</f>
        <v/>
      </c>
      <c r="H19" s="211">
        <f>IFERROR(G19/G$20,0)</f>
        <v/>
      </c>
      <c r="I19" s="203">
        <f>-SUM(I12:I18)*'LW Assumptions'!$C$53</f>
        <v/>
      </c>
      <c r="J19" s="211">
        <f>IFERROR(I19/I$20,0)</f>
        <v/>
      </c>
      <c r="K19" s="203">
        <f>-SUM(K12:K18)*'LW Assumptions'!$C$53</f>
        <v/>
      </c>
      <c r="L19" s="211">
        <f>IFERROR(K19/K$20,0)</f>
        <v/>
      </c>
      <c r="M19" s="203">
        <f>-SUM(M12:M18)*'LW Assumptions'!$C$53</f>
        <v/>
      </c>
      <c r="N19" s="211">
        <f>IFERROR(M19/M$20,0)</f>
        <v/>
      </c>
      <c r="O19" s="203">
        <f>-SUM(O12:O18)*'LW Assumptions'!$C$53</f>
        <v/>
      </c>
      <c r="P19" s="211">
        <f>IFERROR(O19/O$20,0)</f>
        <v/>
      </c>
      <c r="Q19" s="203">
        <f>-SUM(Q12:Q18)*'LW Assumptions'!$C$53</f>
        <v/>
      </c>
      <c r="R19" s="211">
        <f>IFERROR(Q19/Q$20,0)</f>
        <v/>
      </c>
      <c r="S19" s="203">
        <f>-SUM(S12:S18)*'LW Assumptions'!$C$53</f>
        <v/>
      </c>
      <c r="T19" s="211">
        <f>IFERROR(S19/S$20,0)</f>
        <v/>
      </c>
      <c r="U19" s="203">
        <f>-SUM(U12:U18)*'LW Assumptions'!$C$53</f>
        <v/>
      </c>
      <c r="V19" s="211">
        <f>IFERROR(U19/U$20,0)</f>
        <v/>
      </c>
      <c r="W19" s="203">
        <f>-SUM(W12:W18)*'LW Assumptions'!$C$53</f>
        <v/>
      </c>
      <c r="X19" s="211">
        <f>IFERROR(W19/W$20,0)</f>
        <v/>
      </c>
      <c r="Y19" s="203">
        <f>-SUM(Y12:Y18)*'LW Assumptions'!$C$53</f>
        <v/>
      </c>
      <c r="Z19" s="211">
        <f>IFERROR(Y19/Y$20,0)</f>
        <v/>
      </c>
      <c r="AB19" s="203">
        <f>SUM(C19,E19,G19,I19,K19,M19,O19,Q19,S19,U19,W19,Y19)</f>
        <v/>
      </c>
      <c r="AC19" s="211">
        <f>IFERROR(AB19/AB$20,0)</f>
        <v/>
      </c>
    </row>
    <row r="20" ht="15" customHeight="1" s="180">
      <c r="A20" s="185" t="inlineStr">
        <is>
          <t>Total Income</t>
        </is>
      </c>
      <c r="C20" s="206">
        <f>SUM(C12:C19)</f>
        <v/>
      </c>
      <c r="D20" s="212">
        <f>IFERROR(C20/C$20,0)</f>
        <v/>
      </c>
      <c r="E20" s="206">
        <f>SUM(E12:E19)</f>
        <v/>
      </c>
      <c r="F20" s="212">
        <f>IFERROR(E20/E$20,0)</f>
        <v/>
      </c>
      <c r="G20" s="206">
        <f>SUM(G12:G19)</f>
        <v/>
      </c>
      <c r="H20" s="212">
        <f>IFERROR(G20/G$20,0)</f>
        <v/>
      </c>
      <c r="I20" s="206">
        <f>SUM(I12:I19)</f>
        <v/>
      </c>
      <c r="J20" s="212">
        <f>IFERROR(I20/I$20,0)</f>
        <v/>
      </c>
      <c r="K20" s="206">
        <f>SUM(K12:K19)</f>
        <v/>
      </c>
      <c r="L20" s="212">
        <f>IFERROR(K20/K$20,0)</f>
        <v/>
      </c>
      <c r="M20" s="206">
        <f>SUM(M12:M19)</f>
        <v/>
      </c>
      <c r="N20" s="212">
        <f>IFERROR(M20/M$20,0)</f>
        <v/>
      </c>
      <c r="O20" s="206">
        <f>SUM(O12:O19)</f>
        <v/>
      </c>
      <c r="P20" s="212">
        <f>IFERROR(O20/O$20,0)</f>
        <v/>
      </c>
      <c r="Q20" s="206">
        <f>SUM(Q12:Q19)</f>
        <v/>
      </c>
      <c r="R20" s="212">
        <f>IFERROR(Q20/Q$20,0)</f>
        <v/>
      </c>
      <c r="S20" s="206">
        <f>SUM(S12:S19)</f>
        <v/>
      </c>
      <c r="T20" s="212">
        <f>IFERROR(S20/S$20,0)</f>
        <v/>
      </c>
      <c r="U20" s="206">
        <f>SUM(U12:U19)</f>
        <v/>
      </c>
      <c r="V20" s="212">
        <f>IFERROR(U20/U$20,0)</f>
        <v/>
      </c>
      <c r="W20" s="206">
        <f>SUM(W12:W19)</f>
        <v/>
      </c>
      <c r="X20" s="212">
        <f>IFERROR(W20/W$20,0)</f>
        <v/>
      </c>
      <c r="Y20" s="206">
        <f>SUM(Y12:Y19)</f>
        <v/>
      </c>
      <c r="Z20" s="212">
        <f>IFERROR(Y20/Y$20,0)</f>
        <v/>
      </c>
      <c r="AB20" s="206">
        <f>SUM(AB12:AB19)</f>
        <v/>
      </c>
      <c r="AC20" s="212">
        <f>IFERROR(AB20/AB$20,0)</f>
        <v/>
      </c>
    </row>
    <row r="22" ht="15" customHeight="1" s="180">
      <c r="A22" s="185" t="inlineStr">
        <is>
          <t>Cost of Goods Sold</t>
        </is>
      </c>
    </row>
    <row r="23" ht="15" customHeight="1" s="180">
      <c r="A23" s="184" t="inlineStr">
        <is>
          <t>Food Cost (40% target of base food sales)</t>
        </is>
      </c>
      <c r="C23" s="203">
        <f>'LW 2026 P&amp;L'!$Y$9*'LW Assumptions'!$C$51</f>
        <v/>
      </c>
      <c r="D23" s="211">
        <f>IFERROR(C23/C$12,0)</f>
        <v/>
      </c>
      <c r="E23" s="203">
        <f>'LW 2026 P&amp;L'!$Y$9*'LW Assumptions'!$C$51</f>
        <v/>
      </c>
      <c r="F23" s="211">
        <f>IFERROR(E23/E$12,0)</f>
        <v/>
      </c>
      <c r="G23" s="203">
        <f>'LW 2026 P&amp;L'!$Y$9*'LW Assumptions'!$C$51</f>
        <v/>
      </c>
      <c r="H23" s="211">
        <f>IFERROR(G23/G$12,0)</f>
        <v/>
      </c>
      <c r="I23" s="203">
        <f>'LW 2026 P&amp;L'!$Y$9*'LW Assumptions'!$C$51</f>
        <v/>
      </c>
      <c r="J23" s="211">
        <f>IFERROR(I23/I$12,0)</f>
        <v/>
      </c>
      <c r="K23" s="203">
        <f>'LW 2026 P&amp;L'!$Y$9*'LW Assumptions'!$C$51</f>
        <v/>
      </c>
      <c r="L23" s="211">
        <f>IFERROR(K23/K$12,0)</f>
        <v/>
      </c>
      <c r="M23" s="203">
        <f>'LW 2026 P&amp;L'!$Y$9*'LW Assumptions'!$C$51</f>
        <v/>
      </c>
      <c r="N23" s="211">
        <f>IFERROR(M23/M$12,0)</f>
        <v/>
      </c>
      <c r="O23" s="203">
        <f>'LW 2026 P&amp;L'!$Y$9*'LW Assumptions'!$C$51</f>
        <v/>
      </c>
      <c r="P23" s="211">
        <f>IFERROR(O23/O$12,0)</f>
        <v/>
      </c>
      <c r="Q23" s="203">
        <f>'LW 2026 P&amp;L'!$Y$9*'LW Assumptions'!$C$51</f>
        <v/>
      </c>
      <c r="R23" s="211">
        <f>IFERROR(Q23/Q$12,0)</f>
        <v/>
      </c>
      <c r="S23" s="203">
        <f>'LW 2026 P&amp;L'!$Y$9*'LW Assumptions'!$C$51</f>
        <v/>
      </c>
      <c r="T23" s="211">
        <f>IFERROR(S23/S$12,0)</f>
        <v/>
      </c>
      <c r="U23" s="203">
        <f>'LW 2026 P&amp;L'!$Y$9*'LW Assumptions'!$C$51</f>
        <v/>
      </c>
      <c r="V23" s="211">
        <f>IFERROR(U23/U$12,0)</f>
        <v/>
      </c>
      <c r="W23" s="203">
        <f>'LW 2026 P&amp;L'!$Y$9*'LW Assumptions'!$C$51</f>
        <v/>
      </c>
      <c r="X23" s="211">
        <f>IFERROR(W23/W$12,0)</f>
        <v/>
      </c>
      <c r="Y23" s="203">
        <f>'LW 2026 P&amp;L'!$Y$9*'LW Assumptions'!$C$51</f>
        <v/>
      </c>
      <c r="Z23" s="211">
        <f>IFERROR(Y23/Y$12,0)</f>
        <v/>
      </c>
      <c r="AB23" s="203">
        <f>SUM(C23,E23,G23,I23,K23,M23,O23,Q23,S23,U23,W23,Y23)</f>
        <v/>
      </c>
      <c r="AC23" s="211">
        <f>IFERROR(AB23/AB$12,0)</f>
        <v/>
      </c>
    </row>
    <row r="24" ht="15" customHeight="1" s="180">
      <c r="A24" s="184" t="inlineStr">
        <is>
          <t>Non-Alcoholic Beverage Cost</t>
        </is>
      </c>
      <c r="C24" s="203">
        <f>'LW 2026 P&amp;L'!$Y$20</f>
        <v/>
      </c>
      <c r="D24" s="211">
        <f>IFERROR(C24/C$13,0)</f>
        <v/>
      </c>
      <c r="E24" s="203">
        <f>'LW 2026 P&amp;L'!$Y$20</f>
        <v/>
      </c>
      <c r="F24" s="211">
        <f>IFERROR(E24/E$13,0)</f>
        <v/>
      </c>
      <c r="G24" s="203">
        <f>'LW 2026 P&amp;L'!$Y$20</f>
        <v/>
      </c>
      <c r="H24" s="211">
        <f>IFERROR(G24/G$13,0)</f>
        <v/>
      </c>
      <c r="I24" s="203">
        <f>'LW 2026 P&amp;L'!$Y$20</f>
        <v/>
      </c>
      <c r="J24" s="211">
        <f>IFERROR(I24/I$13,0)</f>
        <v/>
      </c>
      <c r="K24" s="203">
        <f>'LW 2026 P&amp;L'!$Y$20</f>
        <v/>
      </c>
      <c r="L24" s="211">
        <f>IFERROR(K24/K$13,0)</f>
        <v/>
      </c>
      <c r="M24" s="203">
        <f>'LW 2026 P&amp;L'!$Y$20</f>
        <v/>
      </c>
      <c r="N24" s="211">
        <f>IFERROR(M24/M$13,0)</f>
        <v/>
      </c>
      <c r="O24" s="203">
        <f>'LW 2026 P&amp;L'!$Y$20</f>
        <v/>
      </c>
      <c r="P24" s="211">
        <f>IFERROR(O24/O$13,0)</f>
        <v/>
      </c>
      <c r="Q24" s="203">
        <f>'LW 2026 P&amp;L'!$Y$20</f>
        <v/>
      </c>
      <c r="R24" s="211">
        <f>IFERROR(Q24/Q$13,0)</f>
        <v/>
      </c>
      <c r="S24" s="203">
        <f>'LW 2026 P&amp;L'!$Y$20</f>
        <v/>
      </c>
      <c r="T24" s="211">
        <f>IFERROR(S24/S$13,0)</f>
        <v/>
      </c>
      <c r="U24" s="203">
        <f>'LW 2026 P&amp;L'!$Y$20</f>
        <v/>
      </c>
      <c r="V24" s="211">
        <f>IFERROR(U24/U$13,0)</f>
        <v/>
      </c>
      <c r="W24" s="203">
        <f>'LW 2026 P&amp;L'!$Y$20</f>
        <v/>
      </c>
      <c r="X24" s="211">
        <f>IFERROR(W24/W$13,0)</f>
        <v/>
      </c>
      <c r="Y24" s="203">
        <f>'LW 2026 P&amp;L'!$Y$20</f>
        <v/>
      </c>
      <c r="Z24" s="211">
        <f>IFERROR(Y24/Y$13,0)</f>
        <v/>
      </c>
      <c r="AB24" s="203">
        <f>SUM(C24,E24,G24,I24,K24,M24,O24,Q24,S24,U24,W24,Y24)</f>
        <v/>
      </c>
      <c r="AC24" s="211">
        <f>IFERROR(AB24/AB$13,0)</f>
        <v/>
      </c>
    </row>
    <row r="25" ht="15" customHeight="1" s="180">
      <c r="A25" s="184" t="inlineStr">
        <is>
          <t>Liquor Cost</t>
        </is>
      </c>
      <c r="C25" s="203">
        <f>'LW 2026 P&amp;L'!$Y$21</f>
        <v/>
      </c>
      <c r="D25" s="211">
        <f>IFERROR(C25/C$14,0)</f>
        <v/>
      </c>
      <c r="E25" s="203">
        <f>'LW 2026 P&amp;L'!$Y$21</f>
        <v/>
      </c>
      <c r="F25" s="211">
        <f>IFERROR(E25/E$14,0)</f>
        <v/>
      </c>
      <c r="G25" s="203">
        <f>'LW 2026 P&amp;L'!$Y$21</f>
        <v/>
      </c>
      <c r="H25" s="211">
        <f>IFERROR(G25/G$14,0)</f>
        <v/>
      </c>
      <c r="I25" s="203">
        <f>'LW 2026 P&amp;L'!$Y$21</f>
        <v/>
      </c>
      <c r="J25" s="211">
        <f>IFERROR(I25/I$14,0)</f>
        <v/>
      </c>
      <c r="K25" s="203">
        <f>'LW 2026 P&amp;L'!$Y$21</f>
        <v/>
      </c>
      <c r="L25" s="211">
        <f>IFERROR(K25/K$14,0)</f>
        <v/>
      </c>
      <c r="M25" s="203">
        <f>'LW 2026 P&amp;L'!$Y$21</f>
        <v/>
      </c>
      <c r="N25" s="211">
        <f>IFERROR(M25/M$14,0)</f>
        <v/>
      </c>
      <c r="O25" s="203">
        <f>'LW 2026 P&amp;L'!$Y$21</f>
        <v/>
      </c>
      <c r="P25" s="211">
        <f>IFERROR(O25/O$14,0)</f>
        <v/>
      </c>
      <c r="Q25" s="203">
        <f>'LW 2026 P&amp;L'!$Y$21</f>
        <v/>
      </c>
      <c r="R25" s="211">
        <f>IFERROR(Q25/Q$14,0)</f>
        <v/>
      </c>
      <c r="S25" s="203">
        <f>'LW 2026 P&amp;L'!$Y$21</f>
        <v/>
      </c>
      <c r="T25" s="211">
        <f>IFERROR(S25/S$14,0)</f>
        <v/>
      </c>
      <c r="U25" s="203">
        <f>'LW 2026 P&amp;L'!$Y$21</f>
        <v/>
      </c>
      <c r="V25" s="211">
        <f>IFERROR(U25/U$14,0)</f>
        <v/>
      </c>
      <c r="W25" s="203">
        <f>'LW 2026 P&amp;L'!$Y$21</f>
        <v/>
      </c>
      <c r="X25" s="211">
        <f>IFERROR(W25/W$14,0)</f>
        <v/>
      </c>
      <c r="Y25" s="203">
        <f>'LW 2026 P&amp;L'!$Y$21</f>
        <v/>
      </c>
      <c r="Z25" s="211">
        <f>IFERROR(Y25/Y$14,0)</f>
        <v/>
      </c>
      <c r="AB25" s="203">
        <f>SUM(C25,E25,G25,I25,K25,M25,O25,Q25,S25,U25,W25,Y25)</f>
        <v/>
      </c>
      <c r="AC25" s="211">
        <f>IFERROR(AB25/AB$14,0)</f>
        <v/>
      </c>
    </row>
    <row r="26" ht="15" customHeight="1" s="180">
      <c r="A26" s="184" t="inlineStr">
        <is>
          <t>Beer Cost</t>
        </is>
      </c>
      <c r="C26" s="203">
        <f>'LW 2026 P&amp;L'!$Y$22</f>
        <v/>
      </c>
      <c r="D26" s="211">
        <f>IFERROR(C26/C$15,0)</f>
        <v/>
      </c>
      <c r="E26" s="203">
        <f>'LW 2026 P&amp;L'!$Y$22</f>
        <v/>
      </c>
      <c r="F26" s="211">
        <f>IFERROR(E26/E$15,0)</f>
        <v/>
      </c>
      <c r="G26" s="203">
        <f>'LW 2026 P&amp;L'!$Y$22</f>
        <v/>
      </c>
      <c r="H26" s="211">
        <f>IFERROR(G26/G$15,0)</f>
        <v/>
      </c>
      <c r="I26" s="203">
        <f>'LW 2026 P&amp;L'!$Y$22</f>
        <v/>
      </c>
      <c r="J26" s="211">
        <f>IFERROR(I26/I$15,0)</f>
        <v/>
      </c>
      <c r="K26" s="203">
        <f>'LW 2026 P&amp;L'!$Y$22</f>
        <v/>
      </c>
      <c r="L26" s="211">
        <f>IFERROR(K26/K$15,0)</f>
        <v/>
      </c>
      <c r="M26" s="203">
        <f>'LW 2026 P&amp;L'!$Y$22</f>
        <v/>
      </c>
      <c r="N26" s="211">
        <f>IFERROR(M26/M$15,0)</f>
        <v/>
      </c>
      <c r="O26" s="203">
        <f>'LW 2026 P&amp;L'!$Y$22</f>
        <v/>
      </c>
      <c r="P26" s="211">
        <f>IFERROR(O26/O$15,0)</f>
        <v/>
      </c>
      <c r="Q26" s="203">
        <f>'LW 2026 P&amp;L'!$Y$22</f>
        <v/>
      </c>
      <c r="R26" s="211">
        <f>IFERROR(Q26/Q$15,0)</f>
        <v/>
      </c>
      <c r="S26" s="203">
        <f>'LW 2026 P&amp;L'!$Y$22</f>
        <v/>
      </c>
      <c r="T26" s="211">
        <f>IFERROR(S26/S$15,0)</f>
        <v/>
      </c>
      <c r="U26" s="203">
        <f>'LW 2026 P&amp;L'!$Y$22</f>
        <v/>
      </c>
      <c r="V26" s="211">
        <f>IFERROR(U26/U$15,0)</f>
        <v/>
      </c>
      <c r="W26" s="203">
        <f>'LW 2026 P&amp;L'!$Y$22</f>
        <v/>
      </c>
      <c r="X26" s="211">
        <f>IFERROR(W26/W$15,0)</f>
        <v/>
      </c>
      <c r="Y26" s="203">
        <f>'LW 2026 P&amp;L'!$Y$22</f>
        <v/>
      </c>
      <c r="Z26" s="211">
        <f>IFERROR(Y26/Y$15,0)</f>
        <v/>
      </c>
      <c r="AB26" s="203">
        <f>SUM(C26,E26,G26,I26,K26,M26,O26,Q26,S26,U26,W26,Y26)</f>
        <v/>
      </c>
      <c r="AC26" s="211">
        <f>IFERROR(AB26/AB$15,0)</f>
        <v/>
      </c>
    </row>
    <row r="27" ht="15" customHeight="1" s="180">
      <c r="A27" s="184" t="inlineStr">
        <is>
          <t>Wine/Sake Cost</t>
        </is>
      </c>
      <c r="C27" s="203">
        <f>'LW 2026 P&amp;L'!$Y$23</f>
        <v/>
      </c>
      <c r="D27" s="211">
        <f>IFERROR(C27/C$16,0)</f>
        <v/>
      </c>
      <c r="E27" s="203">
        <f>'LW 2026 P&amp;L'!$Y$23</f>
        <v/>
      </c>
      <c r="F27" s="211">
        <f>IFERROR(E27/E$16,0)</f>
        <v/>
      </c>
      <c r="G27" s="203">
        <f>'LW 2026 P&amp;L'!$Y$23</f>
        <v/>
      </c>
      <c r="H27" s="211">
        <f>IFERROR(G27/G$16,0)</f>
        <v/>
      </c>
      <c r="I27" s="203">
        <f>'LW 2026 P&amp;L'!$Y$23</f>
        <v/>
      </c>
      <c r="J27" s="211">
        <f>IFERROR(I27/I$16,0)</f>
        <v/>
      </c>
      <c r="K27" s="203">
        <f>'LW 2026 P&amp;L'!$Y$23</f>
        <v/>
      </c>
      <c r="L27" s="211">
        <f>IFERROR(K27/K$16,0)</f>
        <v/>
      </c>
      <c r="M27" s="203">
        <f>'LW 2026 P&amp;L'!$Y$23</f>
        <v/>
      </c>
      <c r="N27" s="211">
        <f>IFERROR(M27/M$16,0)</f>
        <v/>
      </c>
      <c r="O27" s="203">
        <f>'LW 2026 P&amp;L'!$Y$23</f>
        <v/>
      </c>
      <c r="P27" s="211">
        <f>IFERROR(O27/O$16,0)</f>
        <v/>
      </c>
      <c r="Q27" s="203">
        <f>'LW 2026 P&amp;L'!$Y$23</f>
        <v/>
      </c>
      <c r="R27" s="211">
        <f>IFERROR(Q27/Q$16,0)</f>
        <v/>
      </c>
      <c r="S27" s="203">
        <f>'LW 2026 P&amp;L'!$Y$23</f>
        <v/>
      </c>
      <c r="T27" s="211">
        <f>IFERROR(S27/S$16,0)</f>
        <v/>
      </c>
      <c r="U27" s="203">
        <f>'LW 2026 P&amp;L'!$Y$23</f>
        <v/>
      </c>
      <c r="V27" s="211">
        <f>IFERROR(U27/U$16,0)</f>
        <v/>
      </c>
      <c r="W27" s="203">
        <f>'LW 2026 P&amp;L'!$Y$23</f>
        <v/>
      </c>
      <c r="X27" s="211">
        <f>IFERROR(W27/W$16,0)</f>
        <v/>
      </c>
      <c r="Y27" s="203">
        <f>'LW 2026 P&amp;L'!$Y$23</f>
        <v/>
      </c>
      <c r="Z27" s="211">
        <f>IFERROR(Y27/Y$16,0)</f>
        <v/>
      </c>
      <c r="AB27" s="203">
        <f>SUM(C27,E27,G27,I27,K27,M27,O27,Q27,S27,U27,W27,Y27)</f>
        <v/>
      </c>
      <c r="AC27" s="211">
        <f>IFERROR(AB27/AB$16,0)</f>
        <v/>
      </c>
    </row>
    <row r="28" ht="15" customHeight="1" s="180">
      <c r="A28" s="184" t="inlineStr">
        <is>
          <t>Retail Cost</t>
        </is>
      </c>
      <c r="C28" s="203">
        <f>'LW Assumptions'!$C$36*'LW Assumptions'!$C$37/12</f>
        <v/>
      </c>
      <c r="D28" s="211">
        <f>IFERROR(C28/C$17,0)</f>
        <v/>
      </c>
      <c r="E28" s="203">
        <f>'LW Assumptions'!$C$36*'LW Assumptions'!$C$37/12</f>
        <v/>
      </c>
      <c r="F28" s="211">
        <f>IFERROR(E28/E$17,0)</f>
        <v/>
      </c>
      <c r="G28" s="203">
        <f>'LW Assumptions'!$C$36*'LW Assumptions'!$C$37/12</f>
        <v/>
      </c>
      <c r="H28" s="211">
        <f>IFERROR(G28/G$17,0)</f>
        <v/>
      </c>
      <c r="I28" s="203">
        <f>'LW Assumptions'!$C$36*'LW Assumptions'!$C$37/12</f>
        <v/>
      </c>
      <c r="J28" s="211">
        <f>IFERROR(I28/I$17,0)</f>
        <v/>
      </c>
      <c r="K28" s="203">
        <f>'LW Assumptions'!$C$36*'LW Assumptions'!$C$37/12</f>
        <v/>
      </c>
      <c r="L28" s="211">
        <f>IFERROR(K28/K$17,0)</f>
        <v/>
      </c>
      <c r="M28" s="203">
        <f>'LW Assumptions'!$C$36*'LW Assumptions'!$C$37/12</f>
        <v/>
      </c>
      <c r="N28" s="211">
        <f>IFERROR(M28/M$17,0)</f>
        <v/>
      </c>
      <c r="O28" s="203">
        <f>'LW Assumptions'!$C$36*'LW Assumptions'!$C$37/12</f>
        <v/>
      </c>
      <c r="P28" s="211">
        <f>IFERROR(O28/O$17,0)</f>
        <v/>
      </c>
      <c r="Q28" s="203">
        <f>'LW Assumptions'!$C$36*'LW Assumptions'!$C$37/12</f>
        <v/>
      </c>
      <c r="R28" s="211">
        <f>IFERROR(Q28/Q$17,0)</f>
        <v/>
      </c>
      <c r="S28" s="203">
        <f>'LW Assumptions'!$C$36*'LW Assumptions'!$C$37/12</f>
        <v/>
      </c>
      <c r="T28" s="211">
        <f>IFERROR(S28/S$17,0)</f>
        <v/>
      </c>
      <c r="U28" s="203">
        <f>'LW Assumptions'!$C$36*'LW Assumptions'!$C$37/12</f>
        <v/>
      </c>
      <c r="V28" s="211">
        <f>IFERROR(U28/U$17,0)</f>
        <v/>
      </c>
      <c r="W28" s="203">
        <f>'LW Assumptions'!$C$36*'LW Assumptions'!$C$37/12</f>
        <v/>
      </c>
      <c r="X28" s="211">
        <f>IFERROR(W28/W$17,0)</f>
        <v/>
      </c>
      <c r="Y28" s="203">
        <f>'LW Assumptions'!$C$36*'LW Assumptions'!$C$37/12</f>
        <v/>
      </c>
      <c r="Z28" s="211">
        <f>IFERROR(Y28/Y$17,0)</f>
        <v/>
      </c>
      <c r="AB28" s="203">
        <f>SUM(C28,E28,G28,I28,K28,M28,O28,Q28,S28,U28,W28,Y28)</f>
        <v/>
      </c>
      <c r="AC28" s="211">
        <f>IFERROR(AB28/AB$17,0)</f>
        <v/>
      </c>
    </row>
    <row r="29" ht="15" customHeight="1" s="180">
      <c r="A29" s="185" t="inlineStr">
        <is>
          <t>Total COGS</t>
        </is>
      </c>
      <c r="C29" s="206">
        <f>SUM(C23:C28)</f>
        <v/>
      </c>
      <c r="D29" s="212">
        <f>IFERROR(C29/C$20,0)</f>
        <v/>
      </c>
      <c r="E29" s="206">
        <f>SUM(E23:E28)</f>
        <v/>
      </c>
      <c r="F29" s="212">
        <f>IFERROR(E29/E$20,0)</f>
        <v/>
      </c>
      <c r="G29" s="206">
        <f>SUM(G23:G28)</f>
        <v/>
      </c>
      <c r="H29" s="212">
        <f>IFERROR(G29/G$20,0)</f>
        <v/>
      </c>
      <c r="I29" s="206">
        <f>SUM(I23:I28)</f>
        <v/>
      </c>
      <c r="J29" s="212">
        <f>IFERROR(I29/I$20,0)</f>
        <v/>
      </c>
      <c r="K29" s="206">
        <f>SUM(K23:K28)</f>
        <v/>
      </c>
      <c r="L29" s="212">
        <f>IFERROR(K29/K$20,0)</f>
        <v/>
      </c>
      <c r="M29" s="206">
        <f>SUM(M23:M28)</f>
        <v/>
      </c>
      <c r="N29" s="212">
        <f>IFERROR(M29/M$20,0)</f>
        <v/>
      </c>
      <c r="O29" s="206">
        <f>SUM(O23:O28)</f>
        <v/>
      </c>
      <c r="P29" s="212">
        <f>IFERROR(O29/O$20,0)</f>
        <v/>
      </c>
      <c r="Q29" s="206">
        <f>SUM(Q23:Q28)</f>
        <v/>
      </c>
      <c r="R29" s="212">
        <f>IFERROR(Q29/Q$20,0)</f>
        <v/>
      </c>
      <c r="S29" s="206">
        <f>SUM(S23:S28)</f>
        <v/>
      </c>
      <c r="T29" s="212">
        <f>IFERROR(S29/S$20,0)</f>
        <v/>
      </c>
      <c r="U29" s="206">
        <f>SUM(U23:U28)</f>
        <v/>
      </c>
      <c r="V29" s="212">
        <f>IFERROR(U29/U$20,0)</f>
        <v/>
      </c>
      <c r="W29" s="206">
        <f>SUM(W23:W28)</f>
        <v/>
      </c>
      <c r="X29" s="212">
        <f>IFERROR(W29/W$20,0)</f>
        <v/>
      </c>
      <c r="Y29" s="206">
        <f>SUM(Y23:Y28)</f>
        <v/>
      </c>
      <c r="Z29" s="212">
        <f>IFERROR(Y29/Y$20,0)</f>
        <v/>
      </c>
      <c r="AB29" s="206">
        <f>SUM(AB23:AB28)</f>
        <v/>
      </c>
      <c r="AC29" s="212">
        <f>IFERROR(AB29/AB$20,0)</f>
        <v/>
      </c>
    </row>
    <row r="30" ht="15" customHeight="1" s="180">
      <c r="A30" s="185" t="inlineStr">
        <is>
          <t>Gross Profit</t>
        </is>
      </c>
      <c r="C30" s="186">
        <f>C20-C29</f>
        <v/>
      </c>
      <c r="D30" s="187">
        <f>IFERROR(C30/C$20,0)</f>
        <v/>
      </c>
      <c r="E30" s="186">
        <f>E20-E29</f>
        <v/>
      </c>
      <c r="F30" s="187">
        <f>IFERROR(E30/E$20,0)</f>
        <v/>
      </c>
      <c r="G30" s="186">
        <f>G20-G29</f>
        <v/>
      </c>
      <c r="H30" s="187">
        <f>IFERROR(G30/G$20,0)</f>
        <v/>
      </c>
      <c r="I30" s="186">
        <f>I20-I29</f>
        <v/>
      </c>
      <c r="J30" s="187">
        <f>IFERROR(I30/I$20,0)</f>
        <v/>
      </c>
      <c r="K30" s="186">
        <f>K20-K29</f>
        <v/>
      </c>
      <c r="L30" s="187">
        <f>IFERROR(K30/K$20,0)</f>
        <v/>
      </c>
      <c r="M30" s="186">
        <f>M20-M29</f>
        <v/>
      </c>
      <c r="N30" s="187">
        <f>IFERROR(M30/M$20,0)</f>
        <v/>
      </c>
      <c r="O30" s="186">
        <f>O20-O29</f>
        <v/>
      </c>
      <c r="P30" s="187">
        <f>IFERROR(O30/O$20,0)</f>
        <v/>
      </c>
      <c r="Q30" s="186">
        <f>Q20-Q29</f>
        <v/>
      </c>
      <c r="R30" s="187">
        <f>IFERROR(Q30/Q$20,0)</f>
        <v/>
      </c>
      <c r="S30" s="186">
        <f>S20-S29</f>
        <v/>
      </c>
      <c r="T30" s="187">
        <f>IFERROR(S30/S$20,0)</f>
        <v/>
      </c>
      <c r="U30" s="186">
        <f>U20-U29</f>
        <v/>
      </c>
      <c r="V30" s="187">
        <f>IFERROR(U30/U$20,0)</f>
        <v/>
      </c>
      <c r="W30" s="186">
        <f>W20-W29</f>
        <v/>
      </c>
      <c r="X30" s="187">
        <f>IFERROR(W30/W$20,0)</f>
        <v/>
      </c>
      <c r="Y30" s="186">
        <f>Y20-Y29</f>
        <v/>
      </c>
      <c r="Z30" s="187">
        <f>IFERROR(Y30/Y$20,0)</f>
        <v/>
      </c>
      <c r="AB30" s="186">
        <f>AB20-AB29</f>
        <v/>
      </c>
      <c r="AC30" s="187">
        <f>IFERROR(AB30/AB$20,0)</f>
        <v/>
      </c>
    </row>
    <row r="32" ht="15" customHeight="1" s="180">
      <c r="A32" s="185" t="inlineStr">
        <is>
          <t>Labor Cost</t>
        </is>
      </c>
    </row>
    <row r="33" ht="15" customHeight="1" s="180">
      <c r="A33" s="184" t="inlineStr">
        <is>
          <t>Management Labor</t>
        </is>
      </c>
      <c r="C33" s="203">
        <f>'LW 2026 P&amp;L'!$Y$28</f>
        <v/>
      </c>
      <c r="D33" s="211">
        <f>IFERROR(C33/C$20,0)</f>
        <v/>
      </c>
      <c r="E33" s="203">
        <f>'LW 2026 P&amp;L'!$Y$28</f>
        <v/>
      </c>
      <c r="F33" s="211">
        <f>IFERROR(E33/E$20,0)</f>
        <v/>
      </c>
      <c r="G33" s="203">
        <f>'LW 2026 P&amp;L'!$Y$28</f>
        <v/>
      </c>
      <c r="H33" s="211">
        <f>IFERROR(G33/G$20,0)</f>
        <v/>
      </c>
      <c r="I33" s="203">
        <f>'LW 2026 P&amp;L'!$Y$28</f>
        <v/>
      </c>
      <c r="J33" s="211">
        <f>IFERROR(I33/I$20,0)</f>
        <v/>
      </c>
      <c r="K33" s="203">
        <f>'LW 2026 P&amp;L'!$Y$28</f>
        <v/>
      </c>
      <c r="L33" s="211">
        <f>IFERROR(K33/K$20,0)</f>
        <v/>
      </c>
      <c r="M33" s="203">
        <f>'LW 2026 P&amp;L'!$Y$28</f>
        <v/>
      </c>
      <c r="N33" s="211">
        <f>IFERROR(M33/M$20,0)</f>
        <v/>
      </c>
      <c r="O33" s="203">
        <f>'LW 2026 P&amp;L'!$Y$28</f>
        <v/>
      </c>
      <c r="P33" s="211">
        <f>IFERROR(O33/O$20,0)</f>
        <v/>
      </c>
      <c r="Q33" s="203">
        <f>'LW 2026 P&amp;L'!$Y$28</f>
        <v/>
      </c>
      <c r="R33" s="211">
        <f>IFERROR(Q33/Q$20,0)</f>
        <v/>
      </c>
      <c r="S33" s="203">
        <f>'LW 2026 P&amp;L'!$Y$28</f>
        <v/>
      </c>
      <c r="T33" s="211">
        <f>IFERROR(S33/S$20,0)</f>
        <v/>
      </c>
      <c r="U33" s="203">
        <f>'LW 2026 P&amp;L'!$Y$28</f>
        <v/>
      </c>
      <c r="V33" s="211">
        <f>IFERROR(U33/U$20,0)</f>
        <v/>
      </c>
      <c r="W33" s="203">
        <f>'LW 2026 P&amp;L'!$Y$28</f>
        <v/>
      </c>
      <c r="X33" s="211">
        <f>IFERROR(W33/W$20,0)</f>
        <v/>
      </c>
      <c r="Y33" s="203">
        <f>'LW 2026 P&amp;L'!$Y$28</f>
        <v/>
      </c>
      <c r="Z33" s="211">
        <f>IFERROR(Y33/Y$20,0)</f>
        <v/>
      </c>
      <c r="AB33" s="203">
        <f>SUM(C33,E33,G33,I33,K33,M33,O33,Q33,S33,U33,W33,Y33)</f>
        <v/>
      </c>
      <c r="AC33" s="211">
        <f>IFERROR(AB33/AB$20,0)</f>
        <v/>
      </c>
    </row>
    <row r="34" ht="15" customHeight="1" s="180">
      <c r="A34" s="184" t="inlineStr">
        <is>
          <t>Back of House Hourly Labor</t>
        </is>
      </c>
      <c r="C34" s="203">
        <f>'LW Assumptions'!$C$26*52/12</f>
        <v/>
      </c>
      <c r="D34" s="211">
        <f>IFERROR(C34/C$20,0)</f>
        <v/>
      </c>
      <c r="E34" s="203">
        <f>'LW Assumptions'!$C$26*52/12</f>
        <v/>
      </c>
      <c r="F34" s="211">
        <f>IFERROR(E34/E$20,0)</f>
        <v/>
      </c>
      <c r="G34" s="203">
        <f>'LW Assumptions'!$C$26*52/12</f>
        <v/>
      </c>
      <c r="H34" s="211">
        <f>IFERROR(G34/G$20,0)</f>
        <v/>
      </c>
      <c r="I34" s="203">
        <f>'LW Assumptions'!$C$26*52/12</f>
        <v/>
      </c>
      <c r="J34" s="211">
        <f>IFERROR(I34/I$20,0)</f>
        <v/>
      </c>
      <c r="K34" s="203">
        <f>'LW Assumptions'!$C$26*52/12</f>
        <v/>
      </c>
      <c r="L34" s="211">
        <f>IFERROR(K34/K$20,0)</f>
        <v/>
      </c>
      <c r="M34" s="203">
        <f>'LW Assumptions'!$C$26*52/12</f>
        <v/>
      </c>
      <c r="N34" s="211">
        <f>IFERROR(M34/M$20,0)</f>
        <v/>
      </c>
      <c r="O34" s="203">
        <f>'LW Assumptions'!$C$26*52/12</f>
        <v/>
      </c>
      <c r="P34" s="211">
        <f>IFERROR(O34/O$20,0)</f>
        <v/>
      </c>
      <c r="Q34" s="203">
        <f>'LW Assumptions'!$C$26*52/12</f>
        <v/>
      </c>
      <c r="R34" s="211">
        <f>IFERROR(Q34/Q$20,0)</f>
        <v/>
      </c>
      <c r="S34" s="203">
        <f>'LW Assumptions'!$C$26*52/12</f>
        <v/>
      </c>
      <c r="T34" s="211">
        <f>IFERROR(S34/S$20,0)</f>
        <v/>
      </c>
      <c r="U34" s="203">
        <f>'LW Assumptions'!$C$26*52/12</f>
        <v/>
      </c>
      <c r="V34" s="211">
        <f>IFERROR(U34/U$20,0)</f>
        <v/>
      </c>
      <c r="W34" s="203">
        <f>'LW Assumptions'!$C$26*52/12</f>
        <v/>
      </c>
      <c r="X34" s="211">
        <f>IFERROR(W34/W$20,0)</f>
        <v/>
      </c>
      <c r="Y34" s="203">
        <f>'LW Assumptions'!$C$26*52/12</f>
        <v/>
      </c>
      <c r="Z34" s="211">
        <f>IFERROR(Y34/Y$20,0)</f>
        <v/>
      </c>
      <c r="AB34" s="203">
        <f>SUM(C34,E34,G34,I34,K34,M34,O34,Q34,S34,U34,W34,Y34)</f>
        <v/>
      </c>
      <c r="AC34" s="211">
        <f>IFERROR(AB34/AB$20,0)</f>
        <v/>
      </c>
    </row>
    <row r="35" ht="15" customHeight="1" s="180">
      <c r="A35" s="184" t="inlineStr">
        <is>
          <t>Front of House Hourly Labor</t>
        </is>
      </c>
      <c r="C35" s="203">
        <f>('LW Assumptions'!$C$20+'LW Assumptions'!$C$21)*'LW Assumptions'!$C$22*52*'LW Assumptions'!$C$23/12</f>
        <v/>
      </c>
      <c r="D35" s="211">
        <f>IFERROR(C35/C$20,0)</f>
        <v/>
      </c>
      <c r="E35" s="203">
        <f>('LW Assumptions'!$C$20+'LW Assumptions'!$C$21)*'LW Assumptions'!$C$22*52*'LW Assumptions'!$C$23/12</f>
        <v/>
      </c>
      <c r="F35" s="211">
        <f>IFERROR(E35/E$20,0)</f>
        <v/>
      </c>
      <c r="G35" s="203">
        <f>('LW Assumptions'!$C$20+'LW Assumptions'!$C$21)*'LW Assumptions'!$C$22*52*'LW Assumptions'!$C$23/12</f>
        <v/>
      </c>
      <c r="H35" s="211">
        <f>IFERROR(G35/G$20,0)</f>
        <v/>
      </c>
      <c r="I35" s="203">
        <f>('LW Assumptions'!$C$20+'LW Assumptions'!$C$21)*'LW Assumptions'!$C$22*52*'LW Assumptions'!$C$23/12</f>
        <v/>
      </c>
      <c r="J35" s="211">
        <f>IFERROR(I35/I$20,0)</f>
        <v/>
      </c>
      <c r="K35" s="203">
        <f>('LW Assumptions'!$C$20+'LW Assumptions'!$C$21)*'LW Assumptions'!$C$22*52*'LW Assumptions'!$C$23/12</f>
        <v/>
      </c>
      <c r="L35" s="211">
        <f>IFERROR(K35/K$20,0)</f>
        <v/>
      </c>
      <c r="M35" s="203">
        <f>('LW Assumptions'!$C$20+'LW Assumptions'!$C$21)*'LW Assumptions'!$C$22*52*'LW Assumptions'!$C$23/12</f>
        <v/>
      </c>
      <c r="N35" s="211">
        <f>IFERROR(M35/M$20,0)</f>
        <v/>
      </c>
      <c r="O35" s="203">
        <f>('LW Assumptions'!$C$20+'LW Assumptions'!$C$21)*'LW Assumptions'!$C$22*52*'LW Assumptions'!$C$23/12</f>
        <v/>
      </c>
      <c r="P35" s="211">
        <f>IFERROR(O35/O$20,0)</f>
        <v/>
      </c>
      <c r="Q35" s="203">
        <f>('LW Assumptions'!$C$20+'LW Assumptions'!$C$21)*'LW Assumptions'!$C$22*52*'LW Assumptions'!$C$23/12</f>
        <v/>
      </c>
      <c r="R35" s="211">
        <f>IFERROR(Q35/Q$20,0)</f>
        <v/>
      </c>
      <c r="S35" s="203">
        <f>('LW Assumptions'!$C$20+'LW Assumptions'!$C$21)*'LW Assumptions'!$C$22*52*'LW Assumptions'!$C$23/12</f>
        <v/>
      </c>
      <c r="T35" s="211">
        <f>IFERROR(S35/S$20,0)</f>
        <v/>
      </c>
      <c r="U35" s="203">
        <f>('LW Assumptions'!$C$20+'LW Assumptions'!$C$21)*'LW Assumptions'!$C$22*52*'LW Assumptions'!$C$23/12</f>
        <v/>
      </c>
      <c r="V35" s="211">
        <f>IFERROR(U35/U$20,0)</f>
        <v/>
      </c>
      <c r="W35" s="203">
        <f>('LW Assumptions'!$C$20+'LW Assumptions'!$C$21)*'LW Assumptions'!$C$22*52*'LW Assumptions'!$C$23/12</f>
        <v/>
      </c>
      <c r="X35" s="211">
        <f>IFERROR(W35/W$20,0)</f>
        <v/>
      </c>
      <c r="Y35" s="203">
        <f>('LW Assumptions'!$C$20+'LW Assumptions'!$C$21)*'LW Assumptions'!$C$22*52*'LW Assumptions'!$C$23/12</f>
        <v/>
      </c>
      <c r="Z35" s="211">
        <f>IFERROR(Y35/Y$20,0)</f>
        <v/>
      </c>
      <c r="AB35" s="203">
        <f>SUM(C35,E35,G35,I35,K35,M35,O35,Q35,S35,U35,W35,Y35)</f>
        <v/>
      </c>
      <c r="AC35" s="211">
        <f>IFERROR(AB35/AB$20,0)</f>
        <v/>
      </c>
    </row>
    <row r="36" ht="15" customHeight="1" s="180">
      <c r="A36" s="184" t="inlineStr">
        <is>
          <t>Payroll Taxes &amp; Benefits</t>
        </is>
      </c>
      <c r="C36" s="203">
        <f>(C33+C34+C35)*'LW Assumptions'!$C$24</f>
        <v/>
      </c>
      <c r="D36" s="211">
        <f>IFERROR(C36/C$20,0)</f>
        <v/>
      </c>
      <c r="E36" s="203">
        <f>(E33+E34+E35)*'LW Assumptions'!$C$24</f>
        <v/>
      </c>
      <c r="F36" s="211">
        <f>IFERROR(E36/E$20,0)</f>
        <v/>
      </c>
      <c r="G36" s="203">
        <f>(G33+G34+G35)*'LW Assumptions'!$C$24</f>
        <v/>
      </c>
      <c r="H36" s="211">
        <f>IFERROR(G36/G$20,0)</f>
        <v/>
      </c>
      <c r="I36" s="203">
        <f>(I33+I34+I35)*'LW Assumptions'!$C$24</f>
        <v/>
      </c>
      <c r="J36" s="211">
        <f>IFERROR(I36/I$20,0)</f>
        <v/>
      </c>
      <c r="K36" s="203">
        <f>(K33+K34+K35)*'LW Assumptions'!$C$24</f>
        <v/>
      </c>
      <c r="L36" s="211">
        <f>IFERROR(K36/K$20,0)</f>
        <v/>
      </c>
      <c r="M36" s="203">
        <f>(M33+M34+M35)*'LW Assumptions'!$C$24</f>
        <v/>
      </c>
      <c r="N36" s="211">
        <f>IFERROR(M36/M$20,0)</f>
        <v/>
      </c>
      <c r="O36" s="203">
        <f>(O33+O34+O35)*'LW Assumptions'!$C$24</f>
        <v/>
      </c>
      <c r="P36" s="211">
        <f>IFERROR(O36/O$20,0)</f>
        <v/>
      </c>
      <c r="Q36" s="203">
        <f>(Q33+Q34+Q35)*'LW Assumptions'!$C$24</f>
        <v/>
      </c>
      <c r="R36" s="211">
        <f>IFERROR(Q36/Q$20,0)</f>
        <v/>
      </c>
      <c r="S36" s="203">
        <f>(S33+S34+S35)*'LW Assumptions'!$C$24</f>
        <v/>
      </c>
      <c r="T36" s="211">
        <f>IFERROR(S36/S$20,0)</f>
        <v/>
      </c>
      <c r="U36" s="203">
        <f>(U33+U34+U35)*'LW Assumptions'!$C$24</f>
        <v/>
      </c>
      <c r="V36" s="211">
        <f>IFERROR(U36/U$20,0)</f>
        <v/>
      </c>
      <c r="W36" s="203">
        <f>(W33+W34+W35)*'LW Assumptions'!$C$24</f>
        <v/>
      </c>
      <c r="X36" s="211">
        <f>IFERROR(W36/W$20,0)</f>
        <v/>
      </c>
      <c r="Y36" s="203">
        <f>(Y33+Y34+Y35)*'LW Assumptions'!$C$24</f>
        <v/>
      </c>
      <c r="Z36" s="211">
        <f>IFERROR(Y36/Y$20,0)</f>
        <v/>
      </c>
      <c r="AB36" s="203">
        <f>SUM(C36,E36,G36,I36,K36,M36,O36,Q36,S36,U36,W36,Y36)</f>
        <v/>
      </c>
      <c r="AC36" s="211">
        <f>IFERROR(AB36/AB$20,0)</f>
        <v/>
      </c>
    </row>
    <row r="37" ht="15" customHeight="1" s="180">
      <c r="A37" s="184" t="inlineStr">
        <is>
          <t>Bonus / labor true-up (Dec — ties plan-year saving to the $39.0K deck basis)</t>
        </is>
      </c>
      <c r="C37" s="203" t="n">
        <v>0</v>
      </c>
      <c r="D37" s="211">
        <f>IFERROR(C37/C$20,0)</f>
        <v/>
      </c>
      <c r="E37" s="203" t="n">
        <v>0</v>
      </c>
      <c r="F37" s="211">
        <f>IFERROR(E37/E$20,0)</f>
        <v/>
      </c>
      <c r="G37" s="203" t="n">
        <v>0</v>
      </c>
      <c r="H37" s="211">
        <f>IFERROR(G37/G$20,0)</f>
        <v/>
      </c>
      <c r="I37" s="203" t="n">
        <v>0</v>
      </c>
      <c r="J37" s="211">
        <f>IFERROR(I37/I$20,0)</f>
        <v/>
      </c>
      <c r="K37" s="203" t="n">
        <v>0</v>
      </c>
      <c r="L37" s="211">
        <f>IFERROR(K37/K$20,0)</f>
        <v/>
      </c>
      <c r="M37" s="203" t="n">
        <v>0</v>
      </c>
      <c r="N37" s="211">
        <f>IFERROR(M37/M$20,0)</f>
        <v/>
      </c>
      <c r="O37" s="203" t="n">
        <v>0</v>
      </c>
      <c r="P37" s="211">
        <f>IFERROR(O37/O$20,0)</f>
        <v/>
      </c>
      <c r="Q37" s="203" t="n">
        <v>0</v>
      </c>
      <c r="R37" s="211">
        <f>IFERROR(Q37/Q$20,0)</f>
        <v/>
      </c>
      <c r="S37" s="203" t="n">
        <v>0</v>
      </c>
      <c r="T37" s="211">
        <f>IFERROR(S37/S$20,0)</f>
        <v/>
      </c>
      <c r="U37" s="203" t="n">
        <v>0</v>
      </c>
      <c r="V37" s="211">
        <f>IFERROR(U37/U$20,0)</f>
        <v/>
      </c>
      <c r="W37" s="203" t="n">
        <v>0</v>
      </c>
      <c r="X37" s="211">
        <f>IFERROR(W37/W$20,0)</f>
        <v/>
      </c>
      <c r="Y37" s="203">
        <f>('LW 2026 P&amp;L'!$AB$33+'LW Weekly Compare'!$D$29)-($AB$33+$AB$34+$AB$35+$AB$36)</f>
        <v/>
      </c>
      <c r="Z37" s="211">
        <f>IFERROR(Y37/Y$20,0)</f>
        <v/>
      </c>
      <c r="AB37" s="203">
        <f>SUM(C37,E37,G37,I37,K37,M37,O37,Q37,S37,U37,W37,Y37)</f>
        <v/>
      </c>
      <c r="AC37" s="211">
        <f>IFERROR(AB37/AB$20,0)</f>
        <v/>
      </c>
    </row>
    <row r="38" ht="15" customHeight="1" s="180">
      <c r="A38" s="185" t="inlineStr">
        <is>
          <t>Total Labor Cost</t>
        </is>
      </c>
      <c r="C38" s="206">
        <f>SUM(C33:C37)</f>
        <v/>
      </c>
      <c r="D38" s="212">
        <f>IFERROR(C38/C$20,0)</f>
        <v/>
      </c>
      <c r="E38" s="206">
        <f>SUM(E33:E37)</f>
        <v/>
      </c>
      <c r="F38" s="212">
        <f>IFERROR(E38/E$20,0)</f>
        <v/>
      </c>
      <c r="G38" s="206">
        <f>SUM(G33:G37)</f>
        <v/>
      </c>
      <c r="H38" s="212">
        <f>IFERROR(G38/G$20,0)</f>
        <v/>
      </c>
      <c r="I38" s="206">
        <f>SUM(I33:I37)</f>
        <v/>
      </c>
      <c r="J38" s="212">
        <f>IFERROR(I38/I$20,0)</f>
        <v/>
      </c>
      <c r="K38" s="206">
        <f>SUM(K33:K37)</f>
        <v/>
      </c>
      <c r="L38" s="212">
        <f>IFERROR(K38/K$20,0)</f>
        <v/>
      </c>
      <c r="M38" s="206">
        <f>SUM(M33:M37)</f>
        <v/>
      </c>
      <c r="N38" s="212">
        <f>IFERROR(M38/M$20,0)</f>
        <v/>
      </c>
      <c r="O38" s="206">
        <f>SUM(O33:O37)</f>
        <v/>
      </c>
      <c r="P38" s="212">
        <f>IFERROR(O38/O$20,0)</f>
        <v/>
      </c>
      <c r="Q38" s="206">
        <f>SUM(Q33:Q37)</f>
        <v/>
      </c>
      <c r="R38" s="212">
        <f>IFERROR(Q38/Q$20,0)</f>
        <v/>
      </c>
      <c r="S38" s="206">
        <f>SUM(S33:S37)</f>
        <v/>
      </c>
      <c r="T38" s="212">
        <f>IFERROR(S38/S$20,0)</f>
        <v/>
      </c>
      <c r="U38" s="206">
        <f>SUM(U33:U37)</f>
        <v/>
      </c>
      <c r="V38" s="212">
        <f>IFERROR(U38/U$20,0)</f>
        <v/>
      </c>
      <c r="W38" s="206">
        <f>SUM(W33:W37)</f>
        <v/>
      </c>
      <c r="X38" s="212">
        <f>IFERROR(W38/W$20,0)</f>
        <v/>
      </c>
      <c r="Y38" s="206">
        <f>SUM(Y33:Y37)</f>
        <v/>
      </c>
      <c r="Z38" s="212">
        <f>IFERROR(Y38/Y$20,0)</f>
        <v/>
      </c>
      <c r="AB38" s="206">
        <f>SUM(AB33:AB37)</f>
        <v/>
      </c>
      <c r="AC38" s="212">
        <f>IFERROR(AB38/AB$20,0)</f>
        <v/>
      </c>
    </row>
    <row r="40" ht="15" customHeight="1" s="180">
      <c r="A40" s="185" t="inlineStr">
        <is>
          <t>Prime Costs</t>
        </is>
      </c>
      <c r="C40" s="186">
        <f>C29+C38</f>
        <v/>
      </c>
      <c r="D40" s="187">
        <f>IFERROR(C40/C$20,0)</f>
        <v/>
      </c>
      <c r="E40" s="186">
        <f>E29+E38</f>
        <v/>
      </c>
      <c r="F40" s="187">
        <f>IFERROR(E40/E$20,0)</f>
        <v/>
      </c>
      <c r="G40" s="186">
        <f>G29+G38</f>
        <v/>
      </c>
      <c r="H40" s="187">
        <f>IFERROR(G40/G$20,0)</f>
        <v/>
      </c>
      <c r="I40" s="186">
        <f>I29+I38</f>
        <v/>
      </c>
      <c r="J40" s="187">
        <f>IFERROR(I40/I$20,0)</f>
        <v/>
      </c>
      <c r="K40" s="186">
        <f>K29+K38</f>
        <v/>
      </c>
      <c r="L40" s="187">
        <f>IFERROR(K40/K$20,0)</f>
        <v/>
      </c>
      <c r="M40" s="186">
        <f>M29+M38</f>
        <v/>
      </c>
      <c r="N40" s="187">
        <f>IFERROR(M40/M$20,0)</f>
        <v/>
      </c>
      <c r="O40" s="186">
        <f>O29+O38</f>
        <v/>
      </c>
      <c r="P40" s="187">
        <f>IFERROR(O40/O$20,0)</f>
        <v/>
      </c>
      <c r="Q40" s="186">
        <f>Q29+Q38</f>
        <v/>
      </c>
      <c r="R40" s="187">
        <f>IFERROR(Q40/Q$20,0)</f>
        <v/>
      </c>
      <c r="S40" s="186">
        <f>S29+S38</f>
        <v/>
      </c>
      <c r="T40" s="187">
        <f>IFERROR(S40/S$20,0)</f>
        <v/>
      </c>
      <c r="U40" s="186">
        <f>U29+U38</f>
        <v/>
      </c>
      <c r="V40" s="187">
        <f>IFERROR(U40/U$20,0)</f>
        <v/>
      </c>
      <c r="W40" s="186">
        <f>W29+W38</f>
        <v/>
      </c>
      <c r="X40" s="187">
        <f>IFERROR(W40/W$20,0)</f>
        <v/>
      </c>
      <c r="Y40" s="186">
        <f>Y29+Y38</f>
        <v/>
      </c>
      <c r="Z40" s="187">
        <f>IFERROR(Y40/Y$20,0)</f>
        <v/>
      </c>
      <c r="AB40" s="186">
        <f>AB29+AB38</f>
        <v/>
      </c>
      <c r="AC40" s="187">
        <f>IFERROR(AB40/AB$20,0)</f>
        <v/>
      </c>
    </row>
    <row r="41" ht="15" customHeight="1" s="180">
      <c r="A41" s="185" t="inlineStr">
        <is>
          <t>Operating Profit</t>
        </is>
      </c>
      <c r="C41" s="186">
        <f>C30-C38</f>
        <v/>
      </c>
      <c r="D41" s="187">
        <f>IFERROR(C41/C$20,0)</f>
        <v/>
      </c>
      <c r="E41" s="186">
        <f>E30-E38</f>
        <v/>
      </c>
      <c r="F41" s="187">
        <f>IFERROR(E41/E$20,0)</f>
        <v/>
      </c>
      <c r="G41" s="186">
        <f>G30-G38</f>
        <v/>
      </c>
      <c r="H41" s="187">
        <f>IFERROR(G41/G$20,0)</f>
        <v/>
      </c>
      <c r="I41" s="186">
        <f>I30-I38</f>
        <v/>
      </c>
      <c r="J41" s="187">
        <f>IFERROR(I41/I$20,0)</f>
        <v/>
      </c>
      <c r="K41" s="186">
        <f>K30-K38</f>
        <v/>
      </c>
      <c r="L41" s="187">
        <f>IFERROR(K41/K$20,0)</f>
        <v/>
      </c>
      <c r="M41" s="186">
        <f>M30-M38</f>
        <v/>
      </c>
      <c r="N41" s="187">
        <f>IFERROR(M41/M$20,0)</f>
        <v/>
      </c>
      <c r="O41" s="186">
        <f>O30-O38</f>
        <v/>
      </c>
      <c r="P41" s="187">
        <f>IFERROR(O41/O$20,0)</f>
        <v/>
      </c>
      <c r="Q41" s="186">
        <f>Q30-Q38</f>
        <v/>
      </c>
      <c r="R41" s="187">
        <f>IFERROR(Q41/Q$20,0)</f>
        <v/>
      </c>
      <c r="S41" s="186">
        <f>S30-S38</f>
        <v/>
      </c>
      <c r="T41" s="187">
        <f>IFERROR(S41/S$20,0)</f>
        <v/>
      </c>
      <c r="U41" s="186">
        <f>U30-U38</f>
        <v/>
      </c>
      <c r="V41" s="187">
        <f>IFERROR(U41/U$20,0)</f>
        <v/>
      </c>
      <c r="W41" s="186">
        <f>W30-W38</f>
        <v/>
      </c>
      <c r="X41" s="187">
        <f>IFERROR(W41/W$20,0)</f>
        <v/>
      </c>
      <c r="Y41" s="186">
        <f>Y30-Y38</f>
        <v/>
      </c>
      <c r="Z41" s="187">
        <f>IFERROR(Y41/Y$20,0)</f>
        <v/>
      </c>
      <c r="AB41" s="186">
        <f>AB30-AB38</f>
        <v/>
      </c>
      <c r="AC41" s="187">
        <f>IFERROR(AB41/AB$20,0)</f>
        <v/>
      </c>
    </row>
    <row r="43" ht="15" customHeight="1" s="180">
      <c r="A43" s="185" t="inlineStr">
        <is>
          <t>Controllable Expenses</t>
        </is>
      </c>
    </row>
    <row r="44" ht="15" customHeight="1" s="180">
      <c r="A44" s="184" t="inlineStr">
        <is>
          <t>Operating Expenses (12.5% of revenue target · incl CC)</t>
        </is>
      </c>
      <c r="C44" s="203">
        <f>C20*'LW Assumptions'!$C$48</f>
        <v/>
      </c>
      <c r="D44" s="211">
        <f>IFERROR(C44/C$20,0)</f>
        <v/>
      </c>
      <c r="E44" s="203">
        <f>E20*'LW Assumptions'!$C$48</f>
        <v/>
      </c>
      <c r="F44" s="211">
        <f>IFERROR(E44/E$20,0)</f>
        <v/>
      </c>
      <c r="G44" s="203">
        <f>G20*'LW Assumptions'!$C$48</f>
        <v/>
      </c>
      <c r="H44" s="211">
        <f>IFERROR(G44/G$20,0)</f>
        <v/>
      </c>
      <c r="I44" s="203">
        <f>I20*'LW Assumptions'!$C$48</f>
        <v/>
      </c>
      <c r="J44" s="211">
        <f>IFERROR(I44/I$20,0)</f>
        <v/>
      </c>
      <c r="K44" s="203">
        <f>K20*'LW Assumptions'!$C$48</f>
        <v/>
      </c>
      <c r="L44" s="211">
        <f>IFERROR(K44/K$20,0)</f>
        <v/>
      </c>
      <c r="M44" s="203">
        <f>M20*'LW Assumptions'!$C$48</f>
        <v/>
      </c>
      <c r="N44" s="211">
        <f>IFERROR(M44/M$20,0)</f>
        <v/>
      </c>
      <c r="O44" s="203">
        <f>O20*'LW Assumptions'!$C$48</f>
        <v/>
      </c>
      <c r="P44" s="211">
        <f>IFERROR(O44/O$20,0)</f>
        <v/>
      </c>
      <c r="Q44" s="203">
        <f>Q20*'LW Assumptions'!$C$48</f>
        <v/>
      </c>
      <c r="R44" s="211">
        <f>IFERROR(Q44/Q$20,0)</f>
        <v/>
      </c>
      <c r="S44" s="203">
        <f>S20*'LW Assumptions'!$C$48</f>
        <v/>
      </c>
      <c r="T44" s="211">
        <f>IFERROR(S44/S$20,0)</f>
        <v/>
      </c>
      <c r="U44" s="203">
        <f>U20*'LW Assumptions'!$C$48</f>
        <v/>
      </c>
      <c r="V44" s="211">
        <f>IFERROR(U44/U$20,0)</f>
        <v/>
      </c>
      <c r="W44" s="203">
        <f>W20*'LW Assumptions'!$C$48</f>
        <v/>
      </c>
      <c r="X44" s="211">
        <f>IFERROR(W44/W$20,0)</f>
        <v/>
      </c>
      <c r="Y44" s="203">
        <f>Y20*'LW Assumptions'!$C$48</f>
        <v/>
      </c>
      <c r="Z44" s="211">
        <f>IFERROR(Y44/Y$20,0)</f>
        <v/>
      </c>
      <c r="AB44" s="203">
        <f>SUM(C44,E44,G44,I44,K44,M44,O44,Q44,S44,U44,W44,Y44)</f>
        <v/>
      </c>
      <c r="AC44" s="211">
        <f>IFERROR(AB44/AB$20,0)</f>
        <v/>
      </c>
    </row>
    <row r="45" ht="15" customHeight="1" s="180">
      <c r="A45" s="184" t="inlineStr">
        <is>
          <t>Music &amp; Entertainment</t>
        </is>
      </c>
      <c r="C45" s="203">
        <f>'LW 2026 P&amp;L'!$Y$40</f>
        <v/>
      </c>
      <c r="D45" s="211">
        <f>IFERROR(C45/C$20,0)</f>
        <v/>
      </c>
      <c r="E45" s="203">
        <f>'LW 2026 P&amp;L'!$Y$40</f>
        <v/>
      </c>
      <c r="F45" s="211">
        <f>IFERROR(E45/E$20,0)</f>
        <v/>
      </c>
      <c r="G45" s="203">
        <f>'LW 2026 P&amp;L'!$Y$40</f>
        <v/>
      </c>
      <c r="H45" s="211">
        <f>IFERROR(G45/G$20,0)</f>
        <v/>
      </c>
      <c r="I45" s="203">
        <f>'LW 2026 P&amp;L'!$Y$40</f>
        <v/>
      </c>
      <c r="J45" s="211">
        <f>IFERROR(I45/I$20,0)</f>
        <v/>
      </c>
      <c r="K45" s="203">
        <f>'LW 2026 P&amp;L'!$Y$40</f>
        <v/>
      </c>
      <c r="L45" s="211">
        <f>IFERROR(K45/K$20,0)</f>
        <v/>
      </c>
      <c r="M45" s="203">
        <f>'LW 2026 P&amp;L'!$Y$40</f>
        <v/>
      </c>
      <c r="N45" s="211">
        <f>IFERROR(M45/M$20,0)</f>
        <v/>
      </c>
      <c r="O45" s="203">
        <f>'LW 2026 P&amp;L'!$Y$40</f>
        <v/>
      </c>
      <c r="P45" s="211">
        <f>IFERROR(O45/O$20,0)</f>
        <v/>
      </c>
      <c r="Q45" s="203">
        <f>'LW 2026 P&amp;L'!$Y$40</f>
        <v/>
      </c>
      <c r="R45" s="211">
        <f>IFERROR(Q45/Q$20,0)</f>
        <v/>
      </c>
      <c r="S45" s="203">
        <f>'LW 2026 P&amp;L'!$Y$40</f>
        <v/>
      </c>
      <c r="T45" s="211">
        <f>IFERROR(S45/S$20,0)</f>
        <v/>
      </c>
      <c r="U45" s="203">
        <f>'LW 2026 P&amp;L'!$Y$40</f>
        <v/>
      </c>
      <c r="V45" s="211">
        <f>IFERROR(U45/U$20,0)</f>
        <v/>
      </c>
      <c r="W45" s="203">
        <f>'LW 2026 P&amp;L'!$Y$40</f>
        <v/>
      </c>
      <c r="X45" s="211">
        <f>IFERROR(W45/W$20,0)</f>
        <v/>
      </c>
      <c r="Y45" s="203">
        <f>'LW 2026 P&amp;L'!$Y$40</f>
        <v/>
      </c>
      <c r="Z45" s="211">
        <f>IFERROR(Y45/Y$20,0)</f>
        <v/>
      </c>
      <c r="AB45" s="203">
        <f>SUM(C45,E45,G45,I45,K45,M45,O45,Q45,S45,U45,W45,Y45)</f>
        <v/>
      </c>
      <c r="AC45" s="211">
        <f>IFERROR(AB45/AB$20,0)</f>
        <v/>
      </c>
    </row>
    <row r="46" ht="15" customHeight="1" s="180">
      <c r="A46" s="184" t="inlineStr">
        <is>
          <t>Marketing &amp; Advertising</t>
        </is>
      </c>
      <c r="C46" s="203">
        <f>C20*'LW Assumptions'!$C$49</f>
        <v/>
      </c>
      <c r="D46" s="211">
        <f>IFERROR(C46/C$20,0)</f>
        <v/>
      </c>
      <c r="E46" s="203">
        <f>E20*'LW Assumptions'!$C$49</f>
        <v/>
      </c>
      <c r="F46" s="211">
        <f>IFERROR(E46/E$20,0)</f>
        <v/>
      </c>
      <c r="G46" s="203">
        <f>G20*'LW Assumptions'!$C$49</f>
        <v/>
      </c>
      <c r="H46" s="211">
        <f>IFERROR(G46/G$20,0)</f>
        <v/>
      </c>
      <c r="I46" s="203">
        <f>I20*'LW Assumptions'!$C$49</f>
        <v/>
      </c>
      <c r="J46" s="211">
        <f>IFERROR(I46/I$20,0)</f>
        <v/>
      </c>
      <c r="K46" s="203">
        <f>K20*'LW Assumptions'!$C$49</f>
        <v/>
      </c>
      <c r="L46" s="211">
        <f>IFERROR(K46/K$20,0)</f>
        <v/>
      </c>
      <c r="M46" s="203">
        <f>M20*'LW Assumptions'!$C$49</f>
        <v/>
      </c>
      <c r="N46" s="211">
        <f>IFERROR(M46/M$20,0)</f>
        <v/>
      </c>
      <c r="O46" s="203">
        <f>O20*'LW Assumptions'!$C$49</f>
        <v/>
      </c>
      <c r="P46" s="211">
        <f>IFERROR(O46/O$20,0)</f>
        <v/>
      </c>
      <c r="Q46" s="203">
        <f>Q20*'LW Assumptions'!$C$49</f>
        <v/>
      </c>
      <c r="R46" s="211">
        <f>IFERROR(Q46/Q$20,0)</f>
        <v/>
      </c>
      <c r="S46" s="203">
        <f>S20*'LW Assumptions'!$C$49</f>
        <v/>
      </c>
      <c r="T46" s="211">
        <f>IFERROR(S46/S$20,0)</f>
        <v/>
      </c>
      <c r="U46" s="203">
        <f>U20*'LW Assumptions'!$C$49</f>
        <v/>
      </c>
      <c r="V46" s="211">
        <f>IFERROR(U46/U$20,0)</f>
        <v/>
      </c>
      <c r="W46" s="203">
        <f>W20*'LW Assumptions'!$C$49</f>
        <v/>
      </c>
      <c r="X46" s="211">
        <f>IFERROR(W46/W$20,0)</f>
        <v/>
      </c>
      <c r="Y46" s="203">
        <f>Y20*'LW Assumptions'!$C$49</f>
        <v/>
      </c>
      <c r="Z46" s="211">
        <f>IFERROR(Y46/Y$20,0)</f>
        <v/>
      </c>
      <c r="AB46" s="203">
        <f>SUM(C46,E46,G46,I46,K46,M46,O46,Q46,S46,U46,W46,Y46)</f>
        <v/>
      </c>
      <c r="AC46" s="211">
        <f>IFERROR(AB46/AB$20,0)</f>
        <v/>
      </c>
    </row>
    <row r="47" ht="15" customHeight="1" s="180">
      <c r="A47" s="184" t="inlineStr">
        <is>
          <t>General &amp; Administrative - Controllable</t>
        </is>
      </c>
      <c r="C47" s="203">
        <f>C20*'LW Assumptions'!$C$50</f>
        <v/>
      </c>
      <c r="D47" s="211">
        <f>IFERROR(C47/C$20,0)</f>
        <v/>
      </c>
      <c r="E47" s="203">
        <f>E20*'LW Assumptions'!$C$50</f>
        <v/>
      </c>
      <c r="F47" s="211">
        <f>IFERROR(E47/E$20,0)</f>
        <v/>
      </c>
      <c r="G47" s="203">
        <f>G20*'LW Assumptions'!$C$50</f>
        <v/>
      </c>
      <c r="H47" s="211">
        <f>IFERROR(G47/G$20,0)</f>
        <v/>
      </c>
      <c r="I47" s="203">
        <f>I20*'LW Assumptions'!$C$50</f>
        <v/>
      </c>
      <c r="J47" s="211">
        <f>IFERROR(I47/I$20,0)</f>
        <v/>
      </c>
      <c r="K47" s="203">
        <f>K20*'LW Assumptions'!$C$50</f>
        <v/>
      </c>
      <c r="L47" s="211">
        <f>IFERROR(K47/K$20,0)</f>
        <v/>
      </c>
      <c r="M47" s="203">
        <f>M20*'LW Assumptions'!$C$50</f>
        <v/>
      </c>
      <c r="N47" s="211">
        <f>IFERROR(M47/M$20,0)</f>
        <v/>
      </c>
      <c r="O47" s="203">
        <f>O20*'LW Assumptions'!$C$50</f>
        <v/>
      </c>
      <c r="P47" s="211">
        <f>IFERROR(O47/O$20,0)</f>
        <v/>
      </c>
      <c r="Q47" s="203">
        <f>Q20*'LW Assumptions'!$C$50</f>
        <v/>
      </c>
      <c r="R47" s="211">
        <f>IFERROR(Q47/Q$20,0)</f>
        <v/>
      </c>
      <c r="S47" s="203">
        <f>S20*'LW Assumptions'!$C$50</f>
        <v/>
      </c>
      <c r="T47" s="211">
        <f>IFERROR(S47/S$20,0)</f>
        <v/>
      </c>
      <c r="U47" s="203">
        <f>U20*'LW Assumptions'!$C$50</f>
        <v/>
      </c>
      <c r="V47" s="211">
        <f>IFERROR(U47/U$20,0)</f>
        <v/>
      </c>
      <c r="W47" s="203">
        <f>W20*'LW Assumptions'!$C$50</f>
        <v/>
      </c>
      <c r="X47" s="211">
        <f>IFERROR(W47/W$20,0)</f>
        <v/>
      </c>
      <c r="Y47" s="203">
        <f>Y20*'LW Assumptions'!$C$50</f>
        <v/>
      </c>
      <c r="Z47" s="211">
        <f>IFERROR(Y47/Y$20,0)</f>
        <v/>
      </c>
      <c r="AB47" s="203">
        <f>SUM(C47,E47,G47,I47,K47,M47,O47,Q47,S47,U47,W47,Y47)</f>
        <v/>
      </c>
      <c r="AC47" s="211">
        <f>IFERROR(AB47/AB$20,0)</f>
        <v/>
      </c>
    </row>
    <row r="48" ht="15" customHeight="1" s="180">
      <c r="A48" s="184" t="inlineStr">
        <is>
          <t>Repairs &amp; Maintenance</t>
        </is>
      </c>
      <c r="C48" s="203">
        <f>'LW 2026 P&amp;L'!$Y$43</f>
        <v/>
      </c>
      <c r="D48" s="211">
        <f>IFERROR(C48/C$20,0)</f>
        <v/>
      </c>
      <c r="E48" s="203">
        <f>'LW 2026 P&amp;L'!$Y$43</f>
        <v/>
      </c>
      <c r="F48" s="211">
        <f>IFERROR(E48/E$20,0)</f>
        <v/>
      </c>
      <c r="G48" s="203">
        <f>'LW 2026 P&amp;L'!$Y$43</f>
        <v/>
      </c>
      <c r="H48" s="211">
        <f>IFERROR(G48/G$20,0)</f>
        <v/>
      </c>
      <c r="I48" s="203">
        <f>'LW 2026 P&amp;L'!$Y$43</f>
        <v/>
      </c>
      <c r="J48" s="211">
        <f>IFERROR(I48/I$20,0)</f>
        <v/>
      </c>
      <c r="K48" s="203">
        <f>'LW 2026 P&amp;L'!$Y$43</f>
        <v/>
      </c>
      <c r="L48" s="211">
        <f>IFERROR(K48/K$20,0)</f>
        <v/>
      </c>
      <c r="M48" s="203">
        <f>'LW 2026 P&amp;L'!$Y$43</f>
        <v/>
      </c>
      <c r="N48" s="211">
        <f>IFERROR(M48/M$20,0)</f>
        <v/>
      </c>
      <c r="O48" s="203">
        <f>'LW 2026 P&amp;L'!$Y$43</f>
        <v/>
      </c>
      <c r="P48" s="211">
        <f>IFERROR(O48/O$20,0)</f>
        <v/>
      </c>
      <c r="Q48" s="203">
        <f>'LW 2026 P&amp;L'!$Y$43</f>
        <v/>
      </c>
      <c r="R48" s="211">
        <f>IFERROR(Q48/Q$20,0)</f>
        <v/>
      </c>
      <c r="S48" s="203">
        <f>'LW 2026 P&amp;L'!$Y$43</f>
        <v/>
      </c>
      <c r="T48" s="211">
        <f>IFERROR(S48/S$20,0)</f>
        <v/>
      </c>
      <c r="U48" s="203">
        <f>'LW 2026 P&amp;L'!$Y$43</f>
        <v/>
      </c>
      <c r="V48" s="211">
        <f>IFERROR(U48/U$20,0)</f>
        <v/>
      </c>
      <c r="W48" s="203">
        <f>'LW 2026 P&amp;L'!$Y$43</f>
        <v/>
      </c>
      <c r="X48" s="211">
        <f>IFERROR(W48/W$20,0)</f>
        <v/>
      </c>
      <c r="Y48" s="203">
        <f>'LW 2026 P&amp;L'!$Y$43</f>
        <v/>
      </c>
      <c r="Z48" s="211">
        <f>IFERROR(Y48/Y$20,0)</f>
        <v/>
      </c>
      <c r="AB48" s="203">
        <f>SUM(C48,E48,G48,I48,K48,M48,O48,Q48,S48,U48,W48,Y48)</f>
        <v/>
      </c>
      <c r="AC48" s="211">
        <f>IFERROR(AB48/AB$20,0)</f>
        <v/>
      </c>
    </row>
    <row r="49" ht="15" customHeight="1" s="180">
      <c r="A49" s="184" t="inlineStr">
        <is>
          <t>Credit Card Fees</t>
        </is>
      </c>
      <c r="C49" s="203" t="n">
        <v>0</v>
      </c>
      <c r="D49" s="211">
        <f>IFERROR(C49/C$20,0)</f>
        <v/>
      </c>
      <c r="E49" s="203" t="n">
        <v>0</v>
      </c>
      <c r="F49" s="211">
        <f>IFERROR(E49/E$20,0)</f>
        <v/>
      </c>
      <c r="G49" s="203" t="n">
        <v>0</v>
      </c>
      <c r="H49" s="211">
        <f>IFERROR(G49/G$20,0)</f>
        <v/>
      </c>
      <c r="I49" s="203" t="n">
        <v>0</v>
      </c>
      <c r="J49" s="211">
        <f>IFERROR(I49/I$20,0)</f>
        <v/>
      </c>
      <c r="K49" s="203" t="n">
        <v>0</v>
      </c>
      <c r="L49" s="211">
        <f>IFERROR(K49/K$20,0)</f>
        <v/>
      </c>
      <c r="M49" s="203" t="n">
        <v>0</v>
      </c>
      <c r="N49" s="211">
        <f>IFERROR(M49/M$20,0)</f>
        <v/>
      </c>
      <c r="O49" s="203" t="n">
        <v>0</v>
      </c>
      <c r="P49" s="211">
        <f>IFERROR(O49/O$20,0)</f>
        <v/>
      </c>
      <c r="Q49" s="203" t="n">
        <v>0</v>
      </c>
      <c r="R49" s="211">
        <f>IFERROR(Q49/Q$20,0)</f>
        <v/>
      </c>
      <c r="S49" s="203" t="n">
        <v>0</v>
      </c>
      <c r="T49" s="211">
        <f>IFERROR(S49/S$20,0)</f>
        <v/>
      </c>
      <c r="U49" s="203" t="n">
        <v>0</v>
      </c>
      <c r="V49" s="211">
        <f>IFERROR(U49/U$20,0)</f>
        <v/>
      </c>
      <c r="W49" s="203" t="n">
        <v>0</v>
      </c>
      <c r="X49" s="211">
        <f>IFERROR(W49/W$20,0)</f>
        <v/>
      </c>
      <c r="Y49" s="203" t="n">
        <v>0</v>
      </c>
      <c r="Z49" s="211">
        <f>IFERROR(Y49/Y$20,0)</f>
        <v/>
      </c>
      <c r="AB49" s="203">
        <f>SUM(C49,E49,G49,I49,K49,M49,O49,Q49,S49,U49,W49,Y49)</f>
        <v/>
      </c>
      <c r="AC49" s="211">
        <f>IFERROR(AB49/AB$20,0)</f>
        <v/>
      </c>
    </row>
    <row r="50" ht="15" customHeight="1" s="180">
      <c r="A50" s="185" t="inlineStr">
        <is>
          <t>Total Controllable Expenses</t>
        </is>
      </c>
      <c r="C50" s="206">
        <f>SUM(C44:C49)</f>
        <v/>
      </c>
      <c r="D50" s="212">
        <f>IFERROR(C50/C$20,0)</f>
        <v/>
      </c>
      <c r="E50" s="206">
        <f>SUM(E44:E49)</f>
        <v/>
      </c>
      <c r="F50" s="212">
        <f>IFERROR(E50/E$20,0)</f>
        <v/>
      </c>
      <c r="G50" s="206">
        <f>SUM(G44:G49)</f>
        <v/>
      </c>
      <c r="H50" s="212">
        <f>IFERROR(G50/G$20,0)</f>
        <v/>
      </c>
      <c r="I50" s="206">
        <f>SUM(I44:I49)</f>
        <v/>
      </c>
      <c r="J50" s="212">
        <f>IFERROR(I50/I$20,0)</f>
        <v/>
      </c>
      <c r="K50" s="206">
        <f>SUM(K44:K49)</f>
        <v/>
      </c>
      <c r="L50" s="212">
        <f>IFERROR(K50/K$20,0)</f>
        <v/>
      </c>
      <c r="M50" s="206">
        <f>SUM(M44:M49)</f>
        <v/>
      </c>
      <c r="N50" s="212">
        <f>IFERROR(M50/M$20,0)</f>
        <v/>
      </c>
      <c r="O50" s="206">
        <f>SUM(O44:O49)</f>
        <v/>
      </c>
      <c r="P50" s="212">
        <f>IFERROR(O50/O$20,0)</f>
        <v/>
      </c>
      <c r="Q50" s="206">
        <f>SUM(Q44:Q49)</f>
        <v/>
      </c>
      <c r="R50" s="212">
        <f>IFERROR(Q50/Q$20,0)</f>
        <v/>
      </c>
      <c r="S50" s="206">
        <f>SUM(S44:S49)</f>
        <v/>
      </c>
      <c r="T50" s="212">
        <f>IFERROR(S50/S$20,0)</f>
        <v/>
      </c>
      <c r="U50" s="206">
        <f>SUM(U44:U49)</f>
        <v/>
      </c>
      <c r="V50" s="212">
        <f>IFERROR(U50/U$20,0)</f>
        <v/>
      </c>
      <c r="W50" s="206">
        <f>SUM(W44:W49)</f>
        <v/>
      </c>
      <c r="X50" s="212">
        <f>IFERROR(W50/W$20,0)</f>
        <v/>
      </c>
      <c r="Y50" s="206">
        <f>SUM(Y44:Y49)</f>
        <v/>
      </c>
      <c r="Z50" s="212">
        <f>IFERROR(Y50/Y$20,0)</f>
        <v/>
      </c>
      <c r="AB50" s="206">
        <f>SUM(AB44:AB49)</f>
        <v/>
      </c>
      <c r="AC50" s="212">
        <f>IFERROR(AB50/AB$20,0)</f>
        <v/>
      </c>
    </row>
    <row r="52" ht="15" customHeight="1" s="180">
      <c r="A52" s="185" t="inlineStr">
        <is>
          <t>Uncontrollable Expenses</t>
        </is>
      </c>
    </row>
    <row r="53" ht="15" customHeight="1" s="180">
      <c r="A53" s="184" t="inlineStr">
        <is>
          <t>Utilities</t>
        </is>
      </c>
      <c r="C53" s="203">
        <f>'LW 2026 P&amp;L'!$Y$47</f>
        <v/>
      </c>
      <c r="D53" s="211">
        <f>IFERROR(C53/C$20,0)</f>
        <v/>
      </c>
      <c r="E53" s="203">
        <f>'LW 2026 P&amp;L'!$Y$47</f>
        <v/>
      </c>
      <c r="F53" s="211">
        <f>IFERROR(E53/E$20,0)</f>
        <v/>
      </c>
      <c r="G53" s="203">
        <f>'LW 2026 P&amp;L'!$Y$47</f>
        <v/>
      </c>
      <c r="H53" s="211">
        <f>IFERROR(G53/G$20,0)</f>
        <v/>
      </c>
      <c r="I53" s="203">
        <f>'LW 2026 P&amp;L'!$Y$47</f>
        <v/>
      </c>
      <c r="J53" s="211">
        <f>IFERROR(I53/I$20,0)</f>
        <v/>
      </c>
      <c r="K53" s="203">
        <f>'LW 2026 P&amp;L'!$Y$47</f>
        <v/>
      </c>
      <c r="L53" s="211">
        <f>IFERROR(K53/K$20,0)</f>
        <v/>
      </c>
      <c r="M53" s="203">
        <f>'LW 2026 P&amp;L'!$Y$47</f>
        <v/>
      </c>
      <c r="N53" s="211">
        <f>IFERROR(M53/M$20,0)</f>
        <v/>
      </c>
      <c r="O53" s="203">
        <f>'LW 2026 P&amp;L'!$Y$47</f>
        <v/>
      </c>
      <c r="P53" s="211">
        <f>IFERROR(O53/O$20,0)</f>
        <v/>
      </c>
      <c r="Q53" s="203">
        <f>'LW 2026 P&amp;L'!$Y$47</f>
        <v/>
      </c>
      <c r="R53" s="211">
        <f>IFERROR(Q53/Q$20,0)</f>
        <v/>
      </c>
      <c r="S53" s="203">
        <f>'LW 2026 P&amp;L'!$Y$47</f>
        <v/>
      </c>
      <c r="T53" s="211">
        <f>IFERROR(S53/S$20,0)</f>
        <v/>
      </c>
      <c r="U53" s="203">
        <f>'LW 2026 P&amp;L'!$Y$47</f>
        <v/>
      </c>
      <c r="V53" s="211">
        <f>IFERROR(U53/U$20,0)</f>
        <v/>
      </c>
      <c r="W53" s="203">
        <f>'LW 2026 P&amp;L'!$Y$47</f>
        <v/>
      </c>
      <c r="X53" s="211">
        <f>IFERROR(W53/W$20,0)</f>
        <v/>
      </c>
      <c r="Y53" s="203">
        <f>'LW 2026 P&amp;L'!$Y$47</f>
        <v/>
      </c>
      <c r="Z53" s="211">
        <f>IFERROR(Y53/Y$20,0)</f>
        <v/>
      </c>
      <c r="AB53" s="203">
        <f>SUM(C53,E53,G53,I53,K53,M53,O53,Q53,S53,U53,W53,Y53)</f>
        <v/>
      </c>
      <c r="AC53" s="211">
        <f>IFERROR(AB53/AB$20,0)</f>
        <v/>
      </c>
    </row>
    <row r="54" ht="15" customHeight="1" s="180">
      <c r="A54" s="184" t="inlineStr">
        <is>
          <t>Occupancy Cost</t>
        </is>
      </c>
      <c r="C54" s="203">
        <f>C20*'LW Assumptions'!$C$41</f>
        <v/>
      </c>
      <c r="D54" s="211">
        <f>IFERROR(C54/C$20,0)</f>
        <v/>
      </c>
      <c r="E54" s="203">
        <f>E20*'LW Assumptions'!$C$41</f>
        <v/>
      </c>
      <c r="F54" s="211">
        <f>IFERROR(E54/E$20,0)</f>
        <v/>
      </c>
      <c r="G54" s="203">
        <f>G20*'LW Assumptions'!$C$41</f>
        <v/>
      </c>
      <c r="H54" s="211">
        <f>IFERROR(G54/G$20,0)</f>
        <v/>
      </c>
      <c r="I54" s="203">
        <f>I20*'LW Assumptions'!$C$41</f>
        <v/>
      </c>
      <c r="J54" s="211">
        <f>IFERROR(I54/I$20,0)</f>
        <v/>
      </c>
      <c r="K54" s="203">
        <f>K20*'LW Assumptions'!$C$41</f>
        <v/>
      </c>
      <c r="L54" s="211">
        <f>IFERROR(K54/K$20,0)</f>
        <v/>
      </c>
      <c r="M54" s="203">
        <f>M20*'LW Assumptions'!$C$41</f>
        <v/>
      </c>
      <c r="N54" s="211">
        <f>IFERROR(M54/M$20,0)</f>
        <v/>
      </c>
      <c r="O54" s="203">
        <f>O20*'LW Assumptions'!$C$41</f>
        <v/>
      </c>
      <c r="P54" s="211">
        <f>IFERROR(O54/O$20,0)</f>
        <v/>
      </c>
      <c r="Q54" s="203">
        <f>Q20*'LW Assumptions'!$C$41</f>
        <v/>
      </c>
      <c r="R54" s="211">
        <f>IFERROR(Q54/Q$20,0)</f>
        <v/>
      </c>
      <c r="S54" s="203">
        <f>S20*'LW Assumptions'!$C$41</f>
        <v/>
      </c>
      <c r="T54" s="211">
        <f>IFERROR(S54/S$20,0)</f>
        <v/>
      </c>
      <c r="U54" s="203">
        <f>U20*'LW Assumptions'!$C$41</f>
        <v/>
      </c>
      <c r="V54" s="211">
        <f>IFERROR(U54/U$20,0)</f>
        <v/>
      </c>
      <c r="W54" s="203">
        <f>W20*'LW Assumptions'!$C$41</f>
        <v/>
      </c>
      <c r="X54" s="211">
        <f>IFERROR(W54/W$20,0)</f>
        <v/>
      </c>
      <c r="Y54" s="203">
        <f>Y20*'LW Assumptions'!$C$41</f>
        <v/>
      </c>
      <c r="Z54" s="211">
        <f>IFERROR(Y54/Y$20,0)</f>
        <v/>
      </c>
      <c r="AB54" s="203">
        <f>SUM(C54,E54,G54,I54,K54,M54,O54,Q54,S54,U54,W54,Y54)</f>
        <v/>
      </c>
      <c r="AC54" s="211">
        <f>IFERROR(AB54/AB$20,0)</f>
        <v/>
      </c>
    </row>
    <row r="55" ht="15" customHeight="1" s="180">
      <c r="A55" s="184" t="inlineStr">
        <is>
          <t>General &amp; Administrative - Uncon (4.5% target)</t>
        </is>
      </c>
      <c r="C55" s="203">
        <f>C20*'LW Assumptions'!$C$52</f>
        <v/>
      </c>
      <c r="D55" s="211">
        <f>IFERROR(C55/C$20,0)</f>
        <v/>
      </c>
      <c r="E55" s="203">
        <f>E20*'LW Assumptions'!$C$52</f>
        <v/>
      </c>
      <c r="F55" s="211">
        <f>IFERROR(E55/E$20,0)</f>
        <v/>
      </c>
      <c r="G55" s="203">
        <f>G20*'LW Assumptions'!$C$52</f>
        <v/>
      </c>
      <c r="H55" s="211">
        <f>IFERROR(G55/G$20,0)</f>
        <v/>
      </c>
      <c r="I55" s="203">
        <f>I20*'LW Assumptions'!$C$52</f>
        <v/>
      </c>
      <c r="J55" s="211">
        <f>IFERROR(I55/I$20,0)</f>
        <v/>
      </c>
      <c r="K55" s="203">
        <f>K20*'LW Assumptions'!$C$52</f>
        <v/>
      </c>
      <c r="L55" s="211">
        <f>IFERROR(K55/K$20,0)</f>
        <v/>
      </c>
      <c r="M55" s="203">
        <f>M20*'LW Assumptions'!$C$52</f>
        <v/>
      </c>
      <c r="N55" s="211">
        <f>IFERROR(M55/M$20,0)</f>
        <v/>
      </c>
      <c r="O55" s="203">
        <f>O20*'LW Assumptions'!$C$52</f>
        <v/>
      </c>
      <c r="P55" s="211">
        <f>IFERROR(O55/O$20,0)</f>
        <v/>
      </c>
      <c r="Q55" s="203">
        <f>Q20*'LW Assumptions'!$C$52</f>
        <v/>
      </c>
      <c r="R55" s="211">
        <f>IFERROR(Q55/Q$20,0)</f>
        <v/>
      </c>
      <c r="S55" s="203">
        <f>S20*'LW Assumptions'!$C$52</f>
        <v/>
      </c>
      <c r="T55" s="211">
        <f>IFERROR(S55/S$20,0)</f>
        <v/>
      </c>
      <c r="U55" s="203">
        <f>U20*'LW Assumptions'!$C$52</f>
        <v/>
      </c>
      <c r="V55" s="211">
        <f>IFERROR(U55/U$20,0)</f>
        <v/>
      </c>
      <c r="W55" s="203">
        <f>W20*'LW Assumptions'!$C$52</f>
        <v/>
      </c>
      <c r="X55" s="211">
        <f>IFERROR(W55/W$20,0)</f>
        <v/>
      </c>
      <c r="Y55" s="203">
        <f>Y20*'LW Assumptions'!$C$52</f>
        <v/>
      </c>
      <c r="Z55" s="211">
        <f>IFERROR(Y55/Y$20,0)</f>
        <v/>
      </c>
      <c r="AB55" s="203">
        <f>SUM(C55,E55,G55,I55,K55,M55,O55,Q55,S55,U55,W55,Y55)</f>
        <v/>
      </c>
      <c r="AC55" s="211">
        <f>IFERROR(AB55/AB$20,0)</f>
        <v/>
      </c>
    </row>
    <row r="56" ht="15" customHeight="1" s="180">
      <c r="A56" s="184" t="inlineStr">
        <is>
          <t>Management Fee</t>
        </is>
      </c>
      <c r="C56" s="203">
        <f>C20*'LW Assumptions'!$C$40</f>
        <v/>
      </c>
      <c r="D56" s="211">
        <f>IFERROR(C56/C$20,0)</f>
        <v/>
      </c>
      <c r="E56" s="203">
        <f>E20*'LW Assumptions'!$C$40</f>
        <v/>
      </c>
      <c r="F56" s="211">
        <f>IFERROR(E56/E$20,0)</f>
        <v/>
      </c>
      <c r="G56" s="203">
        <f>G20*'LW Assumptions'!$C$40</f>
        <v/>
      </c>
      <c r="H56" s="211">
        <f>IFERROR(G56/G$20,0)</f>
        <v/>
      </c>
      <c r="I56" s="203">
        <f>I20*'LW Assumptions'!$C$40</f>
        <v/>
      </c>
      <c r="J56" s="211">
        <f>IFERROR(I56/I$20,0)</f>
        <v/>
      </c>
      <c r="K56" s="203">
        <f>K20*'LW Assumptions'!$C$40</f>
        <v/>
      </c>
      <c r="L56" s="211">
        <f>IFERROR(K56/K$20,0)</f>
        <v/>
      </c>
      <c r="M56" s="203">
        <f>M20*'LW Assumptions'!$C$40</f>
        <v/>
      </c>
      <c r="N56" s="211">
        <f>IFERROR(M56/M$20,0)</f>
        <v/>
      </c>
      <c r="O56" s="203">
        <f>O20*'LW Assumptions'!$C$40</f>
        <v/>
      </c>
      <c r="P56" s="211">
        <f>IFERROR(O56/O$20,0)</f>
        <v/>
      </c>
      <c r="Q56" s="203">
        <f>Q20*'LW Assumptions'!$C$40</f>
        <v/>
      </c>
      <c r="R56" s="211">
        <f>IFERROR(Q56/Q$20,0)</f>
        <v/>
      </c>
      <c r="S56" s="203">
        <f>S20*'LW Assumptions'!$C$40</f>
        <v/>
      </c>
      <c r="T56" s="211">
        <f>IFERROR(S56/S$20,0)</f>
        <v/>
      </c>
      <c r="U56" s="203">
        <f>U20*'LW Assumptions'!$C$40</f>
        <v/>
      </c>
      <c r="V56" s="211">
        <f>IFERROR(U56/U$20,0)</f>
        <v/>
      </c>
      <c r="W56" s="203">
        <f>W20*'LW Assumptions'!$C$40</f>
        <v/>
      </c>
      <c r="X56" s="211">
        <f>IFERROR(W56/W$20,0)</f>
        <v/>
      </c>
      <c r="Y56" s="203">
        <f>Y20*'LW Assumptions'!$C$40</f>
        <v/>
      </c>
      <c r="Z56" s="211">
        <f>IFERROR(Y56/Y$20,0)</f>
        <v/>
      </c>
      <c r="AB56" s="203">
        <f>SUM(C56,E56,G56,I56,K56,M56,O56,Q56,S56,U56,W56,Y56)</f>
        <v/>
      </c>
      <c r="AC56" s="211">
        <f>IFERROR(AB56/AB$20,0)</f>
        <v/>
      </c>
    </row>
    <row r="57" ht="15" customHeight="1" s="180">
      <c r="A57" s="184" t="inlineStr">
        <is>
          <t>Admin Fee (5% of F&amp;B)</t>
        </is>
      </c>
      <c r="C57" s="203" t="n">
        <v>0</v>
      </c>
      <c r="D57" s="211">
        <f>IFERROR(C57/C$20,0)</f>
        <v/>
      </c>
      <c r="E57" s="203" t="n">
        <v>0</v>
      </c>
      <c r="F57" s="211">
        <f>IFERROR(E57/E$20,0)</f>
        <v/>
      </c>
      <c r="G57" s="203" t="n">
        <v>0</v>
      </c>
      <c r="H57" s="211">
        <f>IFERROR(G57/G$20,0)</f>
        <v/>
      </c>
      <c r="I57" s="203" t="n">
        <v>0</v>
      </c>
      <c r="J57" s="211">
        <f>IFERROR(I57/I$20,0)</f>
        <v/>
      </c>
      <c r="K57" s="203" t="n">
        <v>0</v>
      </c>
      <c r="L57" s="211">
        <f>IFERROR(K57/K$20,0)</f>
        <v/>
      </c>
      <c r="M57" s="203" t="n">
        <v>0</v>
      </c>
      <c r="N57" s="211">
        <f>IFERROR(M57/M$20,0)</f>
        <v/>
      </c>
      <c r="O57" s="203" t="n">
        <v>0</v>
      </c>
      <c r="P57" s="211">
        <f>IFERROR(O57/O$20,0)</f>
        <v/>
      </c>
      <c r="Q57" s="203" t="n">
        <v>0</v>
      </c>
      <c r="R57" s="211">
        <f>IFERROR(Q57/Q$20,0)</f>
        <v/>
      </c>
      <c r="S57" s="203" t="n">
        <v>0</v>
      </c>
      <c r="T57" s="211">
        <f>IFERROR(S57/S$20,0)</f>
        <v/>
      </c>
      <c r="U57" s="203" t="n">
        <v>0</v>
      </c>
      <c r="V57" s="211">
        <f>IFERROR(U57/U$20,0)</f>
        <v/>
      </c>
      <c r="W57" s="203" t="n">
        <v>0</v>
      </c>
      <c r="X57" s="211">
        <f>IFERROR(W57/W$20,0)</f>
        <v/>
      </c>
      <c r="Y57" s="203" t="n">
        <v>0</v>
      </c>
      <c r="Z57" s="211">
        <f>IFERROR(Y57/Y$20,0)</f>
        <v/>
      </c>
      <c r="AB57" s="203">
        <f>SUM(C57,E57,G57,I57,K57,M57,O57,Q57,S57,U57,W57,Y57)</f>
        <v/>
      </c>
      <c r="AC57" s="211">
        <f>IFERROR(AB57/AB$20,0)</f>
        <v/>
      </c>
    </row>
    <row r="58" ht="15" customHeight="1" s="180">
      <c r="A58" s="184" t="inlineStr">
        <is>
          <t>Owner Fee</t>
        </is>
      </c>
      <c r="C58" s="203">
        <f>'LW 2026 P&amp;L'!$Y$51</f>
        <v/>
      </c>
      <c r="D58" s="211">
        <f>IFERROR(C58/C$20,0)</f>
        <v/>
      </c>
      <c r="E58" s="203">
        <f>'LW 2026 P&amp;L'!$Y$51</f>
        <v/>
      </c>
      <c r="F58" s="211">
        <f>IFERROR(E58/E$20,0)</f>
        <v/>
      </c>
      <c r="G58" s="203">
        <f>'LW 2026 P&amp;L'!$Y$51</f>
        <v/>
      </c>
      <c r="H58" s="211">
        <f>IFERROR(G58/G$20,0)</f>
        <v/>
      </c>
      <c r="I58" s="203">
        <f>'LW 2026 P&amp;L'!$Y$51</f>
        <v/>
      </c>
      <c r="J58" s="211">
        <f>IFERROR(I58/I$20,0)</f>
        <v/>
      </c>
      <c r="K58" s="203">
        <f>'LW 2026 P&amp;L'!$Y$51</f>
        <v/>
      </c>
      <c r="L58" s="211">
        <f>IFERROR(K58/K$20,0)</f>
        <v/>
      </c>
      <c r="M58" s="203">
        <f>'LW 2026 P&amp;L'!$Y$51</f>
        <v/>
      </c>
      <c r="N58" s="211">
        <f>IFERROR(M58/M$20,0)</f>
        <v/>
      </c>
      <c r="O58" s="203">
        <f>'LW 2026 P&amp;L'!$Y$51</f>
        <v/>
      </c>
      <c r="P58" s="211">
        <f>IFERROR(O58/O$20,0)</f>
        <v/>
      </c>
      <c r="Q58" s="203">
        <f>'LW 2026 P&amp;L'!$Y$51</f>
        <v/>
      </c>
      <c r="R58" s="211">
        <f>IFERROR(Q58/Q$20,0)</f>
        <v/>
      </c>
      <c r="S58" s="203">
        <f>'LW 2026 P&amp;L'!$Y$51</f>
        <v/>
      </c>
      <c r="T58" s="211">
        <f>IFERROR(S58/S$20,0)</f>
        <v/>
      </c>
      <c r="U58" s="203">
        <f>'LW 2026 P&amp;L'!$Y$51</f>
        <v/>
      </c>
      <c r="V58" s="211">
        <f>IFERROR(U58/U$20,0)</f>
        <v/>
      </c>
      <c r="W58" s="203">
        <f>'LW 2026 P&amp;L'!$Y$51</f>
        <v/>
      </c>
      <c r="X58" s="211">
        <f>IFERROR(W58/W$20,0)</f>
        <v/>
      </c>
      <c r="Y58" s="203">
        <f>'LW 2026 P&amp;L'!$Y$51</f>
        <v/>
      </c>
      <c r="Z58" s="211">
        <f>IFERROR(Y58/Y$20,0)</f>
        <v/>
      </c>
      <c r="AB58" s="203">
        <f>SUM(C58,E58,G58,I58,K58,M58,O58,Q58,S58,U58,W58,Y58)</f>
        <v/>
      </c>
      <c r="AC58" s="211">
        <f>IFERROR(AB58/AB$20,0)</f>
        <v/>
      </c>
    </row>
    <row r="59" ht="15" customHeight="1" s="180">
      <c r="A59" s="184" t="inlineStr">
        <is>
          <t>Business Taxes</t>
        </is>
      </c>
      <c r="C59" s="203">
        <f>'LW 2026 P&amp;L'!$Y$52</f>
        <v/>
      </c>
      <c r="D59" s="211">
        <f>IFERROR(C59/C$20,0)</f>
        <v/>
      </c>
      <c r="E59" s="203">
        <f>'LW 2026 P&amp;L'!$Y$52</f>
        <v/>
      </c>
      <c r="F59" s="211">
        <f>IFERROR(E59/E$20,0)</f>
        <v/>
      </c>
      <c r="G59" s="203">
        <f>'LW 2026 P&amp;L'!$Y$52</f>
        <v/>
      </c>
      <c r="H59" s="211">
        <f>IFERROR(G59/G$20,0)</f>
        <v/>
      </c>
      <c r="I59" s="203">
        <f>'LW 2026 P&amp;L'!$Y$52</f>
        <v/>
      </c>
      <c r="J59" s="211">
        <f>IFERROR(I59/I$20,0)</f>
        <v/>
      </c>
      <c r="K59" s="203">
        <f>'LW 2026 P&amp;L'!$Y$52</f>
        <v/>
      </c>
      <c r="L59" s="211">
        <f>IFERROR(K59/K$20,0)</f>
        <v/>
      </c>
      <c r="M59" s="203">
        <f>'LW 2026 P&amp;L'!$Y$52</f>
        <v/>
      </c>
      <c r="N59" s="211">
        <f>IFERROR(M59/M$20,0)</f>
        <v/>
      </c>
      <c r="O59" s="203">
        <f>'LW 2026 P&amp;L'!$Y$52</f>
        <v/>
      </c>
      <c r="P59" s="211">
        <f>IFERROR(O59/O$20,0)</f>
        <v/>
      </c>
      <c r="Q59" s="203">
        <f>'LW 2026 P&amp;L'!$Y$52</f>
        <v/>
      </c>
      <c r="R59" s="211">
        <f>IFERROR(Q59/Q$20,0)</f>
        <v/>
      </c>
      <c r="S59" s="203">
        <f>'LW 2026 P&amp;L'!$Y$52</f>
        <v/>
      </c>
      <c r="T59" s="211">
        <f>IFERROR(S59/S$20,0)</f>
        <v/>
      </c>
      <c r="U59" s="203">
        <f>'LW 2026 P&amp;L'!$Y$52</f>
        <v/>
      </c>
      <c r="V59" s="211">
        <f>IFERROR(U59/U$20,0)</f>
        <v/>
      </c>
      <c r="W59" s="203">
        <f>'LW 2026 P&amp;L'!$Y$52</f>
        <v/>
      </c>
      <c r="X59" s="211">
        <f>IFERROR(W59/W$20,0)</f>
        <v/>
      </c>
      <c r="Y59" s="203">
        <f>'LW 2026 P&amp;L'!$Y$52</f>
        <v/>
      </c>
      <c r="Z59" s="211">
        <f>IFERROR(Y59/Y$20,0)</f>
        <v/>
      </c>
      <c r="AB59" s="203">
        <f>SUM(C59,E59,G59,I59,K59,M59,O59,Q59,S59,U59,W59,Y59)</f>
        <v/>
      </c>
      <c r="AC59" s="211">
        <f>IFERROR(AB59/AB$20,0)</f>
        <v/>
      </c>
    </row>
    <row r="60" ht="15" customHeight="1" s="180">
      <c r="A60" s="185" t="inlineStr">
        <is>
          <t>Total Uncontrollable Expenses</t>
        </is>
      </c>
      <c r="C60" s="206">
        <f>SUM(C53:C59)</f>
        <v/>
      </c>
      <c r="D60" s="212">
        <f>IFERROR(C60/C$20,0)</f>
        <v/>
      </c>
      <c r="E60" s="206">
        <f>SUM(E53:E59)</f>
        <v/>
      </c>
      <c r="F60" s="212">
        <f>IFERROR(E60/E$20,0)</f>
        <v/>
      </c>
      <c r="G60" s="206">
        <f>SUM(G53:G59)</f>
        <v/>
      </c>
      <c r="H60" s="212">
        <f>IFERROR(G60/G$20,0)</f>
        <v/>
      </c>
      <c r="I60" s="206">
        <f>SUM(I53:I59)</f>
        <v/>
      </c>
      <c r="J60" s="212">
        <f>IFERROR(I60/I$20,0)</f>
        <v/>
      </c>
      <c r="K60" s="206">
        <f>SUM(K53:K59)</f>
        <v/>
      </c>
      <c r="L60" s="212">
        <f>IFERROR(K60/K$20,0)</f>
        <v/>
      </c>
      <c r="M60" s="206">
        <f>SUM(M53:M59)</f>
        <v/>
      </c>
      <c r="N60" s="212">
        <f>IFERROR(M60/M$20,0)</f>
        <v/>
      </c>
      <c r="O60" s="206">
        <f>SUM(O53:O59)</f>
        <v/>
      </c>
      <c r="P60" s="212">
        <f>IFERROR(O60/O$20,0)</f>
        <v/>
      </c>
      <c r="Q60" s="206">
        <f>SUM(Q53:Q59)</f>
        <v/>
      </c>
      <c r="R60" s="212">
        <f>IFERROR(Q60/Q$20,0)</f>
        <v/>
      </c>
      <c r="S60" s="206">
        <f>SUM(S53:S59)</f>
        <v/>
      </c>
      <c r="T60" s="212">
        <f>IFERROR(S60/S$20,0)</f>
        <v/>
      </c>
      <c r="U60" s="206">
        <f>SUM(U53:U59)</f>
        <v/>
      </c>
      <c r="V60" s="212">
        <f>IFERROR(U60/U$20,0)</f>
        <v/>
      </c>
      <c r="W60" s="206">
        <f>SUM(W53:W59)</f>
        <v/>
      </c>
      <c r="X60" s="212">
        <f>IFERROR(W60/W$20,0)</f>
        <v/>
      </c>
      <c r="Y60" s="206">
        <f>SUM(Y53:Y59)</f>
        <v/>
      </c>
      <c r="Z60" s="212">
        <f>IFERROR(Y60/Y$20,0)</f>
        <v/>
      </c>
      <c r="AB60" s="206">
        <f>SUM(AB53:AB59)</f>
        <v/>
      </c>
      <c r="AC60" s="212">
        <f>IFERROR(AB60/AB$20,0)</f>
        <v/>
      </c>
    </row>
    <row r="62" ht="15" customHeight="1" s="180">
      <c r="A62" s="185" t="inlineStr">
        <is>
          <t>Net Operating Profit Before Debt Service</t>
        </is>
      </c>
      <c r="C62" s="206">
        <f>C41-C50-C60</f>
        <v/>
      </c>
      <c r="D62" s="212">
        <f>IFERROR(C62/C$20,0)</f>
        <v/>
      </c>
      <c r="E62" s="206">
        <f>E41-E50-E60</f>
        <v/>
      </c>
      <c r="F62" s="212">
        <f>IFERROR(E62/E$20,0)</f>
        <v/>
      </c>
      <c r="G62" s="206">
        <f>G41-G50-G60</f>
        <v/>
      </c>
      <c r="H62" s="212">
        <f>IFERROR(G62/G$20,0)</f>
        <v/>
      </c>
      <c r="I62" s="206">
        <f>I41-I50-I60</f>
        <v/>
      </c>
      <c r="J62" s="212">
        <f>IFERROR(I62/I$20,0)</f>
        <v/>
      </c>
      <c r="K62" s="206">
        <f>K41-K50-K60</f>
        <v/>
      </c>
      <c r="L62" s="212">
        <f>IFERROR(K62/K$20,0)</f>
        <v/>
      </c>
      <c r="M62" s="206">
        <f>M41-M50-M60</f>
        <v/>
      </c>
      <c r="N62" s="212">
        <f>IFERROR(M62/M$20,0)</f>
        <v/>
      </c>
      <c r="O62" s="206">
        <f>O41-O50-O60</f>
        <v/>
      </c>
      <c r="P62" s="212">
        <f>IFERROR(O62/O$20,0)</f>
        <v/>
      </c>
      <c r="Q62" s="206">
        <f>Q41-Q50-Q60</f>
        <v/>
      </c>
      <c r="R62" s="212">
        <f>IFERROR(Q62/Q$20,0)</f>
        <v/>
      </c>
      <c r="S62" s="206">
        <f>S41-S50-S60</f>
        <v/>
      </c>
      <c r="T62" s="212">
        <f>IFERROR(S62/S$20,0)</f>
        <v/>
      </c>
      <c r="U62" s="206">
        <f>U41-U50-U60</f>
        <v/>
      </c>
      <c r="V62" s="212">
        <f>IFERROR(U62/U$20,0)</f>
        <v/>
      </c>
      <c r="W62" s="206">
        <f>W41-W50-W60</f>
        <v/>
      </c>
      <c r="X62" s="212">
        <f>IFERROR(W62/W$20,0)</f>
        <v/>
      </c>
      <c r="Y62" s="206">
        <f>Y41-Y50-Y60</f>
        <v/>
      </c>
      <c r="Z62" s="212">
        <f>IFERROR(Y62/Y$20,0)</f>
        <v/>
      </c>
      <c r="AB62" s="206">
        <f>AB41-AB50-AB60</f>
        <v/>
      </c>
      <c r="AC62" s="212">
        <f>IFERROR(AB62/AB$20,0)</f>
        <v/>
      </c>
    </row>
    <row r="64" ht="15" customHeight="1" s="180">
      <c r="A64" s="184" t="inlineStr">
        <is>
          <t>Debt Service</t>
        </is>
      </c>
      <c r="C64" s="203">
        <f>'LW 2026 P&amp;L'!$Y$57</f>
        <v/>
      </c>
      <c r="D64" s="211">
        <f>IFERROR(C64/C$20,0)</f>
        <v/>
      </c>
      <c r="E64" s="203">
        <f>'LW 2026 P&amp;L'!$Y$57</f>
        <v/>
      </c>
      <c r="F64" s="211">
        <f>IFERROR(E64/E$20,0)</f>
        <v/>
      </c>
      <c r="G64" s="203">
        <f>'LW 2026 P&amp;L'!$Y$57</f>
        <v/>
      </c>
      <c r="H64" s="211">
        <f>IFERROR(G64/G$20,0)</f>
        <v/>
      </c>
      <c r="I64" s="203">
        <f>'LW 2026 P&amp;L'!$Y$57</f>
        <v/>
      </c>
      <c r="J64" s="211">
        <f>IFERROR(I64/I$20,0)</f>
        <v/>
      </c>
      <c r="K64" s="203">
        <f>'LW 2026 P&amp;L'!$Y$57</f>
        <v/>
      </c>
      <c r="L64" s="211">
        <f>IFERROR(K64/K$20,0)</f>
        <v/>
      </c>
      <c r="M64" s="203">
        <f>'LW 2026 P&amp;L'!$Y$57</f>
        <v/>
      </c>
      <c r="N64" s="211">
        <f>IFERROR(M64/M$20,0)</f>
        <v/>
      </c>
      <c r="O64" s="203">
        <f>'LW 2026 P&amp;L'!$Y$57</f>
        <v/>
      </c>
      <c r="P64" s="211">
        <f>IFERROR(O64/O$20,0)</f>
        <v/>
      </c>
      <c r="Q64" s="203">
        <f>'LW 2026 P&amp;L'!$Y$57</f>
        <v/>
      </c>
      <c r="R64" s="211">
        <f>IFERROR(Q64/Q$20,0)</f>
        <v/>
      </c>
      <c r="S64" s="203">
        <f>'LW 2026 P&amp;L'!$Y$57</f>
        <v/>
      </c>
      <c r="T64" s="211">
        <f>IFERROR(S64/S$20,0)</f>
        <v/>
      </c>
      <c r="U64" s="203">
        <f>'LW 2026 P&amp;L'!$Y$57</f>
        <v/>
      </c>
      <c r="V64" s="211">
        <f>IFERROR(U64/U$20,0)</f>
        <v/>
      </c>
      <c r="W64" s="203">
        <f>'LW 2026 P&amp;L'!$Y$57</f>
        <v/>
      </c>
      <c r="X64" s="211">
        <f>IFERROR(W64/W$20,0)</f>
        <v/>
      </c>
      <c r="Y64" s="203">
        <f>'LW 2026 P&amp;L'!$Y$57</f>
        <v/>
      </c>
      <c r="Z64" s="211">
        <f>IFERROR(Y64/Y$20,0)</f>
        <v/>
      </c>
      <c r="AB64" s="203">
        <f>SUM(C64,E64,G64,I64,K64,M64,O64,Q64,S64,U64,W64,Y64)</f>
        <v/>
      </c>
      <c r="AC64" s="211">
        <f>IFERROR(AB64/AB$20,0)</f>
        <v/>
      </c>
    </row>
    <row r="66" ht="15" customHeight="1" s="180">
      <c r="A66" s="185" t="inlineStr">
        <is>
          <t>Net Operating Profit After Debt Service</t>
        </is>
      </c>
      <c r="C66" s="186">
        <f>C62-C64</f>
        <v/>
      </c>
      <c r="D66" s="187">
        <f>IFERROR(C66/C$20,0)</f>
        <v/>
      </c>
      <c r="E66" s="186">
        <f>E62-E64</f>
        <v/>
      </c>
      <c r="F66" s="187">
        <f>IFERROR(E66/E$20,0)</f>
        <v/>
      </c>
      <c r="G66" s="186">
        <f>G62-G64</f>
        <v/>
      </c>
      <c r="H66" s="187">
        <f>IFERROR(G66/G$20,0)</f>
        <v/>
      </c>
      <c r="I66" s="186">
        <f>I62-I64</f>
        <v/>
      </c>
      <c r="J66" s="187">
        <f>IFERROR(I66/I$20,0)</f>
        <v/>
      </c>
      <c r="K66" s="186">
        <f>K62-K64</f>
        <v/>
      </c>
      <c r="L66" s="187">
        <f>IFERROR(K66/K$20,0)</f>
        <v/>
      </c>
      <c r="M66" s="186">
        <f>M62-M64</f>
        <v/>
      </c>
      <c r="N66" s="187">
        <f>IFERROR(M66/M$20,0)</f>
        <v/>
      </c>
      <c r="O66" s="186">
        <f>O62-O64</f>
        <v/>
      </c>
      <c r="P66" s="187">
        <f>IFERROR(O66/O$20,0)</f>
        <v/>
      </c>
      <c r="Q66" s="186">
        <f>Q62-Q64</f>
        <v/>
      </c>
      <c r="R66" s="187">
        <f>IFERROR(Q66/Q$20,0)</f>
        <v/>
      </c>
      <c r="S66" s="186">
        <f>S62-S64</f>
        <v/>
      </c>
      <c r="T66" s="187">
        <f>IFERROR(S66/S$20,0)</f>
        <v/>
      </c>
      <c r="U66" s="186">
        <f>U62-U64</f>
        <v/>
      </c>
      <c r="V66" s="187">
        <f>IFERROR(U66/U$20,0)</f>
        <v/>
      </c>
      <c r="W66" s="186">
        <f>W62-W64</f>
        <v/>
      </c>
      <c r="X66" s="187">
        <f>IFERROR(W66/W$20,0)</f>
        <v/>
      </c>
      <c r="Y66" s="186">
        <f>Y62-Y64</f>
        <v/>
      </c>
      <c r="Z66" s="187">
        <f>IFERROR(Y66/Y$20,0)</f>
        <v/>
      </c>
      <c r="AB66" s="186">
        <f>AB62-AB64</f>
        <v/>
      </c>
      <c r="AC66" s="187">
        <f>IFERROR(AB66/AB$20,0)</f>
        <v/>
      </c>
    </row>
    <row r="68" ht="15" customHeight="1" s="180">
      <c r="A68" s="184" t="inlineStr">
        <is>
          <t>Other (Income) Expense</t>
        </is>
      </c>
      <c r="C68" s="203">
        <f>'LW 2026 P&amp;L'!$Y$61</f>
        <v/>
      </c>
      <c r="D68" s="211">
        <f>IFERROR(C68/C$20,0)</f>
        <v/>
      </c>
      <c r="E68" s="203">
        <f>'LW 2026 P&amp;L'!$Y$61</f>
        <v/>
      </c>
      <c r="F68" s="211">
        <f>IFERROR(E68/E$20,0)</f>
        <v/>
      </c>
      <c r="G68" s="203">
        <f>'LW 2026 P&amp;L'!$Y$61</f>
        <v/>
      </c>
      <c r="H68" s="211">
        <f>IFERROR(G68/G$20,0)</f>
        <v/>
      </c>
      <c r="I68" s="203">
        <f>'LW 2026 P&amp;L'!$Y$61</f>
        <v/>
      </c>
      <c r="J68" s="211">
        <f>IFERROR(I68/I$20,0)</f>
        <v/>
      </c>
      <c r="K68" s="203">
        <f>'LW 2026 P&amp;L'!$Y$61</f>
        <v/>
      </c>
      <c r="L68" s="211">
        <f>IFERROR(K68/K$20,0)</f>
        <v/>
      </c>
      <c r="M68" s="203">
        <f>'LW 2026 P&amp;L'!$Y$61</f>
        <v/>
      </c>
      <c r="N68" s="211">
        <f>IFERROR(M68/M$20,0)</f>
        <v/>
      </c>
      <c r="O68" s="203">
        <f>'LW 2026 P&amp;L'!$Y$61</f>
        <v/>
      </c>
      <c r="P68" s="211">
        <f>IFERROR(O68/O$20,0)</f>
        <v/>
      </c>
      <c r="Q68" s="203">
        <f>'LW 2026 P&amp;L'!$Y$61</f>
        <v/>
      </c>
      <c r="R68" s="211">
        <f>IFERROR(Q68/Q$20,0)</f>
        <v/>
      </c>
      <c r="S68" s="203">
        <f>'LW 2026 P&amp;L'!$Y$61</f>
        <v/>
      </c>
      <c r="T68" s="211">
        <f>IFERROR(S68/S$20,0)</f>
        <v/>
      </c>
      <c r="U68" s="203">
        <f>'LW 2026 P&amp;L'!$Y$61</f>
        <v/>
      </c>
      <c r="V68" s="211">
        <f>IFERROR(U68/U$20,0)</f>
        <v/>
      </c>
      <c r="W68" s="203">
        <f>'LW 2026 P&amp;L'!$Y$61</f>
        <v/>
      </c>
      <c r="X68" s="211">
        <f>IFERROR(W68/W$20,0)</f>
        <v/>
      </c>
      <c r="Y68" s="203">
        <f>'LW 2026 P&amp;L'!$Y$61</f>
        <v/>
      </c>
      <c r="Z68" s="211">
        <f>IFERROR(Y68/Y$20,0)</f>
        <v/>
      </c>
      <c r="AB68" s="203">
        <f>SUM(C68,E68,G68,I68,K68,M68,O68,Q68,S68,U68,W68,Y68)</f>
        <v/>
      </c>
      <c r="AC68" s="211">
        <f>IFERROR(AB68/AB$20,0)</f>
        <v/>
      </c>
    </row>
    <row r="69" ht="15" customHeight="1" s="180">
      <c r="A69" s="184" t="inlineStr">
        <is>
          <t>Reserve / CapEx</t>
        </is>
      </c>
      <c r="C69" s="203">
        <f>'LW 2026 P&amp;L'!$Y$62</f>
        <v/>
      </c>
      <c r="D69" s="211">
        <f>IFERROR(C69/C$20,0)</f>
        <v/>
      </c>
      <c r="E69" s="203">
        <f>'LW 2026 P&amp;L'!$Y$62</f>
        <v/>
      </c>
      <c r="F69" s="211">
        <f>IFERROR(E69/E$20,0)</f>
        <v/>
      </c>
      <c r="G69" s="203">
        <f>'LW 2026 P&amp;L'!$Y$62</f>
        <v/>
      </c>
      <c r="H69" s="211">
        <f>IFERROR(G69/G$20,0)</f>
        <v/>
      </c>
      <c r="I69" s="203">
        <f>'LW 2026 P&amp;L'!$Y$62</f>
        <v/>
      </c>
      <c r="J69" s="211">
        <f>IFERROR(I69/I$20,0)</f>
        <v/>
      </c>
      <c r="K69" s="203">
        <f>'LW 2026 P&amp;L'!$Y$62</f>
        <v/>
      </c>
      <c r="L69" s="211">
        <f>IFERROR(K69/K$20,0)</f>
        <v/>
      </c>
      <c r="M69" s="203">
        <f>'LW 2026 P&amp;L'!$Y$62</f>
        <v/>
      </c>
      <c r="N69" s="211">
        <f>IFERROR(M69/M$20,0)</f>
        <v/>
      </c>
      <c r="O69" s="203">
        <f>'LW 2026 P&amp;L'!$Y$62</f>
        <v/>
      </c>
      <c r="P69" s="211">
        <f>IFERROR(O69/O$20,0)</f>
        <v/>
      </c>
      <c r="Q69" s="203">
        <f>'LW 2026 P&amp;L'!$Y$62</f>
        <v/>
      </c>
      <c r="R69" s="211">
        <f>IFERROR(Q69/Q$20,0)</f>
        <v/>
      </c>
      <c r="S69" s="203">
        <f>'LW 2026 P&amp;L'!$Y$62</f>
        <v/>
      </c>
      <c r="T69" s="211">
        <f>IFERROR(S69/S$20,0)</f>
        <v/>
      </c>
      <c r="U69" s="203">
        <f>'LW 2026 P&amp;L'!$Y$62</f>
        <v/>
      </c>
      <c r="V69" s="211">
        <f>IFERROR(U69/U$20,0)</f>
        <v/>
      </c>
      <c r="W69" s="203">
        <f>'LW 2026 P&amp;L'!$Y$62</f>
        <v/>
      </c>
      <c r="X69" s="211">
        <f>IFERROR(W69/W$20,0)</f>
        <v/>
      </c>
      <c r="Y69" s="203">
        <f>'LW 2026 P&amp;L'!$Y$62</f>
        <v/>
      </c>
      <c r="Z69" s="211">
        <f>IFERROR(Y69/Y$20,0)</f>
        <v/>
      </c>
      <c r="AB69" s="203">
        <f>SUM(C69,E69,G69,I69,K69,M69,O69,Q69,S69,U69,W69,Y69)</f>
        <v/>
      </c>
      <c r="AC69" s="211">
        <f>IFERROR(AB69/AB$20,0)</f>
        <v/>
      </c>
    </row>
    <row r="70" ht="15" customHeight="1" s="180">
      <c r="A70" s="185" t="inlineStr">
        <is>
          <t>Net Cash Flow</t>
        </is>
      </c>
      <c r="C70" s="213">
        <f>C66-C68-C69</f>
        <v/>
      </c>
      <c r="D70" s="214">
        <f>IFERROR(C70/C$20,0)</f>
        <v/>
      </c>
      <c r="E70" s="213">
        <f>E66-E68-E69</f>
        <v/>
      </c>
      <c r="F70" s="214">
        <f>IFERROR(E70/E$20,0)</f>
        <v/>
      </c>
      <c r="G70" s="213">
        <f>G66-G68-G69</f>
        <v/>
      </c>
      <c r="H70" s="214">
        <f>IFERROR(G70/G$20,0)</f>
        <v/>
      </c>
      <c r="I70" s="213">
        <f>I66-I68-I69</f>
        <v/>
      </c>
      <c r="J70" s="214">
        <f>IFERROR(I70/I$20,0)</f>
        <v/>
      </c>
      <c r="K70" s="213">
        <f>K66-K68-K69</f>
        <v/>
      </c>
      <c r="L70" s="214">
        <f>IFERROR(K70/K$20,0)</f>
        <v/>
      </c>
      <c r="M70" s="213">
        <f>M66-M68-M69</f>
        <v/>
      </c>
      <c r="N70" s="214">
        <f>IFERROR(M70/M$20,0)</f>
        <v/>
      </c>
      <c r="O70" s="213">
        <f>O66-O68-O69</f>
        <v/>
      </c>
      <c r="P70" s="214">
        <f>IFERROR(O70/O$20,0)</f>
        <v/>
      </c>
      <c r="Q70" s="213">
        <f>Q66-Q68-Q69</f>
        <v/>
      </c>
      <c r="R70" s="214">
        <f>IFERROR(Q70/Q$20,0)</f>
        <v/>
      </c>
      <c r="S70" s="213">
        <f>S66-S68-S69</f>
        <v/>
      </c>
      <c r="T70" s="214">
        <f>IFERROR(S70/S$20,0)</f>
        <v/>
      </c>
      <c r="U70" s="213">
        <f>U66-U68-U69</f>
        <v/>
      </c>
      <c r="V70" s="214">
        <f>IFERROR(U70/U$20,0)</f>
        <v/>
      </c>
      <c r="W70" s="213">
        <f>W66-W68-W69</f>
        <v/>
      </c>
      <c r="X70" s="214">
        <f>IFERROR(W70/W$20,0)</f>
        <v/>
      </c>
      <c r="Y70" s="213">
        <f>Y66-Y68-Y69</f>
        <v/>
      </c>
      <c r="Z70" s="214">
        <f>IFERROR(Y70/Y$20,0)</f>
        <v/>
      </c>
      <c r="AB70" s="213">
        <f>AB66-AB68-AB69</f>
        <v/>
      </c>
      <c r="AC70" s="214">
        <f>IFERROR(AB70/AB$20,0)</f>
        <v/>
      </c>
    </row>
    <row r="72" ht="15" customHeight="1" s="180">
      <c r="A72" s="182" t="inlineStr">
        <is>
          <t>2027 = the 2026 Modified state annualized: December-2026 unmodified forecast as the monthly base (the accounting forecast is flat), with every lever in effect all 12 months. Same formulas as the LW 2026 Modified active months.</t>
        </is>
      </c>
    </row>
    <row r="74" ht="15" customHeight="1" s="180">
      <c r="A74" s="185" t="inlineStr">
        <is>
          <t>STAFFING SENSITIVITY — annual NOP by FOH coverage (BOH &amp; all else held)</t>
        </is>
      </c>
    </row>
    <row r="75" ht="15" customHeight="1" s="180">
      <c r="A75" s="185" t="inlineStr">
        <is>
          <t>Scenario</t>
        </is>
      </c>
      <c r="C75" s="185" t="inlineStr">
        <is>
          <t>Hrs/day</t>
        </is>
      </c>
      <c r="E75" s="185" t="inlineStr">
        <is>
          <t>Annual NOP</t>
        </is>
      </c>
    </row>
    <row r="76" ht="15" customHeight="1" s="180">
      <c r="A76" s="184" t="inlineStr">
        <is>
          <t>Base: 9.5h (6:30a–4p) + wknd overlap</t>
        </is>
      </c>
      <c r="C76" s="250">
        <f>'LW Assumptions'!$C$20+'LW Assumptions'!$C$21</f>
        <v/>
      </c>
      <c r="E76" s="203">
        <f>$AB$62-((C76-('LW Assumptions'!$C$20+'LW Assumptions'!$C$21))*'LW Assumptions'!$C$22*52*'LW Assumptions'!$C$23*(1+'LW Assumptions'!$C$24))</f>
        <v/>
      </c>
    </row>
    <row r="77" ht="15" customHeight="1" s="180">
      <c r="A77" s="184" t="inlineStr">
        <is>
          <t>8h single barista</t>
        </is>
      </c>
      <c r="C77" s="250" t="n">
        <v>8</v>
      </c>
      <c r="E77" s="203">
        <f>$AB$62-((C77-('LW Assumptions'!$C$20+'LW Assumptions'!$C$21))*'LW Assumptions'!$C$22*52*'LW Assumptions'!$C$23*(1+'LW Assumptions'!$C$24))</f>
        <v/>
      </c>
    </row>
    <row r="78" ht="15" customHeight="1" s="180">
      <c r="A78" s="184" t="inlineStr">
        <is>
          <t>11.5h (+2h afternoon)</t>
        </is>
      </c>
      <c r="C78" s="250" t="n">
        <v>13.5</v>
      </c>
      <c r="E78" s="203">
        <f>$AB$62-((C78-('LW Assumptions'!$C$20+'LW Assumptions'!$C$21))*'LW Assumptions'!$C$22*52*'LW Assumptions'!$C$23*(1+'LW Assumptions'!$C$24))</f>
        <v/>
      </c>
    </row>
    <row r="79" ht="15" customHeight="1" s="180">
      <c r="A79" s="184" t="inlineStr">
        <is>
          <t>Two full shifts (16h)</t>
        </is>
      </c>
      <c r="C79" s="250" t="n">
        <v>16</v>
      </c>
      <c r="E79" s="203">
        <f>$AB$62-((C79-('LW Assumptions'!$C$20+'LW Assumptions'!$C$21))*'LW Assumptions'!$C$22*52*'LW Assumptions'!$C$23*(1+'LW Assumptions'!$C$24))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9" min="1" max="1"/>
    <col width="34" customWidth="1" style="179" min="2" max="2"/>
    <col width="14" customWidth="1" style="179" min="3" max="4"/>
    <col width="3" customWidth="1" style="179" min="5" max="5"/>
    <col width="16" customWidth="1" style="179" min="6" max="6"/>
    <col width="12" customWidth="1" style="179" min="7" max="7"/>
    <col width="10" customWidth="1" style="179" min="8" max="8"/>
  </cols>
  <sheetData>
    <row r="1" ht="37.5" customHeight="1" s="180">
      <c r="A1" s="217" t="inlineStr">
        <is>
          <t>LITTLE WING — LABOR MODEL</t>
        </is>
      </c>
    </row>
    <row r="2" ht="15" customHeight="1" s="180">
      <c r="A2" s="218" t="inlineStr">
        <is>
          <t>Current roles (GL) vs adjusted single-shift schedule (6am–4pm) · sales-by-hour basis</t>
        </is>
      </c>
    </row>
    <row r="4" ht="15" customHeight="1" s="180">
      <c r="B4" s="219" t="inlineStr">
        <is>
          <t>CURRENT LABOR (GL annualized)</t>
        </is>
      </c>
      <c r="F4" s="219" t="inlineStr">
        <is>
          <t>SALES BY DAYPART (Jan–May)</t>
        </is>
      </c>
    </row>
    <row r="5" ht="15" customHeight="1" s="180">
      <c r="B5" s="251" t="inlineStr">
        <is>
          <t>Role</t>
        </is>
      </c>
      <c r="C5" s="220" t="inlineStr">
        <is>
          <t>Annual</t>
        </is>
      </c>
      <c r="D5" s="220" t="inlineStr">
        <is>
          <t>% of rev</t>
        </is>
      </c>
      <c r="F5" s="251" t="inlineStr">
        <is>
          <t>Window</t>
        </is>
      </c>
      <c r="G5" s="220" t="inlineStr">
        <is>
          <t>Net sales</t>
        </is>
      </c>
      <c r="H5" s="220" t="inlineStr">
        <is>
          <t>% of day</t>
        </is>
      </c>
    </row>
    <row r="6" ht="15" customHeight="1" s="180">
      <c r="B6" s="224" t="inlineStr">
        <is>
          <t>Baristas</t>
        </is>
      </c>
      <c r="C6" s="227" t="n">
        <v>42998</v>
      </c>
      <c r="D6" s="228">
        <f>C6/'LW Assumptions'!C10</f>
        <v/>
      </c>
      <c r="F6" s="224" t="inlineStr">
        <is>
          <t>Before 2pm  (2pm data split)</t>
        </is>
      </c>
      <c r="G6" s="227" t="n">
        <v>72907</v>
      </c>
      <c r="H6" s="228">
        <f>G6/$G$8</f>
        <v/>
      </c>
    </row>
    <row r="7" ht="15" customHeight="1" s="180">
      <c r="B7" s="224" t="inlineStr">
        <is>
          <t>Servers  (eliminated → counter/self-serve)</t>
        </is>
      </c>
      <c r="C7" s="227" t="n">
        <v>54634</v>
      </c>
      <c r="D7" s="228">
        <f>C7/'LW Assumptions'!C10</f>
        <v/>
      </c>
      <c r="F7" s="224" t="inlineStr">
        <is>
          <t>After 2pm</t>
        </is>
      </c>
      <c r="G7" s="227" t="n">
        <v>32396</v>
      </c>
      <c r="H7" s="228">
        <f>G7/$G$8</f>
        <v/>
      </c>
    </row>
    <row r="8" ht="15" customHeight="1" s="180">
      <c r="B8" s="224" t="inlineStr">
        <is>
          <t>Line cooks  (cook KEPT at $296/wk — see below)</t>
        </is>
      </c>
      <c r="C8" s="227" t="n">
        <v>30727</v>
      </c>
      <c r="D8" s="228">
        <f>C8/'LW Assumptions'!C10</f>
        <v/>
      </c>
      <c r="F8" s="260" t="inlineStr">
        <is>
          <t>Total day</t>
        </is>
      </c>
      <c r="G8" s="222">
        <f>G6+G7</f>
        <v/>
      </c>
      <c r="H8" s="223">
        <f>G8/$G$8</f>
        <v/>
      </c>
    </row>
    <row r="9" ht="15" customHeight="1" s="180">
      <c r="B9" s="224" t="inlineStr">
        <is>
          <t>FOH management  (into supervisor)</t>
        </is>
      </c>
      <c r="C9" s="227" t="n">
        <v>12880</v>
      </c>
      <c r="D9" s="228">
        <f>C9/'LW Assumptions'!C10</f>
        <v/>
      </c>
    </row>
    <row r="10" ht="15" customHeight="1" s="180">
      <c r="B10" s="224" t="inlineStr">
        <is>
          <t>Bartenders</t>
        </is>
      </c>
      <c r="C10" s="227" t="n">
        <v>886</v>
      </c>
      <c r="D10" s="228">
        <f>C10/'LW Assumptions'!C10</f>
        <v/>
      </c>
      <c r="F10" s="237" t="inlineStr">
        <is>
          <t>→ 69% of sales land before 2pm; staffed</t>
        </is>
      </c>
    </row>
    <row r="11" ht="15" customHeight="1" s="180">
      <c r="B11" s="224" t="inlineStr">
        <is>
          <t>Payroll taxes &amp; benefits</t>
        </is>
      </c>
      <c r="C11" s="227" t="n">
        <v>22733</v>
      </c>
      <c r="D11" s="228">
        <f>C11/'LW Assumptions'!C10</f>
        <v/>
      </c>
      <c r="F11" s="237" t="inlineStr">
        <is>
          <t xml:space="preserve">   window is now 6:30am–4pm — post-4pm</t>
        </is>
      </c>
    </row>
    <row r="12" ht="15" customHeight="1" s="180">
      <c r="B12" s="260" t="inlineStr">
        <is>
          <t>Total current labor</t>
        </is>
      </c>
      <c r="C12" s="222">
        <f>SUM(C6:C11)</f>
        <v/>
      </c>
      <c r="D12" s="223">
        <f>C12/'LW Assumptions'!C10</f>
        <v/>
      </c>
      <c r="F12" s="237" t="inlineStr">
        <is>
          <t xml:space="preserve">   detail is on LW Daypart Analysis (21%).</t>
        </is>
      </c>
    </row>
    <row r="14" ht="15" customHeight="1" s="180">
      <c r="B14" s="219" t="inlineStr">
        <is>
          <t>ADJUSTED LABOR (single 6am–4pm shift, doors 6:30am + wknd 2nd barista)</t>
        </is>
      </c>
    </row>
    <row r="15" ht="15" customHeight="1" s="180">
      <c r="B15" s="224" t="inlineStr">
        <is>
          <t>Staff-hours / day</t>
        </is>
      </c>
      <c r="C15" s="261">
        <f>'LW Assumptions'!C20+'LW Assumptions'!C21</f>
        <v/>
      </c>
    </row>
    <row r="16" ht="15" customHeight="1" s="180">
      <c r="B16" s="224" t="inlineStr">
        <is>
          <t>Staff-hours / year</t>
        </is>
      </c>
      <c r="C16" s="231">
        <f>('LW Assumptions'!C20+'LW Assumptions'!C21)*'LW Assumptions'!C22*52</f>
        <v/>
      </c>
    </row>
    <row r="17" ht="15" customHeight="1" s="180">
      <c r="B17" s="224" t="inlineStr">
        <is>
          <t>FOH wages / year</t>
        </is>
      </c>
      <c r="C17" s="227">
        <f>C16*'LW Assumptions'!C23</f>
        <v/>
      </c>
    </row>
    <row r="18" ht="15" customHeight="1" s="180">
      <c r="B18" s="224" t="inlineStr">
        <is>
          <t>BOH cook wages / year  (kept · $296/wk)</t>
        </is>
      </c>
      <c r="C18" s="227">
        <f>'LW Assumptions'!C26*52</f>
        <v/>
      </c>
    </row>
    <row r="19" ht="15" customHeight="1" s="180">
      <c r="B19" s="224" t="inlineStr">
        <is>
          <t>+ payroll taxes &amp; benefits</t>
        </is>
      </c>
      <c r="C19" s="227">
        <f>(C17+C18)*'LW Assumptions'!C24</f>
        <v/>
      </c>
    </row>
    <row r="20" ht="15" customHeight="1" s="180">
      <c r="B20" s="224" t="inlineStr">
        <is>
          <t>Total adjusted labor</t>
        </is>
      </c>
      <c r="C20" s="231">
        <f>C17+C18+C19</f>
        <v/>
      </c>
    </row>
    <row r="21" ht="15" customHeight="1" s="180">
      <c r="B21" s="262" t="inlineStr">
        <is>
          <t>LABOR SAVINGS / YEAR</t>
        </is>
      </c>
      <c r="C21" s="263">
        <f>C12-C20</f>
        <v/>
      </c>
    </row>
    <row r="23" ht="15" customHeight="1" s="180">
      <c r="B23" s="237" t="inlineStr">
        <is>
          <t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      </is>
      </c>
    </row>
    <row r="24" ht="15" customHeight="1" s="180"/>
  </sheetData>
  <mergeCells count="3">
    <mergeCell ref="B23:H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79" min="1" max="1"/>
    <col width="20" customWidth="1" style="179" min="2" max="4"/>
  </cols>
  <sheetData>
    <row r="1" ht="25.5" customHeight="1" s="180">
      <c r="A1" s="264" t="inlineStr">
        <is>
          <t>LITTLE WING — WEEKLY LABOR: ACTUAL vs PROPOSED</t>
        </is>
      </c>
      <c r="B1" s="215" t="n"/>
      <c r="C1" s="215" t="n"/>
      <c r="D1" s="215" t="n"/>
    </row>
    <row r="2" ht="15" customHeight="1" s="180">
      <c r="A2" s="265" t="inlineStr">
        <is>
          <t>Week of Jun 1–7, 2026 · actual Dolce clock-ins + Toast sales vs the single-shift model (BOH cook kept) · incl. management labor &amp; PT&amp;B</t>
        </is>
      </c>
    </row>
    <row r="4" ht="15" customHeight="1" s="180">
      <c r="A4" s="251" t="n"/>
      <c r="B4" s="220" t="inlineStr">
        <is>
          <t>Current (actual wk)</t>
        </is>
      </c>
      <c r="C4" s="220" t="inlineStr">
        <is>
          <t>Proposed</t>
        </is>
      </c>
      <c r="D4" s="220" t="inlineStr">
        <is>
          <t>Δ</t>
        </is>
      </c>
    </row>
    <row r="5" ht="15" customHeight="1" s="180">
      <c r="A5" s="260" t="inlineStr">
        <is>
          <t>SCHEDULE / COVERAGE</t>
        </is>
      </c>
      <c r="B5" s="266" t="n"/>
      <c r="C5" s="266" t="n"/>
      <c r="D5" s="266" t="n"/>
    </row>
    <row r="6" ht="15" customHeight="1" s="180">
      <c r="A6" s="267" t="inlineStr">
        <is>
          <t>FOH coverage hours/day  (proposed shift 6:00a–4:00p · doors 6:30a)</t>
        </is>
      </c>
      <c r="B6" s="268" t="inlineStr">
        <is>
          <t>~16 (2 staggered shifts)</t>
        </is>
      </c>
      <c r="C6" s="268">
        <f>'LW Assumptions'!$C$20+'LW Assumptions'!$C$21</f>
        <v/>
      </c>
    </row>
    <row r="7" ht="15" customHeight="1" s="180">
      <c r="A7" s="267" t="inlineStr">
        <is>
          <t>Days open / week</t>
        </is>
      </c>
      <c r="B7" s="269" t="n">
        <v>7</v>
      </c>
      <c r="C7" s="269">
        <f>'LW Assumptions'!$C$22</f>
        <v/>
      </c>
    </row>
    <row r="9" ht="15" customHeight="1" s="180">
      <c r="A9" s="260" t="inlineStr">
        <is>
          <t>STAFF-HOURS  (week · all hourly, incl. supervisor)</t>
        </is>
      </c>
      <c r="B9" s="266" t="n"/>
      <c r="C9" s="266" t="n"/>
      <c r="D9" s="266" t="n"/>
    </row>
    <row r="10" ht="15" customHeight="1" s="180">
      <c r="A10" s="267" t="inlineStr">
        <is>
          <t>FOH counter + supervisor</t>
        </is>
      </c>
      <c r="B10" s="270" t="n">
        <v>111.8</v>
      </c>
      <c r="C10" s="270">
        <f>('LW Assumptions'!$C$20+'LW Assumptions'!$C$21)*'LW Assumptions'!$C$22</f>
        <v/>
      </c>
    </row>
    <row r="11" ht="15" customHeight="1" s="180">
      <c r="A11" s="267" t="inlineStr">
        <is>
          <t>BOH cook</t>
        </is>
      </c>
      <c r="B11" s="270" t="n">
        <v>13.3</v>
      </c>
      <c r="C11" s="270">
        <f>B11</f>
        <v/>
      </c>
    </row>
    <row r="12" ht="15" customHeight="1" s="180">
      <c r="A12" s="271" t="inlineStr">
        <is>
          <t>Total hourly staff-hours</t>
        </is>
      </c>
      <c r="B12" s="272" t="n">
        <v>125.1</v>
      </c>
      <c r="C12" s="272">
        <f>('LW Assumptions'!$C$20+'LW Assumptions'!$C$21)*'LW Assumptions'!$C$22+C11</f>
        <v/>
      </c>
    </row>
    <row r="13" ht="15" customHeight="1" s="180">
      <c r="A13" s="273" t="n"/>
      <c r="B13" s="274" t="n"/>
      <c r="C13" s="274" t="n"/>
    </row>
    <row r="14" ht="15" customHeight="1" s="180">
      <c r="A14" s="260" t="inlineStr">
        <is>
          <t>LABOR COST  (week)</t>
        </is>
      </c>
      <c r="B14" s="266" t="n"/>
      <c r="C14" s="266" t="n"/>
      <c r="D14" s="266" t="n"/>
    </row>
    <row r="15" ht="15" customHeight="1" s="180">
      <c r="A15" s="267" t="inlineStr">
        <is>
          <t>FOH hourly (counter + supervisor)</t>
        </is>
      </c>
      <c r="B15" s="275" t="n">
        <v>2207</v>
      </c>
      <c r="C15" s="275">
        <f>('LW Assumptions'!$C$20+'LW Assumptions'!$C$21)*'LW Assumptions'!$C$22*'LW Assumptions'!$C$23</f>
        <v/>
      </c>
    </row>
    <row r="16" ht="15" customHeight="1" s="180">
      <c r="A16" s="267" t="inlineStr">
        <is>
          <t>BOH hourly (cook)</t>
        </is>
      </c>
      <c r="B16" s="275" t="n">
        <v>296</v>
      </c>
      <c r="C16" s="275">
        <f>'LW Assumptions'!$C$26</f>
        <v/>
      </c>
    </row>
    <row r="17" ht="15" customHeight="1" s="180">
      <c r="A17" s="273" t="inlineStr">
        <is>
          <t>Hourly labor subtotal</t>
        </is>
      </c>
      <c r="B17" s="253" t="n">
        <v>2503</v>
      </c>
      <c r="C17" s="253">
        <f>C15+C16</f>
        <v/>
      </c>
    </row>
    <row r="18" ht="15" customHeight="1" s="180">
      <c r="A18" s="267" t="inlineStr">
        <is>
          <t>Management labor  (GL 610300 actual)</t>
        </is>
      </c>
      <c r="B18" s="275">
        <f>'LW Assumptions'!$C$45/52</f>
        <v/>
      </c>
      <c r="C18" s="275">
        <f>'LW Assumptions'!$C$45/52</f>
        <v/>
      </c>
    </row>
    <row r="19" ht="15" customHeight="1" s="180">
      <c r="A19" s="267" t="inlineStr">
        <is>
          <t>Payroll taxes &amp; benefits (16%)</t>
        </is>
      </c>
      <c r="B19" s="275">
        <f>(B17+B18)*'LW Assumptions'!$C$24</f>
        <v/>
      </c>
      <c r="C19" s="275">
        <f>(C17+C18)*'LW Assumptions'!$C$24</f>
        <v/>
      </c>
    </row>
    <row r="20" ht="15" customHeight="1" s="180">
      <c r="A20" s="276" t="inlineStr">
        <is>
          <t>TOTAL LOADED LABOR</t>
        </is>
      </c>
      <c r="B20" s="277">
        <f>B17+B18+B19</f>
        <v/>
      </c>
      <c r="C20" s="277">
        <f>C17+C18+C19</f>
        <v/>
      </c>
      <c r="D20" s="277">
        <f>C20-B20</f>
        <v/>
      </c>
    </row>
    <row r="21" ht="15" customHeight="1" s="180">
      <c r="A21" s="278" t="n"/>
      <c r="B21" s="279" t="n"/>
      <c r="C21" s="279" t="n"/>
      <c r="D21" s="279" t="n"/>
    </row>
    <row r="22" ht="15" customHeight="1" s="180">
      <c r="A22" s="273" t="inlineStr">
        <is>
          <t>Annualized (×52)</t>
        </is>
      </c>
      <c r="B22" s="253">
        <f>B20*52</f>
        <v/>
      </c>
      <c r="C22" s="253">
        <f>C20*52</f>
        <v/>
      </c>
      <c r="D22" s="253">
        <f>C22-B22</f>
        <v/>
      </c>
    </row>
    <row r="23" ht="15" customHeight="1" s="180">
      <c r="A23" s="273" t="n"/>
      <c r="B23" s="253" t="n"/>
      <c r="C23" s="253" t="n"/>
      <c r="D23" s="253" t="n"/>
    </row>
    <row r="24" ht="15" customHeight="1" s="180">
      <c r="A24" s="260" t="inlineStr">
        <is>
          <t>vs SALES  (actual week)</t>
        </is>
      </c>
      <c r="B24" s="266" t="n"/>
      <c r="C24" s="266" t="n"/>
      <c r="D24" s="266" t="n"/>
    </row>
    <row r="25" ht="15" customHeight="1" s="180">
      <c r="A25" s="267" t="inlineStr">
        <is>
          <t>Net sales (Toast)</t>
        </is>
      </c>
      <c r="B25" s="275" t="n">
        <v>5888.94</v>
      </c>
      <c r="C25" s="275" t="n">
        <v>5888.94</v>
      </c>
    </row>
    <row r="26" ht="15" customHeight="1" s="180">
      <c r="A26" s="273" t="inlineStr">
        <is>
          <t>Labor % of sales</t>
        </is>
      </c>
      <c r="B26" s="280">
        <f>B20/B25</f>
        <v/>
      </c>
      <c r="C26" s="280">
        <f>C20/C25</f>
        <v/>
      </c>
      <c r="D26" s="280">
        <f>C26-B26</f>
        <v/>
      </c>
    </row>
    <row r="27" ht="15" customHeight="1" s="180">
      <c r="A27" s="273" t="n"/>
      <c r="B27" s="280" t="n"/>
      <c r="C27" s="280" t="n"/>
      <c r="D27" s="280" t="n"/>
    </row>
    <row r="28" ht="15" customHeight="1" s="180">
      <c r="A28" s="281" t="inlineStr">
        <is>
          <t>WEEKLY SAVINGS  =  hourly reduction only (management held equal)</t>
        </is>
      </c>
    </row>
    <row r="29" ht="15" customHeight="1" s="180">
      <c r="A29" s="273" t="inlineStr">
        <is>
          <t>Weekly savings  |  annualized →</t>
        </is>
      </c>
      <c r="C29" s="253">
        <f>B20-C20</f>
        <v/>
      </c>
      <c r="D29" s="253">
        <f>C22-B22</f>
        <v/>
      </c>
    </row>
    <row r="31" ht="15" customHeight="1" s="180">
      <c r="A31" s="282" t="inlineStr">
        <is>
          <t>Supervisor = hourly</t>
        </is>
      </c>
    </row>
    <row r="32" ht="15" customHeight="1" s="180">
      <c r="A32" s="283" t="inlineStr">
        <is>
          <t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      </is>
      </c>
    </row>
    <row r="33" ht="15" customHeight="1" s="180"/>
    <row r="35" ht="15" customHeight="1" s="180">
      <c r="A35" s="282" t="inlineStr">
        <is>
          <t>Management labor = GL actual</t>
        </is>
      </c>
    </row>
    <row r="36" ht="15" customHeight="1" s="180">
      <c r="A36" s="283" t="inlineStr">
        <is>
          <t>Separate salaried FOH management (GL acct 610300) = $5,366.59 over Jan–May → $12,880/yr → ~$248/wk. Held equal in both columns (management overhead persists). Hourly + this + 16% PT&amp;B annualizes to ~$165K, tying to the GL run-rate.</t>
        </is>
      </c>
    </row>
    <row r="37" ht="15" customHeight="1" s="180"/>
    <row r="39" ht="15" customHeight="1" s="180">
      <c r="A39" s="284" t="inlineStr">
        <is>
          <t>⚠ After-4pm exposure</t>
        </is>
      </c>
    </row>
    <row r="40" ht="15" customHeight="1" s="180">
      <c r="A40" s="283" t="inlineStr">
        <is>
          <t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      </is>
      </c>
    </row>
    <row r="41" ht="15" customHeight="1" s="180"/>
  </sheetData>
  <mergeCells count="5">
    <mergeCell ref="A36:D37"/>
    <mergeCell ref="A2:D2"/>
    <mergeCell ref="A28:D28"/>
    <mergeCell ref="A40:D41"/>
    <mergeCell ref="A32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62" customWidth="1" style="179" min="1" max="1"/>
    <col width="2" customWidth="1" style="179" min="2" max="2"/>
    <col width="13" customWidth="1" style="179" min="3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Daypart Analysis — Toast item detail, Jan–Jun 2026 (ex-void) · proposed hours 6:30am–4pm</t>
        </is>
      </c>
    </row>
    <row r="4" ht="15" customHeight="1" s="180">
      <c r="A4" s="183" t="inlineStr">
        <is>
          <t>DAYPART SPLIT  (Jan–Jun 2026 · net sales $133,092)</t>
        </is>
      </c>
      <c r="B4" s="183" t="n"/>
      <c r="C4" s="183" t="inlineStr">
        <is>
          <t>$</t>
        </is>
      </c>
      <c r="D4" s="183" t="inlineStr">
        <is>
          <t>% of sales</t>
        </is>
      </c>
    </row>
    <row r="5" ht="15" customHeight="1" s="180">
      <c r="A5" s="184" t="inlineStr">
        <is>
          <t>Before 6:30am (forfeited by later open)</t>
        </is>
      </c>
      <c r="C5" s="203" t="n">
        <v>2411</v>
      </c>
      <c r="D5" s="211">
        <f>C5/$C$9</f>
        <v/>
      </c>
    </row>
    <row r="6" ht="15" customHeight="1" s="180">
      <c r="A6" s="184" t="inlineStr">
        <is>
          <t>6:30am – 2pm</t>
        </is>
      </c>
      <c r="C6" s="203" t="n">
        <v>89592</v>
      </c>
      <c r="D6" s="211">
        <f>C6/$C$9</f>
        <v/>
      </c>
    </row>
    <row r="7" ht="15" customHeight="1" s="180">
      <c r="A7" s="184" t="inlineStr">
        <is>
          <t>2pm – 4pm (now staffed)</t>
        </is>
      </c>
      <c r="C7" s="203" t="n">
        <v>13203</v>
      </c>
      <c r="D7" s="211">
        <f>C7/$C$9</f>
        <v/>
      </c>
    </row>
    <row r="8" ht="15" customHeight="1" s="180">
      <c r="A8" s="184" t="inlineStr">
        <is>
          <t>After 4pm (self-serve window)</t>
        </is>
      </c>
      <c r="C8" s="186" t="n">
        <v>27886</v>
      </c>
      <c r="D8" s="187">
        <f>C8/$C$9</f>
        <v/>
      </c>
    </row>
    <row r="9" ht="15" customHeight="1" s="180">
      <c r="A9" s="185" t="inlineStr">
        <is>
          <t>Total</t>
        </is>
      </c>
      <c r="C9" s="206">
        <f>SUM(C5:C8)</f>
        <v/>
      </c>
    </row>
    <row r="10" ht="15" customHeight="1" s="180">
      <c r="A10" s="182" t="inlineStr">
        <is>
          <t>Reconciliation: post-2pm = 30.9% — ties to the 31% "after 2pm" split on LW Labor Model (Jan–May).</t>
        </is>
      </c>
    </row>
    <row r="12" ht="15" customHeight="1" s="180">
      <c r="A12" s="183" t="inlineStr">
        <is>
          <t>POST-4PM BY MONTH</t>
        </is>
      </c>
      <c r="B12" s="183" t="n"/>
      <c r="C12" s="183" t="inlineStr">
        <is>
          <t>Month net sales</t>
        </is>
      </c>
      <c r="D12" s="183" t="inlineStr">
        <is>
          <t>Post-4pm $</t>
        </is>
      </c>
      <c r="E12" s="183" t="inlineStr">
        <is>
          <t>Post-4pm %</t>
        </is>
      </c>
    </row>
    <row r="13" ht="15" customHeight="1" s="180">
      <c r="A13" s="184" t="inlineStr">
        <is>
          <t>Jan</t>
        </is>
      </c>
      <c r="C13" s="203" t="n">
        <v>15610</v>
      </c>
      <c r="D13" s="203" t="n">
        <v>1659</v>
      </c>
      <c r="E13" s="211">
        <f>D13/C13</f>
        <v/>
      </c>
    </row>
    <row r="14" ht="15" customHeight="1" s="180">
      <c r="A14" s="184" t="inlineStr">
        <is>
          <t>Feb</t>
        </is>
      </c>
      <c r="C14" s="203" t="n">
        <v>17968</v>
      </c>
      <c r="D14" s="203" t="n">
        <v>3181</v>
      </c>
      <c r="E14" s="211">
        <f>D14/C14</f>
        <v/>
      </c>
    </row>
    <row r="15" ht="15" customHeight="1" s="180">
      <c r="A15" s="184" t="inlineStr">
        <is>
          <t>Mar</t>
        </is>
      </c>
      <c r="C15" s="203" t="n">
        <v>26748</v>
      </c>
      <c r="D15" s="203" t="n">
        <v>6400</v>
      </c>
      <c r="E15" s="211">
        <f>D15/C15</f>
        <v/>
      </c>
    </row>
    <row r="16" ht="15" customHeight="1" s="180">
      <c r="A16" s="184" t="inlineStr">
        <is>
          <t>Apr</t>
        </is>
      </c>
      <c r="C16" s="203" t="n">
        <v>20641</v>
      </c>
      <c r="D16" s="203" t="n">
        <v>3601</v>
      </c>
      <c r="E16" s="211">
        <f>D16/C16</f>
        <v/>
      </c>
    </row>
    <row r="17" ht="15" customHeight="1" s="180">
      <c r="A17" s="184" t="inlineStr">
        <is>
          <t>May</t>
        </is>
      </c>
      <c r="C17" s="203" t="n">
        <v>24911</v>
      </c>
      <c r="D17" s="203" t="n">
        <v>6598</v>
      </c>
      <c r="E17" s="211">
        <f>D17/C17</f>
        <v/>
      </c>
    </row>
    <row r="18" ht="15" customHeight="1" s="180">
      <c r="A18" s="184" t="inlineStr">
        <is>
          <t>Jun</t>
        </is>
      </c>
      <c r="C18" s="203" t="n">
        <v>27214</v>
      </c>
      <c r="D18" s="203" t="n">
        <v>6447</v>
      </c>
      <c r="E18" s="211">
        <f>D18/C18</f>
        <v/>
      </c>
    </row>
    <row r="19" ht="15" customHeight="1" s="180">
      <c r="A19" s="182" t="inlineStr">
        <is>
          <t>Trend: 10.6% (Jan) → ~24–27% (May/Jun) as weather/pool season builds — use the summer rate for risk sizing.</t>
        </is>
      </c>
    </row>
    <row r="21" ht="15" customHeight="1" s="180">
      <c r="A21" s="183" t="inlineStr">
        <is>
          <t>POST-4PM COMPOSITION  ($27,886)</t>
        </is>
      </c>
      <c r="B21" s="183" t="n"/>
      <c r="C21" s="183" t="inlineStr">
        <is>
          <t>$</t>
        </is>
      </c>
      <c r="D21" s="183" t="inlineStr">
        <is>
          <t>% of post-4pm</t>
        </is>
      </c>
      <c r="E21" s="183" t="inlineStr">
        <is>
          <t>Service model</t>
        </is>
      </c>
    </row>
    <row r="22" ht="15" customHeight="1" s="180">
      <c r="A22" s="184" t="inlineStr">
        <is>
          <t>LW Beverage - NA (bottled juices)</t>
        </is>
      </c>
      <c r="C22" s="203" t="n">
        <v>5637</v>
      </c>
      <c r="D22" s="211">
        <f>C22/$C$8</f>
        <v/>
      </c>
      <c r="E22" s="184" t="inlineStr">
        <is>
          <t>front desk</t>
        </is>
      </c>
    </row>
    <row r="23" ht="15" customHeight="1" s="180">
      <c r="A23" s="184" t="inlineStr">
        <is>
          <t>LW Alcohol (bottles)</t>
        </is>
      </c>
      <c r="C23" s="203" t="n">
        <v>3913</v>
      </c>
      <c r="D23" s="211">
        <f>C23/$C$8</f>
        <v/>
      </c>
      <c r="E23" s="184" t="inlineStr">
        <is>
          <t>front desk</t>
        </is>
      </c>
    </row>
    <row r="24" ht="15" customHeight="1" s="180">
      <c r="A24" s="184" t="inlineStr">
        <is>
          <t>Snacks</t>
        </is>
      </c>
      <c r="C24" s="203" t="n">
        <v>3678</v>
      </c>
      <c r="D24" s="211">
        <f>C24/$C$8</f>
        <v/>
      </c>
      <c r="E24" s="184" t="inlineStr">
        <is>
          <t>front desk</t>
        </is>
      </c>
    </row>
    <row r="25" ht="15" customHeight="1" s="180">
      <c r="A25" s="184" t="inlineStr">
        <is>
          <t>Coffee &amp; Tea Drinks (made-to-order)</t>
        </is>
      </c>
      <c r="C25" s="203" t="n">
        <v>2744</v>
      </c>
      <c r="D25" s="211">
        <f>C25/$C$8</f>
        <v/>
      </c>
      <c r="E25" s="185" t="inlineStr">
        <is>
          <t>BARISTA</t>
        </is>
      </c>
    </row>
    <row r="26" ht="15" customHeight="1" s="180">
      <c r="A26" s="184" t="inlineStr">
        <is>
          <t>Uncategorized rings</t>
        </is>
      </c>
      <c r="C26" s="203" t="n">
        <v>2071</v>
      </c>
      <c r="D26" s="211">
        <f>C26/$C$8</f>
        <v/>
      </c>
      <c r="E26" s="184" t="inlineStr">
        <is>
          <t>front desk</t>
        </is>
      </c>
    </row>
    <row r="27" ht="15" customHeight="1" s="180">
      <c r="A27" s="184" t="inlineStr">
        <is>
          <t>Grab &amp; Go</t>
        </is>
      </c>
      <c r="C27" s="203" t="n">
        <v>1937</v>
      </c>
      <c r="D27" s="211">
        <f>C27/$C$8</f>
        <v/>
      </c>
      <c r="E27" s="184" t="inlineStr">
        <is>
          <t>front desk</t>
        </is>
      </c>
    </row>
    <row r="28" ht="15" customHeight="1" s="180">
      <c r="A28" s="184" t="inlineStr">
        <is>
          <t>LW Wine - Bottled</t>
        </is>
      </c>
      <c r="C28" s="203" t="n">
        <v>1726</v>
      </c>
      <c r="D28" s="211">
        <f>C28/$C$8</f>
        <v/>
      </c>
      <c r="E28" s="184" t="inlineStr">
        <is>
          <t>front desk</t>
        </is>
      </c>
    </row>
    <row r="29" ht="15" customHeight="1" s="180">
      <c r="A29" s="184" t="inlineStr">
        <is>
          <t>LW Cocktail - Canned</t>
        </is>
      </c>
      <c r="C29" s="203" t="n">
        <v>1029</v>
      </c>
      <c r="D29" s="211">
        <f>C29/$C$8</f>
        <v/>
      </c>
      <c r="E29" s="184" t="inlineStr">
        <is>
          <t>front desk</t>
        </is>
      </c>
    </row>
    <row r="30" ht="15" customHeight="1" s="180">
      <c r="A30" s="184" t="inlineStr">
        <is>
          <t>LW Beer - Canned/Bottled</t>
        </is>
      </c>
      <c r="C30" s="203" t="n">
        <v>902</v>
      </c>
      <c r="D30" s="211">
        <f>C30/$C$8</f>
        <v/>
      </c>
      <c r="E30" s="184" t="inlineStr">
        <is>
          <t>front desk</t>
        </is>
      </c>
    </row>
    <row r="31" ht="15" customHeight="1" s="180">
      <c r="A31" s="184" t="inlineStr">
        <is>
          <t>Canned NA</t>
        </is>
      </c>
      <c r="C31" s="203" t="n">
        <v>612</v>
      </c>
      <c r="D31" s="211">
        <f>C31/$C$8</f>
        <v/>
      </c>
      <c r="E31" s="184" t="inlineStr">
        <is>
          <t>front desk</t>
        </is>
      </c>
    </row>
    <row r="32" ht="15" customHeight="1" s="180">
      <c r="A32" s="184" t="inlineStr">
        <is>
          <t>LW After Dark</t>
        </is>
      </c>
      <c r="C32" s="203" t="n">
        <v>514</v>
      </c>
      <c r="D32" s="211">
        <f>C32/$C$8</f>
        <v/>
      </c>
      <c r="E32" s="184" t="inlineStr">
        <is>
          <t>front desk</t>
        </is>
      </c>
    </row>
    <row r="33" ht="15" customHeight="1" s="180">
      <c r="A33" s="184" t="inlineStr">
        <is>
          <t>Specials Menu (prepared)</t>
        </is>
      </c>
      <c r="C33" s="203" t="n">
        <v>501</v>
      </c>
      <c r="D33" s="211">
        <f>C33/$C$8</f>
        <v/>
      </c>
      <c r="E33" s="185" t="inlineStr">
        <is>
          <t>BARISTA</t>
        </is>
      </c>
    </row>
    <row r="34" ht="15" customHeight="1" s="180">
      <c r="A34" s="184" t="inlineStr">
        <is>
          <t>Sandwiches (prepared)</t>
        </is>
      </c>
      <c r="C34" s="203" t="n">
        <v>378</v>
      </c>
      <c r="D34" s="211">
        <f>C34/$C$8</f>
        <v/>
      </c>
      <c r="E34" s="185" t="inlineStr">
        <is>
          <t>BARISTA</t>
        </is>
      </c>
    </row>
    <row r="35" ht="15" customHeight="1" s="180">
      <c r="A35" s="184" t="inlineStr">
        <is>
          <t>NA Beverages</t>
        </is>
      </c>
      <c r="C35" s="203" t="n">
        <v>335</v>
      </c>
      <c r="D35" s="211">
        <f>C35/$C$8</f>
        <v/>
      </c>
      <c r="E35" s="184" t="inlineStr">
        <is>
          <t>front desk</t>
        </is>
      </c>
    </row>
    <row r="36" ht="15" customHeight="1" s="180">
      <c r="A36" s="184" t="inlineStr">
        <is>
          <t>Pool Menu (prepared)</t>
        </is>
      </c>
      <c r="C36" s="203" t="n">
        <v>333</v>
      </c>
      <c r="D36" s="211">
        <f>C36/$C$8</f>
        <v/>
      </c>
      <c r="E36" s="185" t="inlineStr">
        <is>
          <t>BARISTA</t>
        </is>
      </c>
    </row>
    <row r="37" ht="15" customHeight="1" s="180">
      <c r="A37" s="184" t="inlineStr">
        <is>
          <t>Smoothies (made-to-order)</t>
        </is>
      </c>
      <c r="C37" s="203" t="n">
        <v>267</v>
      </c>
      <c r="D37" s="211">
        <f>C37/$C$8</f>
        <v/>
      </c>
      <c r="E37" s="185" t="inlineStr">
        <is>
          <t>BARISTA</t>
        </is>
      </c>
    </row>
    <row r="38" ht="15" customHeight="1" s="180">
      <c r="A38" s="184" t="inlineStr">
        <is>
          <t>Pastries (case)</t>
        </is>
      </c>
      <c r="C38" s="203" t="n">
        <v>260</v>
      </c>
      <c r="D38" s="211">
        <f>C38/$C$8</f>
        <v/>
      </c>
      <c r="E38" s="184" t="inlineStr">
        <is>
          <t>front desk</t>
        </is>
      </c>
    </row>
    <row r="39" ht="15" customHeight="1" s="180">
      <c r="A39" s="184" t="inlineStr">
        <is>
          <t>All other made-to-order (pasta, toasts, drip)</t>
        </is>
      </c>
      <c r="C39" s="203" t="n">
        <v>337</v>
      </c>
      <c r="D39" s="211">
        <f>C39/$C$8</f>
        <v/>
      </c>
      <c r="E39" s="185" t="inlineStr">
        <is>
          <t>BARISTA</t>
        </is>
      </c>
    </row>
    <row r="40" ht="15" customHeight="1" s="180">
      <c r="A40" s="184" t="inlineStr">
        <is>
          <t>All other packaged/retail</t>
        </is>
      </c>
      <c r="C40" s="203" t="n">
        <v>712</v>
      </c>
      <c r="D40" s="211">
        <f>C40/$C$8</f>
        <v/>
      </c>
      <c r="E40" s="184" t="inlineStr">
        <is>
          <t>front desk</t>
        </is>
      </c>
    </row>
    <row r="41" ht="15" customHeight="1" s="180">
      <c r="A41" s="185" t="inlineStr">
        <is>
          <t>BARISTA-REQUIRED subtotal (made-to-order drinks + prepared food)</t>
        </is>
      </c>
      <c r="C41" s="206">
        <f>SUMIF(E22:E40,"BARISTA",C22:C40)</f>
        <v/>
      </c>
      <c r="D41" s="212">
        <f>C41/$C$8</f>
        <v/>
      </c>
    </row>
    <row r="42" ht="15" customHeight="1" s="180">
      <c r="A42" s="185" t="inlineStr">
        <is>
          <t>Front-desk sellable subtotal (packaged / bottled / retail)</t>
        </is>
      </c>
      <c r="C42" s="186">
        <f>C8-C41</f>
        <v/>
      </c>
      <c r="D42" s="187">
        <f>C42/$C$8</f>
        <v/>
      </c>
    </row>
    <row r="44" ht="15" customHeight="1" s="180">
      <c r="A44" s="183" t="inlineStr">
        <is>
          <t>REVENUE-AT-RISK SENSITIVITY  (annualized H1 ×2 · not wired into the plan)</t>
        </is>
      </c>
      <c r="B44" s="183" t="n"/>
      <c r="C44" s="183" t="n"/>
      <c r="D44" s="183" t="n"/>
    </row>
    <row r="45" ht="15" customHeight="1" s="180">
      <c r="A45" s="184" t="inlineStr">
        <is>
          <t>Barista-required post-4pm revenue / yr</t>
        </is>
      </c>
      <c r="C45" s="203">
        <f>C41*2</f>
        <v/>
      </c>
    </row>
    <row r="46" ht="15" customHeight="1" s="180">
      <c r="A46" s="184" t="inlineStr">
        <is>
          <t>Assumed % lost with no barista after 4pm  (INPUT)</t>
        </is>
      </c>
      <c r="C46" s="285" t="n">
        <v>0.5</v>
      </c>
    </row>
    <row r="47" ht="15" customHeight="1" s="180">
      <c r="A47" s="184" t="inlineStr">
        <is>
          <t>Lost revenue / yr</t>
        </is>
      </c>
      <c r="C47" s="203">
        <f>C45*C46</f>
        <v/>
      </c>
    </row>
    <row r="48" ht="15" customHeight="1" s="180">
      <c r="A48" s="185" t="inlineStr">
        <is>
          <t>NOP impact / yr  (× 68.5¢ keep-rate: ~25% COGS · 2.5% CC · 4% fee · rent waived)</t>
        </is>
      </c>
      <c r="C48" s="186">
        <f>-C47*0.685</f>
        <v/>
      </c>
    </row>
    <row r="49" ht="15" customHeight="1" s="180">
      <c r="A49" s="182" t="inlineStr">
        <is>
          <t>Grid — NOP impact at 25% / 50% / 75% / 100% loss:</t>
        </is>
      </c>
      <c r="C49" s="286" t="n">
        <v>0.25</v>
      </c>
      <c r="D49" s="286" t="n">
        <v>0.5</v>
      </c>
      <c r="E49" s="286" t="n">
        <v>0.75</v>
      </c>
      <c r="F49" s="286" t="n">
        <v>1</v>
      </c>
    </row>
    <row r="50" ht="15" customHeight="1" s="180">
      <c r="C50" s="203">
        <f>-C45*0.25*0.685</f>
        <v/>
      </c>
      <c r="D50" s="203">
        <f>-C45*0.5*0.685</f>
        <v/>
      </c>
      <c r="E50" s="203">
        <f>-C45*0.75*0.685</f>
        <v/>
      </c>
      <c r="F50" s="203">
        <f>-C45*1*0.685</f>
        <v/>
      </c>
    </row>
    <row r="52" ht="15" customHeight="1" s="180">
      <c r="A52" s="183" t="inlineStr">
        <is>
          <t>EARLY OPEN — 6:30am vs 6:00am</t>
        </is>
      </c>
      <c r="B52" s="183" t="n"/>
      <c r="C52" s="183" t="n"/>
      <c r="D52" s="183" t="n"/>
    </row>
    <row r="53" ht="15" customHeight="1" s="180">
      <c r="A53" s="184" t="inlineStr">
        <is>
          <t>Sales before 6:30am (H1 actual)</t>
        </is>
      </c>
      <c r="C53" s="203" t="n">
        <v>2411</v>
      </c>
    </row>
    <row r="54" ht="15" customHeight="1" s="180">
      <c r="A54" s="184" t="inlineStr">
        <is>
          <t>Annualized forfeit ceiling (×2 · much of it likely shifts to after 6:30)</t>
        </is>
      </c>
      <c r="C54" s="203">
        <f>C53*2</f>
        <v/>
      </c>
    </row>
    <row r="56" ht="15" customHeight="1" s="180">
      <c r="A56" s="182" t="inlineStr">
        <is>
          <t>Assumptions: after 4pm the ROOST front desk rings packaged items at no LW labor cost (incl. alcohol — ID check at desk); made-to-order drinks and prepared food are unavailable. Source: Toast item detail Jan 1 – Jun 30, 2026, voids excluded, net price.</t>
        </is>
      </c>
    </row>
    <row r="58" ht="15" customHeight="1" s="180">
      <c r="A58" s="183" t="inlineStr">
        <is>
          <t>TTM VALIDATION — Jul 2025–Jun 2026 hourly PMIX (full trailing year · item-level net $244,323)</t>
        </is>
      </c>
      <c r="B58" s="215" t="n"/>
      <c r="C58" s="215" t="n"/>
      <c r="D58" s="215" t="n"/>
      <c r="E58" s="215" t="n"/>
      <c r="F58" s="215" t="n"/>
    </row>
    <row r="59" ht="15" customHeight="1" s="180">
      <c r="A59" s="185" t="inlineStr">
        <is>
          <t>Post-4pm sales (TTM)</t>
        </is>
      </c>
      <c r="C59" s="203" t="n">
        <v>42319</v>
      </c>
      <c r="D59" s="211" t="n">
        <v>0.173</v>
      </c>
      <c r="E59" s="182" t="inlineStr">
        <is>
          <t>vs 21.0% in H1-2026 — H1 runs hotter (pool season building)</t>
        </is>
      </c>
    </row>
    <row r="60" ht="15" customHeight="1" s="180">
      <c r="A60" s="184" t="inlineStr">
        <is>
          <t xml:space="preserve">  Barista-required (made-to-order + prepared)</t>
        </is>
      </c>
      <c r="C60" s="203" t="n">
        <v>9118</v>
      </c>
      <c r="D60" s="211" t="n">
        <v>0.215</v>
      </c>
      <c r="E60" s="182" t="inlineStr">
        <is>
          <t>vs $9,120/yr annualized from H1 — CONFIRMS the risk sizing</t>
        </is>
      </c>
    </row>
    <row r="61" ht="15" customHeight="1" s="180">
      <c r="A61" s="184" t="inlineStr">
        <is>
          <t xml:space="preserve">  Front-desk sellable (packaged/bottled/retail)</t>
        </is>
      </c>
      <c r="C61" s="203" t="n">
        <v>33201</v>
      </c>
      <c r="D61" s="211" t="n">
        <v>0.785</v>
      </c>
      <c r="E61" s="182" t="inlineStr">
        <is>
          <t>incl. bottled water/beer top sellers late</t>
        </is>
      </c>
    </row>
    <row r="62" ht="15" customHeight="1" s="180">
      <c r="A62" s="185" t="inlineStr">
        <is>
          <t>Post-8pm sales (largely room-charge / catering)</t>
        </is>
      </c>
      <c r="C62" s="203" t="n">
        <v>14404</v>
      </c>
      <c r="D62" s="211" t="n">
        <v>0.059</v>
      </c>
      <c r="E62" s="182" t="inlineStr">
        <is>
          <t>already rings without cafe labor today</t>
        </is>
      </c>
    </row>
    <row r="63" ht="15" customHeight="1" s="180">
      <c r="A63" s="185" t="inlineStr">
        <is>
          <t>Pre-6:30am sales (5AM + ½ of 6AM hour)</t>
        </is>
      </c>
      <c r="C63" s="203" t="n">
        <v>3007</v>
      </c>
      <c r="D63" s="211" t="n">
        <v>0.012</v>
      </c>
      <c r="E63" s="182" t="inlineStr">
        <is>
          <t>later open forfeits even less than the H1 estimate ($4.8K ceiling)</t>
        </is>
      </c>
    </row>
    <row r="65" ht="15" customHeight="1" s="180">
      <c r="A65" s="182" t="inlineStr">
        <is>
          <t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      </is>
      </c>
    </row>
    <row r="67" ht="15" customHeight="1" s="180">
      <c r="A67" s="183" t="inlineStr">
        <is>
          <t>THE 4PM TRADE — labor saved vs sales exposed</t>
        </is>
      </c>
      <c r="B67" s="215" t="n"/>
      <c r="C67" s="215" t="n"/>
      <c r="D67" s="215" t="n"/>
      <c r="E67" s="215" t="n"/>
      <c r="F67" s="215" t="n"/>
    </row>
    <row r="68" ht="15" customHeight="1" s="180">
      <c r="A68" s="184" t="inlineStr">
        <is>
          <t>Labor to keep FOH staffed 4pm–8pm (4h/day · 7d · blended wage · 16% burden)</t>
        </is>
      </c>
      <c r="C68" s="203">
        <f>4*7*52*'LW Assumptions'!$C$23*(1+'LW Assumptions'!$C$24)</f>
        <v/>
      </c>
    </row>
    <row r="69" ht="15" customHeight="1" s="180">
      <c r="A69" s="184" t="inlineStr">
        <is>
          <t>Worst case: ALL barista-required post-4pm margin lost (TTM $9,118 × 68.5¢ keep-rate)</t>
        </is>
      </c>
      <c r="C69" s="203">
        <f>C60*0.685</f>
        <v/>
      </c>
    </row>
    <row r="70" ht="15" customHeight="1" s="180">
      <c r="A70" s="185" t="inlineStr">
        <is>
          <t>NET BENEFIT of the 4pm close — even in the worst case</t>
        </is>
      </c>
      <c r="C70" s="186">
        <f>C68-C69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9" min="1" max="1"/>
    <col width="15" customWidth="1" style="179" min="2" max="2"/>
    <col width="9" customWidth="1" style="179" min="3" max="3"/>
    <col width="7.5" customWidth="1" style="179" min="4" max="10"/>
    <col width="7" customWidth="1" style="179" min="11" max="11"/>
    <col width="9" customWidth="1" style="179" min="12" max="12"/>
    <col width="22" customWidth="1" style="179" min="13" max="13"/>
  </cols>
  <sheetData>
    <row r="1" ht="24" customHeight="1" s="180">
      <c r="A1" s="287" t="inlineStr">
        <is>
          <t>LITTLE WING — SHIFT DETAIL (Week of Jun 1–7, 2026)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</row>
    <row r="2" ht="15" customHeight="1" s="180">
      <c r="A2" s="265" t="inlineStr">
        <is>
          <t>By employee · by day · by shift — actual scheduled roster vs proposed single-shift</t>
        </is>
      </c>
    </row>
    <row r="4" ht="15" customHeight="1" s="180">
      <c r="A4" s="282" t="inlineStr">
        <is>
          <t>Rates ($/hr):</t>
        </is>
      </c>
      <c r="B4" s="288" t="inlineStr">
        <is>
          <t>FOH</t>
        </is>
      </c>
      <c r="C4" s="289">
        <f>'LW Assumptions'!$C$23</f>
        <v/>
      </c>
      <c r="D4" s="288" t="inlineStr">
        <is>
          <t>BOH</t>
        </is>
      </c>
      <c r="E4" s="289" t="n">
        <v>25</v>
      </c>
    </row>
    <row r="6" ht="15" customHeight="1" s="180">
      <c r="A6" s="219" t="inlineStr">
        <is>
          <t>DAILY LABOR COST BY EMPLOYEE  (actual effective rates, derived from schedule $)</t>
        </is>
      </c>
    </row>
    <row r="7" ht="15" customHeight="1" s="180">
      <c r="A7" s="290" t="inlineStr">
        <is>
          <t>Employee</t>
        </is>
      </c>
      <c r="B7" s="290" t="inlineStr">
        <is>
          <t>Role</t>
        </is>
      </c>
      <c r="C7" s="291" t="inlineStr">
        <is>
          <t>Rate/hr</t>
        </is>
      </c>
      <c r="D7" s="291" t="inlineStr">
        <is>
          <t>Mon</t>
        </is>
      </c>
      <c r="E7" s="291" t="inlineStr">
        <is>
          <t>Tue</t>
        </is>
      </c>
      <c r="F7" s="291" t="inlineStr">
        <is>
          <t>Wed</t>
        </is>
      </c>
      <c r="G7" s="291" t="inlineStr">
        <is>
          <t>Thu</t>
        </is>
      </c>
      <c r="H7" s="291" t="inlineStr">
        <is>
          <t>Fri</t>
        </is>
      </c>
      <c r="I7" s="291" t="inlineStr">
        <is>
          <t>Sat</t>
        </is>
      </c>
      <c r="J7" s="291" t="inlineStr">
        <is>
          <t>Sun</t>
        </is>
      </c>
      <c r="K7" s="291" t="inlineStr">
        <is>
          <t>Wk hrs</t>
        </is>
      </c>
      <c r="L7" s="291" t="inlineStr">
        <is>
          <t>Wk $</t>
        </is>
      </c>
    </row>
    <row r="8" ht="15" customHeight="1" s="180">
      <c r="A8" s="292" t="inlineStr">
        <is>
          <t>Donte Johnson</t>
        </is>
      </c>
      <c r="B8" s="293" t="inlineStr">
        <is>
          <t>Barista</t>
        </is>
      </c>
      <c r="C8" s="294" t="n">
        <v>18.29</v>
      </c>
      <c r="D8" s="295">
        <f>6*$C8</f>
        <v/>
      </c>
      <c r="E8" s="295">
        <f>7.75*$C8</f>
        <v/>
      </c>
      <c r="F8" s="296" t="n">
        <v>0</v>
      </c>
      <c r="G8" s="296" t="n">
        <v>0</v>
      </c>
      <c r="H8" s="296" t="n">
        <v>0</v>
      </c>
      <c r="I8" s="296" t="n">
        <v>0</v>
      </c>
      <c r="J8" s="296" t="n">
        <v>0</v>
      </c>
      <c r="K8" s="297" t="n">
        <v>13.75</v>
      </c>
      <c r="L8" s="298">
        <f>SUM(D8:J8)</f>
        <v/>
      </c>
    </row>
    <row r="9" ht="15" customHeight="1" s="180">
      <c r="A9" s="292" t="inlineStr">
        <is>
          <t>Donte Johnson</t>
        </is>
      </c>
      <c r="B9" s="293" t="inlineStr">
        <is>
          <t>Cook (BOH)</t>
        </is>
      </c>
      <c r="C9" s="294" t="n">
        <v>21.03</v>
      </c>
      <c r="D9" s="295">
        <f>1.75*$C9</f>
        <v/>
      </c>
      <c r="E9" s="295">
        <f>1.75*$C9</f>
        <v/>
      </c>
      <c r="F9" s="295">
        <f>7.75*$C9</f>
        <v/>
      </c>
      <c r="G9" s="296" t="n">
        <v>0</v>
      </c>
      <c r="H9" s="296" t="n">
        <v>0</v>
      </c>
      <c r="I9" s="296" t="n">
        <v>0</v>
      </c>
      <c r="J9" s="296" t="n">
        <v>0</v>
      </c>
      <c r="K9" s="297" t="n">
        <v>11.25</v>
      </c>
      <c r="L9" s="298">
        <f>SUM(D9:J9)</f>
        <v/>
      </c>
      <c r="M9" s="299" t="inlineStr">
        <is>
          <t>Mon no-show</t>
        </is>
      </c>
    </row>
    <row r="10" ht="15" customHeight="1" s="180">
      <c r="A10" s="292" t="inlineStr">
        <is>
          <t>Santo Starkey Jr</t>
        </is>
      </c>
      <c r="B10" s="293" t="inlineStr">
        <is>
          <t>Barista</t>
        </is>
      </c>
      <c r="C10" s="294" t="n">
        <v>17.79</v>
      </c>
      <c r="D10" s="296" t="n">
        <v>0</v>
      </c>
      <c r="E10" s="296" t="n">
        <v>0</v>
      </c>
      <c r="F10" s="296" t="n">
        <v>0</v>
      </c>
      <c r="G10" s="296" t="n">
        <v>0</v>
      </c>
      <c r="H10" s="295">
        <f>8*$C10</f>
        <v/>
      </c>
      <c r="I10" s="295">
        <f>8*$C10</f>
        <v/>
      </c>
      <c r="J10" s="295">
        <f>8*$C10</f>
        <v/>
      </c>
      <c r="K10" s="297" t="n">
        <v>24</v>
      </c>
      <c r="L10" s="298">
        <f>SUM(D10:J10)</f>
        <v/>
      </c>
    </row>
    <row r="11" ht="15" customHeight="1" s="180">
      <c r="A11" s="292" t="inlineStr">
        <is>
          <t>Brennan Stark</t>
        </is>
      </c>
      <c r="B11" s="293" t="inlineStr">
        <is>
          <t>Shift Manager</t>
        </is>
      </c>
      <c r="C11" s="294" t="n">
        <v>19.79</v>
      </c>
      <c r="D11" s="295">
        <f>8*$C11</f>
        <v/>
      </c>
      <c r="E11" s="295">
        <f>8*$C11</f>
        <v/>
      </c>
      <c r="F11" s="295">
        <f>8*$C11</f>
        <v/>
      </c>
      <c r="G11" s="295">
        <f>8*$C11</f>
        <v/>
      </c>
      <c r="H11" s="296" t="n">
        <v>0</v>
      </c>
      <c r="I11" s="296" t="n">
        <v>0</v>
      </c>
      <c r="J11" s="295">
        <f>3*$C11</f>
        <v/>
      </c>
      <c r="K11" s="297" t="n">
        <v>35</v>
      </c>
      <c r="L11" s="298">
        <f>SUM(D11:J11)</f>
        <v/>
      </c>
      <c r="M11" s="299" t="inlineStr">
        <is>
          <t>Sun unscheduled</t>
        </is>
      </c>
    </row>
    <row r="12" ht="15" customHeight="1" s="180">
      <c r="A12" s="292" t="inlineStr">
        <is>
          <t>Marnie Van Den Berg</t>
        </is>
      </c>
      <c r="B12" s="293" t="inlineStr">
        <is>
          <t>Shift Manager</t>
        </is>
      </c>
      <c r="C12" s="294" t="n">
        <v>21.21</v>
      </c>
      <c r="D12" s="296" t="n">
        <v>0</v>
      </c>
      <c r="E12" s="296" t="n">
        <v>0</v>
      </c>
      <c r="F12" s="295">
        <f>8*$C12</f>
        <v/>
      </c>
      <c r="G12" s="295">
        <f>8*$C12</f>
        <v/>
      </c>
      <c r="H12" s="295">
        <f>8*$C12</f>
        <v/>
      </c>
      <c r="I12" s="295">
        <f>8*$C12</f>
        <v/>
      </c>
      <c r="J12" s="295">
        <f>8*$C12</f>
        <v/>
      </c>
      <c r="K12" s="297" t="n">
        <v>40</v>
      </c>
      <c r="L12" s="298">
        <f>SUM(D12:J12)</f>
        <v/>
      </c>
    </row>
    <row r="13" ht="15" customHeight="1" s="180">
      <c r="A13" s="292" t="inlineStr">
        <is>
          <t>Tyesha Tucker</t>
        </is>
      </c>
      <c r="B13" s="293" t="inlineStr">
        <is>
          <t>Chef (BOH)</t>
        </is>
      </c>
      <c r="C13" s="294" t="n">
        <v>25</v>
      </c>
      <c r="D13" s="296" t="n">
        <v>0</v>
      </c>
      <c r="E13" s="296" t="n">
        <v>0</v>
      </c>
      <c r="F13" s="296" t="n">
        <v>0</v>
      </c>
      <c r="G13" s="295">
        <f>8*$C13</f>
        <v/>
      </c>
      <c r="H13" s="295">
        <f>8*$C13</f>
        <v/>
      </c>
      <c r="I13" s="296" t="n">
        <v>0</v>
      </c>
      <c r="J13" s="296" t="n">
        <v>0</v>
      </c>
      <c r="K13" s="297" t="n">
        <v>16</v>
      </c>
      <c r="L13" s="298">
        <f>SUM(D13:J13)</f>
        <v/>
      </c>
      <c r="M13" s="299" t="inlineStr">
        <is>
          <t>Thu left early · Fri no-show</t>
        </is>
      </c>
    </row>
    <row r="14" ht="15" customHeight="1" s="180">
      <c r="A14" s="260" t="inlineStr">
        <is>
          <t>Daily total (base)</t>
        </is>
      </c>
      <c r="B14" s="266" t="n"/>
      <c r="C14" s="300" t="n"/>
      <c r="D14" s="300">
        <f>SUM(D8:D13)</f>
        <v/>
      </c>
      <c r="E14" s="300">
        <f>SUM(E8:E13)</f>
        <v/>
      </c>
      <c r="F14" s="300">
        <f>SUM(F8:F13)</f>
        <v/>
      </c>
      <c r="G14" s="300">
        <f>SUM(G8:G13)</f>
        <v/>
      </c>
      <c r="H14" s="300">
        <f>SUM(H8:H13)</f>
        <v/>
      </c>
      <c r="I14" s="300">
        <f>SUM(I8:I13)</f>
        <v/>
      </c>
      <c r="J14" s="300">
        <f>SUM(J8:J13)</f>
        <v/>
      </c>
      <c r="K14" s="301">
        <f>SUM(K8:K13)</f>
        <v/>
      </c>
      <c r="L14" s="222">
        <f>SUM(L8:L13)</f>
        <v/>
      </c>
      <c r="M14" s="293" t="inlineStr">
        <is>
          <t>scheduled; actual ~$2,503</t>
        </is>
      </c>
    </row>
    <row r="17" ht="15" customHeight="1" s="180">
      <c r="A17" s="302" t="inlineStr">
        <is>
          <t>SHIFT STRUCTURE — CURRENT vs PROPOSED  (hourly basis)</t>
        </is>
      </c>
    </row>
    <row r="18" ht="15" customHeight="1" s="180">
      <c r="A18" s="290" t="n"/>
      <c r="B18" s="290" t="inlineStr">
        <is>
          <t>Shift</t>
        </is>
      </c>
      <c r="D18" s="291" t="inlineStr">
        <is>
          <t>Hours</t>
        </is>
      </c>
      <c r="F18" s="291" t="inlineStr">
        <is>
          <t>Staff</t>
        </is>
      </c>
      <c r="G18" s="291" t="inlineStr">
        <is>
          <t>Daily hrs</t>
        </is>
      </c>
      <c r="H18" s="291" t="inlineStr">
        <is>
          <t>Daily $ (base)</t>
        </is>
      </c>
      <c r="J18" s="291" t="inlineStr">
        <is>
          <t>×7 week</t>
        </is>
      </c>
    </row>
    <row r="19" ht="15" customHeight="1" s="180">
      <c r="A19" s="282" t="inlineStr">
        <is>
          <t>CURRENT</t>
        </is>
      </c>
      <c r="B19" s="292" t="inlineStr">
        <is>
          <t>Opening</t>
        </is>
      </c>
      <c r="D19" s="303" t="inlineStr">
        <is>
          <t xml:space="preserve"> 5:45a–1:45p</t>
        </is>
      </c>
      <c r="F19" s="304" t="inlineStr">
        <is>
          <t>8h · 1 FOH</t>
        </is>
      </c>
      <c r="G19" s="305" t="n">
        <v>8</v>
      </c>
      <c r="H19" s="295">
        <f>8*$C$4</f>
        <v/>
      </c>
      <c r="J19" s="298">
        <f>H19*7</f>
        <v/>
      </c>
    </row>
    <row r="20" ht="15" customHeight="1" s="180">
      <c r="A20" s="282" t="n"/>
      <c r="B20" s="292" t="inlineStr">
        <is>
          <t>Closing</t>
        </is>
      </c>
      <c r="D20" s="303" t="inlineStr">
        <is>
          <t xml:space="preserve"> 12:00p–8:00p</t>
        </is>
      </c>
      <c r="F20" s="304" t="inlineStr">
        <is>
          <t>8h · 1 FOH</t>
        </is>
      </c>
      <c r="G20" s="305" t="n">
        <v>8</v>
      </c>
      <c r="H20" s="295">
        <f>8*$C$4</f>
        <v/>
      </c>
      <c r="J20" s="298">
        <f>H20*7</f>
        <v/>
      </c>
    </row>
    <row r="21" ht="15" customHeight="1" s="180">
      <c r="A21" s="282" t="n"/>
      <c r="B21" s="292" t="inlineStr">
        <is>
          <t>BOH (avg)</t>
        </is>
      </c>
      <c r="D21" s="303" t="inlineStr">
        <is>
          <t xml:space="preserve"> varies</t>
        </is>
      </c>
      <c r="F21" s="304" t="inlineStr">
        <is>
          <t>~4h · cook</t>
        </is>
      </c>
      <c r="G21" s="305" t="n">
        <v>4</v>
      </c>
      <c r="H21" s="295">
        <f>4*$E$4</f>
        <v/>
      </c>
      <c r="J21" s="298">
        <f>H21*7</f>
        <v/>
      </c>
    </row>
    <row r="22" ht="15" customHeight="1" s="180">
      <c r="A22" s="306" t="inlineStr">
        <is>
          <t>Current total / day</t>
        </is>
      </c>
      <c r="B22" s="266" t="n"/>
      <c r="D22" s="266" t="n"/>
      <c r="F22" s="266" t="n"/>
      <c r="G22" s="301">
        <f>G19+G20+G21</f>
        <v/>
      </c>
      <c r="H22" s="300">
        <f>H19+H20+H21</f>
        <v/>
      </c>
      <c r="J22" s="300">
        <f>H22*7</f>
        <v/>
      </c>
    </row>
    <row r="24" ht="15" customHeight="1" s="180">
      <c r="A24" s="306" t="inlineStr">
        <is>
          <t>PROPOSED</t>
        </is>
      </c>
      <c r="B24" s="307" t="inlineStr">
        <is>
          <t>Single shift</t>
        </is>
      </c>
      <c r="C24" s="266" t="n"/>
      <c r="D24" s="308" t="inlineStr">
        <is>
          <t xml:space="preserve"> 6:00a–4:00p</t>
        </is>
      </c>
      <c r="E24" s="266" t="n"/>
      <c r="F24" s="309" t="inlineStr">
        <is>
          <t>10h · 1 barista</t>
        </is>
      </c>
      <c r="G24" s="310" t="n">
        <v>10</v>
      </c>
      <c r="H24" s="311">
        <f>10*$C$4</f>
        <v/>
      </c>
      <c r="I24" s="266" t="n"/>
      <c r="J24" s="300">
        <f>H24*7</f>
        <v/>
      </c>
    </row>
    <row r="25" ht="15" customHeight="1" s="180">
      <c r="A25" s="312" t="n"/>
      <c r="B25" s="313" t="inlineStr">
        <is>
          <t>After 4:00p</t>
        </is>
      </c>
      <c r="C25" s="314" t="n"/>
      <c r="D25" s="315" t="inlineStr">
        <is>
          <t xml:space="preserve"> self-serve</t>
        </is>
      </c>
      <c r="E25" s="314" t="n"/>
      <c r="F25" s="316" t="inlineStr">
        <is>
          <t>front desk · 0</t>
        </is>
      </c>
      <c r="G25" s="317" t="n">
        <v>0</v>
      </c>
      <c r="H25" s="318" t="n">
        <v>0</v>
      </c>
      <c r="I25" s="314" t="n"/>
      <c r="J25" s="319">
        <f>H25*7</f>
        <v/>
      </c>
    </row>
    <row r="26" ht="15" customHeight="1" s="180">
      <c r="A26" s="306" t="inlineStr">
        <is>
          <t>Proposed total / day</t>
        </is>
      </c>
      <c r="B26" s="266" t="n"/>
      <c r="D26" s="266" t="n"/>
      <c r="F26" s="266" t="n"/>
      <c r="G26" s="301" t="n">
        <v>10</v>
      </c>
      <c r="H26" s="300">
        <f>10*$C$4</f>
        <v/>
      </c>
      <c r="J26" s="300">
        <f>H26*7</f>
        <v/>
      </c>
    </row>
    <row r="28" ht="15" customHeight="1" s="180">
      <c r="A28" s="320" t="inlineStr">
        <is>
          <t>Note: base labor only (before management labor &amp; PT&amp;B). Proposed = one 6am–4pm barista shift (10h, doors 6:30am) + BOH cook kept (~13.3 hrs/wk, $296/wk); after 4pm FOH moves to self-serve / front desk. Rates: FOH $20 (C4), BOH $25 (E4).</t>
        </is>
      </c>
    </row>
    <row r="29" ht="15" customHeight="1" s="180"/>
  </sheetData>
  <mergeCells count="3">
    <mergeCell ref="A2:K2"/>
    <mergeCell ref="A28:K29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79" min="1" max="1"/>
    <col width="12" customWidth="1" style="179" min="2" max="4"/>
  </cols>
  <sheetData>
    <row r="1" ht="25.5" customHeight="1" s="180">
      <c r="A1" s="321" t="inlineStr">
        <is>
          <t>LITTLE WING — GL COST BASIS (T12)</t>
        </is>
      </c>
      <c r="B1" s="215" t="n"/>
      <c r="C1" s="215" t="n"/>
      <c r="D1" s="215" t="n"/>
    </row>
    <row r="2" ht="15" customHeight="1" s="180">
      <c r="A2" s="322" t="inlineStr">
        <is>
          <t>Jan–May GL actuals → annualized run-rate (×12/5) · source for the Current column</t>
        </is>
      </c>
    </row>
    <row r="4" ht="15" customHeight="1" s="180">
      <c r="A4" s="251" t="inlineStr">
        <is>
          <t>Line</t>
        </is>
      </c>
      <c r="B4" s="220" t="inlineStr">
        <is>
          <t>Annual</t>
        </is>
      </c>
      <c r="C4" s="220" t="inlineStr">
        <is>
          <t>Monthly</t>
        </is>
      </c>
      <c r="D4" s="220" t="inlineStr">
        <is>
          <t>% net rev</t>
        </is>
      </c>
    </row>
    <row r="5" ht="15" customHeight="1" s="180">
      <c r="A5" s="221" t="inlineStr">
        <is>
          <t>REVENUE  (gross by category)</t>
        </is>
      </c>
      <c r="B5" s="266" t="n"/>
      <c r="C5" s="266" t="n"/>
      <c r="D5" s="266" t="n"/>
    </row>
    <row r="6" ht="15" customHeight="1" s="180">
      <c r="A6" s="267" t="inlineStr">
        <is>
          <t xml:space="preserve">  Food</t>
        </is>
      </c>
      <c r="B6" s="275" t="n">
        <v>119121</v>
      </c>
      <c r="C6" s="275">
        <f>B6/12</f>
        <v/>
      </c>
      <c r="D6" s="323">
        <f>B6/258287</f>
        <v/>
      </c>
    </row>
    <row r="7" ht="15" customHeight="1" s="180">
      <c r="A7" s="267" t="inlineStr">
        <is>
          <t xml:space="preserve">  NA / Coffee</t>
        </is>
      </c>
      <c r="B7" s="275" t="n">
        <v>133545</v>
      </c>
      <c r="C7" s="275">
        <f>B7/12</f>
        <v/>
      </c>
      <c r="D7" s="323">
        <f>B7/258287</f>
        <v/>
      </c>
    </row>
    <row r="8" ht="15" customHeight="1" s="180">
      <c r="A8" s="267" t="inlineStr">
        <is>
          <t xml:space="preserve">  Alcohol (liquor+beer+wine)</t>
        </is>
      </c>
      <c r="B8" s="275" t="n">
        <v>17887</v>
      </c>
      <c r="C8" s="275">
        <f>B8/12</f>
        <v/>
      </c>
      <c r="D8" s="323">
        <f>B8/258287</f>
        <v/>
      </c>
    </row>
    <row r="9" ht="15" customHeight="1" s="180">
      <c r="A9" s="267" t="inlineStr">
        <is>
          <t xml:space="preserve">  Retail / merch</t>
        </is>
      </c>
      <c r="B9" s="275" t="n">
        <v>6836</v>
      </c>
      <c r="C9" s="275">
        <f>B9/12</f>
        <v/>
      </c>
      <c r="D9" s="323">
        <f>B9/258287</f>
        <v/>
      </c>
    </row>
    <row r="10" ht="15" customHeight="1" s="180">
      <c r="A10" s="267" t="inlineStr">
        <is>
          <t xml:space="preserve">  Less: discounts &amp; comps</t>
        </is>
      </c>
      <c r="B10" s="275" t="n">
        <v>-20307</v>
      </c>
      <c r="C10" s="275">
        <f>B10/12</f>
        <v/>
      </c>
      <c r="D10" s="323">
        <f>B10/258287</f>
        <v/>
      </c>
    </row>
    <row r="11" ht="15" customHeight="1" s="180">
      <c r="A11" s="267" t="inlineStr">
        <is>
          <t xml:space="preserve">  Other income (net PDR/catering)</t>
        </is>
      </c>
      <c r="B11" s="275" t="n">
        <v>1204</v>
      </c>
      <c r="C11" s="275">
        <f>B11/12</f>
        <v/>
      </c>
      <c r="D11" s="323">
        <f>B11/258287</f>
        <v/>
      </c>
    </row>
    <row r="12" ht="15" customHeight="1" s="180">
      <c r="A12" s="221" t="inlineStr">
        <is>
          <t>NET REVENUE</t>
        </is>
      </c>
      <c r="B12" s="222" t="n">
        <v>258287</v>
      </c>
      <c r="C12" s="324">
        <f>B12/12</f>
        <v/>
      </c>
      <c r="D12" s="325">
        <f>B12/258287</f>
        <v/>
      </c>
    </row>
    <row r="13" ht="15" customHeight="1" s="180">
      <c r="B13" s="224" t="n"/>
      <c r="C13" s="227" t="n"/>
      <c r="D13" s="227" t="n"/>
    </row>
    <row r="14" ht="15" customHeight="1" s="180">
      <c r="A14" s="221" t="inlineStr">
        <is>
          <t>COST OF SALES</t>
        </is>
      </c>
      <c r="B14" s="326" t="n"/>
      <c r="C14" s="327" t="n"/>
      <c r="D14" s="327" t="n"/>
    </row>
    <row r="15" ht="15" customHeight="1" s="180">
      <c r="A15" s="267" t="inlineStr">
        <is>
          <t xml:space="preserve">  Food  (44.1% of net food)</t>
        </is>
      </c>
      <c r="B15" s="275" t="n">
        <v>48655</v>
      </c>
      <c r="C15" s="275">
        <f>B15/12</f>
        <v/>
      </c>
      <c r="D15" s="323">
        <f>B15/258287</f>
        <v/>
      </c>
    </row>
    <row r="16" ht="15" customHeight="1" s="180">
      <c r="A16" s="267" t="inlineStr">
        <is>
          <t xml:space="preserve">  NA / Coffee  (22.2%)</t>
        </is>
      </c>
      <c r="B16" s="275" t="n">
        <v>27428</v>
      </c>
      <c r="C16" s="275">
        <f>B16/12</f>
        <v/>
      </c>
      <c r="D16" s="323">
        <f>B16/258287</f>
        <v/>
      </c>
    </row>
    <row r="17" ht="15" customHeight="1" s="180">
      <c r="A17" s="267" t="inlineStr">
        <is>
          <t xml:space="preserve">  Alcohol  (33.3%)</t>
        </is>
      </c>
      <c r="B17" s="275" t="n">
        <v>5516</v>
      </c>
      <c r="C17" s="275">
        <f>B17/12</f>
        <v/>
      </c>
      <c r="D17" s="323">
        <f>B17/258287</f>
        <v/>
      </c>
    </row>
    <row r="18" ht="15" customHeight="1" s="180">
      <c r="A18" s="267" t="inlineStr">
        <is>
          <t xml:space="preserve">  Retail / other  (none booked in GL)</t>
        </is>
      </c>
      <c r="B18" s="275" t="n">
        <v>0</v>
      </c>
      <c r="C18" s="275">
        <f>B18/12</f>
        <v/>
      </c>
      <c r="D18" s="323">
        <f>B18/258287</f>
        <v/>
      </c>
    </row>
    <row r="19" ht="15" customHeight="1" s="180">
      <c r="A19" s="221" t="inlineStr">
        <is>
          <t>TOTAL COGS</t>
        </is>
      </c>
      <c r="B19" s="222" t="n">
        <v>81599</v>
      </c>
      <c r="C19" s="324">
        <f>B19/12</f>
        <v/>
      </c>
      <c r="D19" s="325">
        <f>B19/258287</f>
        <v/>
      </c>
    </row>
    <row r="20" ht="15" customHeight="1" s="180">
      <c r="A20" s="221" t="inlineStr">
        <is>
          <t>GROSS PROFIT</t>
        </is>
      </c>
      <c r="B20" s="222" t="n">
        <v>176688</v>
      </c>
      <c r="C20" s="324">
        <f>B20/12</f>
        <v/>
      </c>
      <c r="D20" s="325">
        <f>B20/258287</f>
        <v/>
      </c>
    </row>
    <row r="21" ht="15" customHeight="1" s="180">
      <c r="B21" s="224" t="n"/>
      <c r="C21" s="227" t="n"/>
      <c r="D21" s="227" t="n"/>
    </row>
    <row r="22" ht="15" customHeight="1" s="180">
      <c r="A22" s="221" t="inlineStr">
        <is>
          <t>LABOR</t>
        </is>
      </c>
      <c r="B22" s="326" t="n"/>
      <c r="C22" s="327" t="n"/>
      <c r="D22" s="327" t="n"/>
    </row>
    <row r="23" ht="15" customHeight="1" s="180">
      <c r="A23" s="267" t="inlineStr">
        <is>
          <t xml:space="preserve">  Wages (all roles)</t>
        </is>
      </c>
      <c r="B23" s="275" t="n">
        <v>142124</v>
      </c>
      <c r="C23" s="275">
        <f>B23/12</f>
        <v/>
      </c>
      <c r="D23" s="323">
        <f>B23/258287</f>
        <v/>
      </c>
    </row>
    <row r="24" ht="15" customHeight="1" s="180">
      <c r="A24" s="267" t="inlineStr">
        <is>
          <t xml:space="preserve">  Payroll taxes</t>
        </is>
      </c>
      <c r="B24" s="275" t="n">
        <v>16219</v>
      </c>
      <c r="C24" s="275">
        <f>B24/12</f>
        <v/>
      </c>
      <c r="D24" s="323">
        <f>B24/258287</f>
        <v/>
      </c>
    </row>
    <row r="25" ht="15" customHeight="1" s="180">
      <c r="A25" s="267" t="inlineStr">
        <is>
          <t xml:space="preserve">  Benefits &amp; insurance</t>
        </is>
      </c>
      <c r="B25" s="275" t="n">
        <v>6514</v>
      </c>
      <c r="C25" s="275">
        <f>B25/12</f>
        <v/>
      </c>
      <c r="D25" s="323">
        <f>B25/258287</f>
        <v/>
      </c>
    </row>
    <row r="26" ht="15" customHeight="1" s="180">
      <c r="A26" s="221" t="inlineStr">
        <is>
          <t>TOTAL LABOR</t>
        </is>
      </c>
      <c r="B26" s="222" t="n">
        <v>164857</v>
      </c>
      <c r="C26" s="324">
        <f>B26/12</f>
        <v/>
      </c>
      <c r="D26" s="325">
        <f>B26/258287</f>
        <v/>
      </c>
    </row>
    <row r="27" ht="15" customHeight="1" s="180">
      <c r="B27" s="224" t="n"/>
      <c r="C27" s="227" t="n"/>
      <c r="D27" s="227" t="n"/>
    </row>
    <row r="28" ht="15" customHeight="1" s="180">
      <c r="A28" s="221" t="inlineStr">
        <is>
          <t>CONTROLLABLE  (excl CC)</t>
        </is>
      </c>
      <c r="B28" s="326" t="n"/>
      <c r="C28" s="327" t="n"/>
      <c r="D28" s="327" t="n"/>
    </row>
    <row r="29" ht="15" customHeight="1" s="180">
      <c r="A29" s="267" t="inlineStr">
        <is>
          <t xml:space="preserve">  Operating supplies / paper / linen / equip</t>
        </is>
      </c>
      <c r="B29" s="275" t="n">
        <v>44540</v>
      </c>
      <c r="C29" s="275">
        <f>B29/12</f>
        <v/>
      </c>
      <c r="D29" s="323">
        <f>B29/258287</f>
        <v/>
      </c>
    </row>
    <row r="30" ht="15" customHeight="1" s="180">
      <c r="A30" s="267" t="inlineStr">
        <is>
          <t xml:space="preserve">  Marketing</t>
        </is>
      </c>
      <c r="B30" s="275" t="n">
        <v>11918</v>
      </c>
      <c r="C30" s="275">
        <f>B30/12</f>
        <v/>
      </c>
      <c r="D30" s="323">
        <f>B30/258287</f>
        <v/>
      </c>
    </row>
    <row r="31" ht="15" customHeight="1" s="180">
      <c r="A31" s="267" t="inlineStr">
        <is>
          <t xml:space="preserve">  Utilities</t>
        </is>
      </c>
      <c r="B31" s="275" t="n">
        <v>2912</v>
      </c>
      <c r="C31" s="275">
        <f>B31/12</f>
        <v/>
      </c>
      <c r="D31" s="323">
        <f>B31/258287</f>
        <v/>
      </c>
    </row>
    <row r="32" ht="15" customHeight="1" s="180">
      <c r="A32" s="267" t="inlineStr">
        <is>
          <t xml:space="preserve">  G&amp;A / acct / bank / computer / R&amp;M</t>
        </is>
      </c>
      <c r="B32" s="275" t="n">
        <v>30305</v>
      </c>
      <c r="C32" s="275">
        <f>B32/12</f>
        <v/>
      </c>
      <c r="D32" s="323">
        <f>B32/258287</f>
        <v/>
      </c>
    </row>
    <row r="33" ht="15" customHeight="1" s="180">
      <c r="A33" s="221" t="inlineStr">
        <is>
          <t>TOTAL CONTROLLABLE</t>
        </is>
      </c>
      <c r="B33" s="222" t="n">
        <v>89675</v>
      </c>
      <c r="C33" s="324">
        <f>B33/12</f>
        <v/>
      </c>
      <c r="D33" s="325">
        <f>B33/258287</f>
        <v/>
      </c>
    </row>
    <row r="34" ht="15" customHeight="1" s="180">
      <c r="A34" s="328" t="inlineStr">
        <is>
          <t>Credit card fees  (GL actual 3.9%)</t>
        </is>
      </c>
      <c r="B34" s="275" t="n">
        <v>10012</v>
      </c>
      <c r="C34" s="275">
        <f>B34/12</f>
        <v/>
      </c>
      <c r="D34" s="323">
        <f>B34/258287</f>
        <v/>
      </c>
    </row>
    <row r="35" ht="15" customHeight="1" s="180">
      <c r="A35" s="329" t="inlineStr">
        <is>
          <t>NON-CONTROLLABLE  (insurance, legal, reserves)</t>
        </is>
      </c>
      <c r="B35" s="253" t="n">
        <v>5657</v>
      </c>
      <c r="C35" s="275">
        <f>B35/12</f>
        <v/>
      </c>
      <c r="D35" s="323">
        <f>B35/258287</f>
        <v/>
      </c>
    </row>
    <row r="37" ht="15" customHeight="1" s="180">
      <c r="A37" s="238" t="inlineStr">
        <is>
          <t>NET OPERATING INCOME</t>
        </is>
      </c>
      <c r="B37" s="277" t="n">
        <v>-93513</v>
      </c>
      <c r="C37" s="330">
        <f>B37/12</f>
        <v/>
      </c>
      <c r="D37" s="325">
        <f>B37/258287</f>
        <v/>
      </c>
    </row>
    <row r="38" ht="15" customHeight="1" s="180">
      <c r="A38" s="267" t="inlineStr">
        <is>
          <t xml:space="preserve">  Less: management fee</t>
        </is>
      </c>
      <c r="B38" s="275" t="n">
        <v>-48000</v>
      </c>
      <c r="C38" s="275">
        <f>B38/12</f>
        <v/>
      </c>
    </row>
    <row r="39" ht="15" customHeight="1" s="180">
      <c r="A39" s="267" t="inlineStr">
        <is>
          <t xml:space="preserve">  Less: rent</t>
        </is>
      </c>
      <c r="B39" s="275" t="n">
        <v>-15642</v>
      </c>
      <c r="C39" s="275">
        <f>B39/12</f>
        <v/>
      </c>
    </row>
    <row r="40" ht="15" customHeight="1" s="180">
      <c r="A40" s="238" t="inlineStr">
        <is>
          <t>NET INCOME</t>
        </is>
      </c>
      <c r="B40" s="277" t="n">
        <v>-157155</v>
      </c>
      <c r="C40" s="330">
        <f>B40/12</f>
        <v/>
      </c>
      <c r="D40" s="325">
        <f>B40/258287</f>
        <v/>
      </c>
    </row>
    <row r="42" ht="15" customHeight="1" s="180">
      <c r="A42" s="331" t="inlineStr">
        <is>
          <t>Note: State income tax accrual ($157K annualized) excluded — below-the-line entity tax, not operating. Retail/other show no COGS because none is booked in the GL (true merch cost likely sits in food/supplies).</t>
        </is>
      </c>
    </row>
    <row r="43" ht="15" customHeight="1" s="180"/>
  </sheetData>
  <mergeCells count="2">
    <mergeCell ref="A2:D2"/>
    <mergeCell ref="A42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79" min="1" max="1"/>
    <col width="11" customWidth="1" style="179" min="2" max="9"/>
  </cols>
  <sheetData>
    <row r="1" ht="25.5" customHeight="1" s="180">
      <c r="A1" s="264" t="inlineStr">
        <is>
          <t>LITTLE WING — MENU PRICING &amp; REVENUE STRATEGY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</row>
    <row r="2" ht="15" customHeight="1" s="180">
      <c r="A2" s="265" t="inlineStr">
        <is>
          <t>Item-level pricing — raise price on the inelastic core (coffee, breakfast), hold the elastic · per-item Rec +$ inputs (blue) · pure margin</t>
        </is>
      </c>
    </row>
    <row r="4" ht="15" customHeight="1" s="180">
      <c r="A4" s="290" t="inlineStr">
        <is>
          <t>Menu item</t>
        </is>
      </c>
      <c r="B4" s="290" t="inlineStr">
        <is>
          <t>Cat</t>
        </is>
      </c>
      <c r="C4" s="291" t="inlineStr">
        <is>
          <t>Annual qty</t>
        </is>
      </c>
      <c r="D4" s="291" t="inlineStr">
        <is>
          <t>Cur avg $</t>
        </is>
      </c>
      <c r="E4" s="291" t="inlineStr">
        <is>
          <t>Cur revenue</t>
        </is>
      </c>
      <c r="F4" s="291" t="inlineStr">
        <is>
          <t>Rec +$</t>
        </is>
      </c>
      <c r="G4" s="291" t="inlineStr">
        <is>
          <t>New avg $</t>
        </is>
      </c>
      <c r="H4" s="291" t="inlineStr">
        <is>
          <t>New revenue</t>
        </is>
      </c>
      <c r="I4" s="291" t="inlineStr">
        <is>
          <t>Uplift $</t>
        </is>
      </c>
    </row>
    <row r="5" ht="15" customHeight="1" s="180">
      <c r="A5" s="332" t="inlineStr">
        <is>
          <t>REPRICED ITEMS  ·  deck slide 9 — TTM units (Jul 2025–Jun 2026), list prices</t>
        </is>
      </c>
      <c r="B5" s="333" t="n"/>
      <c r="C5" s="334" t="n"/>
      <c r="D5" s="334" t="n"/>
      <c r="E5" s="334" t="n"/>
      <c r="F5" s="334" t="n"/>
      <c r="G5" s="334" t="n"/>
      <c r="H5" s="334" t="n"/>
      <c r="I5" s="334" t="n"/>
    </row>
    <row r="6" ht="15" customHeight="1" s="180">
      <c r="A6" s="292" t="inlineStr">
        <is>
          <t>Latte  (top seller)</t>
        </is>
      </c>
      <c r="B6" s="288" t="inlineStr">
        <is>
          <t>NA</t>
        </is>
      </c>
      <c r="C6" s="335" t="n">
        <v>5728</v>
      </c>
      <c r="D6" s="336">
        <f>IF(C6=0,0,E6/C6)</f>
        <v/>
      </c>
      <c r="E6" s="275" t="n">
        <v>25776</v>
      </c>
      <c r="F6" s="337" t="n">
        <v>0.5</v>
      </c>
      <c r="G6" s="336">
        <f>D6+F6</f>
        <v/>
      </c>
      <c r="H6" s="275">
        <f>E6+I6</f>
        <v/>
      </c>
      <c r="I6" s="253">
        <f>C6*F6</f>
        <v/>
      </c>
    </row>
    <row r="7" ht="15" customHeight="1" s="180">
      <c r="A7" s="292" t="inlineStr">
        <is>
          <t>Drip Coffee</t>
        </is>
      </c>
      <c r="B7" s="288" t="inlineStr">
        <is>
          <t>NA</t>
        </is>
      </c>
      <c r="C7" s="335" t="n">
        <v>3537</v>
      </c>
      <c r="D7" s="336">
        <f>IF(C7=0,0,E7/C7)</f>
        <v/>
      </c>
      <c r="E7" s="275" t="n">
        <v>10611</v>
      </c>
      <c r="F7" s="337" t="n">
        <v>0.5</v>
      </c>
      <c r="G7" s="336">
        <f>D7+F7</f>
        <v/>
      </c>
      <c r="H7" s="275">
        <f>E7+I7</f>
        <v/>
      </c>
      <c r="I7" s="253">
        <f>C7*F7</f>
        <v/>
      </c>
    </row>
    <row r="8" ht="15" customHeight="1" s="180">
      <c r="A8" s="292" t="inlineStr">
        <is>
          <t>Cold Brew</t>
        </is>
      </c>
      <c r="B8" s="288" t="inlineStr">
        <is>
          <t>NA</t>
        </is>
      </c>
      <c r="C8" s="335" t="n">
        <v>1869</v>
      </c>
      <c r="D8" s="336">
        <f>IF(C8=0,0,E8/C8)</f>
        <v/>
      </c>
      <c r="E8" s="275" t="n">
        <v>8410.5</v>
      </c>
      <c r="F8" s="337" t="n">
        <v>0.45</v>
      </c>
      <c r="G8" s="336">
        <f>D8+F8</f>
        <v/>
      </c>
      <c r="H8" s="275">
        <f>E8+I8</f>
        <v/>
      </c>
      <c r="I8" s="253">
        <f>C8*F8</f>
        <v/>
      </c>
    </row>
    <row r="9" ht="15" customHeight="1" s="180">
      <c r="A9" s="292" t="inlineStr">
        <is>
          <t>Cappuccino</t>
        </is>
      </c>
      <c r="B9" s="288" t="inlineStr">
        <is>
          <t>NA</t>
        </is>
      </c>
      <c r="C9" s="335" t="n">
        <v>1305</v>
      </c>
      <c r="D9" s="336">
        <f>IF(C9=0,0,E9/C9)</f>
        <v/>
      </c>
      <c r="E9" s="275" t="n">
        <v>6198.75</v>
      </c>
      <c r="F9" s="337" t="n">
        <v>0.5</v>
      </c>
      <c r="G9" s="336">
        <f>D9+F9</f>
        <v/>
      </c>
      <c r="H9" s="275">
        <f>E9+I9</f>
        <v/>
      </c>
      <c r="I9" s="253">
        <f>C9*F9</f>
        <v/>
      </c>
    </row>
    <row r="10" ht="15" customHeight="1" s="180">
      <c r="A10" s="292" t="inlineStr">
        <is>
          <t>Americano</t>
        </is>
      </c>
      <c r="B10" s="288" t="inlineStr">
        <is>
          <t>NA</t>
        </is>
      </c>
      <c r="C10" s="335" t="n">
        <v>1212</v>
      </c>
      <c r="D10" s="336">
        <f>IF(C10=0,0,E10/C10)</f>
        <v/>
      </c>
      <c r="E10" s="275" t="n">
        <v>4848</v>
      </c>
      <c r="F10" s="337" t="n">
        <v>0.25</v>
      </c>
      <c r="G10" s="336">
        <f>D10+F10</f>
        <v/>
      </c>
      <c r="H10" s="275">
        <f>E10+I10</f>
        <v/>
      </c>
      <c r="I10" s="253">
        <f>C10*F10</f>
        <v/>
      </c>
    </row>
    <row r="11" ht="15" customHeight="1" s="180">
      <c r="A11" s="292" t="inlineStr">
        <is>
          <t>Matcha Latte</t>
        </is>
      </c>
      <c r="B11" s="288" t="inlineStr">
        <is>
          <t>NA</t>
        </is>
      </c>
      <c r="C11" s="335" t="n">
        <v>888</v>
      </c>
      <c r="D11" s="336">
        <f>IF(C11=0,0,E11/C11)</f>
        <v/>
      </c>
      <c r="E11" s="275" t="n">
        <v>5328</v>
      </c>
      <c r="F11" s="337" t="n">
        <v>0.5</v>
      </c>
      <c r="G11" s="336">
        <f>D11+F11</f>
        <v/>
      </c>
      <c r="H11" s="275">
        <f>E11+I11</f>
        <v/>
      </c>
      <c r="I11" s="253">
        <f>C11*F11</f>
        <v/>
      </c>
    </row>
    <row r="12" ht="15" customHeight="1" s="180">
      <c r="A12" s="292" t="inlineStr">
        <is>
          <t>Draft Latte</t>
        </is>
      </c>
      <c r="B12" s="288" t="inlineStr">
        <is>
          <t>NA</t>
        </is>
      </c>
      <c r="C12" s="335" t="n">
        <v>319</v>
      </c>
      <c r="D12" s="336">
        <f>IF(C12=0,0,E12/C12)</f>
        <v/>
      </c>
      <c r="E12" s="275" t="n">
        <v>1674.75</v>
      </c>
      <c r="F12" s="337" t="n">
        <v>0.25</v>
      </c>
      <c r="G12" s="336">
        <f>D12+F12</f>
        <v/>
      </c>
      <c r="H12" s="275">
        <f>E12+I12</f>
        <v/>
      </c>
      <c r="I12" s="253">
        <f>C12*F12</f>
        <v/>
      </c>
    </row>
    <row r="13" ht="15" customHeight="1" s="180">
      <c r="A13" s="292" t="inlineStr">
        <is>
          <t>Egg &amp; Cheese sandwiches</t>
        </is>
      </c>
      <c r="B13" s="288" t="inlineStr">
        <is>
          <t>Food</t>
        </is>
      </c>
      <c r="C13" s="335" t="n">
        <v>2352</v>
      </c>
      <c r="D13" s="336">
        <f>IF(C13=0,0,E13/C13)</f>
        <v/>
      </c>
      <c r="E13" s="275" t="n">
        <v>23520</v>
      </c>
      <c r="F13" s="337" t="n">
        <v>1</v>
      </c>
      <c r="G13" s="336">
        <f>D13+F13</f>
        <v/>
      </c>
      <c r="H13" s="275">
        <f>E13+I13</f>
        <v/>
      </c>
      <c r="I13" s="253">
        <f>C13*F13</f>
        <v/>
      </c>
    </row>
    <row r="14" ht="15" customHeight="1" s="180">
      <c r="A14" s="292" t="inlineStr">
        <is>
          <t>Smoothies</t>
        </is>
      </c>
      <c r="B14" s="288" t="inlineStr">
        <is>
          <t>NA</t>
        </is>
      </c>
      <c r="C14" s="335" t="n">
        <v>619</v>
      </c>
      <c r="D14" s="338">
        <f>IF(C14=0,0,E14/C14)</f>
        <v/>
      </c>
      <c r="E14" s="275" t="n">
        <v>4952</v>
      </c>
      <c r="F14" s="339" t="n">
        <v>1</v>
      </c>
      <c r="G14" s="338">
        <f>D14+F14</f>
        <v/>
      </c>
      <c r="H14" s="275">
        <f>E14+I14</f>
        <v/>
      </c>
      <c r="I14" s="253">
        <f>C14*F14</f>
        <v/>
      </c>
    </row>
    <row r="15" ht="15" customHeight="1" s="180">
      <c r="A15" s="292" t="inlineStr">
        <is>
          <t>Daily Specials</t>
        </is>
      </c>
      <c r="B15" s="288" t="inlineStr">
        <is>
          <t>Food</t>
        </is>
      </c>
      <c r="C15" s="340" t="n">
        <v>510</v>
      </c>
      <c r="D15" s="338">
        <f>IF(C15=0,0,E15/C15)</f>
        <v/>
      </c>
      <c r="E15" s="341" t="n">
        <v>3060</v>
      </c>
      <c r="F15" s="339" t="n">
        <v>0.5</v>
      </c>
      <c r="G15" s="338">
        <f>D15+F15</f>
        <v/>
      </c>
      <c r="H15" s="341">
        <f>E15+I15</f>
        <v/>
      </c>
      <c r="I15" s="342">
        <f>C15*F15</f>
        <v/>
      </c>
    </row>
    <row r="16" ht="15" customHeight="1" s="180">
      <c r="A16" s="332" t="inlineStr">
        <is>
          <t>HELD  ·  no price change (price-marked / market-referenced)</t>
        </is>
      </c>
      <c r="B16" s="333" t="n"/>
      <c r="C16" s="333" t="n"/>
      <c r="D16" s="333" t="n"/>
      <c r="E16" s="333" t="n"/>
      <c r="F16" s="333" t="n"/>
      <c r="G16" s="333" t="n"/>
      <c r="H16" s="333" t="n"/>
      <c r="I16" s="333" t="n"/>
    </row>
    <row r="17" ht="15" customHeight="1" s="180">
      <c r="A17" s="292" t="inlineStr">
        <is>
          <t>All other coffee &amp; tea drinks</t>
        </is>
      </c>
      <c r="B17" s="288" t="inlineStr">
        <is>
          <t>NA</t>
        </is>
      </c>
      <c r="C17" s="335" t="n">
        <v>5211</v>
      </c>
      <c r="D17" s="338">
        <f>IF(C17=0,0,E17/C17)</f>
        <v/>
      </c>
      <c r="E17" s="341" t="n">
        <v>26055</v>
      </c>
      <c r="F17" s="339" t="n">
        <v>0</v>
      </c>
      <c r="G17" s="338">
        <f>D17+F17</f>
        <v/>
      </c>
      <c r="H17" s="341">
        <f>E17+I17</f>
        <v/>
      </c>
      <c r="I17" s="342">
        <f>C17*F17</f>
        <v/>
      </c>
    </row>
    <row r="18" ht="15" customHeight="1" s="180">
      <c r="A18" s="292" t="inlineStr">
        <is>
          <t>All other sandwiches</t>
        </is>
      </c>
      <c r="B18" s="288" t="inlineStr">
        <is>
          <t>Food</t>
        </is>
      </c>
      <c r="C18" s="335" t="n">
        <v>1198</v>
      </c>
      <c r="D18" s="338">
        <f>IF(C18=0,0,E18/C18)</f>
        <v/>
      </c>
      <c r="E18" s="341" t="n">
        <v>13777</v>
      </c>
      <c r="F18" s="339" t="n">
        <v>0</v>
      </c>
      <c r="G18" s="338">
        <f>D18+F18</f>
        <v/>
      </c>
      <c r="H18" s="341">
        <f>E18+I18</f>
        <v/>
      </c>
      <c r="I18" s="342">
        <f>C18*F18</f>
        <v/>
      </c>
    </row>
    <row r="19" ht="15" customHeight="1" s="180">
      <c r="A19" s="292" t="inlineStr">
        <is>
          <t>Pastries</t>
        </is>
      </c>
      <c r="B19" s="288" t="inlineStr">
        <is>
          <t>Food</t>
        </is>
      </c>
      <c r="C19" s="335" t="n">
        <v>4396</v>
      </c>
      <c r="D19" s="338">
        <f>IF(C19=0,0,E19/C19)</f>
        <v/>
      </c>
      <c r="E19" s="341" t="n">
        <v>18946.76</v>
      </c>
      <c r="F19" s="339" t="n">
        <v>0</v>
      </c>
      <c r="G19" s="338">
        <f>D19+F19</f>
        <v/>
      </c>
      <c r="H19" s="341">
        <f>E19+I19</f>
        <v/>
      </c>
      <c r="I19" s="342">
        <f>C19*F19</f>
        <v/>
      </c>
    </row>
    <row r="20" ht="15" customHeight="1" s="180">
      <c r="A20" s="292" t="inlineStr">
        <is>
          <t>Grab &amp; Go</t>
        </is>
      </c>
      <c r="B20" s="288" t="inlineStr">
        <is>
          <t>Food</t>
        </is>
      </c>
      <c r="C20" s="335" t="n">
        <v>1757</v>
      </c>
      <c r="D20" s="338">
        <f>IF(C20=0,0,E20/C20)</f>
        <v/>
      </c>
      <c r="E20" s="341" t="n">
        <v>10471.72</v>
      </c>
      <c r="F20" s="339" t="n">
        <v>0</v>
      </c>
      <c r="G20" s="338">
        <f>D20+F20</f>
        <v/>
      </c>
      <c r="H20" s="341">
        <f>E20+I20</f>
        <v/>
      </c>
      <c r="I20" s="342">
        <f>C20*F20</f>
        <v/>
      </c>
    </row>
    <row r="21" ht="15" customHeight="1" s="180">
      <c r="A21" s="292" t="inlineStr">
        <is>
          <t>Snacks</t>
        </is>
      </c>
      <c r="B21" s="288" t="inlineStr">
        <is>
          <t>Food</t>
        </is>
      </c>
      <c r="C21" s="340" t="n">
        <v>2519</v>
      </c>
      <c r="D21" s="338">
        <f>IF(C21=0,0,E21/C21)</f>
        <v/>
      </c>
      <c r="E21" s="341" t="n">
        <v>11159.17</v>
      </c>
      <c r="F21" s="339" t="n">
        <v>0</v>
      </c>
      <c r="G21" s="338">
        <f>D21+F21</f>
        <v/>
      </c>
      <c r="H21" s="341">
        <f>E21+I21</f>
        <v/>
      </c>
      <c r="I21" s="342">
        <f>C21*F21</f>
        <v/>
      </c>
    </row>
    <row r="22" ht="15" customHeight="1" s="180">
      <c r="A22" s="292" t="inlineStr">
        <is>
          <t>Juices &amp; bottled NA</t>
        </is>
      </c>
      <c r="B22" s="288" t="inlineStr">
        <is>
          <t>NA</t>
        </is>
      </c>
      <c r="C22" s="340" t="n">
        <v>4935</v>
      </c>
      <c r="D22" s="338">
        <f>IF(C22=0,0,E22/C22)</f>
        <v/>
      </c>
      <c r="E22" s="341" t="n">
        <v>23145.15</v>
      </c>
      <c r="F22" s="339" t="n">
        <v>0</v>
      </c>
      <c r="G22" s="338">
        <f>D22+F22</f>
        <v/>
      </c>
      <c r="H22" s="341">
        <f>E22+I22</f>
        <v/>
      </c>
      <c r="I22" s="342">
        <f>C22*F22</f>
        <v/>
      </c>
    </row>
    <row r="23" ht="15" customHeight="1" s="180">
      <c r="A23" s="292" t="inlineStr">
        <is>
          <t>Alcohol / wine / beer (packaged)</t>
        </is>
      </c>
      <c r="B23" s="288" t="inlineStr">
        <is>
          <t>Alc</t>
        </is>
      </c>
      <c r="C23" s="335" t="n">
        <v>1309</v>
      </c>
      <c r="D23" s="338">
        <f>IF(C23=0,0,E23/C23)</f>
        <v/>
      </c>
      <c r="E23" s="341" t="n">
        <v>17147.9</v>
      </c>
      <c r="F23" s="339" t="n">
        <v>0</v>
      </c>
      <c r="G23" s="338">
        <f>D23+F23</f>
        <v/>
      </c>
      <c r="H23" s="341">
        <f>E23+I23</f>
        <v/>
      </c>
      <c r="I23" s="342">
        <f>C23*F23</f>
        <v/>
      </c>
    </row>
    <row r="24" ht="15" customHeight="1" s="180">
      <c r="A24" s="292" t="inlineStr">
        <is>
          <t>Retail / merch / other</t>
        </is>
      </c>
      <c r="B24" s="288" t="inlineStr">
        <is>
          <t>Food</t>
        </is>
      </c>
      <c r="C24" s="335" t="n">
        <v>845</v>
      </c>
      <c r="D24" s="338">
        <f>IF(C24=0,0,E24/C24)</f>
        <v/>
      </c>
      <c r="E24" s="341" t="n">
        <v>5112.25</v>
      </c>
      <c r="F24" s="339" t="n">
        <v>0</v>
      </c>
      <c r="G24" s="338">
        <f>D24+F24</f>
        <v/>
      </c>
      <c r="H24" s="341">
        <f>E24+I24</f>
        <v/>
      </c>
      <c r="I24" s="342">
        <f>C24*F24</f>
        <v/>
      </c>
    </row>
    <row r="25" ht="15" customHeight="1" s="180">
      <c r="A25" s="198" t="n"/>
      <c r="B25" s="198" t="n"/>
      <c r="C25" s="202" t="n"/>
      <c r="D25" s="198" t="n"/>
      <c r="E25" s="198" t="n"/>
      <c r="F25" s="198" t="n"/>
      <c r="G25" s="198" t="n"/>
      <c r="H25" s="198" t="n"/>
      <c r="I25" s="198" t="n"/>
    </row>
    <row r="26" ht="15" customHeight="1" s="18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I26" s="198" t="n"/>
    </row>
    <row r="27" ht="15" customHeight="1" s="18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I27" s="198" t="n"/>
    </row>
    <row r="28" ht="15" customHeight="1" s="180">
      <c r="A28" s="343" t="n"/>
      <c r="B28" s="198" t="n"/>
      <c r="C28" s="202" t="n"/>
      <c r="D28" s="202" t="n"/>
      <c r="E28" s="202" t="n"/>
      <c r="F28" s="198" t="n"/>
      <c r="G28" s="198" t="n"/>
      <c r="H28" s="198" t="n"/>
      <c r="I28" s="198" t="n"/>
    </row>
    <row r="29" ht="15" customHeight="1" s="180">
      <c r="A29" s="260" t="inlineStr">
        <is>
          <t>TOTAL</t>
        </is>
      </c>
      <c r="B29" s="333" t="n"/>
      <c r="C29" s="344">
        <f>SUM(C6:C28)</f>
        <v/>
      </c>
      <c r="D29" s="334" t="n"/>
      <c r="E29" s="222">
        <f>SUM(E6:E28)</f>
        <v/>
      </c>
      <c r="F29" s="333" t="n"/>
      <c r="G29" s="333" t="n"/>
      <c r="H29" s="345">
        <f>SUM(H6:H28)</f>
        <v/>
      </c>
      <c r="I29" s="345">
        <f>SUM(I6:I28)</f>
        <v/>
      </c>
    </row>
    <row r="30" ht="15" customHeight="1" s="180">
      <c r="A30" s="288" t="inlineStr">
        <is>
          <t>Item qty &amp; revenue = Toast Jan–May item detail ×12/5 (annualized). 'All other' rows = category total (H1 ×2) − listed items, so every group still ties to the LW Assumptions revenue base.</t>
        </is>
      </c>
      <c r="B30" s="198" t="n"/>
      <c r="C30" s="202" t="n"/>
      <c r="D30" s="202" t="n"/>
      <c r="E30" s="202" t="n"/>
      <c r="F30" s="198" t="n"/>
      <c r="G30" s="198" t="n"/>
      <c r="H30" s="198" t="n"/>
      <c r="I30" s="198" t="n"/>
    </row>
    <row r="31" ht="15" customHeight="1" s="180">
      <c r="A31" s="198" t="n"/>
      <c r="B31" s="198" t="n"/>
      <c r="C31" s="202" t="n"/>
      <c r="D31" s="202" t="n"/>
      <c r="E31" s="202" t="n"/>
      <c r="F31" s="198" t="n"/>
      <c r="G31" s="198" t="n"/>
      <c r="H31" s="198" t="n"/>
      <c r="I31" s="198" t="n"/>
    </row>
    <row r="32" ht="15" customHeight="1" s="180">
      <c r="A32" s="302" t="inlineStr">
        <is>
          <t>REVENUE UPLIFT (held volume · pure margin)</t>
        </is>
      </c>
    </row>
    <row r="33" ht="15" customHeight="1" s="180">
      <c r="A33" s="242" t="inlineStr">
        <is>
          <t>NA / Coffee uplift</t>
        </is>
      </c>
      <c r="B33" s="198" t="n"/>
      <c r="C33" s="253">
        <f>SUMIF($B$6:$B$28,"NA",$I$6:$I$28)</f>
        <v/>
      </c>
      <c r="D33" s="202" t="n"/>
      <c r="E33" s="202" t="n"/>
      <c r="F33" s="198" t="n"/>
      <c r="G33" s="198" t="n"/>
      <c r="H33" s="198" t="n"/>
      <c r="I33" s="198" t="n"/>
    </row>
    <row r="34" ht="15" customHeight="1" s="180">
      <c r="A34" s="242" t="inlineStr">
        <is>
          <t>Food uplift</t>
        </is>
      </c>
      <c r="B34" s="198" t="n"/>
      <c r="C34" s="253">
        <f>SUMIF($B$6:$B$28,"Food",$I$6:$I$28)</f>
        <v/>
      </c>
      <c r="D34" s="202" t="n"/>
      <c r="E34" s="202" t="n"/>
      <c r="F34" s="198" t="n"/>
      <c r="G34" s="198" t="n"/>
      <c r="H34" s="198" t="n"/>
      <c r="I34" s="198" t="n"/>
    </row>
    <row r="35" ht="15" customHeight="1" s="180">
      <c r="A35" s="242" t="inlineStr">
        <is>
          <t>TOTAL ANNUAL UPLIFT</t>
        </is>
      </c>
      <c r="B35" s="198" t="n"/>
      <c r="C35" s="253">
        <f>I29</f>
        <v/>
      </c>
      <c r="D35" s="202" t="n"/>
      <c r="E35" s="202" t="n"/>
      <c r="F35" s="198" t="n"/>
      <c r="G35" s="198" t="n"/>
      <c r="H35" s="198" t="n"/>
      <c r="I35" s="198" t="n"/>
    </row>
    <row r="36" ht="15" customHeight="1" s="180">
      <c r="A36" s="288" t="inlineStr">
        <is>
          <t>as % of current revenue</t>
        </is>
      </c>
      <c r="B36" s="198" t="n"/>
      <c r="C36" s="346">
        <f>I29/258287</f>
        <v/>
      </c>
      <c r="D36" s="202" t="n"/>
      <c r="E36" s="202" t="n"/>
      <c r="F36" s="198" t="n"/>
      <c r="G36" s="198" t="n"/>
      <c r="H36" s="198" t="n"/>
      <c r="I36" s="198" t="n"/>
    </row>
    <row r="37" ht="15" customHeight="1" s="180">
      <c r="A37" s="198" t="n"/>
      <c r="B37" s="198" t="n"/>
      <c r="C37" s="202" t="n"/>
      <c r="D37" s="202" t="n"/>
      <c r="E37" s="202" t="n"/>
      <c r="F37" s="198" t="n"/>
      <c r="G37" s="198" t="n"/>
      <c r="H37" s="198" t="n"/>
      <c r="I37" s="198" t="n"/>
    </row>
    <row r="38" ht="15" customHeight="1" s="180">
      <c r="A38" s="242" t="inlineStr">
        <is>
          <t>Elasticity check — net uplift if some volume attrites:</t>
        </is>
      </c>
      <c r="B38" s="198" t="n"/>
      <c r="C38" s="202" t="n"/>
      <c r="D38" s="202" t="n"/>
      <c r="E38" s="202" t="n"/>
      <c r="F38" s="198" t="n"/>
      <c r="G38" s="198" t="n"/>
      <c r="H38" s="198" t="n"/>
      <c r="I38" s="198" t="n"/>
    </row>
    <row r="39" ht="15" customHeight="1" s="180">
      <c r="A39" s="292" t="inlineStr">
        <is>
          <t xml:space="preserve">   100% capture (coffee is sticky)</t>
        </is>
      </c>
      <c r="B39" s="198" t="n"/>
      <c r="C39" s="341">
        <f>I29*1</f>
        <v/>
      </c>
      <c r="D39" s="198" t="n"/>
      <c r="E39" s="198" t="n"/>
      <c r="F39" s="198" t="n"/>
      <c r="G39" s="198" t="n"/>
      <c r="H39" s="198" t="n"/>
      <c r="I39" s="198" t="n"/>
    </row>
    <row r="40" ht="15" customHeight="1" s="180">
      <c r="A40" s="292" t="inlineStr">
        <is>
          <t xml:space="preserve">   90% capture</t>
        </is>
      </c>
      <c r="B40" s="198" t="n"/>
      <c r="C40" s="341">
        <f>I29*0.9</f>
        <v/>
      </c>
      <c r="D40" s="198" t="n"/>
      <c r="E40" s="198" t="n"/>
      <c r="F40" s="198" t="n"/>
      <c r="G40" s="198" t="n"/>
      <c r="H40" s="198" t="n"/>
      <c r="I40" s="198" t="n"/>
    </row>
    <row r="41" ht="30" customHeight="1" s="180">
      <c r="A41" s="347" t="inlineStr">
        <is>
          <t xml:space="preserve">   80% capture</t>
        </is>
      </c>
      <c r="B41" s="198" t="n"/>
      <c r="C41" s="341">
        <f>I29*0.8</f>
        <v/>
      </c>
      <c r="D41" s="198" t="n"/>
      <c r="E41" s="198" t="n"/>
      <c r="F41" s="198" t="n"/>
      <c r="G41" s="198" t="n"/>
      <c r="H41" s="198" t="n"/>
      <c r="I41" s="198" t="n"/>
    </row>
    <row r="42" ht="30" customHeight="1" s="180">
      <c r="A42" s="348" t="n"/>
      <c r="B42" s="198" t="n"/>
      <c r="C42" s="198" t="n"/>
      <c r="D42" s="198" t="n"/>
      <c r="E42" s="198" t="n"/>
      <c r="F42" s="198" t="n"/>
      <c r="G42" s="198" t="n"/>
      <c r="H42" s="198" t="n"/>
      <c r="I42" s="198" t="n"/>
    </row>
    <row r="43" ht="30" customHeight="1" s="180">
      <c r="A43" s="349" t="inlineStr">
        <is>
          <t>RECOMMENDATIONS</t>
        </is>
      </c>
    </row>
    <row r="44" ht="30" customHeight="1" s="180">
      <c r="A44" s="350" t="inlineStr">
        <is>
          <t>1. Reprice top sellers to deck list prices: Latte $4.50→$5.00 (+$0.50, still below Starbucks $5.45), Drip $3.00→$3.50, Cold Brew $4.50→$4.95, Cappuccino $4.75→$5.25, Americano $4.00→$4.25, Matcha $6.00→$6.50, Draft Latte $5.25→$5.50.</t>
        </is>
      </c>
    </row>
    <row r="45" ht="30" customHeight="1" s="180">
      <c r="A45" s="350" t="inlineStr">
        <is>
          <t>2. Food &amp; blended: Egg &amp; Cheese sandwiches $10.00→$11.00 (+$1.00), Smoothies $8.00→$9.00 (+$1.00), Daily Specials $6.00→$6.50.</t>
        </is>
      </c>
    </row>
    <row r="46" ht="30" customHeight="1" s="180">
      <c r="A46" s="350" t="inlineStr">
        <is>
          <t>3. Premium is justified: 60% internal/hotel customer base, no nearby alternative; La Colombe-matched pricing where branded.</t>
        </is>
      </c>
    </row>
    <row r="47" ht="30" customHeight="1" s="180">
      <c r="A47" s="350" t="inlineStr">
        <is>
          <t>4. HOLD everything price-marked or market-referenced: packaged retail, alcohol, snacks, pastries, grab &amp; go.</t>
        </is>
      </c>
    </row>
    <row r="48" ht="30" customHeight="1" s="180">
      <c r="A48" s="350" t="inlineStr">
        <is>
          <t>Capture % below discounts the gross for volume attrition; coffee demand is sticky (elasticity ~ -0.3).</t>
        </is>
      </c>
    </row>
    <row r="49" ht="15" customHeight="1" s="180">
      <c r="A49" s="198" t="n"/>
      <c r="B49" s="198" t="n"/>
      <c r="C49" s="198" t="n"/>
      <c r="D49" s="198" t="n"/>
      <c r="E49" s="198" t="n"/>
      <c r="F49" s="198" t="n"/>
      <c r="G49" s="198" t="n"/>
      <c r="H49" s="198" t="n"/>
      <c r="I49" s="198" t="n"/>
    </row>
    <row r="50" ht="15" customHeight="1" s="180">
      <c r="A50" s="242" t="inlineStr">
        <is>
          <t>PRICING UPLIFT → MODEL  (feeds LW Assumptions C43)</t>
        </is>
      </c>
      <c r="B50" s="198" t="n"/>
      <c r="C50" s="198" t="n"/>
      <c r="D50" s="198" t="n"/>
      <c r="E50" s="198" t="n"/>
      <c r="F50" s="198" t="n"/>
      <c r="G50" s="198" t="n"/>
      <c r="H50" s="198" t="n"/>
      <c r="I50" s="198" t="n"/>
    </row>
    <row r="51" ht="15" customHeight="1" s="180">
      <c r="A51" s="292" t="inlineStr">
        <is>
          <t>Gross annual uplift (held volume)</t>
        </is>
      </c>
      <c r="B51" s="198" t="n"/>
      <c r="C51" s="341">
        <f>I29</f>
        <v/>
      </c>
      <c r="D51" s="198" t="n"/>
      <c r="E51" s="198" t="n"/>
      <c r="F51" s="198" t="n"/>
      <c r="G51" s="198" t="n"/>
      <c r="H51" s="198" t="n"/>
      <c r="I51" s="198" t="n"/>
    </row>
    <row r="52" ht="15" customHeight="1" s="180">
      <c r="A52" s="292" t="inlineStr">
        <is>
          <t>Capture %  (INPUT — coffee demand is sticky)</t>
        </is>
      </c>
      <c r="B52" s="198" t="n"/>
      <c r="C52" s="259" t="n">
        <v>0.9</v>
      </c>
      <c r="D52" s="198" t="n"/>
      <c r="E52" s="198" t="n"/>
      <c r="F52" s="198" t="n"/>
      <c r="G52" s="198" t="n"/>
      <c r="H52" s="198" t="n"/>
      <c r="I52" s="198" t="n"/>
    </row>
    <row r="53" ht="15" customHeight="1" s="180">
      <c r="A53" s="242" t="inlineStr">
        <is>
          <t>NET UPLIFT applied in 2027 budget</t>
        </is>
      </c>
      <c r="B53" s="198" t="n"/>
      <c r="C53" s="342">
        <f>C51*C52</f>
        <v/>
      </c>
      <c r="D53" s="198" t="n"/>
      <c r="E53" s="198" t="n"/>
      <c r="F53" s="198" t="n"/>
      <c r="G53" s="198" t="n"/>
      <c r="H53" s="198" t="n"/>
      <c r="I53" s="198" t="n"/>
    </row>
    <row r="54" ht="15" customHeight="1" s="180">
      <c r="A54" s="198" t="n"/>
      <c r="B54" s="198" t="n"/>
      <c r="C54" s="198" t="n"/>
      <c r="D54" s="198" t="n"/>
      <c r="E54" s="198" t="n"/>
      <c r="F54" s="198" t="n"/>
      <c r="G54" s="198" t="n"/>
      <c r="H54" s="198" t="n"/>
      <c r="I54" s="198" t="n"/>
    </row>
    <row r="55" ht="15" customHeight="1" s="180">
      <c r="A55" s="198" t="n"/>
      <c r="B55" s="198" t="n"/>
      <c r="C55" s="198" t="n"/>
      <c r="D55" s="198" t="n"/>
      <c r="E55" s="198" t="n"/>
      <c r="F55" s="198" t="n"/>
      <c r="G55" s="198" t="n"/>
      <c r="H55" s="198" t="n"/>
      <c r="I55" s="198" t="n"/>
    </row>
  </sheetData>
  <mergeCells count="8">
    <mergeCell ref="A43:I43"/>
    <mergeCell ref="A2:I2"/>
    <mergeCell ref="A47:I47"/>
    <mergeCell ref="A46:I46"/>
    <mergeCell ref="A32:I32"/>
    <mergeCell ref="A44:I44"/>
    <mergeCell ref="A45:I45"/>
    <mergeCell ref="A48:I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52" customWidth="1" style="179" min="1" max="1"/>
    <col width="15" customWidth="1" style="179" min="2" max="6"/>
  </cols>
  <sheetData>
    <row r="1" ht="15" customHeight="1" s="180">
      <c r="A1" s="181" t="inlineStr">
        <is>
          <t>Little Wing Coffee &amp; Goods</t>
        </is>
      </c>
    </row>
    <row r="2" ht="15" customHeight="1" s="180">
      <c r="A2" s="181" t="inlineStr">
        <is>
          <t>Retail / Shelf Plan — category build-up (feeds the retail lever in LW Assumptions C36/C37)</t>
        </is>
      </c>
    </row>
    <row r="4" ht="15" customHeight="1" s="180">
      <c r="A4" s="183" t="inlineStr">
        <is>
          <t>Category</t>
        </is>
      </c>
      <c r="B4" s="183" t="inlineStr">
        <is>
          <t>Today (TTM actual)</t>
        </is>
      </c>
      <c r="C4" s="183" t="inlineStr">
        <is>
          <t>Plan increment $/yr (INPUT)</t>
        </is>
      </c>
      <c r="D4" s="183" t="inlineStr">
        <is>
          <t>Product COGS % (INPUT)</t>
        </is>
      </c>
      <c r="E4" s="183" t="inlineStr">
        <is>
          <t>Plan total</t>
        </is>
      </c>
      <c r="F4" s="183" t="inlineStr">
        <is>
          <t>Incremental GP</t>
        </is>
      </c>
    </row>
    <row r="5" ht="15" customHeight="1" s="180">
      <c r="A5" s="184" t="inlineStr">
        <is>
          <t>Grab-and-go cold case (incl bottled/canned NA)</t>
        </is>
      </c>
      <c r="B5" s="203" t="n">
        <v>35102</v>
      </c>
      <c r="C5" s="351" t="n">
        <v>4000</v>
      </c>
      <c r="D5" s="285" t="n">
        <v>0.42</v>
      </c>
      <c r="E5" s="203">
        <f>B5+C5</f>
        <v/>
      </c>
      <c r="F5" s="203">
        <f>C5*(1-D5)</f>
        <v/>
      </c>
    </row>
    <row r="6" ht="15" customHeight="1" s="180">
      <c r="A6" s="184" t="inlineStr">
        <is>
          <t>Beer, wine &amp; RTD</t>
        </is>
      </c>
      <c r="B6" s="203" t="n">
        <v>18308</v>
      </c>
      <c r="C6" s="351" t="n">
        <v>12000</v>
      </c>
      <c r="D6" s="285" t="n">
        <v>0.42</v>
      </c>
      <c r="E6" s="203">
        <f>B6+C6</f>
        <v/>
      </c>
      <c r="F6" s="203">
        <f>C6*(1-D6)</f>
        <v/>
      </c>
    </row>
    <row r="7" ht="15" customHeight="1" s="180">
      <c r="A7" s="184" t="inlineStr">
        <is>
          <t>Pantry &amp; fridge</t>
        </is>
      </c>
      <c r="B7" s="203" t="n">
        <v>13158</v>
      </c>
      <c r="C7" s="351" t="n">
        <v>8000</v>
      </c>
      <c r="D7" s="285" t="n">
        <v>0.42</v>
      </c>
      <c r="E7" s="203">
        <f>B7+C7</f>
        <v/>
      </c>
      <c r="F7" s="203">
        <f>C7*(1-D7)</f>
        <v/>
      </c>
    </row>
    <row r="8" ht="15" customHeight="1" s="180">
      <c r="A8" s="184" t="inlineStr">
        <is>
          <t>Local goods &amp; gifts</t>
        </is>
      </c>
      <c r="B8" s="203" t="n">
        <v>1416</v>
      </c>
      <c r="C8" s="351" t="n">
        <v>4000</v>
      </c>
      <c r="D8" s="285" t="n">
        <v>0.42</v>
      </c>
      <c r="E8" s="203">
        <f>B8+C8</f>
        <v/>
      </c>
      <c r="F8" s="203">
        <f>C8*(1-D8)</f>
        <v/>
      </c>
    </row>
    <row r="9" ht="15" customHeight="1" s="180">
      <c r="A9" s="184" t="inlineStr">
        <is>
          <t>Coffee at home (beans, tea, gear)</t>
        </is>
      </c>
      <c r="B9" s="203" t="n">
        <v>857</v>
      </c>
      <c r="C9" s="351" t="n">
        <v>4000</v>
      </c>
      <c r="D9" s="285" t="n">
        <v>0.42</v>
      </c>
      <c r="E9" s="203">
        <f>B9+C9</f>
        <v/>
      </c>
      <c r="F9" s="203">
        <f>C9*(1-D9)</f>
        <v/>
      </c>
    </row>
    <row r="10" ht="15" customHeight="1" s="180">
      <c r="A10" s="184" t="inlineStr">
        <is>
          <t>Picnic &amp; waterfront</t>
        </is>
      </c>
      <c r="B10" s="203" t="n">
        <v>570</v>
      </c>
      <c r="C10" s="351" t="n">
        <v>3000</v>
      </c>
      <c r="D10" s="285" t="n">
        <v>0.42</v>
      </c>
      <c r="E10" s="203">
        <f>B10+C10</f>
        <v/>
      </c>
      <c r="F10" s="203">
        <f>C10*(1-D10)</f>
        <v/>
      </c>
    </row>
    <row r="11" ht="15" customHeight="1" s="180">
      <c r="A11" s="184" t="inlineStr">
        <is>
          <t>Toiletries &amp; OTC essentials</t>
        </is>
      </c>
      <c r="B11" s="203" t="n">
        <v>387</v>
      </c>
      <c r="C11" s="351" t="n">
        <v>6000</v>
      </c>
      <c r="D11" s="285" t="n">
        <v>0.42</v>
      </c>
      <c r="E11" s="203">
        <f>B11+C11</f>
        <v/>
      </c>
      <c r="F11" s="203">
        <f>C11*(1-D11)</f>
        <v/>
      </c>
    </row>
    <row r="12" ht="15" customHeight="1" s="180">
      <c r="A12" s="184" t="inlineStr">
        <is>
          <t>LW &amp; ROOST merch</t>
        </is>
      </c>
      <c r="B12" s="203" t="n">
        <v>198</v>
      </c>
      <c r="C12" s="351" t="n">
        <v>1500</v>
      </c>
      <c r="D12" s="285" t="n">
        <v>0.42</v>
      </c>
      <c r="E12" s="203">
        <f>B12+C12</f>
        <v/>
      </c>
      <c r="F12" s="203">
        <f>C12*(1-D12)</f>
        <v/>
      </c>
    </row>
    <row r="13" ht="15" customHeight="1" s="180">
      <c r="A13" s="184" t="inlineStr">
        <is>
          <t>Dog</t>
        </is>
      </c>
      <c r="B13" s="203" t="n">
        <v>0</v>
      </c>
      <c r="C13" s="351" t="n">
        <v>1500</v>
      </c>
      <c r="D13" s="285" t="n">
        <v>0.42</v>
      </c>
      <c r="E13" s="203">
        <f>B13+C13</f>
        <v/>
      </c>
      <c r="F13" s="203">
        <f>C13*(1-D13)</f>
        <v/>
      </c>
    </row>
    <row r="14" ht="15" customHeight="1" s="180">
      <c r="A14" s="184" t="inlineStr">
        <is>
          <t>Office &amp; greeting</t>
        </is>
      </c>
      <c r="B14" s="203" t="n">
        <v>0</v>
      </c>
      <c r="C14" s="351" t="n">
        <v>924</v>
      </c>
      <c r="D14" s="285" t="n">
        <v>0.42</v>
      </c>
      <c r="E14" s="203">
        <f>B14+C14</f>
        <v/>
      </c>
      <c r="F14" s="203">
        <f>C14*(1-D14)</f>
        <v/>
      </c>
    </row>
    <row r="15" ht="15" customHeight="1" s="180">
      <c r="A15" s="185" t="inlineStr">
        <is>
          <t>TOTAL</t>
        </is>
      </c>
      <c r="B15" s="206">
        <f>SUM(B5:B14)</f>
        <v/>
      </c>
      <c r="C15" s="206">
        <f>SUM(C5:C14)</f>
        <v/>
      </c>
      <c r="D15" s="352">
        <f>SUMPRODUCT(C5:C14,D5:D14)/C15</f>
        <v/>
      </c>
      <c r="E15" s="206">
        <f>SUM(E5:E14)</f>
        <v/>
      </c>
      <c r="F15" s="206">
        <f>SUM(F5:F14)</f>
        <v/>
      </c>
    </row>
    <row r="16" ht="15" customHeight="1" s="180">
      <c r="A16" s="182" t="inlineStr">
        <is>
          <t>(F15 applies blended COGS to the whole increment; the model credits the $2.9K existing-base uplift at 0% COGS → effective GP $23.9K)</t>
        </is>
      </c>
    </row>
    <row r="17" ht="15" customHeight="1" s="180">
      <c r="A17" s="185" t="inlineStr">
        <is>
          <t>FEED → MODEL</t>
        </is>
      </c>
    </row>
    <row r="18" ht="15" customHeight="1" s="180">
      <c r="A18" s="184" t="inlineStr">
        <is>
          <t>Existing-base uplift already in the model (LW Assumptions C47)</t>
        </is>
      </c>
      <c r="C18" s="203">
        <f>'LW Assumptions'!C47</f>
        <v/>
      </c>
    </row>
    <row r="19" ht="15" customHeight="1" s="180">
      <c r="A19" s="184" t="inlineStr">
        <is>
          <t>New programming revenue → LW Assumptions C36  (= total increment − base uplift)</t>
        </is>
      </c>
      <c r="C19" s="186">
        <f>C15-C18</f>
        <v/>
      </c>
    </row>
    <row r="20" ht="15" customHeight="1" s="180">
      <c r="A20" s="184" t="inlineStr">
        <is>
          <t>Blended COGS % on new programming → LW Assumptions C37</t>
        </is>
      </c>
      <c r="C20" s="353">
        <f>D15</f>
        <v/>
      </c>
    </row>
    <row r="22" ht="15" customHeight="1" s="180">
      <c r="A22" s="182" t="inlineStr">
        <is>
          <t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2026-07-01T16:42:55Z</dcterms:created>
  <dcterms:modified xmlns:dcterms="http://purl.org/dc/terms/" xmlns:xsi="http://www.w3.org/2001/XMLSchema-instance" xsi:type="dcterms:W3CDTF">2026-07-13T21:27:07Z</dcterms:modified>
  <cp:revision>0</cp:revision>
</cp:coreProperties>
</file>