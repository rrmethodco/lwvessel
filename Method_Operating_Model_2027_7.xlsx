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Assumptions" sheetId="10" state="visible" r:id="rId12"/>
    <sheet name="LW P&amp;L" sheetId="11" state="visible" r:id="rId13"/>
    <sheet name="LW Budget" sheetId="12" state="visible" r:id="rId14"/>
    <sheet name="LW Labor Model" sheetId="13" state="visible" r:id="rId15"/>
    <sheet name="LW Weekly Compare" sheetId="14" state="visible" r:id="rId16"/>
    <sheet name="LW Shift Detail" sheetId="15" state="visible" r:id="rId17"/>
    <sheet name="LW GL Basis" sheetId="16" state="visible" r:id="rId18"/>
    <sheet name="LW Menu Pricin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<sst xmlns="http://schemas.openxmlformats.org/spreadsheetml/2006/main" count="753" uniqueCount="555">
  <si>
    <t xml:space="preserve">METHOD TERRAPIN — SCENARIO SUMMARY</t>
  </si>
  <si>
    <t xml:space="preserve">T12 (GL actual) · 2026 Forecast (status quo) · 2026 Modified (changes from Aug 1 go-live, see 2026 Bridge) · 2027 Plan · blue = external actuals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</si>
  <si>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</si>
  <si>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</si>
  <si>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</si>
  <si>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</si>
  <si>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</si>
  <si>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Revenue</t>
  </si>
  <si>
    <t xml:space="preserve">Cost of goods sold</t>
  </si>
  <si>
    <t xml:space="preserve">GROSS PROFIT</t>
  </si>
  <si>
    <t xml:space="preserve">Labor</t>
  </si>
  <si>
    <t xml:space="preserve">Operating expenses (excl fees &amp; rent)</t>
  </si>
  <si>
    <t xml:space="preserve">Management fee</t>
  </si>
  <si>
    <t xml:space="preserve">Admin fee (Vessel 5% of F&amp;B)</t>
  </si>
  <si>
    <t xml:space="preserve">Rent / occupancy</t>
  </si>
  <si>
    <t xml:space="preserve">NET OPERATING INCOME</t>
  </si>
  <si>
    <t xml:space="preserve">NOI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</si>
  <si>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</si>
  <si>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</si>
  <si>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</si>
  <si>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</si>
  <si>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</si>
  <si>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</si>
  <si>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</si>
  <si>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</si>
  <si>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</si>
  <si>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</si>
  <si>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</si>
  <si>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</si>
  <si>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</si>
  <si>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</si>
  <si>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</si>
  <si>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</si>
  <si>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</si>
  <si>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</si>
  <si>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Retail programming expansion (new merch/goods)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</si>
  <si>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</si>
  <si>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</si>
  <si>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</si>
  <si>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</si>
  <si>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</si>
  <si>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</si>
  <si>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</si>
  <si>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</si>
  <si>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</si>
  <si>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METHOD TERRAPIN — CONSOLIDATED P&amp;L 2027</t>
  </si>
  <si>
    <t xml:space="preserve">Vessel (events) + Little Wing (coffee) · FY roll-up · management fee (4%) &amp; rent above NOI · $ and % of revenue</t>
  </si>
  <si>
    <t xml:space="preserve">FY 2027</t>
  </si>
  <si>
    <t xml:space="preserve">Vessel</t>
  </si>
  <si>
    <t xml:space="preserve">Little Wing</t>
  </si>
  <si>
    <t xml:space="preserve">Consolidated</t>
  </si>
  <si>
    <t xml:space="preserve">$</t>
  </si>
  <si>
    <t xml:space="preserve">% rev</t>
  </si>
  <si>
    <t xml:space="preserve">Credit card fees</t>
  </si>
  <si>
    <t xml:space="preserve">Controllable expenses</t>
  </si>
  <si>
    <t xml:space="preserve">Non-controllable expenses</t>
  </si>
  <si>
    <t xml:space="preserve">Management fee  (4% of revenue)</t>
  </si>
  <si>
    <t xml:space="preserve">Admin fee  (Vessel 5% of F&amp;B)</t>
  </si>
  <si>
    <t xml:space="preserve">Rent  (Vessel $0 / LW 6%)</t>
  </si>
  <si>
    <t xml:space="preserve">Total operating expenses</t>
  </si>
  <si>
    <t xml:space="preserve">NET OPERATING INCOME  (after mgmt fee, admin fee &amp; rent)</t>
  </si>
  <si>
    <t xml:space="preserve">CONSOLIDATED NOI BY MONTH  (after mgmt fee &amp; rent)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</si>
  <si>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</si>
  <si>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</si>
  <si>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</si>
  <si>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</si>
  <si>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</si>
  <si>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</si>
  <si>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</si>
  <si>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</si>
  <si>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</si>
  <si>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</si>
  <si>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</si>
  <si>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</si>
  <si>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</si>
  <si>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</si>
  <si>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 12-MONTH P&amp;L  (2027 PLAN)</t>
  </si>
  <si>
    <t xml:space="preserve">Vessel + Little Wing · monthly · mgmt fee (4%), admin fee (Vessel 5% F&amp;B) &amp; rent above NOI</t>
  </si>
  <si>
    <t xml:space="preserve">($)</t>
  </si>
  <si>
    <t xml:space="preserve">Management fee (4% of revenue)</t>
  </si>
  <si>
    <t xml:space="preserve">Rent (Vessel $0 / LW 6%)</t>
  </si>
  <si>
    <t xml:space="preserve">VESSEL EVENTS  —  2027 OPERATING SUMMARY</t>
  </si>
  <si>
    <t xml:space="preserve">ANNUAL P&amp;L</t>
  </si>
  <si>
    <t xml:space="preserve">KEY METRICS</t>
  </si>
  <si>
    <t xml:space="preserve">Total revenue</t>
  </si>
  <si>
    <t xml:space="preserve">Net operating margin</t>
  </si>
  <si>
    <t xml:space="preserve">Total COGS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</si>
  <si>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</si>
  <si>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</si>
  <si>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</si>
  <si>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</si>
  <si>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</si>
  <si>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</si>
  <si>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</si>
  <si>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</si>
  <si>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</si>
  <si>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</si>
  <si>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</si>
  <si>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Admin fee (5% of F&amp;B)</t>
  </si>
  <si>
    <t xml:space="preserve">Rent / occupancy (none)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</si>
  <si>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</si>
  <si>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</si>
  <si>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</si>
  <si>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</si>
  <si>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</si>
  <si>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</si>
  <si>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</si>
  <si>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</si>
  <si>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</si>
  <si>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</si>
  <si>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</si>
  <si>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</si>
  <si>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</si>
  <si>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</si>
  <si>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</si>
  <si>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</si>
  <si>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</si>
  <si>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</si>
  <si>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</si>
  <si>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</si>
  <si>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</si>
  <si>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</si>
  <si>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</si>
  <si>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</si>
  <si>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</si>
  <si>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</si>
  <si>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</si>
  <si>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</si>
  <si>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</si>
  <si>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</si>
  <si>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</si>
  <si>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</si>
  <si>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</si>
  <si>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</si>
  <si>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</si>
  <si>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</si>
  <si>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2027 BUDGET</t>
  </si>
  <si>
    <t xml:space="preserve">$ per month · management fee (4% of revenue) &amp; rent shown above NOI · driven by Vessel Assumptions</t>
  </si>
  <si>
    <t xml:space="preserve">($ / % of revenue)</t>
  </si>
  <si>
    <t xml:space="preserve">Events (2026 run-rate)</t>
  </si>
  <si>
    <t xml:space="preserve">Events (budgeted, whole)</t>
  </si>
  <si>
    <t xml:space="preserve">Food revenue</t>
  </si>
  <si>
    <t xml:space="preserve">Beverage revenue</t>
  </si>
  <si>
    <t xml:space="preserve">Service charge</t>
  </si>
  <si>
    <t xml:space="preserve">TOTAL REVENUE</t>
  </si>
  <si>
    <t xml:space="preserve">Food COGS  (% of food sales)</t>
  </si>
  <si>
    <t xml:space="preserve">Beverage COGS  (% of bev sales)</t>
  </si>
  <si>
    <t xml:space="preserve">TOTAL COGS</t>
  </si>
  <si>
    <t xml:space="preserve">Management labor  (GL FOH mgmt)</t>
  </si>
  <si>
    <t xml:space="preserve">Payroll taxes &amp; benefits</t>
  </si>
  <si>
    <t xml:space="preserve">TOTAL LABOR</t>
  </si>
  <si>
    <t xml:space="preserve">PRIME COST</t>
  </si>
  <si>
    <t xml:space="preserve">Controllable expenses (excl CC)</t>
  </si>
  <si>
    <t xml:space="preserve">Credit card fees  (2.5% of revenue)</t>
  </si>
  <si>
    <t xml:space="preserve">Non-controllable  (insurance, legal, reserves)</t>
  </si>
  <si>
    <t xml:space="preserve">Management fee  (4% of revenue → Method)</t>
  </si>
  <si>
    <t xml:space="preserve">Admin fee  (5% of F&amp;B revenue → Method)</t>
  </si>
  <si>
    <t xml:space="preserve">Rent / occupancy  (Vessel: none)</t>
  </si>
  <si>
    <t xml:space="preserve">Management fee = 4% of revenue; admin fee = 5% of food+beverage; Vessel has no separate rent. NOI is the bottom line.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</si>
  <si>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</si>
  <si>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</si>
  <si>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</si>
  <si>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</si>
  <si>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</si>
  <si>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</si>
  <si>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</si>
  <si>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</si>
  <si>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</si>
  <si>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</si>
  <si>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</si>
  <si>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</si>
  <si>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</si>
  <si>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Utilities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</si>
  <si>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</si>
  <si>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</si>
  <si>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</si>
  <si>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</si>
  <si>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</si>
  <si>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</si>
  <si>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</si>
  <si>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</si>
  <si>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</si>
  <si>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</si>
  <si>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</si>
  <si>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</si>
  <si>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</si>
  <si>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</si>
  <si>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</si>
  <si>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</si>
  <si>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</si>
  <si>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</si>
  <si>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</si>
  <si>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</si>
  <si>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</si>
  <si>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</si>
  <si>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</si>
  <si>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</si>
  <si>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Actual</t>
  </si>
  <si>
    <t xml:space="preserve">Forecast</t>
  </si>
  <si>
    <t xml:space="preserve">Act/For/Bud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</si>
  <si>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</si>
  <si>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</si>
  <si>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</si>
  <si>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</si>
  <si>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</si>
  <si>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</si>
  <si>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</si>
  <si>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</si>
  <si>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Other Operating Income</t>
  </si>
  <si>
    <t xml:space="preserve">Discounts &amp; Comps</t>
  </si>
  <si>
    <t xml:space="preserve">Total Income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</si>
  <si>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</si>
  <si>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</si>
  <si>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</si>
  <si>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</si>
  <si>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</si>
  <si>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</si>
  <si>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Gross Profit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</si>
  <si>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</si>
  <si>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</si>
  <si>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</si>
  <si>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</si>
  <si>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</si>
  <si>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</si>
  <si>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Total Labor Cost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</si>
  <si>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</si>
  <si>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</si>
  <si>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</si>
  <si>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</si>
  <si>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</si>
  <si>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</si>
  <si>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</si>
  <si>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</si>
  <si>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Total Controllable Expenses</t>
  </si>
  <si>
    <t xml:space="preserve">Uncontrollable Expenses</t>
  </si>
  <si>
    <t xml:space="preserve">Occupancy Cost</t>
  </si>
  <si>
    <t xml:space="preserve">General &amp; Administrative - Uncon</t>
  </si>
  <si>
    <t xml:space="preserve">Management Fee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</si>
  <si>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</si>
  <si>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</si>
  <si>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</si>
  <si>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</si>
  <si>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</si>
  <si>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</si>
  <si>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</si>
  <si>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</si>
  <si>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</si>
  <si>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LITTLE WING  ·  COFFEE SHOP MODEL</t>
  </si>
  <si>
    <t xml:space="preserve">Single-shift efficiency model — 6am–4pm staffed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</si>
  <si>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</si>
  <si>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</si>
  <si>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</si>
  <si>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</si>
  <si>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</si>
  <si>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</si>
  <si>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</si>
  <si>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</si>
  <si>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</si>
  <si>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</si>
  <si>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</si>
  <si>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</si>
  <si>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</si>
  <si>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</si>
  <si>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</si>
  <si>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</si>
  <si>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</si>
  <si>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+ 2nd barista on peak days)</t>
  </si>
  <si>
    <t xml:space="preserve">Opener/supervisor hours/day</t>
  </si>
  <si>
    <t xml:space="preserve">6am–4pm · one barista/supervisor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</si>
  <si>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</si>
  <si>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</si>
  <si>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</si>
  <si>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</si>
  <si>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</si>
  <si>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</si>
  <si>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</si>
  <si>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</si>
  <si>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</si>
  <si>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</si>
  <si>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</si>
  <si>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</si>
  <si>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</si>
  <si>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</si>
  <si>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</si>
  <si>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</si>
  <si>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</si>
  <si>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</si>
  <si>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</si>
  <si>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</si>
  <si>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</si>
  <si>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</si>
  <si>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</si>
  <si>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</si>
  <si>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</si>
  <si>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</si>
  <si>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</si>
  <si>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</si>
  <si>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</si>
  <si>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</si>
  <si>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</si>
  <si>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</si>
  <si>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</si>
  <si>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</si>
  <si>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</si>
  <si>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</si>
  <si>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— 2027 P&amp;L</t>
  </si>
  <si>
    <t xml:space="preserve">Current staffing vs adjusted single-shift (6am–4pm, wknd 2nd barista) · annual · the gap is almost entirely labor</t>
  </si>
  <si>
    <t xml:space="preserve">Current</t>
  </si>
  <si>
    <t xml:space="preserve">Adjusted</t>
  </si>
  <si>
    <t xml:space="preserve">NA / Coffee revenue</t>
  </si>
  <si>
    <t xml:space="preserve">Alcohol revenue</t>
  </si>
  <si>
    <t xml:space="preserve">Retail / merch revenue</t>
  </si>
  <si>
    <t xml:space="preserve">Other revenue</t>
  </si>
  <si>
    <t xml:space="preserve">Food COGS</t>
  </si>
  <si>
    <t xml:space="preserve">NA / Coffee COGS</t>
  </si>
  <si>
    <t xml:space="preserve">Alcohol COGS</t>
  </si>
  <si>
    <t xml:space="preserve">Retail COGS</t>
  </si>
  <si>
    <t xml:space="preserve">Other COGS</t>
  </si>
  <si>
    <t xml:space="preserve">Rent  (6% of revenue)</t>
  </si>
  <si>
    <t xml:space="preserve">TOTAL COSTS BELOW GROSS</t>
  </si>
  <si>
    <t xml:space="preserve">NET OPERATING INCOME  (after mgmt fee &amp; rent)</t>
  </si>
  <si>
    <t xml:space="preserve">Labor savings from the single-shift model:</t>
  </si>
  <si>
    <t xml:space="preserve">Both columns use go-forward owner terms (4% mgmt fee + 6% rent) so the gap is purely the labor model. Management fee now scales with revenue (replaces the $48K flat fee).</t>
  </si>
  <si>
    <t xml:space="preserve">LITTLE WING — 2027 BUDGET</t>
  </si>
  <si>
    <t xml:space="preserve">Adjusted single-shift model (6am–4pm) · $ and % of revenue each month · driven by LW Assumptions</t>
  </si>
  <si>
    <t xml:space="preserve">Revenue index (Jan–Jun = actual Toast · avg = 1.00)</t>
  </si>
  <si>
    <t xml:space="preserve">Retail / merch revenue  (incl. uplift + programming)</t>
  </si>
  <si>
    <t xml:space="preserve">TOTAL REVENUE  (incl. price increase)</t>
  </si>
  <si>
    <t xml:space="preserve">NA / Coffee COGS  (% of NA sales)</t>
  </si>
  <si>
    <t xml:space="preserve">Alcohol COGS  (% of alc sales)</t>
  </si>
  <si>
    <t xml:space="preserve">Retail COGS  (base % + programming COGS %)</t>
  </si>
  <si>
    <t xml:space="preserve">Other COGS  (% of other sales)</t>
  </si>
  <si>
    <t xml:space="preserve">Labor  (single 6am–4pm shift + wknd 2nd barista)</t>
  </si>
  <si>
    <t xml:space="preserve">Monthly revenue index = actual Toast net sales ÷ 6-mo avg (Jan 0.70 · Feb 0.81 · Mar 1.21 · Apr 0.93 · May 1.12 · Jun 1.23); Jul–Dec = H1 average</t>
  </si>
  <si>
    <t xml:space="preserve">STAFFING SENSITIVITY — annual NOI by morning coverage (after mgmt fee &amp; rent)</t>
  </si>
  <si>
    <t xml:space="preserve">Scenario (6am–4pm)</t>
  </si>
  <si>
    <t xml:space="preserve">Hrs/day</t>
  </si>
  <si>
    <t xml:space="preserve">Annual labor</t>
  </si>
  <si>
    <t xml:space="preserve">NOI</t>
  </si>
  <si>
    <t xml:space="preserve">NOI %</t>
  </si>
  <si>
    <t xml:space="preserve">Method 75%</t>
  </si>
  <si>
    <t xml:space="preserve">1.36 barista-equiv  (base: 10h + wknd overlap)</t>
  </si>
  <si>
    <t xml:space="preserve">1.25  (+2h afternoon help)</t>
  </si>
  <si>
    <t xml:space="preserve">1.5  (+4h afternoon help)</t>
  </si>
  <si>
    <t xml:space="preserve">2.0  (two full shifts)</t>
  </si>
  <si>
    <t xml:space="preserve">Labor = Hrs/day × days/wk × 52 × blended wage × (1+burden), all live from LW Assumptions. NOI holds revenue, COGS, CC fees and overhead constant — only morning staffing flexes. Base case = one barista covering the shift solo.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</si>
  <si>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</si>
  <si>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</si>
  <si>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</si>
  <si>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</si>
  <si>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</si>
  <si>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</si>
  <si>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</si>
  <si>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</si>
  <si>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</si>
  <si>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</si>
  <si>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</si>
  <si>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</si>
  <si>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</si>
  <si>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</si>
  <si>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</si>
  <si>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</si>
  <si>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</si>
  <si>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</si>
  <si>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</si>
  <si>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</si>
  <si>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</si>
  <si>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</si>
  <si>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</si>
  <si>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</si>
  <si>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</si>
  <si>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</si>
  <si>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</si>
  <si>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</si>
  <si>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</si>
  <si>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</si>
  <si>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</si>
  <si>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</si>
  <si>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</si>
  <si>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</si>
  <si>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</si>
  <si>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</si>
  <si>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</si>
  <si>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</si>
  <si>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</si>
  <si>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</si>
  <si>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</si>
  <si>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</si>
  <si>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</si>
  <si>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</si>
  <si>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</si>
  <si>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</si>
  <si>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</si>
  <si>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</si>
  <si>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</si>
  <si>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</si>
  <si>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</si>
  <si>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</si>
  <si>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</si>
  <si>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</si>
  <si>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</si>
  <si>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</si>
  <si>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</si>
  <si>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</si>
  <si>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</si>
  <si>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</si>
  <si>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</si>
  <si>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</si>
  <si>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</si>
  <si>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</si>
  <si>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</si>
  <si>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</si>
  <si>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</si>
  <si>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</si>
  <si>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</si>
  <si>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</si>
  <si>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</si>
  <si>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</si>
  <si>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</si>
  <si>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</si>
  <si>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</si>
  <si>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</si>
  <si>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</si>
  <si>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</si>
  <si>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</si>
  <si>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</si>
  <si>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</si>
  <si>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</si>
  <si>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</si>
  <si>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</si>
  <si>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</si>
  <si>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</si>
  <si>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</si>
  <si>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</si>
  <si>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</si>
  <si>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</si>
  <si>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</si>
  <si>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</si>
  <si>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</si>
  <si>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</si>
  <si>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</si>
  <si>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</si>
  <si>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</si>
  <si>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</si>
  <si>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</si>
  <si>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</si>
  <si>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</si>
  <si>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</si>
  <si>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</si>
  <si>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</si>
  <si>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</si>
  <si>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</si>
  <si>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</si>
  <si>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</si>
  <si>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</si>
  <si>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</si>
  <si>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</si>
  <si>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</si>
  <si>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</si>
  <si>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</si>
  <si>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</si>
  <si>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</si>
  <si>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</si>
  <si>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</si>
  <si>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(10h)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</si>
  <si>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</si>
  <si>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</si>
  <si>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</si>
  <si>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</si>
  <si>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</si>
  <si>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</si>
  <si>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</si>
  <si>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</si>
  <si>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</si>
  <si>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</si>
  <si>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</si>
  <si>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</si>
  <si>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</si>
  <si>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</si>
  <si>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</si>
  <si>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</si>
  <si>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</si>
  <si>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  Wages (all roles)</t>
  </si>
  <si>
    <t xml:space="preserve">  Payroll taxes</t>
  </si>
  <si>
    <t xml:space="preserve">  Benefits &amp; insurance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</si>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</sst>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"/>
    <numFmt numFmtId="170" formatCode="0"/>
    <numFmt numFmtId="171" formatCode="\$#,##0;&quot;($&quot;#,##0\)"/>
    <numFmt numFmtId="172" formatCode="0.0%;\-0.0%"/>
    <numFmt numFmtId="173" formatCode="0%"/>
    <numFmt numFmtId="174" formatCode="\$#,##0;[RED]&quot;($&quot;#,##0\)"/>
    <numFmt numFmtId="175" formatCode="0.000"/>
    <numFmt numFmtId="176" formatCode="0.0"/>
    <numFmt numFmtId="177" formatCode="@"/>
    <numFmt numFmtId="178" formatCode="\$#,##0.00"/>
    <numFmt numFmtId="179" formatCode="\$#,##0;;\–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20"/>
      <color rgb="FFFFFFFF"/>
      <name val="Georgia"/>
      <family val="0"/>
      <charset val="1"/>
    </font>
    <font>
      <i val="true"/>
      <sz val="11"/>
      <color rgb="FFE8D9B5"/>
      <name val="Georg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i val="true"/>
      <sz val="8"/>
      <color rgb="FFFFFFFF"/>
      <name val="Calibri"/>
      <family val="0"/>
      <charset val="1"/>
    </font>
    <font>
      <b val="true"/>
      <sz val="10"/>
      <color rgb="FF1C2536"/>
      <name val="Calibri"/>
      <family val="0"/>
      <charset val="1"/>
    </font>
    <font>
      <b val="true"/>
      <i val="true"/>
      <sz val="9"/>
      <color rgb="FF1C2536"/>
      <name val="Calibri"/>
      <family val="0"/>
      <charset val="1"/>
    </font>
    <font>
      <sz val="10"/>
      <color rgb="FF1C2536"/>
      <name val="Calibri"/>
      <family val="0"/>
      <charset val="1"/>
    </font>
    <font>
      <i val="true"/>
      <sz val="9"/>
      <color rgb="FF1C2536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1"/>
      <color rgb="FF1C2536"/>
      <name val="Calibri"/>
      <family val="0"/>
      <charset val="1"/>
    </font>
    <font>
      <b val="true"/>
      <sz val="11"/>
      <color rgb="FF1C2536"/>
      <name val="Georgia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8E3B3B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Georgia"/>
      <family val="0"/>
      <charset val="1"/>
    </font>
    <font>
      <i val="true"/>
      <sz val="10"/>
      <color rgb="FFE8D9B5"/>
      <name val="Georgia"/>
      <family val="0"/>
      <charset val="1"/>
    </font>
    <font>
      <b val="true"/>
      <sz val="10"/>
      <color rgb="FF1C2536"/>
      <name val="Georgia"/>
      <family val="0"/>
      <charset val="1"/>
    </font>
    <font>
      <b val="true"/>
      <sz val="9"/>
      <color rgb="FF1C2536"/>
      <name val="Calibri"/>
      <family val="0"/>
      <charset val="1"/>
    </font>
    <font>
      <sz val="9"/>
      <color rgb="FF1C2536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Georgia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sz val="11"/>
      <color rgb="FF1C2536"/>
      <name val="Calibri"/>
      <family val="0"/>
      <charset val="1"/>
    </font>
    <font>
      <i val="true"/>
      <sz val="8"/>
      <color rgb="FF1C2536"/>
      <name val="Calibri"/>
      <family val="0"/>
      <charset val="1"/>
    </font>
    <font>
      <b val="true"/>
      <sz val="9"/>
      <color rgb="FF8A6D2A"/>
      <name val="Calibri"/>
      <family val="0"/>
      <charset val="1"/>
    </font>
    <font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C2536"/>
        <bgColor rgb="FF1A1A1A"/>
      </patternFill>
    </fill>
    <fill>
      <patternFill patternType="solid">
        <fgColor rgb="FF8A6D2A"/>
        <bgColor rgb="FF6B6459"/>
      </patternFill>
    </fill>
    <fill>
      <patternFill patternType="solid">
        <fgColor rgb="FFEFE8D8"/>
        <bgColor rgb="FFF3ECDD"/>
      </patternFill>
    </fill>
    <fill>
      <patternFill patternType="solid">
        <fgColor rgb="FFE8D9B5"/>
        <bgColor rgb="FFD8CDB4"/>
      </patternFill>
    </fill>
    <fill>
      <patternFill patternType="solid">
        <fgColor rgb="FFFBF9F4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3ECDD"/>
        <bgColor rgb="FFEFE8D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thin">
        <color rgb="FFD8CDB4"/>
      </top>
      <bottom style="thin">
        <color rgb="FFD8CDB4"/>
      </bottom>
      <diagonal/>
    </border>
    <border diagonalUp="false" diagonalDown="false">
      <left style="thin">
        <color rgb="FFD8CDB4"/>
      </left>
      <right style="medium">
        <color rgb="FFB08D3C"/>
      </right>
      <top style="thin">
        <color rgb="FFD8CDB4"/>
      </top>
      <bottom style="thin">
        <color rgb="FFD8CDB4"/>
      </bottom>
      <diagonal/>
    </border>
    <border diagonalUp="false" diagonalDown="false">
      <left style="medium">
        <color rgb="FFB08D3C"/>
      </left>
      <right style="thin">
        <color rgb="FFD8CDB4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D8CDB4"/>
      </left>
      <right style="thin">
        <color rgb="FFD8CDB4"/>
      </right>
      <top style="medium">
        <color rgb="FFB08D3C"/>
      </top>
      <bottom style="medium">
        <color rgb="FFB08D3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3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0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30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5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3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2A"/>
      <rgbColor rgb="FF800080"/>
      <rgbColor rgb="FF215C43"/>
      <rgbColor rgb="FFD8CDB4"/>
      <rgbColor rgb="FF6B6459"/>
      <rgbColor rgb="FF9999FF"/>
      <rgbColor rgb="FF8E3B3B"/>
      <rgbColor rgb="FFFBF9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8D8"/>
      <rgbColor rgb="FFF3ECDD"/>
      <rgbColor rgb="FF99CCFF"/>
      <rgbColor rgb="FFFF99CC"/>
      <rgbColor rgb="FFCC99FF"/>
      <rgbColor rgb="FFE8D9B5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1A1A1A"/>
      <rgbColor rgb="FF9B2D2D"/>
      <rgbColor rgb="FF993366"/>
      <rgbColor rgb="FF333399"/>
      <rgbColor rgb="FF1C25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Assumptions'!$C$47+'2026 Bridge'!$D$13*'LW Assumptions'!$C$36</f>
        <v>300862.554166667</v>
      </c>
      <c r="E6" s="7" t="n">
        <f aca="false">'LW Budget'!$Z$11</f>
        <v>298740.15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99691+'2026 Bridge'!$D$13*'LW Assumptions'!$C$36*'LW Assumptions'!$C$37</f>
        <v>102191</v>
      </c>
      <c r="E7" s="7" t="n">
        <f aca="false">'LW Budget'!$Z$18</f>
        <v>86932.346356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198671.554166667</v>
      </c>
      <c r="E8" s="9" t="n">
        <f aca="false">E6-E7</f>
        <v>211807.803644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144741.966666667</v>
      </c>
      <c r="E9" s="7" t="n">
        <f aca="false">'LW Budget'!$Z$21</f>
        <v>111953.92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Assumptions'!$C$47+'2026 Bridge'!$D$13*'LW Assumptions'!$C$36)</f>
        <v>112547.938854167</v>
      </c>
      <c r="E10" s="7" t="n">
        <f aca="false">'LW Budget'!$Z$22+'LW Budget'!$Z$23+'LW Budget'!$Z$24</f>
        <v>102800.50375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Assumptions'!$C$47+'LW Assumptions'!$C$36))</f>
        <v>33330.7188333333</v>
      </c>
      <c r="E11" s="7" t="n">
        <f aca="false">'LW Budget'!$Z$25</f>
        <v>11949.606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Assumptions'!$C$47+'2026 Bridge'!$D$13*'LW Assumptions'!$C$36)</f>
        <v>18051.75325</v>
      </c>
      <c r="E13" s="7" t="n">
        <f aca="false">'LW Budget'!$Z$26</f>
        <v>17924.409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-110000.8234375</v>
      </c>
      <c r="E14" s="9" t="n">
        <f aca="false">E6-E7-E9-E10-E11-E12-E13</f>
        <v>-32820.6351059999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-0.365618193138664</v>
      </c>
      <c r="E15" s="10" t="n">
        <f aca="false">E14/E6</f>
        <v>-0.109863488740967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C19</f>
        <v>351975</v>
      </c>
      <c r="E19" s="7" t="n">
        <f aca="false">'Vessel Budget'!$Z$10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C20</f>
        <v>122932</v>
      </c>
      <c r="E20" s="7" t="n">
        <f aca="false">'Vessel Budget'!$Z$14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77956</v>
      </c>
      <c r="C22" s="6" t="n">
        <f aca="false">'Vessel 2026 P&amp;L'!$AB$33</f>
        <v>77956</v>
      </c>
      <c r="D22" s="7" t="n">
        <f aca="false">C22</f>
        <v>77956</v>
      </c>
      <c r="E22" s="7" t="n">
        <f aca="false">'Vessel Budget'!$Z$20</f>
        <v>75489.381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91608</v>
      </c>
      <c r="C23" s="6" t="n">
        <f aca="false">'Vessel 2026 P&amp;L'!$AB$44+'Vessel 2026 P&amp;L'!$AB$53-'Vessel 2026 P&amp;L'!$AB$50-'Vessel 2026 P&amp;L'!$AB$48</f>
        <v>91608</v>
      </c>
      <c r="D23" s="7" t="n">
        <f aca="false">C23</f>
        <v>91608</v>
      </c>
      <c r="E23" s="7" t="n">
        <f aca="false">'Vessel Budget'!$Z$24+'Vessel Budget'!$Z$23+'Vessel Budget'!$Z$25</f>
        <v>101568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P&amp;L'!$AB$50-'2026 Bridge'!$D$10*('Vessel 2026 P&amp;L'!$AB$50-'Vessel Assumptions'!$C$30*'Vessel 2026 P&amp;L'!$AB$16)</f>
        <v>33866.25</v>
      </c>
      <c r="E24" s="7" t="n">
        <f aca="false">'Vessel Budget'!$Z$26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Assumptions'!$C$32*SUM('Vessel 2026 P&amp;L'!$AB$9:$AB$13)</f>
        <v>4823.45833333333</v>
      </c>
      <c r="E25" s="7" t="n">
        <f aca="false">'Vessel Budget'!$Z$27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21342</v>
      </c>
      <c r="C26" s="6" t="n">
        <f aca="false">'Vessel 2026 P&amp;L'!$AB$48</f>
        <v>21342</v>
      </c>
      <c r="D26" s="7" t="n">
        <f aca="false">'Vessel 2026 P&amp;L'!$AB$48-'2026 Bridge'!$D$11*('Vessel 2026 P&amp;L'!$AB$48-0)</f>
        <v>12449.5</v>
      </c>
      <c r="E26" s="7" t="n">
        <f aca="false">'Vessel Budget'!$Z$28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-9863</v>
      </c>
      <c r="C27" s="9" t="n">
        <f aca="false">C19-C20-C22-C23-C24-C25-C26</f>
        <v>-9863</v>
      </c>
      <c r="D27" s="9" t="n">
        <f aca="false">D19-D20-D22-D23-D24-D25-D26</f>
        <v>8339.79166666666</v>
      </c>
      <c r="E27" s="9" t="n">
        <f aca="false">E19-E20-E22-E23-E24-E25-E26</f>
        <v>18772.819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-0.0280218765537325</v>
      </c>
      <c r="C28" s="10" t="n">
        <f aca="false">C27/C19</f>
        <v>-0.0280218765537325</v>
      </c>
      <c r="D28" s="10" t="n">
        <f aca="false">D27/D19</f>
        <v>0.0236942727939958</v>
      </c>
      <c r="E28" s="10" t="n">
        <f aca="false">E27/E19</f>
        <v>0.0471205296184738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639280</v>
      </c>
      <c r="D32" s="7" t="n">
        <f aca="false">D6+D19</f>
        <v>652837.554166667</v>
      </c>
      <c r="E32" s="7" t="n">
        <f aca="false">E6+E19</f>
        <v>697140.15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222623</v>
      </c>
      <c r="D33" s="7" t="n">
        <f aca="false">D7+D20</f>
        <v>225123</v>
      </c>
      <c r="E33" s="7" t="n">
        <f aca="false">E7+E20</f>
        <v>256966.146356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416657</v>
      </c>
      <c r="D34" s="9" t="n">
        <f aca="false">D32-D33</f>
        <v>427714.554166667</v>
      </c>
      <c r="E34" s="9" t="n">
        <f aca="false">E32-E33</f>
        <v>440174.003644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242813</v>
      </c>
      <c r="C35" s="7" t="n">
        <f aca="false">C9+C22</f>
        <v>246118</v>
      </c>
      <c r="D35" s="7" t="n">
        <f aca="false">D9+D22</f>
        <v>222697.966666667</v>
      </c>
      <c r="E35" s="7" t="n">
        <f aca="false">E9+E22</f>
        <v>187443.301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196952</v>
      </c>
      <c r="C36" s="7" t="n">
        <f aca="false">C10+C23</f>
        <v>203817</v>
      </c>
      <c r="D36" s="7" t="n">
        <f aca="false">D10+D23</f>
        <v>204155.938854167</v>
      </c>
      <c r="E36" s="7" t="n">
        <f aca="false">E10+E23</f>
        <v>204368.50375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67196.9688333333</v>
      </c>
      <c r="E37" s="7" t="n">
        <f aca="false">E11+E24</f>
        <v>27885.606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4823.45833333333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36984</v>
      </c>
      <c r="C39" s="7" t="n">
        <f aca="false">C13+C26</f>
        <v>38641</v>
      </c>
      <c r="D39" s="7" t="n">
        <f aca="false">D13+D26</f>
        <v>30501.25325</v>
      </c>
      <c r="E39" s="7" t="n">
        <f aca="false">E13+E26</f>
        <v>17924.409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-167018</v>
      </c>
      <c r="C40" s="9" t="n">
        <f aca="false">C32-C33-C35-C36-C37-C38-C39</f>
        <v>-167919</v>
      </c>
      <c r="D40" s="9" t="n">
        <f aca="false">D32-D33-D35-D36-D37-D38-D39</f>
        <v>-101661.031770833</v>
      </c>
      <c r="E40" s="9" t="n">
        <f aca="false">E32-E33-E35-E36-E37-E38-E39</f>
        <v>-14047.8161059999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-0.273682451143935</v>
      </c>
      <c r="C41" s="10" t="n">
        <f aca="false">C40/C32</f>
        <v>-0.262668940057565</v>
      </c>
      <c r="D41" s="10" t="n">
        <f aca="false">D40/D32</f>
        <v>-0.155721788861551</v>
      </c>
      <c r="E41" s="10" t="n">
        <f aca="false">E40/E32</f>
        <v>-0.0201506341386303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56208.08</v>
      </c>
      <c r="F6" s="7" t="n">
        <f aca="false">E6*D6</f>
        <v>23420.0333333333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Assumptions'!$C$47+'LW Assumptions'!$C$36)</f>
        <v>35206.2748</v>
      </c>
      <c r="F9" s="7" t="n">
        <f aca="false">E9*D9</f>
        <v>14669.2811666667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'Vessel 2026 P&amp;L'!$AB$50-'Vessel Assumptions'!$C$30*'Vessel 2026 P&amp;L'!$AB$16</f>
        <v>33921</v>
      </c>
      <c r="F10" s="7" t="n">
        <f aca="false">E10*D10</f>
        <v>14133.75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'Vessel 2026 P&amp;L'!$AB$48-0</f>
        <v>21342</v>
      </c>
      <c r="F11" s="7" t="n">
        <f aca="false">E11*D11</f>
        <v>8892.5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Assumptions'!$C$32*SUM('Vessel 2026 P&amp;L'!$AB$9:$AB$13)</f>
        <v>-11576.3</v>
      </c>
      <c r="F12" s="7" t="n">
        <f aca="false">E12*D12</f>
        <v>-4823.45833333333</v>
      </c>
    </row>
    <row r="13" customFormat="false" ht="15" hidden="false" customHeight="true" outlineLevel="0" collapsed="false">
      <c r="A13" s="1" t="s">
        <v>35</v>
      </c>
      <c r="B13" s="12" t="n">
        <v>46235</v>
      </c>
      <c r="C13" s="1" t="n">
        <f aca="false">MAX(0,13-MONTH(B13))</f>
        <v>5</v>
      </c>
      <c r="D13" s="13" t="n">
        <f aca="false">C13/12</f>
        <v>0.416666666666667</v>
      </c>
      <c r="E13" s="7" t="n">
        <f aca="false">'LW Assumptions'!$C$36*(1-'LW Assumptions'!$C$37-'LW Assumptions'!$C$31-'LW Assumptions'!$C$41)</f>
        <v>4980</v>
      </c>
      <c r="F13" s="7" t="n">
        <f aca="false">E13*D13</f>
        <v>2075</v>
      </c>
    </row>
    <row r="14" customFormat="false" ht="15" hidden="false" customHeight="true" outlineLevel="0" collapsed="false">
      <c r="A14" s="1" t="s">
        <v>36</v>
      </c>
      <c r="F14" s="7" t="n">
        <f aca="false">'Scenario Summary'!$D$14-'Scenario Summary'!$C$14-(F6+F7+F8+F9+F13)</f>
        <v>60.6999999999607</v>
      </c>
    </row>
    <row r="17" customFormat="false" ht="15" hidden="false" customHeight="true" outlineLevel="0" collapsed="false">
      <c r="A17" s="8" t="s">
        <v>37</v>
      </c>
    </row>
    <row r="18" customFormat="false" ht="15" hidden="false" customHeight="true" outlineLevel="0" collapsed="false">
      <c r="A18" s="1" t="s">
        <v>38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39</v>
      </c>
      <c r="F19" s="7" t="n">
        <f aca="false">F6+F7+F8+F9+F13+F14</f>
        <v>48055.1765625</v>
      </c>
    </row>
    <row r="20" customFormat="false" ht="15" hidden="false" customHeight="true" outlineLevel="0" collapsed="false">
      <c r="A20" s="8" t="s">
        <v>40</v>
      </c>
      <c r="F20" s="9" t="n">
        <f aca="false">'Scenario Summary'!$D$14</f>
        <v>-110000.8234375</v>
      </c>
    </row>
    <row r="22" customFormat="false" ht="15" hidden="false" customHeight="true" outlineLevel="0" collapsed="false">
      <c r="A22" s="1" t="s">
        <v>41</v>
      </c>
      <c r="F22" s="7" t="n">
        <f aca="false">'Scenario Summary'!$C$27</f>
        <v>-9863</v>
      </c>
    </row>
    <row r="23" customFormat="false" ht="15" hidden="false" customHeight="true" outlineLevel="0" collapsed="false">
      <c r="A23" s="1" t="s">
        <v>42</v>
      </c>
      <c r="F23" s="7" t="n">
        <f aca="false">F10+F11+F12</f>
        <v>18202.7916666667</v>
      </c>
    </row>
    <row r="24" customFormat="false" ht="15" hidden="false" customHeight="true" outlineLevel="0" collapsed="false">
      <c r="A24" s="8" t="s">
        <v>43</v>
      </c>
      <c r="F24" s="9" t="n">
        <f aca="false">'Scenario Summary'!$D$27</f>
        <v>8339.79166666666</v>
      </c>
    </row>
    <row r="26" customFormat="false" ht="15" hidden="false" customHeight="true" outlineLevel="0" collapsed="false">
      <c r="A26" s="8" t="s">
        <v>44</v>
      </c>
      <c r="F26" s="9" t="n">
        <f aca="false">'Scenario Summary'!$D$40</f>
        <v>-101661.031770833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3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7" min="7" style="1" width="8"/>
  </cols>
  <sheetData>
    <row r="1" customFormat="false" ht="30" hidden="false" customHeight="true" outlineLevel="0" collapsed="false">
      <c r="A1" s="14" t="s">
        <v>45</v>
      </c>
      <c r="B1" s="15"/>
      <c r="C1" s="15"/>
      <c r="D1" s="15"/>
      <c r="E1" s="15"/>
      <c r="F1" s="15"/>
      <c r="G1" s="15"/>
    </row>
    <row r="2" customFormat="false" ht="15" hidden="false" customHeight="true" outlineLevel="0" collapsed="false">
      <c r="A2" s="16" t="s">
        <v>46</v>
      </c>
      <c r="B2" s="16"/>
      <c r="C2" s="16"/>
      <c r="D2" s="16"/>
      <c r="E2" s="16"/>
      <c r="F2" s="16"/>
      <c r="G2" s="16"/>
    </row>
    <row r="4" customFormat="false" ht="15" hidden="false" customHeight="true" outlineLevel="0" collapsed="false">
      <c r="A4" s="17" t="s">
        <v>47</v>
      </c>
      <c r="B4" s="18" t="s">
        <v>48</v>
      </c>
      <c r="C4" s="18"/>
      <c r="D4" s="18" t="s">
        <v>49</v>
      </c>
      <c r="E4" s="18"/>
      <c r="F4" s="19" t="s">
        <v>50</v>
      </c>
      <c r="G4" s="19"/>
    </row>
    <row r="5" customFormat="false" ht="15" hidden="false" customHeight="true" outlineLevel="0" collapsed="false">
      <c r="A5" s="20"/>
      <c r="B5" s="21" t="s">
        <v>51</v>
      </c>
      <c r="C5" s="21" t="s">
        <v>52</v>
      </c>
      <c r="D5" s="21" t="s">
        <v>51</v>
      </c>
      <c r="E5" s="21" t="s">
        <v>52</v>
      </c>
      <c r="F5" s="22" t="s">
        <v>51</v>
      </c>
      <c r="G5" s="22" t="s">
        <v>52</v>
      </c>
    </row>
    <row r="6" customFormat="false" ht="15" hidden="false" customHeight="true" outlineLevel="0" collapsed="false">
      <c r="A6" s="23" t="s">
        <v>7</v>
      </c>
      <c r="B6" s="24" t="n">
        <f aca="false">'Vessel Budget'!$Z$10</f>
        <v>398400</v>
      </c>
      <c r="C6" s="25" t="n">
        <f aca="false">B6/$B$6</f>
        <v>1</v>
      </c>
      <c r="D6" s="24" t="n">
        <f aca="false">'LW Budget'!$Z$11</f>
        <v>298740.15</v>
      </c>
      <c r="E6" s="25" t="n">
        <f aca="false">D6/$D$6</f>
        <v>1</v>
      </c>
      <c r="F6" s="24" t="n">
        <f aca="false">B6+D6</f>
        <v>697140.15</v>
      </c>
      <c r="G6" s="25" t="n">
        <f aca="false">F6/$F$6</f>
        <v>1</v>
      </c>
    </row>
    <row r="7" customFormat="false" ht="15" hidden="false" customHeight="true" outlineLevel="0" collapsed="false">
      <c r="A7" s="26" t="s">
        <v>8</v>
      </c>
      <c r="B7" s="27" t="n">
        <f aca="false">'Vessel Budget'!$Z$14</f>
        <v>170033.8</v>
      </c>
      <c r="C7" s="28" t="n">
        <f aca="false">B7/$B$6</f>
        <v>0.426791666666667</v>
      </c>
      <c r="D7" s="27" t="n">
        <f aca="false">'LW Budget'!$Z$18</f>
        <v>86932.346356</v>
      </c>
      <c r="E7" s="28" t="n">
        <f aca="false">D7/$D$6</f>
        <v>0.29099652777171</v>
      </c>
      <c r="F7" s="27" t="n">
        <f aca="false">B7+D7</f>
        <v>256966.146356</v>
      </c>
      <c r="G7" s="28" t="n">
        <f aca="false">F7/$F$6</f>
        <v>0.368600411776599</v>
      </c>
    </row>
    <row r="8" customFormat="false" ht="15" hidden="false" customHeight="true" outlineLevel="0" collapsed="false">
      <c r="A8" s="11" t="s">
        <v>9</v>
      </c>
      <c r="B8" s="29" t="n">
        <f aca="false">B6-B7</f>
        <v>228366.2</v>
      </c>
      <c r="C8" s="25" t="n">
        <f aca="false">B8/$B$6</f>
        <v>0.573208333333333</v>
      </c>
      <c r="D8" s="29" t="n">
        <f aca="false">D6-D7</f>
        <v>211807.803644</v>
      </c>
      <c r="E8" s="25" t="n">
        <f aca="false">D8/$D$6</f>
        <v>0.70900347222829</v>
      </c>
      <c r="F8" s="29" t="n">
        <f aca="false">B8+D8</f>
        <v>440174.003644</v>
      </c>
      <c r="G8" s="25" t="n">
        <f aca="false">F8/$F$6</f>
        <v>0.631399588223401</v>
      </c>
    </row>
    <row r="10" customFormat="false" ht="15" hidden="false" customHeight="true" outlineLevel="0" collapsed="false">
      <c r="A10" s="26" t="s">
        <v>10</v>
      </c>
      <c r="B10" s="27" t="n">
        <f aca="false">'Vessel Budget'!$Z$20</f>
        <v>75489.381</v>
      </c>
      <c r="C10" s="28" t="n">
        <f aca="false">B10/$B$6</f>
        <v>0.189481378012048</v>
      </c>
      <c r="D10" s="27" t="n">
        <f aca="false">'LW Budget'!$Z$21</f>
        <v>111953.92</v>
      </c>
      <c r="E10" s="28" t="n">
        <f aca="false">D10/$D$6</f>
        <v>0.374753510701524</v>
      </c>
      <c r="F10" s="27" t="n">
        <f aca="false">B10+D10</f>
        <v>187443.301</v>
      </c>
      <c r="G10" s="28" t="n">
        <f aca="false">F10/$F$6</f>
        <v>0.268874631593088</v>
      </c>
    </row>
    <row r="11" customFormat="false" ht="15" hidden="false" customHeight="true" outlineLevel="0" collapsed="false">
      <c r="A11" s="26" t="s">
        <v>53</v>
      </c>
      <c r="B11" s="27" t="n">
        <f aca="false">'Vessel Budget'!$Z$24</f>
        <v>9960</v>
      </c>
      <c r="C11" s="28" t="n">
        <f aca="false">B11/$B$6</f>
        <v>0.025</v>
      </c>
      <c r="D11" s="27" t="n">
        <f aca="false">'LW Budget'!$Z$22</f>
        <v>7468.50375</v>
      </c>
      <c r="E11" s="28" t="n">
        <f aca="false">D11/$D$6</f>
        <v>0.025</v>
      </c>
      <c r="F11" s="27" t="n">
        <f aca="false">B11+D11</f>
        <v>17428.50375</v>
      </c>
      <c r="G11" s="28" t="n">
        <f aca="false">F11/$F$6</f>
        <v>0.025</v>
      </c>
    </row>
    <row r="12" customFormat="false" ht="15" hidden="false" customHeight="true" outlineLevel="0" collapsed="false">
      <c r="A12" s="26" t="s">
        <v>54</v>
      </c>
      <c r="B12" s="27" t="n">
        <f aca="false">'Vessel Budget'!$Z$23</f>
        <v>80848</v>
      </c>
      <c r="C12" s="28" t="n">
        <f aca="false">B12/$B$6</f>
        <v>0.202931726907631</v>
      </c>
      <c r="D12" s="27" t="n">
        <f aca="false">'LW Budget'!$Z$23</f>
        <v>89675</v>
      </c>
      <c r="E12" s="28" t="n">
        <f aca="false">D12/$D$6</f>
        <v>0.300177261074549</v>
      </c>
      <c r="F12" s="27" t="n">
        <f aca="false">B12+D12</f>
        <v>170523</v>
      </c>
      <c r="G12" s="28" t="n">
        <f aca="false">F12/$F$6</f>
        <v>0.244603613778377</v>
      </c>
    </row>
    <row r="13" customFormat="false" ht="15" hidden="false" customHeight="true" outlineLevel="0" collapsed="false">
      <c r="A13" s="26" t="s">
        <v>55</v>
      </c>
      <c r="B13" s="27" t="n">
        <f aca="false">'Vessel Budget'!$Z$25</f>
        <v>10760</v>
      </c>
      <c r="C13" s="28" t="n">
        <f aca="false">B13/$B$6</f>
        <v>0.0270080321285141</v>
      </c>
      <c r="D13" s="27" t="n">
        <f aca="false">'LW Budget'!$Z$24</f>
        <v>5657</v>
      </c>
      <c r="E13" s="28" t="n">
        <f aca="false">D13/$D$6</f>
        <v>0.0189361891931834</v>
      </c>
      <c r="F13" s="27" t="n">
        <f aca="false">B13+D13</f>
        <v>16417</v>
      </c>
      <c r="G13" s="28" t="n">
        <f aca="false">F13/$F$6</f>
        <v>0.0235490668554953</v>
      </c>
    </row>
    <row r="14" customFormat="false" ht="15" hidden="false" customHeight="true" outlineLevel="0" collapsed="false">
      <c r="A14" s="23" t="s">
        <v>56</v>
      </c>
      <c r="B14" s="24" t="n">
        <f aca="false">'Vessel Budget'!$Z$26</f>
        <v>15936</v>
      </c>
      <c r="C14" s="25" t="n">
        <f aca="false">B14/$B$6</f>
        <v>0.04</v>
      </c>
      <c r="D14" s="24" t="n">
        <f aca="false">'LW Budget'!$Z$25</f>
        <v>11949.606</v>
      </c>
      <c r="E14" s="25" t="n">
        <f aca="false">D14/$D$6</f>
        <v>0.04</v>
      </c>
      <c r="F14" s="24" t="n">
        <f aca="false">B14+D14</f>
        <v>27885.606</v>
      </c>
      <c r="G14" s="25" t="n">
        <f aca="false">F14/$F$6</f>
        <v>0.04</v>
      </c>
    </row>
    <row r="15" customFormat="false" ht="15" hidden="false" customHeight="true" outlineLevel="0" collapsed="false">
      <c r="A15" s="1" t="s">
        <v>57</v>
      </c>
      <c r="B15" s="7" t="n">
        <f aca="false">'Vessel Budget'!$Z$27</f>
        <v>16600</v>
      </c>
      <c r="C15" s="10" t="n">
        <f aca="false">B15/$B$6</f>
        <v>0.0416666666666667</v>
      </c>
      <c r="D15" s="7" t="n">
        <f aca="false">0</f>
        <v>0</v>
      </c>
      <c r="E15" s="10" t="n">
        <f aca="false">D15/$D$6</f>
        <v>0</v>
      </c>
      <c r="F15" s="7" t="n">
        <f aca="false">B15+D15</f>
        <v>16600</v>
      </c>
      <c r="G15" s="10" t="n">
        <f aca="false">F15/$F$6</f>
        <v>0.0238115678748384</v>
      </c>
    </row>
    <row r="16" customFormat="false" ht="15" hidden="false" customHeight="true" outlineLevel="0" collapsed="false">
      <c r="A16" s="23" t="s">
        <v>58</v>
      </c>
      <c r="B16" s="24" t="n">
        <f aca="false">'Vessel Budget'!$Z$28</f>
        <v>0</v>
      </c>
      <c r="C16" s="25" t="n">
        <f aca="false">B16/$B$6</f>
        <v>0</v>
      </c>
      <c r="D16" s="24" t="n">
        <f aca="false">'LW Budget'!$Z$26</f>
        <v>17924.409</v>
      </c>
      <c r="E16" s="25" t="n">
        <f aca="false">D16/$D$6</f>
        <v>0.06</v>
      </c>
      <c r="F16" s="24" t="n">
        <f aca="false">B16+D16</f>
        <v>17924.409</v>
      </c>
      <c r="G16" s="25" t="n">
        <f aca="false">F16/$F$6</f>
        <v>0.0257113422602327</v>
      </c>
    </row>
    <row r="17" customFormat="false" ht="15" hidden="false" customHeight="true" outlineLevel="0" collapsed="false">
      <c r="A17" s="26" t="s">
        <v>59</v>
      </c>
      <c r="B17" s="27" t="n">
        <f aca="false">B10+B11+B12+B13+B14+B15+B16</f>
        <v>209593.381</v>
      </c>
      <c r="C17" s="28" t="n">
        <f aca="false">B17/$B$6</f>
        <v>0.526087803714859</v>
      </c>
      <c r="D17" s="27" t="n">
        <f aca="false">D10+D11+D12+D13+D14+D15+D16</f>
        <v>244628.43875</v>
      </c>
      <c r="E17" s="28" t="n">
        <f aca="false">D17/$D$6</f>
        <v>0.818866960969257</v>
      </c>
      <c r="F17" s="27" t="n">
        <f aca="false">B17+D17</f>
        <v>454221.81975</v>
      </c>
      <c r="G17" s="28" t="n">
        <f aca="false">F17/$F$6</f>
        <v>0.651550222362031</v>
      </c>
    </row>
    <row r="18" customFormat="false" ht="15" hidden="false" customHeight="true" outlineLevel="0" collapsed="false">
      <c r="A18" s="26"/>
      <c r="B18" s="27"/>
      <c r="C18" s="28"/>
      <c r="D18" s="27"/>
      <c r="E18" s="28"/>
      <c r="F18" s="27"/>
      <c r="G18" s="28"/>
    </row>
    <row r="19" customFormat="false" ht="15" hidden="false" customHeight="true" outlineLevel="0" collapsed="false">
      <c r="A19" s="11" t="s">
        <v>60</v>
      </c>
      <c r="B19" s="30" t="n">
        <f aca="false">B8-B17</f>
        <v>18772.819</v>
      </c>
      <c r="C19" s="31" t="n">
        <f aca="false">B19/$B$6</f>
        <v>0.0471205296184739</v>
      </c>
      <c r="D19" s="30" t="n">
        <f aca="false">D8-D17</f>
        <v>-32820.6351059999</v>
      </c>
      <c r="E19" s="31" t="n">
        <f aca="false">D19/$D$6</f>
        <v>-0.109863488740967</v>
      </c>
      <c r="F19" s="30" t="n">
        <f aca="false">B19+D19</f>
        <v>-14047.8161059999</v>
      </c>
      <c r="G19" s="31" t="n">
        <f aca="false">F19/$F$6</f>
        <v>-0.0201506341386304</v>
      </c>
    </row>
    <row r="21" customFormat="false" ht="15" hidden="false" customHeight="true" outlineLevel="0" collapsed="false">
      <c r="A21" s="32"/>
      <c r="B21" s="33"/>
      <c r="C21" s="34"/>
      <c r="D21" s="33"/>
      <c r="E21" s="34"/>
      <c r="F21" s="33"/>
      <c r="G21" s="34"/>
    </row>
    <row r="22" customFormat="false" ht="15" hidden="false" customHeight="true" outlineLevel="0" collapsed="false">
      <c r="A22" s="32"/>
      <c r="B22" s="33"/>
      <c r="C22" s="34"/>
      <c r="D22" s="33"/>
      <c r="E22" s="34"/>
      <c r="F22" s="33"/>
      <c r="G22" s="34"/>
    </row>
    <row r="23" customFormat="false" ht="15" hidden="false" customHeight="true" outlineLevel="0" collapsed="false">
      <c r="A23" s="35"/>
    </row>
    <row r="24" customFormat="false" ht="15" hidden="false" customHeight="true" outlineLevel="0" collapsed="false"/>
    <row r="26" customFormat="false" ht="15" hidden="false" customHeight="true" outlineLevel="0" collapsed="false">
      <c r="A26" s="36" t="s">
        <v>61</v>
      </c>
      <c r="B26" s="36"/>
      <c r="C26" s="36"/>
      <c r="D26" s="36"/>
      <c r="E26" s="36"/>
      <c r="F26" s="36"/>
      <c r="G26" s="36"/>
    </row>
    <row r="27" customFormat="false" ht="15" hidden="false" customHeight="true" outlineLevel="0" collapsed="false">
      <c r="A27" s="37" t="s">
        <v>62</v>
      </c>
      <c r="B27" s="38" t="s">
        <v>48</v>
      </c>
      <c r="C27" s="38" t="s">
        <v>49</v>
      </c>
      <c r="D27" s="38" t="s">
        <v>50</v>
      </c>
      <c r="E27" s="38" t="s">
        <v>63</v>
      </c>
    </row>
    <row r="28" customFormat="false" ht="15" hidden="false" customHeight="true" outlineLevel="0" collapsed="false">
      <c r="A28" s="39" t="s">
        <v>64</v>
      </c>
      <c r="B28" s="40" t="n">
        <f aca="false">'Vessel Budget'!B29</f>
        <v>6589.8495</v>
      </c>
      <c r="C28" s="40" t="n">
        <f aca="false">'LW Budget'!B27</f>
        <v>-7042.89158500769</v>
      </c>
      <c r="D28" s="41" t="n">
        <f aca="false">B28+C28</f>
        <v>-453.042085007686</v>
      </c>
      <c r="E28" s="40" t="n">
        <f aca="false">D28</f>
        <v>-453.042085007686</v>
      </c>
    </row>
    <row r="29" customFormat="false" ht="15" hidden="false" customHeight="true" outlineLevel="0" collapsed="false">
      <c r="A29" s="39" t="s">
        <v>65</v>
      </c>
      <c r="B29" s="40" t="n">
        <f aca="false">'Vessel Budget'!D29</f>
        <v>-4819.2755</v>
      </c>
      <c r="C29" s="40" t="n">
        <f aca="false">'LW Budget'!D27</f>
        <v>-5497.41993632167</v>
      </c>
      <c r="D29" s="41" t="n">
        <f aca="false">B29+C29</f>
        <v>-10316.6954363217</v>
      </c>
      <c r="E29" s="40" t="n">
        <f aca="false">E28+D29</f>
        <v>-10769.7375213294</v>
      </c>
    </row>
    <row r="30" customFormat="false" ht="15" hidden="false" customHeight="true" outlineLevel="0" collapsed="false">
      <c r="A30" s="39" t="s">
        <v>66</v>
      </c>
      <c r="B30" s="40" t="n">
        <f aca="false">'Vessel Budget'!F29</f>
        <v>6589.8495</v>
      </c>
      <c r="C30" s="40" t="n">
        <f aca="false">'LW Budget'!F27</f>
        <v>257.026710432099</v>
      </c>
      <c r="D30" s="41" t="n">
        <f aca="false">B30+C30</f>
        <v>6846.8762104321</v>
      </c>
      <c r="E30" s="40" t="n">
        <f aca="false">E29+D30</f>
        <v>-3922.86131089726</v>
      </c>
    </row>
    <row r="31" customFormat="false" ht="15" hidden="false" customHeight="true" outlineLevel="0" collapsed="false">
      <c r="A31" s="39" t="s">
        <v>67</v>
      </c>
      <c r="B31" s="40" t="n">
        <f aca="false">'Vessel Budget'!H29</f>
        <v>-4819.2755</v>
      </c>
      <c r="C31" s="40" t="n">
        <f aca="false">'LW Budget'!H27</f>
        <v>-3745.49770051109</v>
      </c>
      <c r="D31" s="41" t="n">
        <f aca="false">B31+C31</f>
        <v>-8564.77320051109</v>
      </c>
      <c r="E31" s="40" t="n">
        <f aca="false">E30+D31</f>
        <v>-12487.6345114083</v>
      </c>
    </row>
    <row r="32" customFormat="false" ht="15" hidden="false" customHeight="true" outlineLevel="0" collapsed="false">
      <c r="A32" s="39" t="s">
        <v>68</v>
      </c>
      <c r="B32" s="40" t="n">
        <f aca="false">'Vessel Budget'!J29</f>
        <v>3330.0995</v>
      </c>
      <c r="C32" s="40" t="n">
        <f aca="false">'LW Budget'!J27</f>
        <v>-946.783755336506</v>
      </c>
      <c r="D32" s="41" t="n">
        <f aca="false">B32+C32</f>
        <v>2383.31574466349</v>
      </c>
      <c r="E32" s="40" t="n">
        <f aca="false">E31+D32</f>
        <v>-10104.3187667449</v>
      </c>
    </row>
    <row r="33" customFormat="false" ht="15" hidden="false" customHeight="true" outlineLevel="0" collapsed="false">
      <c r="A33" s="39" t="s">
        <v>69</v>
      </c>
      <c r="B33" s="40" t="n">
        <f aca="false">'Vessel Budget'!L29</f>
        <v>1700.2245</v>
      </c>
      <c r="C33" s="40" t="n">
        <f aca="false">'LW Budget'!L27</f>
        <v>565.248713744833</v>
      </c>
      <c r="D33" s="41" t="n">
        <f aca="false">B33+C33</f>
        <v>2265.47321374484</v>
      </c>
      <c r="E33" s="40" t="n">
        <f aca="false">E32+D33</f>
        <v>-7838.84555300001</v>
      </c>
    </row>
    <row r="34" customFormat="false" ht="15" hidden="false" customHeight="true" outlineLevel="0" collapsed="false">
      <c r="A34" s="39" t="s">
        <v>70</v>
      </c>
      <c r="B34" s="40" t="n">
        <f aca="false">'Vessel Budget'!N29</f>
        <v>1700.2245</v>
      </c>
      <c r="C34" s="40" t="n">
        <f aca="false">'LW Budget'!N27</f>
        <v>-2735.0529255</v>
      </c>
      <c r="D34" s="41" t="n">
        <f aca="false">B34+C34</f>
        <v>-1034.8284255</v>
      </c>
      <c r="E34" s="40" t="n">
        <f aca="false">E33+D34</f>
        <v>-8873.67397850001</v>
      </c>
    </row>
    <row r="35" customFormat="false" ht="15" hidden="false" customHeight="true" outlineLevel="0" collapsed="false">
      <c r="A35" s="39" t="s">
        <v>71</v>
      </c>
      <c r="B35" s="40" t="n">
        <f aca="false">'Vessel Budget'!P29</f>
        <v>1700.2245</v>
      </c>
      <c r="C35" s="40" t="n">
        <f aca="false">'LW Budget'!P27</f>
        <v>-2735.0529255</v>
      </c>
      <c r="D35" s="41" t="n">
        <f aca="false">B35+C35</f>
        <v>-1034.8284255</v>
      </c>
      <c r="E35" s="40" t="n">
        <f aca="false">E34+D35</f>
        <v>-9908.50240400001</v>
      </c>
    </row>
    <row r="36" customFormat="false" ht="15" hidden="false" customHeight="true" outlineLevel="0" collapsed="false">
      <c r="A36" s="39" t="s">
        <v>72</v>
      </c>
      <c r="B36" s="40" t="n">
        <f aca="false">'Vessel Budget'!R29</f>
        <v>1700.2245</v>
      </c>
      <c r="C36" s="40" t="n">
        <f aca="false">'LW Budget'!R27</f>
        <v>-2735.0529255</v>
      </c>
      <c r="D36" s="41" t="n">
        <f aca="false">B36+C36</f>
        <v>-1034.8284255</v>
      </c>
      <c r="E36" s="40" t="n">
        <f aca="false">E35+D36</f>
        <v>-10943.3308295</v>
      </c>
    </row>
    <row r="37" customFormat="false" ht="15" hidden="false" customHeight="true" outlineLevel="0" collapsed="false">
      <c r="A37" s="39" t="s">
        <v>73</v>
      </c>
      <c r="B37" s="40" t="n">
        <f aca="false">'Vessel Budget'!T29</f>
        <v>1700.2245</v>
      </c>
      <c r="C37" s="40" t="n">
        <f aca="false">'LW Budget'!T27</f>
        <v>-2735.0529255</v>
      </c>
      <c r="D37" s="41" t="n">
        <f aca="false">B37+C37</f>
        <v>-1034.8284255</v>
      </c>
      <c r="E37" s="40" t="n">
        <f aca="false">E36+D37</f>
        <v>-11978.159255</v>
      </c>
    </row>
    <row r="38" customFormat="false" ht="15" hidden="false" customHeight="true" outlineLevel="0" collapsed="false">
      <c r="A38" s="39" t="s">
        <v>74</v>
      </c>
      <c r="B38" s="40" t="n">
        <f aca="false">'Vessel Budget'!V29</f>
        <v>1700.2245</v>
      </c>
      <c r="C38" s="40" t="n">
        <f aca="false">'LW Budget'!V27</f>
        <v>-2735.0529255</v>
      </c>
      <c r="D38" s="41" t="n">
        <f aca="false">B38+C38</f>
        <v>-1034.8284255</v>
      </c>
      <c r="E38" s="40" t="n">
        <f aca="false">E37+D38</f>
        <v>-13012.9876805</v>
      </c>
    </row>
    <row r="39" customFormat="false" ht="15" hidden="false" customHeight="true" outlineLevel="0" collapsed="false">
      <c r="A39" s="39" t="s">
        <v>75</v>
      </c>
      <c r="B39" s="40" t="n">
        <f aca="false">'Vessel Budget'!X29</f>
        <v>1700.2245</v>
      </c>
      <c r="C39" s="40" t="n">
        <f aca="false">'LW Budget'!X27</f>
        <v>-2735.0529255</v>
      </c>
      <c r="D39" s="41" t="n">
        <f aca="false">B39+C39</f>
        <v>-1034.8284255</v>
      </c>
      <c r="E39" s="40" t="n">
        <f aca="false">E38+D39</f>
        <v>-14047.816106</v>
      </c>
    </row>
    <row r="40" customFormat="false" ht="15" hidden="false" customHeight="true" outlineLevel="0" collapsed="false">
      <c r="A40" s="42" t="s">
        <v>47</v>
      </c>
      <c r="B40" s="43" t="n">
        <f aca="false">'Vessel Budget'!$Z$29</f>
        <v>18772.819</v>
      </c>
      <c r="C40" s="43" t="n">
        <f aca="false">'LW Budget'!$Z$27</f>
        <v>-32820.6351059999</v>
      </c>
      <c r="D40" s="44" t="n">
        <f aca="false">B40+C40</f>
        <v>-14047.816106</v>
      </c>
      <c r="E40" s="45"/>
    </row>
  </sheetData>
  <mergeCells count="5">
    <mergeCell ref="A2:G2"/>
    <mergeCell ref="B4:C4"/>
    <mergeCell ref="D4:E4"/>
    <mergeCell ref="F4:G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4" min="2" style="1" width="11"/>
  </cols>
  <sheetData>
    <row r="1" customFormat="false" ht="17.25" hidden="false" customHeight="true" outlineLevel="0" collapsed="false">
      <c r="A1" s="2" t="s">
        <v>76</v>
      </c>
    </row>
    <row r="2" customFormat="false" ht="15" hidden="false" customHeight="true" outlineLevel="0" collapsed="false">
      <c r="A2" s="3" t="s">
        <v>77</v>
      </c>
    </row>
    <row r="4" customFormat="false" ht="15" hidden="false" customHeight="true" outlineLevel="0" collapsed="false">
      <c r="A4" s="8" t="s">
        <v>78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s">
        <v>72</v>
      </c>
      <c r="K4" s="5" t="s">
        <v>73</v>
      </c>
      <c r="L4" s="5" t="s">
        <v>74</v>
      </c>
      <c r="M4" s="5" t="s">
        <v>75</v>
      </c>
      <c r="N4" s="5" t="s">
        <v>47</v>
      </c>
    </row>
    <row r="6" customFormat="false" ht="15" hidden="false" customHeight="true" outlineLevel="0" collapsed="false">
      <c r="A6" s="1" t="s">
        <v>7</v>
      </c>
      <c r="B6" s="7" t="n">
        <f aca="false">'Vessel Budget'!B10+'LW Budget'!B11</f>
        <v>65518.62029625</v>
      </c>
      <c r="C6" s="7" t="n">
        <f aca="false">'Vessel Budget'!D10+'LW Budget'!D11</f>
        <v>34564.960125</v>
      </c>
      <c r="D6" s="7" t="n">
        <f aca="false">'Vessel Budget'!F10+'LW Budget'!F11</f>
        <v>78018.4060725</v>
      </c>
      <c r="E6" s="7" t="n">
        <f aca="false">'Vessel Budget'!H10+'LW Budget'!H11</f>
        <v>37564.80913125</v>
      </c>
      <c r="F6" s="7" t="n">
        <f aca="false">'Vessel Budget'!J10+'LW Budget'!J11</f>
        <v>66357.0990375</v>
      </c>
      <c r="G6" s="7" t="n">
        <f aca="false">'Vessel Budget'!L10+'LW Budget'!L11</f>
        <v>64146.1803375</v>
      </c>
      <c r="H6" s="7" t="n">
        <f aca="false">'Vessel Budget'!N10+'LW Budget'!N11</f>
        <v>58495.0125</v>
      </c>
      <c r="I6" s="7" t="n">
        <f aca="false">'Vessel Budget'!P10+'LW Budget'!P11</f>
        <v>58495.0125</v>
      </c>
      <c r="J6" s="7" t="n">
        <f aca="false">'Vessel Budget'!R10+'LW Budget'!R11</f>
        <v>58495.0125</v>
      </c>
      <c r="K6" s="7" t="n">
        <f aca="false">'Vessel Budget'!T10+'LW Budget'!T11</f>
        <v>58495.0125</v>
      </c>
      <c r="L6" s="7" t="n">
        <f aca="false">'Vessel Budget'!V10+'LW Budget'!V11</f>
        <v>58495.0125</v>
      </c>
      <c r="M6" s="7" t="n">
        <f aca="false">'Vessel Budget'!X10+'LW Budget'!X11</f>
        <v>58495.0125</v>
      </c>
      <c r="N6" s="7" t="n">
        <f aca="false">'Vessel Budget'!Z10+'LW Budget'!Z11</f>
        <v>697140.15</v>
      </c>
    </row>
    <row r="7" customFormat="false" ht="15" hidden="false" customHeight="true" outlineLevel="0" collapsed="false">
      <c r="A7" s="1" t="s">
        <v>8</v>
      </c>
      <c r="B7" s="7" t="n">
        <f aca="false">'Vessel Budget'!B14+'LW Budget'!B18</f>
        <v>25583.8576775598</v>
      </c>
      <c r="C7" s="7" t="n">
        <f aca="false">'Vessel Budget'!D14+'LW Budget'!D18</f>
        <v>12013.73337903</v>
      </c>
      <c r="D7" s="7" t="n">
        <f aca="false">'Vessel Budget'!F14+'LW Budget'!F18</f>
        <v>29221.2519363387</v>
      </c>
      <c r="E7" s="7" t="n">
        <f aca="false">'Vessel Budget'!H14+'LW Budget'!H18</f>
        <v>12886.6790236882</v>
      </c>
      <c r="F7" s="7" t="n">
        <f aca="false">'Vessel Budget'!J14+'LW Budget'!J18</f>
        <v>24524.2187464823</v>
      </c>
      <c r="G7" s="7" t="n">
        <f aca="false">'Vessel Budget'!L14+'LW Budget'!L18</f>
        <v>23229.032414901</v>
      </c>
      <c r="H7" s="7" t="n">
        <f aca="false">'Vessel Budget'!N14+'LW Budget'!N18</f>
        <v>21584.5621963333</v>
      </c>
      <c r="I7" s="7" t="n">
        <f aca="false">'Vessel Budget'!P14+'LW Budget'!P18</f>
        <v>21584.5621963333</v>
      </c>
      <c r="J7" s="7" t="n">
        <f aca="false">'Vessel Budget'!R14+'LW Budget'!R18</f>
        <v>21584.5621963333</v>
      </c>
      <c r="K7" s="7" t="n">
        <f aca="false">'Vessel Budget'!T14+'LW Budget'!T18</f>
        <v>21584.5621963333</v>
      </c>
      <c r="L7" s="7" t="n">
        <f aca="false">'Vessel Budget'!V14+'LW Budget'!V18</f>
        <v>21584.5621963333</v>
      </c>
      <c r="M7" s="7" t="n">
        <f aca="false">'Vessel Budget'!X14+'LW Budget'!X18</f>
        <v>21584.5621963333</v>
      </c>
      <c r="N7" s="7" t="n">
        <f aca="false">'Vessel Budget'!Z14+'LW Budget'!Z18</f>
        <v>256966.146356</v>
      </c>
    </row>
    <row r="8" customFormat="false" ht="15" hidden="false" customHeight="true" outlineLevel="0" collapsed="false">
      <c r="A8" s="8" t="s">
        <v>9</v>
      </c>
      <c r="B8" s="9" t="n">
        <f aca="false">B6-B7</f>
        <v>39934.7626186902</v>
      </c>
      <c r="C8" s="9" t="n">
        <f aca="false">C6-C7</f>
        <v>22551.22674597</v>
      </c>
      <c r="D8" s="9" t="n">
        <f aca="false">D6-D7</f>
        <v>48797.1541361613</v>
      </c>
      <c r="E8" s="9" t="n">
        <f aca="false">E6-E7</f>
        <v>24678.1301075618</v>
      </c>
      <c r="F8" s="9" t="n">
        <f aca="false">F6-F7</f>
        <v>41832.8802910177</v>
      </c>
      <c r="G8" s="9" t="n">
        <f aca="false">G6-G7</f>
        <v>40917.147922599</v>
      </c>
      <c r="H8" s="9" t="n">
        <f aca="false">H6-H7</f>
        <v>36910.4503036667</v>
      </c>
      <c r="I8" s="9" t="n">
        <f aca="false">I6-I7</f>
        <v>36910.4503036667</v>
      </c>
      <c r="J8" s="9" t="n">
        <f aca="false">J6-J7</f>
        <v>36910.4503036667</v>
      </c>
      <c r="K8" s="9" t="n">
        <f aca="false">K6-K7</f>
        <v>36910.4503036667</v>
      </c>
      <c r="L8" s="9" t="n">
        <f aca="false">L6-L7</f>
        <v>36910.4503036667</v>
      </c>
      <c r="M8" s="9" t="n">
        <f aca="false">M6-M7</f>
        <v>36910.4503036667</v>
      </c>
      <c r="N8" s="9" t="n">
        <f aca="false">N6-N7</f>
        <v>440174.003644</v>
      </c>
    </row>
    <row r="10" customFormat="false" ht="15" hidden="false" customHeight="true" outlineLevel="0" collapsed="false">
      <c r="A10" s="1" t="s">
        <v>10</v>
      </c>
      <c r="B10" s="7" t="n">
        <f aca="false">'Vessel Budget'!B20+'LW Budget'!B21</f>
        <v>17499.6438333333</v>
      </c>
      <c r="C10" s="7" t="n">
        <f aca="false">'Vessel Budget'!D20+'LW Budget'!D21</f>
        <v>13232.9688333333</v>
      </c>
      <c r="D10" s="7" t="n">
        <f aca="false">'Vessel Budget'!F20+'LW Budget'!F21</f>
        <v>17499.6438333333</v>
      </c>
      <c r="E10" s="7" t="n">
        <f aca="false">'Vessel Budget'!H20+'LW Budget'!H21</f>
        <v>13232.9688333333</v>
      </c>
      <c r="F10" s="7" t="n">
        <f aca="false">'Vessel Budget'!J20+'LW Budget'!J21</f>
        <v>16280.5938333333</v>
      </c>
      <c r="G10" s="7" t="n">
        <f aca="false">'Vessel Budget'!L20+'LW Budget'!L21</f>
        <v>15671.0688333333</v>
      </c>
      <c r="H10" s="7" t="n">
        <f aca="false">'Vessel Budget'!N20+'LW Budget'!N21</f>
        <v>15671.0688333333</v>
      </c>
      <c r="I10" s="7" t="n">
        <f aca="false">'Vessel Budget'!P20+'LW Budget'!P21</f>
        <v>15671.0688333333</v>
      </c>
      <c r="J10" s="7" t="n">
        <f aca="false">'Vessel Budget'!R20+'LW Budget'!R21</f>
        <v>15671.0688333333</v>
      </c>
      <c r="K10" s="7" t="n">
        <f aca="false">'Vessel Budget'!T20+'LW Budget'!T21</f>
        <v>15671.0688333333</v>
      </c>
      <c r="L10" s="7" t="n">
        <f aca="false">'Vessel Budget'!V20+'LW Budget'!V21</f>
        <v>15671.0688333333</v>
      </c>
      <c r="M10" s="7" t="n">
        <f aca="false">'Vessel Budget'!X20+'LW Budget'!X21</f>
        <v>15671.0688333333</v>
      </c>
      <c r="N10" s="7" t="n">
        <f aca="false">'Vessel Budget'!Z20+'LW Budget'!Z21</f>
        <v>187443.301</v>
      </c>
    </row>
    <row r="11" customFormat="false" ht="15" hidden="false" customHeight="true" outlineLevel="0" collapsed="false">
      <c r="A11" s="1" t="s">
        <v>53</v>
      </c>
      <c r="B11" s="7" t="n">
        <f aca="false">'Vessel Budget'!B24+'LW Budget'!B22</f>
        <v>1637.96550740625</v>
      </c>
      <c r="C11" s="7" t="n">
        <f aca="false">'Vessel Budget'!D24+'LW Budget'!D22</f>
        <v>864.124003125</v>
      </c>
      <c r="D11" s="7" t="n">
        <f aca="false">'Vessel Budget'!F24+'LW Budget'!F22</f>
        <v>1950.4601518125</v>
      </c>
      <c r="E11" s="7" t="n">
        <f aca="false">'Vessel Budget'!H24+'LW Budget'!H22</f>
        <v>939.12022828125</v>
      </c>
      <c r="F11" s="7" t="n">
        <f aca="false">'Vessel Budget'!J24+'LW Budget'!J22</f>
        <v>1658.9274759375</v>
      </c>
      <c r="G11" s="7" t="n">
        <f aca="false">'Vessel Budget'!L24+'LW Budget'!L22</f>
        <v>1603.6545084375</v>
      </c>
      <c r="H11" s="7" t="n">
        <f aca="false">'Vessel Budget'!N24+'LW Budget'!N22</f>
        <v>1462.3753125</v>
      </c>
      <c r="I11" s="7" t="n">
        <f aca="false">'Vessel Budget'!P24+'LW Budget'!P22</f>
        <v>1462.3753125</v>
      </c>
      <c r="J11" s="7" t="n">
        <f aca="false">'Vessel Budget'!R24+'LW Budget'!R22</f>
        <v>1462.3753125</v>
      </c>
      <c r="K11" s="7" t="n">
        <f aca="false">'Vessel Budget'!T24+'LW Budget'!T22</f>
        <v>1462.3753125</v>
      </c>
      <c r="L11" s="7" t="n">
        <f aca="false">'Vessel Budget'!V24+'LW Budget'!V22</f>
        <v>1462.3753125</v>
      </c>
      <c r="M11" s="7" t="n">
        <f aca="false">'Vessel Budget'!X24+'LW Budget'!X22</f>
        <v>1462.3753125</v>
      </c>
      <c r="N11" s="7" t="n">
        <f aca="false">'Vessel Budget'!Z24+'LW Budget'!Z22</f>
        <v>17428.50375</v>
      </c>
    </row>
    <row r="12" customFormat="false" ht="15" hidden="false" customHeight="true" outlineLevel="0" collapsed="false">
      <c r="A12" s="1" t="s">
        <v>54</v>
      </c>
      <c r="B12" s="7" t="n">
        <f aca="false">'Vessel Budget'!B23+'LW Budget'!B23</f>
        <v>14210.25</v>
      </c>
      <c r="C12" s="7" t="n">
        <f aca="false">'Vessel Budget'!D23+'LW Budget'!D23</f>
        <v>14210.25</v>
      </c>
      <c r="D12" s="7" t="n">
        <f aca="false">'Vessel Budget'!F23+'LW Budget'!F23</f>
        <v>14210.25</v>
      </c>
      <c r="E12" s="7" t="n">
        <f aca="false">'Vessel Budget'!H23+'LW Budget'!H23</f>
        <v>14210.25</v>
      </c>
      <c r="F12" s="7" t="n">
        <f aca="false">'Vessel Budget'!J23+'LW Budget'!J23</f>
        <v>14210.25</v>
      </c>
      <c r="G12" s="7" t="n">
        <f aca="false">'Vessel Budget'!L23+'LW Budget'!L23</f>
        <v>14210.25</v>
      </c>
      <c r="H12" s="7" t="n">
        <f aca="false">'Vessel Budget'!N23+'LW Budget'!N23</f>
        <v>14210.25</v>
      </c>
      <c r="I12" s="7" t="n">
        <f aca="false">'Vessel Budget'!P23+'LW Budget'!P23</f>
        <v>14210.25</v>
      </c>
      <c r="J12" s="7" t="n">
        <f aca="false">'Vessel Budget'!R23+'LW Budget'!R23</f>
        <v>14210.25</v>
      </c>
      <c r="K12" s="7" t="n">
        <f aca="false">'Vessel Budget'!T23+'LW Budget'!T23</f>
        <v>14210.25</v>
      </c>
      <c r="L12" s="7" t="n">
        <f aca="false">'Vessel Budget'!V23+'LW Budget'!V23</f>
        <v>14210.25</v>
      </c>
      <c r="M12" s="7" t="n">
        <f aca="false">'Vessel Budget'!X23+'LW Budget'!X23</f>
        <v>14210.25</v>
      </c>
      <c r="N12" s="7" t="n">
        <f aca="false">'Vessel Budget'!Z23+'LW Budget'!Z23</f>
        <v>170523</v>
      </c>
    </row>
    <row r="13" customFormat="false" ht="15" hidden="false" customHeight="true" outlineLevel="0" collapsed="false">
      <c r="A13" s="1" t="s">
        <v>55</v>
      </c>
      <c r="B13" s="7" t="n">
        <f aca="false">'Vessel Budget'!B25+'LW Budget'!B24</f>
        <v>1368.08333333333</v>
      </c>
      <c r="C13" s="7" t="n">
        <f aca="false">'Vessel Budget'!D25+'LW Budget'!D24</f>
        <v>1368.08333333333</v>
      </c>
      <c r="D13" s="7" t="n">
        <f aca="false">'Vessel Budget'!F25+'LW Budget'!F24</f>
        <v>1368.08333333333</v>
      </c>
      <c r="E13" s="7" t="n">
        <f aca="false">'Vessel Budget'!H25+'LW Budget'!H24</f>
        <v>1368.08333333333</v>
      </c>
      <c r="F13" s="7" t="n">
        <f aca="false">'Vessel Budget'!J25+'LW Budget'!J24</f>
        <v>1368.08333333333</v>
      </c>
      <c r="G13" s="7" t="n">
        <f aca="false">'Vessel Budget'!L25+'LW Budget'!L24</f>
        <v>1368.08333333333</v>
      </c>
      <c r="H13" s="7" t="n">
        <f aca="false">'Vessel Budget'!N25+'LW Budget'!N24</f>
        <v>1368.08333333333</v>
      </c>
      <c r="I13" s="7" t="n">
        <f aca="false">'Vessel Budget'!P25+'LW Budget'!P24</f>
        <v>1368.08333333333</v>
      </c>
      <c r="J13" s="7" t="n">
        <f aca="false">'Vessel Budget'!R25+'LW Budget'!R24</f>
        <v>1368.08333333333</v>
      </c>
      <c r="K13" s="7" t="n">
        <f aca="false">'Vessel Budget'!T25+'LW Budget'!T24</f>
        <v>1368.08333333333</v>
      </c>
      <c r="L13" s="7" t="n">
        <f aca="false">'Vessel Budget'!V25+'LW Budget'!V24</f>
        <v>1368.08333333333</v>
      </c>
      <c r="M13" s="7" t="n">
        <f aca="false">'Vessel Budget'!X25+'LW Budget'!X24</f>
        <v>1368.08333333333</v>
      </c>
      <c r="N13" s="7" t="n">
        <f aca="false">'Vessel Budget'!Z25+'LW Budget'!Z24</f>
        <v>16417</v>
      </c>
    </row>
    <row r="14" customFormat="false" ht="15" hidden="false" customHeight="true" outlineLevel="0" collapsed="false">
      <c r="A14" s="1" t="s">
        <v>79</v>
      </c>
      <c r="B14" s="7" t="n">
        <f aca="false">'Vessel Budget'!B26+'LW Budget'!B25</f>
        <v>2620.74481185</v>
      </c>
      <c r="C14" s="7" t="n">
        <f aca="false">'Vessel Budget'!D26+'LW Budget'!D25</f>
        <v>1382.598405</v>
      </c>
      <c r="D14" s="7" t="n">
        <f aca="false">'Vessel Budget'!F26+'LW Budget'!F25</f>
        <v>3120.7362429</v>
      </c>
      <c r="E14" s="7" t="n">
        <f aca="false">'Vessel Budget'!H26+'LW Budget'!H25</f>
        <v>1502.59236525</v>
      </c>
      <c r="F14" s="7" t="n">
        <f aca="false">'Vessel Budget'!J26+'LW Budget'!J25</f>
        <v>2654.2839615</v>
      </c>
      <c r="G14" s="7" t="n">
        <f aca="false">'Vessel Budget'!L26+'LW Budget'!L25</f>
        <v>2565.8472135</v>
      </c>
      <c r="H14" s="7" t="n">
        <f aca="false">'Vessel Budget'!N26+'LW Budget'!N25</f>
        <v>2339.8005</v>
      </c>
      <c r="I14" s="7" t="n">
        <f aca="false">'Vessel Budget'!P26+'LW Budget'!P25</f>
        <v>2339.8005</v>
      </c>
      <c r="J14" s="7" t="n">
        <f aca="false">'Vessel Budget'!R26+'LW Budget'!R25</f>
        <v>2339.8005</v>
      </c>
      <c r="K14" s="7" t="n">
        <f aca="false">'Vessel Budget'!T26+'LW Budget'!T25</f>
        <v>2339.8005</v>
      </c>
      <c r="L14" s="7" t="n">
        <f aca="false">'Vessel Budget'!V26+'LW Budget'!V25</f>
        <v>2339.8005</v>
      </c>
      <c r="M14" s="7" t="n">
        <f aca="false">'Vessel Budget'!X26+'LW Budget'!X25</f>
        <v>2339.8005</v>
      </c>
      <c r="N14" s="7" t="n">
        <f aca="false">'Vessel Budget'!Z26+'LW Budget'!Z25</f>
        <v>27885.606</v>
      </c>
    </row>
    <row r="15" customFormat="false" ht="15" hidden="false" customHeight="true" outlineLevel="0" collapsed="false">
      <c r="A15" s="1" t="s">
        <v>13</v>
      </c>
      <c r="B15" s="7" t="n">
        <f aca="false">'Vessel Budget'!B27</f>
        <v>2000</v>
      </c>
      <c r="C15" s="7" t="n">
        <f aca="false">'Vessel Budget'!D27</f>
        <v>600</v>
      </c>
      <c r="D15" s="7" t="n">
        <f aca="false">'Vessel Budget'!F27</f>
        <v>2000</v>
      </c>
      <c r="E15" s="7" t="n">
        <f aca="false">'Vessel Budget'!H27</f>
        <v>600</v>
      </c>
      <c r="F15" s="7" t="n">
        <f aca="false">'Vessel Budget'!J27</f>
        <v>1600</v>
      </c>
      <c r="G15" s="7" t="n">
        <f aca="false">'Vessel Budget'!L27</f>
        <v>1400</v>
      </c>
      <c r="H15" s="7" t="n">
        <f aca="false">'Vessel Budget'!N27</f>
        <v>1400</v>
      </c>
      <c r="I15" s="7" t="n">
        <f aca="false">'Vessel Budget'!P27</f>
        <v>1400</v>
      </c>
      <c r="J15" s="7" t="n">
        <f aca="false">'Vessel Budget'!R27</f>
        <v>1400</v>
      </c>
      <c r="K15" s="7" t="n">
        <f aca="false">'Vessel Budget'!T27</f>
        <v>1400</v>
      </c>
      <c r="L15" s="7" t="n">
        <f aca="false">'Vessel Budget'!V27</f>
        <v>1400</v>
      </c>
      <c r="M15" s="7" t="n">
        <f aca="false">'Vessel Budget'!X27</f>
        <v>1400</v>
      </c>
      <c r="N15" s="7" t="n">
        <f aca="false">'Vessel Budget'!Z27</f>
        <v>16600</v>
      </c>
    </row>
    <row r="16" customFormat="false" ht="15" hidden="false" customHeight="true" outlineLevel="0" collapsed="false">
      <c r="A16" s="1" t="s">
        <v>80</v>
      </c>
      <c r="B16" s="7" t="n">
        <f aca="false">'Vessel Budget'!B28+'LW Budget'!B26</f>
        <v>1051.117217775</v>
      </c>
      <c r="C16" s="7" t="n">
        <f aca="false">'Vessel Budget'!D28+'LW Budget'!D26</f>
        <v>1209.8976075</v>
      </c>
      <c r="D16" s="7" t="n">
        <f aca="false">'Vessel Budget'!F28+'LW Budget'!F26</f>
        <v>1801.10436435</v>
      </c>
      <c r="E16" s="7" t="n">
        <f aca="false">'Vessel Budget'!H28+'LW Budget'!H26</f>
        <v>1389.888547875</v>
      </c>
      <c r="F16" s="7" t="n">
        <f aca="false">'Vessel Budget'!J28+'LW Budget'!J26</f>
        <v>1677.42594225</v>
      </c>
      <c r="G16" s="7" t="n">
        <f aca="false">'Vessel Budget'!L28+'LW Budget'!L26</f>
        <v>1832.77082025</v>
      </c>
      <c r="H16" s="7" t="n">
        <f aca="false">'Vessel Budget'!N28+'LW Budget'!N26</f>
        <v>1493.70075</v>
      </c>
      <c r="I16" s="7" t="n">
        <f aca="false">'Vessel Budget'!P28+'LW Budget'!P26</f>
        <v>1493.70075</v>
      </c>
      <c r="J16" s="7" t="n">
        <f aca="false">'Vessel Budget'!R28+'LW Budget'!R26</f>
        <v>1493.70075</v>
      </c>
      <c r="K16" s="7" t="n">
        <f aca="false">'Vessel Budget'!T28+'LW Budget'!T26</f>
        <v>1493.70075</v>
      </c>
      <c r="L16" s="7" t="n">
        <f aca="false">'Vessel Budget'!V28+'LW Budget'!V26</f>
        <v>1493.70075</v>
      </c>
      <c r="M16" s="7" t="n">
        <f aca="false">'Vessel Budget'!X28+'LW Budget'!X26</f>
        <v>1493.70075</v>
      </c>
      <c r="N16" s="7" t="n">
        <f aca="false">'Vessel Budget'!Z28+'LW Budget'!Z26</f>
        <v>17924.409</v>
      </c>
    </row>
    <row r="18" customFormat="false" ht="15" hidden="false" customHeight="true" outlineLevel="0" collapsed="false">
      <c r="A18" s="8" t="s">
        <v>15</v>
      </c>
      <c r="B18" s="9" t="n">
        <f aca="false">B8-(B10+B11+B12+B13+B14+B15+B16)</f>
        <v>-453.042085007692</v>
      </c>
      <c r="C18" s="9" t="n">
        <f aca="false">C8-(C10+C11+C12+C13+C14+C15+C16)</f>
        <v>-10316.6954363217</v>
      </c>
      <c r="D18" s="9" t="n">
        <f aca="false">D8-(D10+D11+D12+D13+D14+D15+D16)</f>
        <v>6846.8762104321</v>
      </c>
      <c r="E18" s="9" t="n">
        <f aca="false">E8-(E10+E11+E12+E13+E14+E15+E16)</f>
        <v>-8564.77320051108</v>
      </c>
      <c r="F18" s="9" t="n">
        <f aca="false">F8-(F10+F11+F12+F13+F14+F15+F16)</f>
        <v>2383.31574466351</v>
      </c>
      <c r="G18" s="9" t="n">
        <f aca="false">G8-(G10+G11+G12+G13+G14+G15+G16)</f>
        <v>2265.47321374484</v>
      </c>
      <c r="H18" s="9" t="n">
        <f aca="false">H8-(H10+H11+H12+H13+H14+H15+H16)</f>
        <v>-1034.8284255</v>
      </c>
      <c r="I18" s="9" t="n">
        <f aca="false">I8-(I10+I11+I12+I13+I14+I15+I16)</f>
        <v>-1034.8284255</v>
      </c>
      <c r="J18" s="9" t="n">
        <f aca="false">J8-(J10+J11+J12+J13+J14+J15+J16)</f>
        <v>-1034.8284255</v>
      </c>
      <c r="K18" s="9" t="n">
        <f aca="false">K8-(K10+K11+K12+K13+K14+K15+K16)</f>
        <v>-1034.8284255</v>
      </c>
      <c r="L18" s="9" t="n">
        <f aca="false">L8-(L10+L11+L12+L13+L14+L15+L16)</f>
        <v>-1034.8284255</v>
      </c>
      <c r="M18" s="9" t="n">
        <f aca="false">M8-(M10+M11+M12+M13+M14+M15+M16)</f>
        <v>-1034.8284255</v>
      </c>
      <c r="N18" s="9" t="n">
        <f aca="false">N8-(N10+N11+N12+N13+N14+N15+N16)</f>
        <v>-14047.8161059999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6" t="s">
        <v>81</v>
      </c>
      <c r="C2" s="46"/>
      <c r="D2" s="46"/>
      <c r="E2" s="46"/>
      <c r="F2" s="46"/>
      <c r="G2" s="46"/>
    </row>
    <row r="3" customFormat="false" ht="15" hidden="false" customHeight="true" outlineLevel="0" collapsed="false">
      <c r="B3" s="47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7"/>
      <c r="D3" s="47"/>
      <c r="E3" s="47"/>
      <c r="F3" s="47"/>
      <c r="G3" s="47"/>
    </row>
    <row r="5" customFormat="false" ht="15" hidden="false" customHeight="true" outlineLevel="0" collapsed="false">
      <c r="B5" s="48" t="s">
        <v>82</v>
      </c>
      <c r="C5" s="49" t="s">
        <v>51</v>
      </c>
      <c r="D5" s="49" t="s">
        <v>52</v>
      </c>
      <c r="F5" s="48" t="s">
        <v>83</v>
      </c>
    </row>
    <row r="6" customFormat="false" ht="15" hidden="false" customHeight="true" outlineLevel="0" collapsed="false">
      <c r="B6" s="50" t="s">
        <v>84</v>
      </c>
      <c r="C6" s="43" t="n">
        <f aca="false">'Vessel Budget'!Z10</f>
        <v>398400</v>
      </c>
      <c r="D6" s="25" t="n">
        <f aca="false">C6/C6</f>
        <v>1</v>
      </c>
      <c r="F6" s="51" t="s">
        <v>85</v>
      </c>
      <c r="G6" s="52" t="n">
        <f aca="false">'Vessel Budget'!Z28/'Vessel Budget'!Z10</f>
        <v>0</v>
      </c>
    </row>
    <row r="7" customFormat="false" ht="15" hidden="false" customHeight="true" outlineLevel="0" collapsed="false">
      <c r="B7" s="53" t="s">
        <v>86</v>
      </c>
      <c r="C7" s="54" t="n">
        <f aca="false">'Vessel Budget'!Z14</f>
        <v>170033.8</v>
      </c>
      <c r="D7" s="55" t="n">
        <f aca="false">C7/C6</f>
        <v>0.426791666666667</v>
      </c>
      <c r="F7" s="51" t="s">
        <v>87</v>
      </c>
      <c r="G7" s="52" t="n">
        <f aca="false">'Vessel Budget'!Z21/'Vessel Budget'!Z10</f>
        <v>0.616273044678715</v>
      </c>
    </row>
    <row r="8" customFormat="false" ht="15" hidden="false" customHeight="true" outlineLevel="0" collapsed="false">
      <c r="B8" s="50" t="s">
        <v>88</v>
      </c>
      <c r="C8" s="43" t="n">
        <f aca="false">'Vessel Budget'!Z15</f>
        <v>228366.2</v>
      </c>
      <c r="D8" s="25" t="n">
        <f aca="false">C8/C6</f>
        <v>0.573208333333333</v>
      </c>
      <c r="F8" s="51" t="s">
        <v>89</v>
      </c>
      <c r="G8" s="52" t="n">
        <f aca="false">'Vessel Budget'!Z14/'Vessel Budget'!Z10</f>
        <v>0.426791666666667</v>
      </c>
    </row>
    <row r="9" customFormat="false" ht="15" hidden="false" customHeight="true" outlineLevel="0" collapsed="false">
      <c r="B9" s="53" t="s">
        <v>90</v>
      </c>
      <c r="C9" s="54" t="n">
        <f aca="false">'Vessel Budget'!Z20</f>
        <v>75489.381</v>
      </c>
      <c r="D9" s="55" t="n">
        <f aca="false">C9/C6</f>
        <v>0.189481378012048</v>
      </c>
      <c r="F9" s="51" t="s">
        <v>91</v>
      </c>
      <c r="G9" s="56" t="n">
        <f aca="false">'Vessel Budget'!Z6</f>
        <v>83</v>
      </c>
    </row>
    <row r="10" customFormat="false" ht="15" hidden="false" customHeight="true" outlineLevel="0" collapsed="false">
      <c r="B10" s="50" t="s">
        <v>92</v>
      </c>
      <c r="C10" s="43" t="n">
        <f aca="false">'Vessel Budget'!Z21</f>
        <v>245523.181</v>
      </c>
      <c r="D10" s="25" t="n">
        <f aca="false">C10/C6</f>
        <v>0.616273044678715</v>
      </c>
      <c r="F10" s="51" t="s">
        <v>93</v>
      </c>
      <c r="G10" s="57" t="n">
        <f aca="false">'Vessel Assumptions'!C6</f>
        <v>4000</v>
      </c>
    </row>
    <row r="11" customFormat="false" ht="15" hidden="false" customHeight="true" outlineLevel="0" collapsed="false">
      <c r="B11" s="53" t="s">
        <v>94</v>
      </c>
      <c r="C11" s="58" t="n">
        <f aca="false">'Vessel Budget'!Z23</f>
        <v>80848</v>
      </c>
      <c r="D11" s="55" t="n">
        <f aca="false">C11/C6</f>
        <v>0.202931726907631</v>
      </c>
      <c r="F11" s="51" t="s">
        <v>95</v>
      </c>
      <c r="G11" s="57" t="n">
        <f aca="false">'Vessel Budget'!Z10/'Vessel Budget'!Z6</f>
        <v>4800</v>
      </c>
    </row>
    <row r="12" customFormat="false" ht="15" hidden="false" customHeight="true" outlineLevel="0" collapsed="false">
      <c r="B12" s="53" t="s">
        <v>96</v>
      </c>
      <c r="C12" s="58" t="n">
        <f aca="false">'Vessel Budget'!Z24</f>
        <v>9960</v>
      </c>
      <c r="D12" s="55" t="n">
        <f aca="false">C12/C6</f>
        <v>0.025</v>
      </c>
    </row>
    <row r="13" customFormat="false" ht="15" hidden="false" customHeight="true" outlineLevel="0" collapsed="false">
      <c r="B13" s="53" t="s">
        <v>97</v>
      </c>
      <c r="C13" s="58" t="n">
        <f aca="false">'Vessel Budget'!Z25</f>
        <v>10760</v>
      </c>
      <c r="D13" s="55" t="n">
        <f aca="false">C13/C6</f>
        <v>0.0270080321285141</v>
      </c>
    </row>
    <row r="14" customFormat="false" ht="15" hidden="false" customHeight="true" outlineLevel="0" collapsed="false">
      <c r="B14" s="59" t="s">
        <v>79</v>
      </c>
      <c r="C14" s="60" t="n">
        <f aca="false">'Vessel Budget'!Z26</f>
        <v>15936</v>
      </c>
      <c r="D14" s="61" t="n">
        <f aca="false">C14/C6</f>
        <v>0.04</v>
      </c>
    </row>
    <row r="15" customFormat="false" ht="15" hidden="false" customHeight="true" outlineLevel="0" collapsed="false">
      <c r="B15" s="1" t="s">
        <v>98</v>
      </c>
      <c r="C15" s="7" t="n">
        <f aca="false">'Vessel Budget'!Z27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99</v>
      </c>
      <c r="C16" s="9" t="n">
        <f aca="false">'Vessel Budget'!Z28</f>
        <v>0</v>
      </c>
      <c r="D16" s="10" t="n">
        <f aca="false">C16/C6</f>
        <v>0</v>
      </c>
    </row>
    <row r="17" customFormat="false" ht="15" hidden="false" customHeight="true" outlineLevel="0" collapsed="false">
      <c r="B17" s="62" t="s">
        <v>15</v>
      </c>
      <c r="C17" s="29" t="n">
        <f aca="false">'Vessel Budget'!Z29</f>
        <v>18772.819</v>
      </c>
      <c r="D17" s="25" t="n">
        <f aca="false">C17/C6</f>
        <v>0.0471205296184738</v>
      </c>
    </row>
    <row r="18" customFormat="false" ht="15" hidden="false" customHeight="true" outlineLevel="0" collapsed="false">
      <c r="B18" s="50"/>
      <c r="C18" s="43"/>
      <c r="D18" s="25"/>
    </row>
    <row r="20" customFormat="false" ht="15" hidden="false" customHeight="true" outlineLevel="0" collapsed="false">
      <c r="B20" s="63" t="s">
        <v>100</v>
      </c>
      <c r="C20" s="63"/>
      <c r="D20" s="63"/>
      <c r="E20" s="63"/>
      <c r="F20" s="63"/>
      <c r="G20" s="63"/>
    </row>
    <row r="21" customFormat="false" ht="15" hidden="false" customHeight="true" outlineLevel="0" collapsed="false">
      <c r="B21" s="63"/>
      <c r="C21" s="63"/>
      <c r="D21" s="63"/>
      <c r="E21" s="63"/>
      <c r="F21" s="63"/>
      <c r="G21" s="63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6" t="s">
        <v>101</v>
      </c>
      <c r="C2" s="46"/>
      <c r="D2" s="46"/>
    </row>
    <row r="3" customFormat="false" ht="15" hidden="false" customHeight="true" outlineLevel="0" collapsed="false">
      <c r="B3" s="47" t="s">
        <v>102</v>
      </c>
      <c r="C3" s="47"/>
      <c r="D3" s="47"/>
    </row>
    <row r="5" customFormat="false" ht="19.5" hidden="false" customHeight="true" outlineLevel="0" collapsed="false">
      <c r="B5" s="64" t="s">
        <v>103</v>
      </c>
      <c r="C5" s="64"/>
      <c r="D5" s="64"/>
    </row>
    <row r="6" customFormat="false" ht="15" hidden="false" customHeight="true" outlineLevel="0" collapsed="false">
      <c r="B6" s="51" t="s">
        <v>104</v>
      </c>
      <c r="C6" s="65" t="n">
        <v>4000</v>
      </c>
      <c r="D6" s="66" t="s">
        <v>105</v>
      </c>
    </row>
    <row r="7" customFormat="false" ht="15" hidden="false" customHeight="true" outlineLevel="0" collapsed="false">
      <c r="B7" s="51" t="s">
        <v>106</v>
      </c>
      <c r="C7" s="67" t="n">
        <v>0.8</v>
      </c>
      <c r="D7" s="66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1" t="s">
        <v>107</v>
      </c>
      <c r="C8" s="67" t="n">
        <v>0.749</v>
      </c>
      <c r="D8" s="66" t="s">
        <v>108</v>
      </c>
    </row>
    <row r="9" customFormat="false" ht="15" hidden="false" customHeight="true" outlineLevel="0" collapsed="false">
      <c r="B9" s="51" t="s">
        <v>109</v>
      </c>
      <c r="C9" s="67" t="n">
        <v>0.2</v>
      </c>
      <c r="D9" s="66" t="s">
        <v>110</v>
      </c>
    </row>
    <row r="11" customFormat="false" ht="19.5" hidden="false" customHeight="true" outlineLevel="0" collapsed="false">
      <c r="B11" s="64" t="s">
        <v>111</v>
      </c>
      <c r="C11" s="64"/>
      <c r="D11" s="64"/>
    </row>
    <row r="12" customFormat="false" ht="15" hidden="false" customHeight="true" outlineLevel="0" collapsed="false">
      <c r="B12" s="51" t="s">
        <v>112</v>
      </c>
      <c r="C12" s="67" t="n">
        <v>0.6</v>
      </c>
      <c r="D12" s="66" t="str">
        <f aca="false">TEXT(1-$C$12,"0%")&amp;" margin target"</f>
        <v>40% margin target</v>
      </c>
    </row>
    <row r="13" customFormat="false" ht="15" hidden="false" customHeight="true" outlineLevel="0" collapsed="false">
      <c r="B13" s="51" t="s">
        <v>113</v>
      </c>
      <c r="C13" s="67" t="n">
        <v>0.25</v>
      </c>
      <c r="D13" s="66" t="str">
        <f aca="false">TEXT(1-$C$13,"0%")&amp;" margin"</f>
        <v>75% margin</v>
      </c>
    </row>
    <row r="15" customFormat="false" ht="19.5" hidden="false" customHeight="true" outlineLevel="0" collapsed="false">
      <c r="B15" s="64" t="s">
        <v>114</v>
      </c>
      <c r="C15" s="64"/>
      <c r="D15" s="64"/>
    </row>
    <row r="16" customFormat="false" ht="15" hidden="false" customHeight="true" outlineLevel="0" collapsed="false">
      <c r="B16" s="51" t="s">
        <v>115</v>
      </c>
      <c r="C16" s="68" t="n">
        <v>1</v>
      </c>
    </row>
    <row r="17" customFormat="false" ht="15" hidden="false" customHeight="true" outlineLevel="0" collapsed="false">
      <c r="B17" s="51" t="s">
        <v>116</v>
      </c>
      <c r="C17" s="68" t="n">
        <v>2</v>
      </c>
    </row>
    <row r="18" customFormat="false" ht="15" hidden="false" customHeight="true" outlineLevel="0" collapsed="false">
      <c r="B18" s="51" t="s">
        <v>117</v>
      </c>
      <c r="C18" s="65" t="n">
        <v>35</v>
      </c>
    </row>
    <row r="19" customFormat="false" ht="15" hidden="false" customHeight="true" outlineLevel="0" collapsed="false">
      <c r="B19" s="51" t="s">
        <v>118</v>
      </c>
      <c r="C19" s="68" t="n">
        <v>5</v>
      </c>
    </row>
    <row r="20" customFormat="false" ht="15" hidden="false" customHeight="true" outlineLevel="0" collapsed="false">
      <c r="B20" s="42" t="s">
        <v>119</v>
      </c>
      <c r="C20" s="69" t="n">
        <f aca="false">(C16+C17)*C18*C19</f>
        <v>525</v>
      </c>
    </row>
    <row r="21" customFormat="false" ht="15" hidden="false" customHeight="true" outlineLevel="0" collapsed="false">
      <c r="B21" s="51" t="s">
        <v>120</v>
      </c>
      <c r="C21" s="69" t="n">
        <f aca="false">'Vessel GL Basis'!D8</f>
        <v>1787.16666666667</v>
      </c>
      <c r="D21" s="66" t="s">
        <v>121</v>
      </c>
    </row>
    <row r="22" customFormat="false" ht="15" hidden="false" customHeight="true" outlineLevel="0" collapsed="false">
      <c r="B22" s="51" t="s">
        <v>122</v>
      </c>
      <c r="C22" s="67" t="n">
        <v>0.161</v>
      </c>
      <c r="D22" s="66" t="s">
        <v>123</v>
      </c>
    </row>
    <row r="24" customFormat="false" ht="19.5" hidden="false" customHeight="true" outlineLevel="0" collapsed="false">
      <c r="B24" s="64" t="s">
        <v>124</v>
      </c>
      <c r="C24" s="64"/>
      <c r="D24" s="64"/>
    </row>
    <row r="25" customFormat="false" ht="15" hidden="false" customHeight="true" outlineLevel="0" collapsed="false">
      <c r="B25" s="51" t="s">
        <v>125</v>
      </c>
      <c r="C25" s="69" t="n">
        <f aca="false">'Vessel GL Basis'!D18</f>
        <v>6737.33333333333</v>
      </c>
      <c r="D25" s="66" t="s">
        <v>121</v>
      </c>
    </row>
    <row r="26" customFormat="false" ht="15" hidden="false" customHeight="true" outlineLevel="0" collapsed="false">
      <c r="B26" s="51" t="s">
        <v>126</v>
      </c>
      <c r="C26" s="69" t="n">
        <f aca="false">'Vessel GL Basis'!D24</f>
        <v>896.666666666667</v>
      </c>
      <c r="D26" s="66" t="s">
        <v>121</v>
      </c>
    </row>
    <row r="27" customFormat="false" ht="15" hidden="false" customHeight="true" outlineLevel="0" collapsed="false">
      <c r="B27" s="51" t="s">
        <v>127</v>
      </c>
      <c r="C27" s="67" t="n">
        <v>0.025</v>
      </c>
      <c r="D27" s="66" t="s">
        <v>128</v>
      </c>
    </row>
    <row r="29" customFormat="false" ht="19.5" hidden="false" customHeight="true" outlineLevel="0" collapsed="false">
      <c r="B29" s="64" t="s">
        <v>129</v>
      </c>
      <c r="C29" s="64"/>
      <c r="D29" s="64"/>
    </row>
    <row r="30" customFormat="false" ht="15" hidden="false" customHeight="true" outlineLevel="0" collapsed="false">
      <c r="B30" s="51" t="s">
        <v>130</v>
      </c>
      <c r="C30" s="70" t="n">
        <v>0.04</v>
      </c>
      <c r="D30" s="66" t="s">
        <v>131</v>
      </c>
    </row>
    <row r="31" customFormat="false" ht="15" hidden="false" customHeight="true" outlineLevel="0" collapsed="false">
      <c r="B31" s="42" t="s">
        <v>132</v>
      </c>
      <c r="C31" s="71" t="n">
        <v>0</v>
      </c>
      <c r="D31" s="1" t="s">
        <v>133</v>
      </c>
    </row>
    <row r="32" customFormat="false" ht="15" hidden="false" customHeight="true" outlineLevel="0" collapsed="false">
      <c r="B32" s="1" t="s">
        <v>134</v>
      </c>
      <c r="C32" s="72" t="n">
        <v>0.05</v>
      </c>
      <c r="D32" s="1" t="s">
        <v>135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7.5" hidden="false" customHeight="true" outlineLevel="0" collapsed="false">
      <c r="A1" s="46" t="s">
        <v>136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customFormat="false" ht="15" hidden="false" customHeight="true" outlineLevel="0" collapsed="false">
      <c r="A2" s="47" t="s">
        <v>137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</row>
    <row r="4" customFormat="false" ht="18" hidden="false" customHeight="true" outlineLevel="0" collapsed="false">
      <c r="A4" s="17" t="s">
        <v>138</v>
      </c>
      <c r="B4" s="18" t="s">
        <v>64</v>
      </c>
      <c r="C4" s="18"/>
      <c r="D4" s="18" t="s">
        <v>65</v>
      </c>
      <c r="E4" s="18"/>
      <c r="F4" s="18" t="s">
        <v>66</v>
      </c>
      <c r="G4" s="18"/>
      <c r="H4" s="18" t="s">
        <v>67</v>
      </c>
      <c r="I4" s="18"/>
      <c r="J4" s="18" t="s">
        <v>68</v>
      </c>
      <c r="K4" s="18"/>
      <c r="L4" s="18" t="s">
        <v>69</v>
      </c>
      <c r="M4" s="18"/>
      <c r="N4" s="18" t="s">
        <v>70</v>
      </c>
      <c r="O4" s="18"/>
      <c r="P4" s="18" t="s">
        <v>71</v>
      </c>
      <c r="Q4" s="18"/>
      <c r="R4" s="18" t="s">
        <v>72</v>
      </c>
      <c r="S4" s="18"/>
      <c r="T4" s="18" t="s">
        <v>73</v>
      </c>
      <c r="U4" s="18"/>
      <c r="V4" s="18" t="s">
        <v>74</v>
      </c>
      <c r="W4" s="18"/>
      <c r="X4" s="18" t="s">
        <v>75</v>
      </c>
      <c r="Y4" s="18"/>
      <c r="Z4" s="19" t="s">
        <v>47</v>
      </c>
      <c r="AA4" s="19"/>
    </row>
    <row r="5" customFormat="false" ht="15" hidden="false" customHeight="true" outlineLevel="0" collapsed="false">
      <c r="A5" s="73" t="s">
        <v>139</v>
      </c>
      <c r="B5" s="74" t="n">
        <v>13</v>
      </c>
      <c r="D5" s="74" t="n">
        <v>4</v>
      </c>
      <c r="F5" s="74" t="n">
        <v>13</v>
      </c>
      <c r="H5" s="74" t="n">
        <v>4</v>
      </c>
      <c r="J5" s="74" t="n">
        <v>10</v>
      </c>
      <c r="L5" s="74" t="n">
        <f aca="false">AVERAGE($B5,$D5,$F5,$H5,$J5)</f>
        <v>8.8</v>
      </c>
      <c r="N5" s="74" t="n">
        <f aca="false">AVERAGE($B5,$D5,$F5,$H5,$J5)</f>
        <v>8.8</v>
      </c>
      <c r="P5" s="74" t="n">
        <f aca="false">AVERAGE($B5,$D5,$F5,$H5,$J5)</f>
        <v>8.8</v>
      </c>
      <c r="R5" s="74" t="n">
        <f aca="false">AVERAGE($B5,$D5,$F5,$H5,$J5)</f>
        <v>8.8</v>
      </c>
      <c r="T5" s="74" t="n">
        <f aca="false">AVERAGE($B5,$D5,$F5,$H5,$J5)</f>
        <v>8.8</v>
      </c>
      <c r="V5" s="74" t="n">
        <f aca="false">AVERAGE($B5,$D5,$F5,$H5,$J5)</f>
        <v>8.8</v>
      </c>
      <c r="X5" s="74" t="n">
        <f aca="false">AVERAGE($B5,$D5,$F5,$H5,$J5)</f>
        <v>8.8</v>
      </c>
      <c r="Z5" s="75" t="n">
        <f aca="false">B5+D5+F5+H5+J5+L5+N5+P5+R5+T5+V5+X5</f>
        <v>105.6</v>
      </c>
      <c r="AA5" s="76"/>
    </row>
    <row r="6" customFormat="false" ht="15" hidden="false" customHeight="true" outlineLevel="0" collapsed="false">
      <c r="A6" s="73" t="s">
        <v>140</v>
      </c>
      <c r="B6" s="74" t="n">
        <f aca="false">ROUND(B5*'Vessel Assumptions'!$C$7,0)</f>
        <v>10</v>
      </c>
      <c r="D6" s="74" t="n">
        <f aca="false">ROUND(D5*'Vessel Assumptions'!$C$7,0)</f>
        <v>3</v>
      </c>
      <c r="F6" s="74" t="n">
        <f aca="false">ROUND(F5*'Vessel Assumptions'!$C$7,0)</f>
        <v>10</v>
      </c>
      <c r="H6" s="74" t="n">
        <f aca="false">ROUND(H5*'Vessel Assumptions'!$C$7,0)</f>
        <v>3</v>
      </c>
      <c r="J6" s="74" t="n">
        <f aca="false">ROUND(J5*'Vessel Assumptions'!$C$7,0)</f>
        <v>8</v>
      </c>
      <c r="L6" s="74" t="n">
        <f aca="false">ROUND(L5*'Vessel Assumptions'!$C$7,0)</f>
        <v>7</v>
      </c>
      <c r="N6" s="74" t="n">
        <f aca="false">ROUND(N5*'Vessel Assumptions'!$C$7,0)</f>
        <v>7</v>
      </c>
      <c r="P6" s="74" t="n">
        <f aca="false">ROUND(P5*'Vessel Assumptions'!$C$7,0)</f>
        <v>7</v>
      </c>
      <c r="R6" s="74" t="n">
        <f aca="false">ROUND(R5*'Vessel Assumptions'!$C$7,0)</f>
        <v>7</v>
      </c>
      <c r="T6" s="74" t="n">
        <f aca="false">ROUND(T5*'Vessel Assumptions'!$C$7,0)</f>
        <v>7</v>
      </c>
      <c r="V6" s="74" t="n">
        <f aca="false">ROUND(V5*'Vessel Assumptions'!$C$7,0)</f>
        <v>7</v>
      </c>
      <c r="X6" s="74" t="n">
        <f aca="false">ROUND(X5*'Vessel Assumptions'!$C$7,0)</f>
        <v>7</v>
      </c>
      <c r="Z6" s="75" t="n">
        <f aca="false">B6+D6+F6+H6+J6+L6+N6+P6+R6+T6+V6+X6</f>
        <v>83</v>
      </c>
      <c r="AA6" s="76"/>
    </row>
    <row r="7" customFormat="false" ht="15" hidden="false" customHeight="true" outlineLevel="0" collapsed="false">
      <c r="A7" s="53" t="s">
        <v>141</v>
      </c>
      <c r="B7" s="54" t="n">
        <f aca="false">B6*'Vessel Assumptions'!$C$6*'Vessel Assumptions'!$C$8</f>
        <v>29960</v>
      </c>
      <c r="C7" s="55" t="n">
        <f aca="false">B7/B10</f>
        <v>0.624166666666667</v>
      </c>
      <c r="D7" s="54" t="n">
        <f aca="false">D6*'Vessel Assumptions'!$C$6*'Vessel Assumptions'!$C$8</f>
        <v>8988</v>
      </c>
      <c r="E7" s="55" t="n">
        <f aca="false">D7/D10</f>
        <v>0.624166666666667</v>
      </c>
      <c r="F7" s="54" t="n">
        <f aca="false">F6*'Vessel Assumptions'!$C$6*'Vessel Assumptions'!$C$8</f>
        <v>29960</v>
      </c>
      <c r="G7" s="55" t="n">
        <f aca="false">F7/F10</f>
        <v>0.624166666666667</v>
      </c>
      <c r="H7" s="54" t="n">
        <f aca="false">H6*'Vessel Assumptions'!$C$6*'Vessel Assumptions'!$C$8</f>
        <v>8988</v>
      </c>
      <c r="I7" s="55" t="n">
        <f aca="false">H7/H10</f>
        <v>0.624166666666667</v>
      </c>
      <c r="J7" s="54" t="n">
        <f aca="false">J6*'Vessel Assumptions'!$C$6*'Vessel Assumptions'!$C$8</f>
        <v>23968</v>
      </c>
      <c r="K7" s="55" t="n">
        <f aca="false">J7/J10</f>
        <v>0.624166666666667</v>
      </c>
      <c r="L7" s="54" t="n">
        <f aca="false">L6*'Vessel Assumptions'!$C$6*'Vessel Assumptions'!$C$8</f>
        <v>20972</v>
      </c>
      <c r="M7" s="55" t="n">
        <f aca="false">L7/L10</f>
        <v>0.624166666666667</v>
      </c>
      <c r="N7" s="54" t="n">
        <f aca="false">N6*'Vessel Assumptions'!$C$6*'Vessel Assumptions'!$C$8</f>
        <v>20972</v>
      </c>
      <c r="O7" s="55" t="n">
        <f aca="false">N7/N10</f>
        <v>0.624166666666667</v>
      </c>
      <c r="P7" s="54" t="n">
        <f aca="false">P6*'Vessel Assumptions'!$C$6*'Vessel Assumptions'!$C$8</f>
        <v>20972</v>
      </c>
      <c r="Q7" s="55" t="n">
        <f aca="false">P7/P10</f>
        <v>0.624166666666667</v>
      </c>
      <c r="R7" s="54" t="n">
        <f aca="false">R6*'Vessel Assumptions'!$C$6*'Vessel Assumptions'!$C$8</f>
        <v>20972</v>
      </c>
      <c r="S7" s="55" t="n">
        <f aca="false">R7/R10</f>
        <v>0.624166666666667</v>
      </c>
      <c r="T7" s="54" t="n">
        <f aca="false">T6*'Vessel Assumptions'!$C$6*'Vessel Assumptions'!$C$8</f>
        <v>20972</v>
      </c>
      <c r="U7" s="55" t="n">
        <f aca="false">T7/T10</f>
        <v>0.624166666666667</v>
      </c>
      <c r="V7" s="54" t="n">
        <f aca="false">V6*'Vessel Assumptions'!$C$6*'Vessel Assumptions'!$C$8</f>
        <v>20972</v>
      </c>
      <c r="W7" s="55" t="n">
        <f aca="false">V7/V10</f>
        <v>0.624166666666667</v>
      </c>
      <c r="X7" s="54" t="n">
        <f aca="false">X6*'Vessel Assumptions'!$C$6*'Vessel Assumptions'!$C$8</f>
        <v>20972</v>
      </c>
      <c r="Y7" s="55" t="n">
        <f aca="false">X7/X10</f>
        <v>0.624166666666667</v>
      </c>
      <c r="Z7" s="77" t="n">
        <f aca="false">B7+D7+F7+H7+J7+L7+N7+P7+R7+T7+V7+X7</f>
        <v>248668</v>
      </c>
      <c r="AA7" s="78" t="n">
        <f aca="false">Z7/Z10</f>
        <v>0.624166666666667</v>
      </c>
    </row>
    <row r="8" customFormat="false" ht="15" hidden="false" customHeight="true" outlineLevel="0" collapsed="false">
      <c r="A8" s="53" t="s">
        <v>142</v>
      </c>
      <c r="B8" s="54" t="n">
        <f aca="false">B6*'Vessel Assumptions'!$C$6*(1-'Vessel Assumptions'!$C$8)</f>
        <v>10040</v>
      </c>
      <c r="C8" s="55" t="n">
        <f aca="false">B8/B10</f>
        <v>0.209166666666667</v>
      </c>
      <c r="D8" s="54" t="n">
        <f aca="false">D6*'Vessel Assumptions'!$C$6*(1-'Vessel Assumptions'!$C$8)</f>
        <v>3012</v>
      </c>
      <c r="E8" s="55" t="n">
        <f aca="false">D8/D10</f>
        <v>0.209166666666667</v>
      </c>
      <c r="F8" s="54" t="n">
        <f aca="false">F6*'Vessel Assumptions'!$C$6*(1-'Vessel Assumptions'!$C$8)</f>
        <v>10040</v>
      </c>
      <c r="G8" s="55" t="n">
        <f aca="false">F8/F10</f>
        <v>0.209166666666667</v>
      </c>
      <c r="H8" s="54" t="n">
        <f aca="false">H6*'Vessel Assumptions'!$C$6*(1-'Vessel Assumptions'!$C$8)</f>
        <v>3012</v>
      </c>
      <c r="I8" s="55" t="n">
        <f aca="false">H8/H10</f>
        <v>0.209166666666667</v>
      </c>
      <c r="J8" s="54" t="n">
        <f aca="false">J6*'Vessel Assumptions'!$C$6*(1-'Vessel Assumptions'!$C$8)</f>
        <v>8032</v>
      </c>
      <c r="K8" s="55" t="n">
        <f aca="false">J8/J10</f>
        <v>0.209166666666667</v>
      </c>
      <c r="L8" s="54" t="n">
        <f aca="false">L6*'Vessel Assumptions'!$C$6*(1-'Vessel Assumptions'!$C$8)</f>
        <v>7028</v>
      </c>
      <c r="M8" s="55" t="n">
        <f aca="false">L8/L10</f>
        <v>0.209166666666667</v>
      </c>
      <c r="N8" s="54" t="n">
        <f aca="false">N6*'Vessel Assumptions'!$C$6*(1-'Vessel Assumptions'!$C$8)</f>
        <v>7028</v>
      </c>
      <c r="O8" s="55" t="n">
        <f aca="false">N8/N10</f>
        <v>0.209166666666667</v>
      </c>
      <c r="P8" s="54" t="n">
        <f aca="false">P6*'Vessel Assumptions'!$C$6*(1-'Vessel Assumptions'!$C$8)</f>
        <v>7028</v>
      </c>
      <c r="Q8" s="55" t="n">
        <f aca="false">P8/P10</f>
        <v>0.209166666666667</v>
      </c>
      <c r="R8" s="54" t="n">
        <f aca="false">R6*'Vessel Assumptions'!$C$6*(1-'Vessel Assumptions'!$C$8)</f>
        <v>7028</v>
      </c>
      <c r="S8" s="55" t="n">
        <f aca="false">R8/R10</f>
        <v>0.209166666666667</v>
      </c>
      <c r="T8" s="54" t="n">
        <f aca="false">T6*'Vessel Assumptions'!$C$6*(1-'Vessel Assumptions'!$C$8)</f>
        <v>7028</v>
      </c>
      <c r="U8" s="55" t="n">
        <f aca="false">T8/T10</f>
        <v>0.209166666666667</v>
      </c>
      <c r="V8" s="54" t="n">
        <f aca="false">V6*'Vessel Assumptions'!$C$6*(1-'Vessel Assumptions'!$C$8)</f>
        <v>7028</v>
      </c>
      <c r="W8" s="55" t="n">
        <f aca="false">V8/V10</f>
        <v>0.209166666666667</v>
      </c>
      <c r="X8" s="54" t="n">
        <f aca="false">X6*'Vessel Assumptions'!$C$6*(1-'Vessel Assumptions'!$C$8)</f>
        <v>7028</v>
      </c>
      <c r="Y8" s="55" t="n">
        <f aca="false">X8/X10</f>
        <v>0.209166666666667</v>
      </c>
      <c r="Z8" s="77" t="n">
        <f aca="false">B8+D8+F8+H8+J8+L8+N8+P8+R8+T8+V8+X8</f>
        <v>83332</v>
      </c>
      <c r="AA8" s="78" t="n">
        <f aca="false">Z8/Z10</f>
        <v>0.209166666666667</v>
      </c>
    </row>
    <row r="9" customFormat="false" ht="15" hidden="false" customHeight="true" outlineLevel="0" collapsed="false">
      <c r="A9" s="53" t="s">
        <v>143</v>
      </c>
      <c r="B9" s="54" t="n">
        <f aca="false">B6*'Vessel Assumptions'!$C$6*'Vessel Assumptions'!$C$9</f>
        <v>8000</v>
      </c>
      <c r="C9" s="55" t="n">
        <f aca="false">B9/B10</f>
        <v>0.166666666666667</v>
      </c>
      <c r="D9" s="54" t="n">
        <f aca="false">D6*'Vessel Assumptions'!$C$6*'Vessel Assumptions'!$C$9</f>
        <v>2400</v>
      </c>
      <c r="E9" s="55" t="n">
        <f aca="false">D9/D10</f>
        <v>0.166666666666667</v>
      </c>
      <c r="F9" s="54" t="n">
        <f aca="false">F6*'Vessel Assumptions'!$C$6*'Vessel Assumptions'!$C$9</f>
        <v>8000</v>
      </c>
      <c r="G9" s="55" t="n">
        <f aca="false">F9/F10</f>
        <v>0.166666666666667</v>
      </c>
      <c r="H9" s="54" t="n">
        <f aca="false">H6*'Vessel Assumptions'!$C$6*'Vessel Assumptions'!$C$9</f>
        <v>2400</v>
      </c>
      <c r="I9" s="55" t="n">
        <f aca="false">H9/H10</f>
        <v>0.166666666666667</v>
      </c>
      <c r="J9" s="54" t="n">
        <f aca="false">J6*'Vessel Assumptions'!$C$6*'Vessel Assumptions'!$C$9</f>
        <v>6400</v>
      </c>
      <c r="K9" s="55" t="n">
        <f aca="false">J9/J10</f>
        <v>0.166666666666667</v>
      </c>
      <c r="L9" s="54" t="n">
        <f aca="false">L6*'Vessel Assumptions'!$C$6*'Vessel Assumptions'!$C$9</f>
        <v>5600</v>
      </c>
      <c r="M9" s="55" t="n">
        <f aca="false">L9/L10</f>
        <v>0.166666666666667</v>
      </c>
      <c r="N9" s="54" t="n">
        <f aca="false">N6*'Vessel Assumptions'!$C$6*'Vessel Assumptions'!$C$9</f>
        <v>5600</v>
      </c>
      <c r="O9" s="55" t="n">
        <f aca="false">N9/N10</f>
        <v>0.166666666666667</v>
      </c>
      <c r="P9" s="54" t="n">
        <f aca="false">P6*'Vessel Assumptions'!$C$6*'Vessel Assumptions'!$C$9</f>
        <v>5600</v>
      </c>
      <c r="Q9" s="55" t="n">
        <f aca="false">P9/P10</f>
        <v>0.166666666666667</v>
      </c>
      <c r="R9" s="54" t="n">
        <f aca="false">R6*'Vessel Assumptions'!$C$6*'Vessel Assumptions'!$C$9</f>
        <v>5600</v>
      </c>
      <c r="S9" s="55" t="n">
        <f aca="false">R9/R10</f>
        <v>0.166666666666667</v>
      </c>
      <c r="T9" s="54" t="n">
        <f aca="false">T6*'Vessel Assumptions'!$C$6*'Vessel Assumptions'!$C$9</f>
        <v>5600</v>
      </c>
      <c r="U9" s="55" t="n">
        <f aca="false">T9/T10</f>
        <v>0.166666666666667</v>
      </c>
      <c r="V9" s="54" t="n">
        <f aca="false">V6*'Vessel Assumptions'!$C$6*'Vessel Assumptions'!$C$9</f>
        <v>5600</v>
      </c>
      <c r="W9" s="55" t="n">
        <f aca="false">V9/V10</f>
        <v>0.166666666666667</v>
      </c>
      <c r="X9" s="54" t="n">
        <f aca="false">X6*'Vessel Assumptions'!$C$6*'Vessel Assumptions'!$C$9</f>
        <v>5600</v>
      </c>
      <c r="Y9" s="55" t="n">
        <f aca="false">X9/X10</f>
        <v>0.166666666666667</v>
      </c>
      <c r="Z9" s="77" t="n">
        <f aca="false">B9+D9+F9+H9+J9+L9+N9+P9+R9+T9+V9+X9</f>
        <v>66400</v>
      </c>
      <c r="AA9" s="78" t="n">
        <f aca="false">Z9/Z10</f>
        <v>0.166666666666667</v>
      </c>
    </row>
    <row r="10" customFormat="false" ht="15" hidden="false" customHeight="true" outlineLevel="0" collapsed="false">
      <c r="A10" s="23" t="s">
        <v>144</v>
      </c>
      <c r="B10" s="43" t="n">
        <f aca="false">SUM(B7:B9)</f>
        <v>48000</v>
      </c>
      <c r="C10" s="25" t="n">
        <f aca="false">B10/B10</f>
        <v>1</v>
      </c>
      <c r="D10" s="43" t="n">
        <f aca="false">SUM(D7:D9)</f>
        <v>14400</v>
      </c>
      <c r="E10" s="25" t="n">
        <f aca="false">D10/D10</f>
        <v>1</v>
      </c>
      <c r="F10" s="43" t="n">
        <f aca="false">SUM(F7:F9)</f>
        <v>48000</v>
      </c>
      <c r="G10" s="25" t="n">
        <f aca="false">F10/F10</f>
        <v>1</v>
      </c>
      <c r="H10" s="43" t="n">
        <f aca="false">SUM(H7:H9)</f>
        <v>14400</v>
      </c>
      <c r="I10" s="25" t="n">
        <f aca="false">H10/H10</f>
        <v>1</v>
      </c>
      <c r="J10" s="43" t="n">
        <f aca="false">SUM(J7:J9)</f>
        <v>38400</v>
      </c>
      <c r="K10" s="25" t="n">
        <f aca="false">J10/J10</f>
        <v>1</v>
      </c>
      <c r="L10" s="43" t="n">
        <f aca="false">SUM(L7:L9)</f>
        <v>33600</v>
      </c>
      <c r="M10" s="25" t="n">
        <f aca="false">L10/L10</f>
        <v>1</v>
      </c>
      <c r="N10" s="43" t="n">
        <f aca="false">SUM(N7:N9)</f>
        <v>33600</v>
      </c>
      <c r="O10" s="25" t="n">
        <f aca="false">N10/N10</f>
        <v>1</v>
      </c>
      <c r="P10" s="43" t="n">
        <f aca="false">SUM(P7:P9)</f>
        <v>33600</v>
      </c>
      <c r="Q10" s="25" t="n">
        <f aca="false">P10/P10</f>
        <v>1</v>
      </c>
      <c r="R10" s="43" t="n">
        <f aca="false">SUM(R7:R9)</f>
        <v>33600</v>
      </c>
      <c r="S10" s="25" t="n">
        <f aca="false">R10/R10</f>
        <v>1</v>
      </c>
      <c r="T10" s="43" t="n">
        <f aca="false">SUM(T7:T9)</f>
        <v>33600</v>
      </c>
      <c r="U10" s="25" t="n">
        <f aca="false">T10/T10</f>
        <v>1</v>
      </c>
      <c r="V10" s="43" t="n">
        <f aca="false">SUM(V7:V9)</f>
        <v>33600</v>
      </c>
      <c r="W10" s="25" t="n">
        <f aca="false">V10/V10</f>
        <v>1</v>
      </c>
      <c r="X10" s="43" t="n">
        <f aca="false">SUM(X7:X9)</f>
        <v>33600</v>
      </c>
      <c r="Y10" s="25" t="n">
        <f aca="false">X10/X10</f>
        <v>1</v>
      </c>
      <c r="Z10" s="79" t="n">
        <f aca="false">B10+D10+F10+H10+J10+L10+N10+P10+R10+T10+V10+X10</f>
        <v>398400</v>
      </c>
      <c r="AA10" s="80" t="n">
        <f aca="false">Z10/Z10</f>
        <v>1</v>
      </c>
    </row>
    <row r="12" customFormat="false" ht="15" hidden="false" customHeight="true" outlineLevel="0" collapsed="false">
      <c r="A12" s="53" t="s">
        <v>145</v>
      </c>
      <c r="B12" s="54" t="n">
        <f aca="false">B7*'Vessel Assumptions'!$C$12</f>
        <v>17976</v>
      </c>
      <c r="C12" s="55" t="n">
        <f aca="false">B12/B7</f>
        <v>0.6</v>
      </c>
      <c r="D12" s="54" t="n">
        <f aca="false">D7*'Vessel Assumptions'!$C$12</f>
        <v>5392.8</v>
      </c>
      <c r="E12" s="55" t="n">
        <f aca="false">D12/D7</f>
        <v>0.6</v>
      </c>
      <c r="F12" s="54" t="n">
        <f aca="false">F7*'Vessel Assumptions'!$C$12</f>
        <v>17976</v>
      </c>
      <c r="G12" s="55" t="n">
        <f aca="false">F12/F7</f>
        <v>0.6</v>
      </c>
      <c r="H12" s="54" t="n">
        <f aca="false">H7*'Vessel Assumptions'!$C$12</f>
        <v>5392.8</v>
      </c>
      <c r="I12" s="55" t="n">
        <f aca="false">H12/H7</f>
        <v>0.6</v>
      </c>
      <c r="J12" s="54" t="n">
        <f aca="false">J7*'Vessel Assumptions'!$C$12</f>
        <v>14380.8</v>
      </c>
      <c r="K12" s="55" t="n">
        <f aca="false">J12/J7</f>
        <v>0.6</v>
      </c>
      <c r="L12" s="54" t="n">
        <f aca="false">L7*'Vessel Assumptions'!$C$12</f>
        <v>12583.2</v>
      </c>
      <c r="M12" s="55" t="n">
        <f aca="false">L12/L7</f>
        <v>0.6</v>
      </c>
      <c r="N12" s="54" t="n">
        <f aca="false">N7*'Vessel Assumptions'!$C$12</f>
        <v>12583.2</v>
      </c>
      <c r="O12" s="55" t="n">
        <f aca="false">N12/N7</f>
        <v>0.6</v>
      </c>
      <c r="P12" s="54" t="n">
        <f aca="false">P7*'Vessel Assumptions'!$C$12</f>
        <v>12583.2</v>
      </c>
      <c r="Q12" s="55" t="n">
        <f aca="false">P12/P7</f>
        <v>0.6</v>
      </c>
      <c r="R12" s="54" t="n">
        <f aca="false">R7*'Vessel Assumptions'!$C$12</f>
        <v>12583.2</v>
      </c>
      <c r="S12" s="55" t="n">
        <f aca="false">R12/R7</f>
        <v>0.6</v>
      </c>
      <c r="T12" s="54" t="n">
        <f aca="false">T7*'Vessel Assumptions'!$C$12</f>
        <v>12583.2</v>
      </c>
      <c r="U12" s="55" t="n">
        <f aca="false">T12/T7</f>
        <v>0.6</v>
      </c>
      <c r="V12" s="54" t="n">
        <f aca="false">V7*'Vessel Assumptions'!$C$12</f>
        <v>12583.2</v>
      </c>
      <c r="W12" s="55" t="n">
        <f aca="false">V12/V7</f>
        <v>0.6</v>
      </c>
      <c r="X12" s="54" t="n">
        <f aca="false">X7*'Vessel Assumptions'!$C$12</f>
        <v>12583.2</v>
      </c>
      <c r="Y12" s="55" t="n">
        <f aca="false">X12/X7</f>
        <v>0.6</v>
      </c>
      <c r="Z12" s="77" t="n">
        <f aca="false">B12+D12+F12+H12+J12+L12+N12+P12+R12+T12+V12+X12</f>
        <v>149200.8</v>
      </c>
      <c r="AA12" s="78" t="n">
        <f aca="false">Z12/Z7</f>
        <v>0.6</v>
      </c>
    </row>
    <row r="13" customFormat="false" ht="15" hidden="false" customHeight="true" outlineLevel="0" collapsed="false">
      <c r="A13" s="53" t="s">
        <v>146</v>
      </c>
      <c r="B13" s="54" t="n">
        <f aca="false">B8*'Vessel Assumptions'!$C$13</f>
        <v>2510</v>
      </c>
      <c r="C13" s="55" t="n">
        <f aca="false">B13/B8</f>
        <v>0.25</v>
      </c>
      <c r="D13" s="54" t="n">
        <f aca="false">D8*'Vessel Assumptions'!$C$13</f>
        <v>753</v>
      </c>
      <c r="E13" s="55" t="n">
        <f aca="false">D13/D8</f>
        <v>0.25</v>
      </c>
      <c r="F13" s="54" t="n">
        <f aca="false">F8*'Vessel Assumptions'!$C$13</f>
        <v>2510</v>
      </c>
      <c r="G13" s="55" t="n">
        <f aca="false">F13/F8</f>
        <v>0.25</v>
      </c>
      <c r="H13" s="54" t="n">
        <f aca="false">H8*'Vessel Assumptions'!$C$13</f>
        <v>753</v>
      </c>
      <c r="I13" s="55" t="n">
        <f aca="false">H13/H8</f>
        <v>0.25</v>
      </c>
      <c r="J13" s="54" t="n">
        <f aca="false">J8*'Vessel Assumptions'!$C$13</f>
        <v>2008</v>
      </c>
      <c r="K13" s="55" t="n">
        <f aca="false">J13/J8</f>
        <v>0.25</v>
      </c>
      <c r="L13" s="54" t="n">
        <f aca="false">L8*'Vessel Assumptions'!$C$13</f>
        <v>1757</v>
      </c>
      <c r="M13" s="55" t="n">
        <f aca="false">L13/L8</f>
        <v>0.25</v>
      </c>
      <c r="N13" s="54" t="n">
        <f aca="false">N8*'Vessel Assumptions'!$C$13</f>
        <v>1757</v>
      </c>
      <c r="O13" s="55" t="n">
        <f aca="false">N13/N8</f>
        <v>0.25</v>
      </c>
      <c r="P13" s="54" t="n">
        <f aca="false">P8*'Vessel Assumptions'!$C$13</f>
        <v>1757</v>
      </c>
      <c r="Q13" s="55" t="n">
        <f aca="false">P13/P8</f>
        <v>0.25</v>
      </c>
      <c r="R13" s="54" t="n">
        <f aca="false">R8*'Vessel Assumptions'!$C$13</f>
        <v>1757</v>
      </c>
      <c r="S13" s="55" t="n">
        <f aca="false">R13/R8</f>
        <v>0.25</v>
      </c>
      <c r="T13" s="54" t="n">
        <f aca="false">T8*'Vessel Assumptions'!$C$13</f>
        <v>1757</v>
      </c>
      <c r="U13" s="55" t="n">
        <f aca="false">T13/T8</f>
        <v>0.25</v>
      </c>
      <c r="V13" s="54" t="n">
        <f aca="false">V8*'Vessel Assumptions'!$C$13</f>
        <v>1757</v>
      </c>
      <c r="W13" s="55" t="n">
        <f aca="false">V13/V8</f>
        <v>0.25</v>
      </c>
      <c r="X13" s="54" t="n">
        <f aca="false">X8*'Vessel Assumptions'!$C$13</f>
        <v>1757</v>
      </c>
      <c r="Y13" s="55" t="n">
        <f aca="false">X13/X8</f>
        <v>0.25</v>
      </c>
      <c r="Z13" s="77" t="n">
        <f aca="false">B13+D13+F13+H13+J13+L13+N13+P13+R13+T13+V13+X13</f>
        <v>20833</v>
      </c>
      <c r="AA13" s="78" t="n">
        <f aca="false">Z13/Z8</f>
        <v>0.25</v>
      </c>
    </row>
    <row r="14" customFormat="false" ht="15" hidden="false" customHeight="true" outlineLevel="0" collapsed="false">
      <c r="A14" s="23" t="s">
        <v>147</v>
      </c>
      <c r="B14" s="43" t="n">
        <f aca="false">B12+B13</f>
        <v>20486</v>
      </c>
      <c r="C14" s="25" t="n">
        <f aca="false">B14/B10</f>
        <v>0.426791666666667</v>
      </c>
      <c r="D14" s="43" t="n">
        <f aca="false">D12+D13</f>
        <v>6145.8</v>
      </c>
      <c r="E14" s="25" t="n">
        <f aca="false">D14/D10</f>
        <v>0.426791666666667</v>
      </c>
      <c r="F14" s="43" t="n">
        <f aca="false">F12+F13</f>
        <v>20486</v>
      </c>
      <c r="G14" s="25" t="n">
        <f aca="false">F14/F10</f>
        <v>0.426791666666667</v>
      </c>
      <c r="H14" s="43" t="n">
        <f aca="false">H12+H13</f>
        <v>6145.8</v>
      </c>
      <c r="I14" s="25" t="n">
        <f aca="false">H14/H10</f>
        <v>0.426791666666667</v>
      </c>
      <c r="J14" s="43" t="n">
        <f aca="false">J12+J13</f>
        <v>16388.8</v>
      </c>
      <c r="K14" s="25" t="n">
        <f aca="false">J14/J10</f>
        <v>0.426791666666667</v>
      </c>
      <c r="L14" s="43" t="n">
        <f aca="false">L12+L13</f>
        <v>14340.2</v>
      </c>
      <c r="M14" s="25" t="n">
        <f aca="false">L14/L10</f>
        <v>0.426791666666667</v>
      </c>
      <c r="N14" s="43" t="n">
        <f aca="false">N12+N13</f>
        <v>14340.2</v>
      </c>
      <c r="O14" s="25" t="n">
        <f aca="false">N14/N10</f>
        <v>0.426791666666667</v>
      </c>
      <c r="P14" s="43" t="n">
        <f aca="false">P12+P13</f>
        <v>14340.2</v>
      </c>
      <c r="Q14" s="25" t="n">
        <f aca="false">P14/P10</f>
        <v>0.426791666666667</v>
      </c>
      <c r="R14" s="43" t="n">
        <f aca="false">R12+R13</f>
        <v>14340.2</v>
      </c>
      <c r="S14" s="25" t="n">
        <f aca="false">R14/R10</f>
        <v>0.426791666666667</v>
      </c>
      <c r="T14" s="43" t="n">
        <f aca="false">T12+T13</f>
        <v>14340.2</v>
      </c>
      <c r="U14" s="25" t="n">
        <f aca="false">T14/T10</f>
        <v>0.426791666666667</v>
      </c>
      <c r="V14" s="43" t="n">
        <f aca="false">V12+V13</f>
        <v>14340.2</v>
      </c>
      <c r="W14" s="25" t="n">
        <f aca="false">V14/V10</f>
        <v>0.426791666666667</v>
      </c>
      <c r="X14" s="43" t="n">
        <f aca="false">X12+X13</f>
        <v>14340.2</v>
      </c>
      <c r="Y14" s="25" t="n">
        <f aca="false">X14/X10</f>
        <v>0.426791666666667</v>
      </c>
      <c r="Z14" s="79" t="n">
        <f aca="false">B14+D14+F14+H14+J14+L14+N14+P14+R14+T14+V14+X14</f>
        <v>170033.8</v>
      </c>
      <c r="AA14" s="80" t="n">
        <f aca="false">Z14/Z10</f>
        <v>0.426791666666667</v>
      </c>
    </row>
    <row r="15" customFormat="false" ht="15" hidden="false" customHeight="true" outlineLevel="0" collapsed="false">
      <c r="A15" s="23" t="s">
        <v>9</v>
      </c>
      <c r="B15" s="43" t="n">
        <f aca="false">B10-B14</f>
        <v>27514</v>
      </c>
      <c r="C15" s="25" t="n">
        <f aca="false">B15/B10</f>
        <v>0.573208333333333</v>
      </c>
      <c r="D15" s="43" t="n">
        <f aca="false">D10-D14</f>
        <v>8254.2</v>
      </c>
      <c r="E15" s="25" t="n">
        <f aca="false">D15/D10</f>
        <v>0.573208333333333</v>
      </c>
      <c r="F15" s="43" t="n">
        <f aca="false">F10-F14</f>
        <v>27514</v>
      </c>
      <c r="G15" s="25" t="n">
        <f aca="false">F15/F10</f>
        <v>0.573208333333333</v>
      </c>
      <c r="H15" s="43" t="n">
        <f aca="false">H10-H14</f>
        <v>8254.2</v>
      </c>
      <c r="I15" s="25" t="n">
        <f aca="false">H15/H10</f>
        <v>0.573208333333333</v>
      </c>
      <c r="J15" s="43" t="n">
        <f aca="false">J10-J14</f>
        <v>22011.2</v>
      </c>
      <c r="K15" s="25" t="n">
        <f aca="false">J15/J10</f>
        <v>0.573208333333333</v>
      </c>
      <c r="L15" s="43" t="n">
        <f aca="false">L10-L14</f>
        <v>19259.8</v>
      </c>
      <c r="M15" s="25" t="n">
        <f aca="false">L15/L10</f>
        <v>0.573208333333333</v>
      </c>
      <c r="N15" s="43" t="n">
        <f aca="false">N10-N14</f>
        <v>19259.8</v>
      </c>
      <c r="O15" s="25" t="n">
        <f aca="false">N15/N10</f>
        <v>0.573208333333333</v>
      </c>
      <c r="P15" s="43" t="n">
        <f aca="false">P10-P14</f>
        <v>19259.8</v>
      </c>
      <c r="Q15" s="25" t="n">
        <f aca="false">P15/P10</f>
        <v>0.573208333333333</v>
      </c>
      <c r="R15" s="43" t="n">
        <f aca="false">R10-R14</f>
        <v>19259.8</v>
      </c>
      <c r="S15" s="25" t="n">
        <f aca="false">R15/R10</f>
        <v>0.573208333333333</v>
      </c>
      <c r="T15" s="43" t="n">
        <f aca="false">T10-T14</f>
        <v>19259.8</v>
      </c>
      <c r="U15" s="25" t="n">
        <f aca="false">T15/T10</f>
        <v>0.573208333333333</v>
      </c>
      <c r="V15" s="43" t="n">
        <f aca="false">V10-V14</f>
        <v>19259.8</v>
      </c>
      <c r="W15" s="25" t="n">
        <f aca="false">V15/V10</f>
        <v>0.573208333333333</v>
      </c>
      <c r="X15" s="43" t="n">
        <f aca="false">X10-X14</f>
        <v>19259.8</v>
      </c>
      <c r="Y15" s="25" t="n">
        <f aca="false">X15/X10</f>
        <v>0.573208333333333</v>
      </c>
      <c r="Z15" s="79" t="n">
        <f aca="false">B15+D15+F15+H15+J15+L15+N15+P15+R15+T15+V15+X15</f>
        <v>228366.2</v>
      </c>
      <c r="AA15" s="80" t="n">
        <f aca="false">Z15/Z10</f>
        <v>0.573208333333333</v>
      </c>
    </row>
    <row r="17" customFormat="false" ht="15" hidden="false" customHeight="true" outlineLevel="0" collapsed="false">
      <c r="A17" s="53" t="str">
        <f aca="false">"Hourly labor  ("&amp;'Vessel Assumptions'!$C$16&amp;" bartender"&amp;IF('Vessel Assumptions'!$C$16=1,"","s")&amp;" + "&amp;'Vessel Assumptions'!$C$17&amp;" server"&amp;IF('Vessel Assumptions'!$C$17=1,"","s")&amp;")"</f>
        <v>Hourly labor  (1 bartender + 2 servers)</v>
      </c>
      <c r="B17" s="54" t="n">
        <f aca="false">B6*'Vessel Assumptions'!$C$20</f>
        <v>5250</v>
      </c>
      <c r="C17" s="55" t="n">
        <f aca="false">B17/B10</f>
        <v>0.109375</v>
      </c>
      <c r="D17" s="54" t="n">
        <f aca="false">D6*'Vessel Assumptions'!$C$20</f>
        <v>1575</v>
      </c>
      <c r="E17" s="55" t="n">
        <f aca="false">D17/D10</f>
        <v>0.109375</v>
      </c>
      <c r="F17" s="54" t="n">
        <f aca="false">F6*'Vessel Assumptions'!$C$20</f>
        <v>5250</v>
      </c>
      <c r="G17" s="55" t="n">
        <f aca="false">F17/F10</f>
        <v>0.109375</v>
      </c>
      <c r="H17" s="54" t="n">
        <f aca="false">H6*'Vessel Assumptions'!$C$20</f>
        <v>1575</v>
      </c>
      <c r="I17" s="55" t="n">
        <f aca="false">H17/H10</f>
        <v>0.109375</v>
      </c>
      <c r="J17" s="54" t="n">
        <f aca="false">J6*'Vessel Assumptions'!$C$20</f>
        <v>4200</v>
      </c>
      <c r="K17" s="55" t="n">
        <f aca="false">J17/J10</f>
        <v>0.109375</v>
      </c>
      <c r="L17" s="54" t="n">
        <f aca="false">L6*'Vessel Assumptions'!$C$20</f>
        <v>3675</v>
      </c>
      <c r="M17" s="55" t="n">
        <f aca="false">L17/L10</f>
        <v>0.109375</v>
      </c>
      <c r="N17" s="54" t="n">
        <f aca="false">N6*'Vessel Assumptions'!$C$20</f>
        <v>3675</v>
      </c>
      <c r="O17" s="55" t="n">
        <f aca="false">N17/N10</f>
        <v>0.109375</v>
      </c>
      <c r="P17" s="54" t="n">
        <f aca="false">P6*'Vessel Assumptions'!$C$20</f>
        <v>3675</v>
      </c>
      <c r="Q17" s="55" t="n">
        <f aca="false">P17/P10</f>
        <v>0.109375</v>
      </c>
      <c r="R17" s="54" t="n">
        <f aca="false">R6*'Vessel Assumptions'!$C$20</f>
        <v>3675</v>
      </c>
      <c r="S17" s="55" t="n">
        <f aca="false">R17/R10</f>
        <v>0.109375</v>
      </c>
      <c r="T17" s="54" t="n">
        <f aca="false">T6*'Vessel Assumptions'!$C$20</f>
        <v>3675</v>
      </c>
      <c r="U17" s="55" t="n">
        <f aca="false">T17/T10</f>
        <v>0.109375</v>
      </c>
      <c r="V17" s="54" t="n">
        <f aca="false">V6*'Vessel Assumptions'!$C$20</f>
        <v>3675</v>
      </c>
      <c r="W17" s="55" t="n">
        <f aca="false">V17/V10</f>
        <v>0.109375</v>
      </c>
      <c r="X17" s="54" t="n">
        <f aca="false">X6*'Vessel Assumptions'!$C$20</f>
        <v>3675</v>
      </c>
      <c r="Y17" s="55" t="n">
        <f aca="false">X17/X10</f>
        <v>0.109375</v>
      </c>
      <c r="Z17" s="77" t="n">
        <f aca="false">B17+D17+F17+H17+J17+L17+N17+P17+R17+T17+V17+X17</f>
        <v>43575</v>
      </c>
      <c r="AA17" s="78" t="n">
        <f aca="false">Z17/Z10</f>
        <v>0.109375</v>
      </c>
    </row>
    <row r="18" customFormat="false" ht="15" hidden="false" customHeight="true" outlineLevel="0" collapsed="false">
      <c r="A18" s="53" t="s">
        <v>148</v>
      </c>
      <c r="B18" s="54" t="n">
        <f aca="false">'Vessel Assumptions'!$C$21</f>
        <v>1787.16666666667</v>
      </c>
      <c r="C18" s="55" t="n">
        <f aca="false">B18/B10</f>
        <v>0.0372326388888889</v>
      </c>
      <c r="D18" s="54" t="n">
        <f aca="false">'Vessel Assumptions'!$C$21</f>
        <v>1787.16666666667</v>
      </c>
      <c r="E18" s="55" t="n">
        <f aca="false">D18/D10</f>
        <v>0.124108796296296</v>
      </c>
      <c r="F18" s="54" t="n">
        <f aca="false">'Vessel Assumptions'!$C$21</f>
        <v>1787.16666666667</v>
      </c>
      <c r="G18" s="55" t="n">
        <f aca="false">F18/F10</f>
        <v>0.0372326388888889</v>
      </c>
      <c r="H18" s="54" t="n">
        <f aca="false">'Vessel Assumptions'!$C$21</f>
        <v>1787.16666666667</v>
      </c>
      <c r="I18" s="55" t="n">
        <f aca="false">H18/H10</f>
        <v>0.124108796296296</v>
      </c>
      <c r="J18" s="54" t="n">
        <f aca="false">'Vessel Assumptions'!$C$21</f>
        <v>1787.16666666667</v>
      </c>
      <c r="K18" s="55" t="n">
        <f aca="false">J18/J10</f>
        <v>0.0465407986111111</v>
      </c>
      <c r="L18" s="54" t="n">
        <f aca="false">'Vessel Assumptions'!$C$21</f>
        <v>1787.16666666667</v>
      </c>
      <c r="M18" s="55" t="n">
        <f aca="false">L18/L10</f>
        <v>0.0531894841269841</v>
      </c>
      <c r="N18" s="54" t="n">
        <f aca="false">'Vessel Assumptions'!$C$21</f>
        <v>1787.16666666667</v>
      </c>
      <c r="O18" s="55" t="n">
        <f aca="false">N18/N10</f>
        <v>0.0531894841269841</v>
      </c>
      <c r="P18" s="54" t="n">
        <f aca="false">'Vessel Assumptions'!$C$21</f>
        <v>1787.16666666667</v>
      </c>
      <c r="Q18" s="55" t="n">
        <f aca="false">P18/P10</f>
        <v>0.0531894841269841</v>
      </c>
      <c r="R18" s="54" t="n">
        <f aca="false">'Vessel Assumptions'!$C$21</f>
        <v>1787.16666666667</v>
      </c>
      <c r="S18" s="55" t="n">
        <f aca="false">R18/R10</f>
        <v>0.0531894841269841</v>
      </c>
      <c r="T18" s="54" t="n">
        <f aca="false">'Vessel Assumptions'!$C$21</f>
        <v>1787.16666666667</v>
      </c>
      <c r="U18" s="55" t="n">
        <f aca="false">T18/T10</f>
        <v>0.0531894841269841</v>
      </c>
      <c r="V18" s="54" t="n">
        <f aca="false">'Vessel Assumptions'!$C$21</f>
        <v>1787.16666666667</v>
      </c>
      <c r="W18" s="55" t="n">
        <f aca="false">V18/V10</f>
        <v>0.0531894841269841</v>
      </c>
      <c r="X18" s="54" t="n">
        <f aca="false">'Vessel Assumptions'!$C$21</f>
        <v>1787.16666666667</v>
      </c>
      <c r="Y18" s="55" t="n">
        <f aca="false">X18/X10</f>
        <v>0.0531894841269841</v>
      </c>
      <c r="Z18" s="77" t="n">
        <f aca="false">B18+D18+F18+H18+J18+L18+N18+P18+R18+T18+V18+X18</f>
        <v>21446</v>
      </c>
      <c r="AA18" s="78" t="n">
        <f aca="false">Z18/Z10</f>
        <v>0.0538303212851406</v>
      </c>
    </row>
    <row r="19" customFormat="false" ht="15" hidden="false" customHeight="true" outlineLevel="0" collapsed="false">
      <c r="A19" s="53" t="s">
        <v>149</v>
      </c>
      <c r="B19" s="54" t="n">
        <f aca="false">(B17+B18)*'Vessel Assumptions'!$C$22</f>
        <v>1132.98383333333</v>
      </c>
      <c r="C19" s="55" t="n">
        <f aca="false">B19/B10</f>
        <v>0.0236038298611111</v>
      </c>
      <c r="D19" s="54" t="n">
        <f aca="false">(D17+D18)*'Vessel Assumptions'!$C$22</f>
        <v>541.308833333333</v>
      </c>
      <c r="E19" s="55" t="n">
        <f aca="false">D19/D10</f>
        <v>0.0375908912037037</v>
      </c>
      <c r="F19" s="54" t="n">
        <f aca="false">(F17+F18)*'Vessel Assumptions'!$C$22</f>
        <v>1132.98383333333</v>
      </c>
      <c r="G19" s="55" t="n">
        <f aca="false">F19/F10</f>
        <v>0.0236038298611111</v>
      </c>
      <c r="H19" s="54" t="n">
        <f aca="false">(H17+H18)*'Vessel Assumptions'!$C$22</f>
        <v>541.308833333333</v>
      </c>
      <c r="I19" s="55" t="n">
        <f aca="false">H19/H10</f>
        <v>0.0375908912037037</v>
      </c>
      <c r="J19" s="54" t="n">
        <f aca="false">(J17+J18)*'Vessel Assumptions'!$C$22</f>
        <v>963.933833333333</v>
      </c>
      <c r="K19" s="55" t="n">
        <f aca="false">J19/J10</f>
        <v>0.0251024435763889</v>
      </c>
      <c r="L19" s="54" t="n">
        <f aca="false">(L17+L18)*'Vessel Assumptions'!$C$22</f>
        <v>879.408833333333</v>
      </c>
      <c r="M19" s="55" t="n">
        <f aca="false">L19/L10</f>
        <v>0.0261728819444445</v>
      </c>
      <c r="N19" s="54" t="n">
        <f aca="false">(N17+N18)*'Vessel Assumptions'!$C$22</f>
        <v>879.408833333333</v>
      </c>
      <c r="O19" s="55" t="n">
        <f aca="false">N19/N10</f>
        <v>0.0261728819444445</v>
      </c>
      <c r="P19" s="54" t="n">
        <f aca="false">(P17+P18)*'Vessel Assumptions'!$C$22</f>
        <v>879.408833333333</v>
      </c>
      <c r="Q19" s="55" t="n">
        <f aca="false">P19/P10</f>
        <v>0.0261728819444445</v>
      </c>
      <c r="R19" s="54" t="n">
        <f aca="false">(R17+R18)*'Vessel Assumptions'!$C$22</f>
        <v>879.408833333333</v>
      </c>
      <c r="S19" s="55" t="n">
        <f aca="false">R19/R10</f>
        <v>0.0261728819444445</v>
      </c>
      <c r="T19" s="54" t="n">
        <f aca="false">(T17+T18)*'Vessel Assumptions'!$C$22</f>
        <v>879.408833333333</v>
      </c>
      <c r="U19" s="55" t="n">
        <f aca="false">T19/T10</f>
        <v>0.0261728819444445</v>
      </c>
      <c r="V19" s="54" t="n">
        <f aca="false">(V17+V18)*'Vessel Assumptions'!$C$22</f>
        <v>879.408833333333</v>
      </c>
      <c r="W19" s="55" t="n">
        <f aca="false">V19/V10</f>
        <v>0.0261728819444445</v>
      </c>
      <c r="X19" s="54" t="n">
        <f aca="false">(X17+X18)*'Vessel Assumptions'!$C$22</f>
        <v>879.408833333333</v>
      </c>
      <c r="Y19" s="55" t="n">
        <f aca="false">X19/X10</f>
        <v>0.0261728819444445</v>
      </c>
      <c r="Z19" s="77" t="n">
        <f aca="false">B19+D19+F19+H19+J19+L19+N19+P19+R19+T19+V19+X19</f>
        <v>10468.381</v>
      </c>
      <c r="AA19" s="78" t="n">
        <f aca="false">Z19/Z10</f>
        <v>0.0262760567269076</v>
      </c>
    </row>
    <row r="20" customFormat="false" ht="15" hidden="false" customHeight="true" outlineLevel="0" collapsed="false">
      <c r="A20" s="23" t="s">
        <v>150</v>
      </c>
      <c r="B20" s="43" t="n">
        <f aca="false">B17+B18+B19</f>
        <v>8170.1505</v>
      </c>
      <c r="C20" s="25" t="n">
        <f aca="false">B20/B10</f>
        <v>0.17021146875</v>
      </c>
      <c r="D20" s="43" t="n">
        <f aca="false">D17+D18+D19</f>
        <v>3903.4755</v>
      </c>
      <c r="E20" s="25" t="n">
        <f aca="false">D20/D10</f>
        <v>0.2710746875</v>
      </c>
      <c r="F20" s="43" t="n">
        <f aca="false">F17+F18+F19</f>
        <v>8170.1505</v>
      </c>
      <c r="G20" s="25" t="n">
        <f aca="false">F20/F10</f>
        <v>0.17021146875</v>
      </c>
      <c r="H20" s="43" t="n">
        <f aca="false">H17+H18+H19</f>
        <v>3903.4755</v>
      </c>
      <c r="I20" s="25" t="n">
        <f aca="false">H20/H10</f>
        <v>0.2710746875</v>
      </c>
      <c r="J20" s="43" t="n">
        <f aca="false">J17+J18+J19</f>
        <v>6951.1005</v>
      </c>
      <c r="K20" s="25" t="n">
        <f aca="false">J20/J10</f>
        <v>0.1810182421875</v>
      </c>
      <c r="L20" s="43" t="n">
        <f aca="false">L17+L18+L19</f>
        <v>6341.5755</v>
      </c>
      <c r="M20" s="25" t="n">
        <f aca="false">L20/L10</f>
        <v>0.188737366071429</v>
      </c>
      <c r="N20" s="43" t="n">
        <f aca="false">N17+N18+N19</f>
        <v>6341.5755</v>
      </c>
      <c r="O20" s="25" t="n">
        <f aca="false">N20/N10</f>
        <v>0.188737366071429</v>
      </c>
      <c r="P20" s="43" t="n">
        <f aca="false">P17+P18+P19</f>
        <v>6341.5755</v>
      </c>
      <c r="Q20" s="25" t="n">
        <f aca="false">P20/P10</f>
        <v>0.188737366071429</v>
      </c>
      <c r="R20" s="43" t="n">
        <f aca="false">R17+R18+R19</f>
        <v>6341.5755</v>
      </c>
      <c r="S20" s="25" t="n">
        <f aca="false">R20/R10</f>
        <v>0.188737366071429</v>
      </c>
      <c r="T20" s="43" t="n">
        <f aca="false">T17+T18+T19</f>
        <v>6341.5755</v>
      </c>
      <c r="U20" s="25" t="n">
        <f aca="false">T20/T10</f>
        <v>0.188737366071429</v>
      </c>
      <c r="V20" s="43" t="n">
        <f aca="false">V17+V18+V19</f>
        <v>6341.5755</v>
      </c>
      <c r="W20" s="25" t="n">
        <f aca="false">V20/V10</f>
        <v>0.188737366071429</v>
      </c>
      <c r="X20" s="43" t="n">
        <f aca="false">X17+X18+X19</f>
        <v>6341.5755</v>
      </c>
      <c r="Y20" s="25" t="n">
        <f aca="false">X20/X10</f>
        <v>0.188737366071429</v>
      </c>
      <c r="Z20" s="79" t="n">
        <f aca="false">B20+D20+F20+H20+J20+L20+N20+P20+R20+T20+V20+X20</f>
        <v>75489.381</v>
      </c>
      <c r="AA20" s="80" t="n">
        <f aca="false">Z20/Z10</f>
        <v>0.189481378012048</v>
      </c>
    </row>
    <row r="21" customFormat="false" ht="15" hidden="false" customHeight="true" outlineLevel="0" collapsed="false">
      <c r="A21" s="23" t="s">
        <v>151</v>
      </c>
      <c r="B21" s="43" t="n">
        <f aca="false">B14+B20</f>
        <v>28656.1505</v>
      </c>
      <c r="C21" s="25" t="n">
        <f aca="false">B21/B10</f>
        <v>0.597003135416667</v>
      </c>
      <c r="D21" s="43" t="n">
        <f aca="false">D14+D20</f>
        <v>10049.2755</v>
      </c>
      <c r="E21" s="25" t="n">
        <f aca="false">D21/D10</f>
        <v>0.697866354166667</v>
      </c>
      <c r="F21" s="43" t="n">
        <f aca="false">F14+F20</f>
        <v>28656.1505</v>
      </c>
      <c r="G21" s="25" t="n">
        <f aca="false">F21/F10</f>
        <v>0.597003135416667</v>
      </c>
      <c r="H21" s="43" t="n">
        <f aca="false">H14+H20</f>
        <v>10049.2755</v>
      </c>
      <c r="I21" s="25" t="n">
        <f aca="false">H21/H10</f>
        <v>0.697866354166667</v>
      </c>
      <c r="J21" s="43" t="n">
        <f aca="false">J14+J20</f>
        <v>23339.9005</v>
      </c>
      <c r="K21" s="25" t="n">
        <f aca="false">J21/J10</f>
        <v>0.607809908854167</v>
      </c>
      <c r="L21" s="43" t="n">
        <f aca="false">L14+L20</f>
        <v>20681.7755</v>
      </c>
      <c r="M21" s="25" t="n">
        <f aca="false">L21/L10</f>
        <v>0.615529032738095</v>
      </c>
      <c r="N21" s="43" t="n">
        <f aca="false">N14+N20</f>
        <v>20681.7755</v>
      </c>
      <c r="O21" s="25" t="n">
        <f aca="false">N21/N10</f>
        <v>0.615529032738095</v>
      </c>
      <c r="P21" s="43" t="n">
        <f aca="false">P14+P20</f>
        <v>20681.7755</v>
      </c>
      <c r="Q21" s="25" t="n">
        <f aca="false">P21/P10</f>
        <v>0.615529032738095</v>
      </c>
      <c r="R21" s="43" t="n">
        <f aca="false">R14+R20</f>
        <v>20681.7755</v>
      </c>
      <c r="S21" s="25" t="n">
        <f aca="false">R21/R10</f>
        <v>0.615529032738095</v>
      </c>
      <c r="T21" s="43" t="n">
        <f aca="false">T14+T20</f>
        <v>20681.7755</v>
      </c>
      <c r="U21" s="25" t="n">
        <f aca="false">T21/T10</f>
        <v>0.615529032738095</v>
      </c>
      <c r="V21" s="43" t="n">
        <f aca="false">V14+V20</f>
        <v>20681.7755</v>
      </c>
      <c r="W21" s="25" t="n">
        <f aca="false">V21/V10</f>
        <v>0.615529032738095</v>
      </c>
      <c r="X21" s="43" t="n">
        <f aca="false">X14+X20</f>
        <v>20681.7755</v>
      </c>
      <c r="Y21" s="25" t="n">
        <f aca="false">X21/X10</f>
        <v>0.615529032738095</v>
      </c>
      <c r="Z21" s="79" t="n">
        <f aca="false">B21+D21+F21+H21+J21+L21+N21+P21+R21+T21+V21+X21</f>
        <v>245523.181</v>
      </c>
      <c r="AA21" s="80" t="n">
        <f aca="false">Z21/Z10</f>
        <v>0.616273044678715</v>
      </c>
    </row>
    <row r="23" customFormat="false" ht="15" hidden="false" customHeight="true" outlineLevel="0" collapsed="false">
      <c r="A23" s="53" t="s">
        <v>152</v>
      </c>
      <c r="B23" s="54" t="n">
        <f aca="false">'Vessel Assumptions'!$C$25</f>
        <v>6737.33333333333</v>
      </c>
      <c r="C23" s="55" t="n">
        <f aca="false">B23/B10</f>
        <v>0.140361111111111</v>
      </c>
      <c r="D23" s="54" t="n">
        <f aca="false">'Vessel Assumptions'!$C$25</f>
        <v>6737.33333333333</v>
      </c>
      <c r="E23" s="55" t="n">
        <f aca="false">D23/D10</f>
        <v>0.46787037037037</v>
      </c>
      <c r="F23" s="54" t="n">
        <f aca="false">'Vessel Assumptions'!$C$25</f>
        <v>6737.33333333333</v>
      </c>
      <c r="G23" s="55" t="n">
        <f aca="false">F23/F10</f>
        <v>0.140361111111111</v>
      </c>
      <c r="H23" s="54" t="n">
        <f aca="false">'Vessel Assumptions'!$C$25</f>
        <v>6737.33333333333</v>
      </c>
      <c r="I23" s="55" t="n">
        <f aca="false">H23/H10</f>
        <v>0.46787037037037</v>
      </c>
      <c r="J23" s="54" t="n">
        <f aca="false">'Vessel Assumptions'!$C$25</f>
        <v>6737.33333333333</v>
      </c>
      <c r="K23" s="55" t="n">
        <f aca="false">J23/J10</f>
        <v>0.175451388888889</v>
      </c>
      <c r="L23" s="54" t="n">
        <f aca="false">'Vessel Assumptions'!$C$25</f>
        <v>6737.33333333333</v>
      </c>
      <c r="M23" s="55" t="n">
        <f aca="false">L23/L10</f>
        <v>0.200515873015873</v>
      </c>
      <c r="N23" s="54" t="n">
        <f aca="false">'Vessel Assumptions'!$C$25</f>
        <v>6737.33333333333</v>
      </c>
      <c r="O23" s="55" t="n">
        <f aca="false">N23/N10</f>
        <v>0.200515873015873</v>
      </c>
      <c r="P23" s="54" t="n">
        <f aca="false">'Vessel Assumptions'!$C$25</f>
        <v>6737.33333333333</v>
      </c>
      <c r="Q23" s="55" t="n">
        <f aca="false">P23/P10</f>
        <v>0.200515873015873</v>
      </c>
      <c r="R23" s="54" t="n">
        <f aca="false">'Vessel Assumptions'!$C$25</f>
        <v>6737.33333333333</v>
      </c>
      <c r="S23" s="55" t="n">
        <f aca="false">R23/R10</f>
        <v>0.200515873015873</v>
      </c>
      <c r="T23" s="54" t="n">
        <f aca="false">'Vessel Assumptions'!$C$25</f>
        <v>6737.33333333333</v>
      </c>
      <c r="U23" s="55" t="n">
        <f aca="false">T23/T10</f>
        <v>0.200515873015873</v>
      </c>
      <c r="V23" s="54" t="n">
        <f aca="false">'Vessel Assumptions'!$C$25</f>
        <v>6737.33333333333</v>
      </c>
      <c r="W23" s="55" t="n">
        <f aca="false">V23/V10</f>
        <v>0.200515873015873</v>
      </c>
      <c r="X23" s="54" t="n">
        <f aca="false">'Vessel Assumptions'!$C$25</f>
        <v>6737.33333333333</v>
      </c>
      <c r="Y23" s="55" t="n">
        <f aca="false">X23/X10</f>
        <v>0.200515873015873</v>
      </c>
      <c r="Z23" s="77" t="n">
        <f aca="false">B23+D23+F23+H23+J23+L23+N23+P23+R23+T23+V23+X23</f>
        <v>80848</v>
      </c>
      <c r="AA23" s="78" t="n">
        <f aca="false">Z23/Z10</f>
        <v>0.202931726907631</v>
      </c>
    </row>
    <row r="24" customFormat="false" ht="15" hidden="false" customHeight="true" outlineLevel="0" collapsed="false">
      <c r="A24" s="53" t="s">
        <v>153</v>
      </c>
      <c r="B24" s="54" t="n">
        <f aca="false">B10*'Vessel Assumptions'!$C$27</f>
        <v>1200</v>
      </c>
      <c r="C24" s="55" t="n">
        <f aca="false">B24/B10</f>
        <v>0.025</v>
      </c>
      <c r="D24" s="54" t="n">
        <f aca="false">D10*'Vessel Assumptions'!$C$27</f>
        <v>360</v>
      </c>
      <c r="E24" s="55" t="n">
        <f aca="false">D24/D10</f>
        <v>0.025</v>
      </c>
      <c r="F24" s="54" t="n">
        <f aca="false">F10*'Vessel Assumptions'!$C$27</f>
        <v>1200</v>
      </c>
      <c r="G24" s="55" t="n">
        <f aca="false">F24/F10</f>
        <v>0.025</v>
      </c>
      <c r="H24" s="54" t="n">
        <f aca="false">H10*'Vessel Assumptions'!$C$27</f>
        <v>360</v>
      </c>
      <c r="I24" s="55" t="n">
        <f aca="false">H24/H10</f>
        <v>0.025</v>
      </c>
      <c r="J24" s="54" t="n">
        <f aca="false">J10*'Vessel Assumptions'!$C$27</f>
        <v>960</v>
      </c>
      <c r="K24" s="55" t="n">
        <f aca="false">J24/J10</f>
        <v>0.025</v>
      </c>
      <c r="L24" s="54" t="n">
        <f aca="false">L10*'Vessel Assumptions'!$C$27</f>
        <v>840</v>
      </c>
      <c r="M24" s="55" t="n">
        <f aca="false">L24/L10</f>
        <v>0.025</v>
      </c>
      <c r="N24" s="54" t="n">
        <f aca="false">N10*'Vessel Assumptions'!$C$27</f>
        <v>840</v>
      </c>
      <c r="O24" s="55" t="n">
        <f aca="false">N24/N10</f>
        <v>0.025</v>
      </c>
      <c r="P24" s="54" t="n">
        <f aca="false">P10*'Vessel Assumptions'!$C$27</f>
        <v>840</v>
      </c>
      <c r="Q24" s="55" t="n">
        <f aca="false">P24/P10</f>
        <v>0.025</v>
      </c>
      <c r="R24" s="54" t="n">
        <f aca="false">R10*'Vessel Assumptions'!$C$27</f>
        <v>840</v>
      </c>
      <c r="S24" s="55" t="n">
        <f aca="false">R24/R10</f>
        <v>0.025</v>
      </c>
      <c r="T24" s="54" t="n">
        <f aca="false">T10*'Vessel Assumptions'!$C$27</f>
        <v>840</v>
      </c>
      <c r="U24" s="55" t="n">
        <f aca="false">T24/T10</f>
        <v>0.025</v>
      </c>
      <c r="V24" s="54" t="n">
        <f aca="false">V10*'Vessel Assumptions'!$C$27</f>
        <v>840</v>
      </c>
      <c r="W24" s="55" t="n">
        <f aca="false">V24/V10</f>
        <v>0.025</v>
      </c>
      <c r="X24" s="54" t="n">
        <f aca="false">X10*'Vessel Assumptions'!$C$27</f>
        <v>840</v>
      </c>
      <c r="Y24" s="55" t="n">
        <f aca="false">X24/X10</f>
        <v>0.025</v>
      </c>
      <c r="Z24" s="77" t="n">
        <f aca="false">B24+D24+F24+H24+J24+L24+N24+P24+R24+T24+V24+X24</f>
        <v>9960</v>
      </c>
      <c r="AA24" s="78" t="n">
        <f aca="false">Z24/Z10</f>
        <v>0.025</v>
      </c>
    </row>
    <row r="25" customFormat="false" ht="15" hidden="false" customHeight="true" outlineLevel="0" collapsed="false">
      <c r="A25" s="53" t="s">
        <v>154</v>
      </c>
      <c r="B25" s="54" t="n">
        <f aca="false">'Vessel Assumptions'!$C$26</f>
        <v>896.666666666667</v>
      </c>
      <c r="C25" s="55" t="n">
        <f aca="false">B25/B10</f>
        <v>0.0186805555555556</v>
      </c>
      <c r="D25" s="54" t="n">
        <f aca="false">'Vessel Assumptions'!$C$26</f>
        <v>896.666666666667</v>
      </c>
      <c r="E25" s="55" t="n">
        <f aca="false">D25/D10</f>
        <v>0.0622685185185185</v>
      </c>
      <c r="F25" s="54" t="n">
        <f aca="false">'Vessel Assumptions'!$C$26</f>
        <v>896.666666666667</v>
      </c>
      <c r="G25" s="55" t="n">
        <f aca="false">F25/F10</f>
        <v>0.0186805555555556</v>
      </c>
      <c r="H25" s="54" t="n">
        <f aca="false">'Vessel Assumptions'!$C$26</f>
        <v>896.666666666667</v>
      </c>
      <c r="I25" s="55" t="n">
        <f aca="false">H25/H10</f>
        <v>0.0622685185185185</v>
      </c>
      <c r="J25" s="54" t="n">
        <f aca="false">'Vessel Assumptions'!$C$26</f>
        <v>896.666666666667</v>
      </c>
      <c r="K25" s="55" t="n">
        <f aca="false">J25/J10</f>
        <v>0.0233506944444444</v>
      </c>
      <c r="L25" s="54" t="n">
        <f aca="false">'Vessel Assumptions'!$C$26</f>
        <v>896.666666666667</v>
      </c>
      <c r="M25" s="55" t="n">
        <f aca="false">L25/L10</f>
        <v>0.0266865079365079</v>
      </c>
      <c r="N25" s="54" t="n">
        <f aca="false">'Vessel Assumptions'!$C$26</f>
        <v>896.666666666667</v>
      </c>
      <c r="O25" s="55" t="n">
        <f aca="false">N25/N10</f>
        <v>0.0266865079365079</v>
      </c>
      <c r="P25" s="54" t="n">
        <f aca="false">'Vessel Assumptions'!$C$26</f>
        <v>896.666666666667</v>
      </c>
      <c r="Q25" s="55" t="n">
        <f aca="false">P25/P10</f>
        <v>0.0266865079365079</v>
      </c>
      <c r="R25" s="54" t="n">
        <f aca="false">'Vessel Assumptions'!$C$26</f>
        <v>896.666666666667</v>
      </c>
      <c r="S25" s="55" t="n">
        <f aca="false">R25/R10</f>
        <v>0.0266865079365079</v>
      </c>
      <c r="T25" s="54" t="n">
        <f aca="false">'Vessel Assumptions'!$C$26</f>
        <v>896.666666666667</v>
      </c>
      <c r="U25" s="55" t="n">
        <f aca="false">T25/T10</f>
        <v>0.0266865079365079</v>
      </c>
      <c r="V25" s="54" t="n">
        <f aca="false">'Vessel Assumptions'!$C$26</f>
        <v>896.666666666667</v>
      </c>
      <c r="W25" s="55" t="n">
        <f aca="false">V25/V10</f>
        <v>0.0266865079365079</v>
      </c>
      <c r="X25" s="54" t="n">
        <f aca="false">'Vessel Assumptions'!$C$26</f>
        <v>896.666666666667</v>
      </c>
      <c r="Y25" s="55" t="n">
        <f aca="false">X25/X10</f>
        <v>0.0266865079365079</v>
      </c>
      <c r="Z25" s="77" t="n">
        <f aca="false">B25+D25+F25+H25+J25+L25+N25+P25+R25+T25+V25+X25</f>
        <v>10760</v>
      </c>
      <c r="AA25" s="78" t="n">
        <f aca="false">Z25/Z10</f>
        <v>0.0270080321285141</v>
      </c>
    </row>
    <row r="26" customFormat="false" ht="15" hidden="false" customHeight="true" outlineLevel="0" collapsed="false">
      <c r="A26" s="23" t="s">
        <v>155</v>
      </c>
      <c r="B26" s="43" t="n">
        <f aca="false">B10*'Vessel Assumptions'!$C$30</f>
        <v>1920</v>
      </c>
      <c r="C26" s="25" t="n">
        <f aca="false">B26/B10</f>
        <v>0.04</v>
      </c>
      <c r="D26" s="43" t="n">
        <f aca="false">D10*'Vessel Assumptions'!$C$30</f>
        <v>576</v>
      </c>
      <c r="E26" s="25" t="n">
        <f aca="false">D26/D10</f>
        <v>0.04</v>
      </c>
      <c r="F26" s="43" t="n">
        <f aca="false">F10*'Vessel Assumptions'!$C$30</f>
        <v>1920</v>
      </c>
      <c r="G26" s="25" t="n">
        <f aca="false">F26/F10</f>
        <v>0.04</v>
      </c>
      <c r="H26" s="43" t="n">
        <f aca="false">H10*'Vessel Assumptions'!$C$30</f>
        <v>576</v>
      </c>
      <c r="I26" s="25" t="n">
        <f aca="false">H26/H10</f>
        <v>0.04</v>
      </c>
      <c r="J26" s="43" t="n">
        <f aca="false">J10*'Vessel Assumptions'!$C$30</f>
        <v>1536</v>
      </c>
      <c r="K26" s="25" t="n">
        <f aca="false">J26/J10</f>
        <v>0.04</v>
      </c>
      <c r="L26" s="43" t="n">
        <f aca="false">L10*'Vessel Assumptions'!$C$30</f>
        <v>1344</v>
      </c>
      <c r="M26" s="25" t="n">
        <f aca="false">L26/L10</f>
        <v>0.04</v>
      </c>
      <c r="N26" s="43" t="n">
        <f aca="false">N10*'Vessel Assumptions'!$C$30</f>
        <v>1344</v>
      </c>
      <c r="O26" s="25" t="n">
        <f aca="false">N26/N10</f>
        <v>0.04</v>
      </c>
      <c r="P26" s="43" t="n">
        <f aca="false">P10*'Vessel Assumptions'!$C$30</f>
        <v>1344</v>
      </c>
      <c r="Q26" s="25" t="n">
        <f aca="false">P26/P10</f>
        <v>0.04</v>
      </c>
      <c r="R26" s="43" t="n">
        <f aca="false">R10*'Vessel Assumptions'!$C$30</f>
        <v>1344</v>
      </c>
      <c r="S26" s="25" t="n">
        <f aca="false">R26/R10</f>
        <v>0.04</v>
      </c>
      <c r="T26" s="43" t="n">
        <f aca="false">T10*'Vessel Assumptions'!$C$30</f>
        <v>1344</v>
      </c>
      <c r="U26" s="25" t="n">
        <f aca="false">T26/T10</f>
        <v>0.04</v>
      </c>
      <c r="V26" s="43" t="n">
        <f aca="false">V10*'Vessel Assumptions'!$C$30</f>
        <v>1344</v>
      </c>
      <c r="W26" s="25" t="n">
        <f aca="false">V26/V10</f>
        <v>0.04</v>
      </c>
      <c r="X26" s="43" t="n">
        <f aca="false">X10*'Vessel Assumptions'!$C$30</f>
        <v>1344</v>
      </c>
      <c r="Y26" s="25" t="n">
        <f aca="false">X26/X10</f>
        <v>0.04</v>
      </c>
      <c r="Z26" s="79" t="n">
        <f aca="false">B26+D26+F26+H26+J26+L26+N26+P26+R26+T26+V26+X26</f>
        <v>15936</v>
      </c>
      <c r="AA26" s="80" t="n">
        <f aca="false">Z26/Z10</f>
        <v>0.04</v>
      </c>
    </row>
    <row r="27" customFormat="false" ht="15" hidden="false" customHeight="true" outlineLevel="0" collapsed="false">
      <c r="A27" s="1" t="s">
        <v>156</v>
      </c>
      <c r="B27" s="81" t="n">
        <f aca="false">(B7+B8)*'Vessel Assumptions'!$C$32</f>
        <v>2000</v>
      </c>
      <c r="D27" s="81" t="n">
        <f aca="false">(D7+D8)*'Vessel Assumptions'!$C$32</f>
        <v>600</v>
      </c>
      <c r="F27" s="81" t="n">
        <f aca="false">(F7+F8)*'Vessel Assumptions'!$C$32</f>
        <v>2000</v>
      </c>
      <c r="H27" s="81" t="n">
        <f aca="false">(H7+H8)*'Vessel Assumptions'!$C$32</f>
        <v>600</v>
      </c>
      <c r="J27" s="81" t="n">
        <f aca="false">(J7+J8)*'Vessel Assumptions'!$C$32</f>
        <v>1600</v>
      </c>
      <c r="L27" s="81" t="n">
        <f aca="false">(L7+L8)*'Vessel Assumptions'!$C$32</f>
        <v>1400</v>
      </c>
      <c r="N27" s="81" t="n">
        <f aca="false">(N7+N8)*'Vessel Assumptions'!$C$32</f>
        <v>1400</v>
      </c>
      <c r="P27" s="81" t="n">
        <f aca="false">(P7+P8)*'Vessel Assumptions'!$C$32</f>
        <v>1400</v>
      </c>
      <c r="R27" s="81" t="n">
        <f aca="false">(R7+R8)*'Vessel Assumptions'!$C$32</f>
        <v>1400</v>
      </c>
      <c r="T27" s="81" t="n">
        <f aca="false">(T7+T8)*'Vessel Assumptions'!$C$32</f>
        <v>1400</v>
      </c>
      <c r="V27" s="81" t="n">
        <f aca="false">(V7+V8)*'Vessel Assumptions'!$C$32</f>
        <v>1400</v>
      </c>
      <c r="X27" s="81" t="n">
        <f aca="false">(X7+X8)*'Vessel Assumptions'!$C$32</f>
        <v>1400</v>
      </c>
      <c r="Z27" s="81" t="n">
        <f aca="false">B27+D27+F27+H27+J27+L27+N27+P27+R27+T27+V27+X27</f>
        <v>16600</v>
      </c>
    </row>
    <row r="28" customFormat="false" ht="15" hidden="false" customHeight="true" outlineLevel="0" collapsed="false">
      <c r="A28" s="82" t="s">
        <v>157</v>
      </c>
      <c r="B28" s="44" t="n">
        <f aca="false">B10*'Vessel Assumptions'!$C$31</f>
        <v>0</v>
      </c>
      <c r="C28" s="31" t="n">
        <f aca="false">B28/B10</f>
        <v>0</v>
      </c>
      <c r="D28" s="44" t="n">
        <f aca="false">D10*'Vessel Assumptions'!$C$31</f>
        <v>0</v>
      </c>
      <c r="E28" s="31" t="n">
        <f aca="false">D28/D10</f>
        <v>0</v>
      </c>
      <c r="F28" s="44" t="n">
        <f aca="false">F10*'Vessel Assumptions'!$C$31</f>
        <v>0</v>
      </c>
      <c r="G28" s="31" t="n">
        <f aca="false">F28/F10</f>
        <v>0</v>
      </c>
      <c r="H28" s="44" t="n">
        <f aca="false">H10*'Vessel Assumptions'!$C$31</f>
        <v>0</v>
      </c>
      <c r="I28" s="31" t="n">
        <f aca="false">H28/H10</f>
        <v>0</v>
      </c>
      <c r="J28" s="44" t="n">
        <f aca="false">J10*'Vessel Assumptions'!$C$31</f>
        <v>0</v>
      </c>
      <c r="K28" s="31" t="n">
        <f aca="false">J28/J10</f>
        <v>0</v>
      </c>
      <c r="L28" s="44" t="n">
        <f aca="false">L10*'Vessel Assumptions'!$C$31</f>
        <v>0</v>
      </c>
      <c r="M28" s="31" t="n">
        <f aca="false">L28/L10</f>
        <v>0</v>
      </c>
      <c r="N28" s="44" t="n">
        <f aca="false">N10*'Vessel Assumptions'!$C$31</f>
        <v>0</v>
      </c>
      <c r="O28" s="31" t="n">
        <f aca="false">N28/N10</f>
        <v>0</v>
      </c>
      <c r="P28" s="44" t="n">
        <f aca="false">P10*'Vessel Assumptions'!$C$31</f>
        <v>0</v>
      </c>
      <c r="Q28" s="31" t="n">
        <f aca="false">P28/P10</f>
        <v>0</v>
      </c>
      <c r="R28" s="44" t="n">
        <f aca="false">R10*'Vessel Assumptions'!$C$31</f>
        <v>0</v>
      </c>
      <c r="S28" s="31" t="n">
        <f aca="false">R28/R10</f>
        <v>0</v>
      </c>
      <c r="T28" s="44" t="n">
        <f aca="false">T10*'Vessel Assumptions'!$C$31</f>
        <v>0</v>
      </c>
      <c r="U28" s="31" t="n">
        <f aca="false">T28/T10</f>
        <v>0</v>
      </c>
      <c r="V28" s="44" t="n">
        <f aca="false">V10*'Vessel Assumptions'!$C$31</f>
        <v>0</v>
      </c>
      <c r="W28" s="31" t="n">
        <f aca="false">V28/V10</f>
        <v>0</v>
      </c>
      <c r="X28" s="44" t="n">
        <f aca="false">X10*'Vessel Assumptions'!$C$31</f>
        <v>0</v>
      </c>
      <c r="Y28" s="31" t="n">
        <f aca="false">X28/X10</f>
        <v>0</v>
      </c>
      <c r="Z28" s="83" t="n">
        <f aca="false">B28+D28+F28+H28+J28+L28+N28+P28+R28+T28+V28+X28</f>
        <v>0</v>
      </c>
      <c r="AA28" s="84" t="n">
        <f aca="false">Z28/Z10</f>
        <v>0</v>
      </c>
    </row>
    <row r="29" customFormat="false" ht="15" hidden="false" customHeight="true" outlineLevel="0" collapsed="false">
      <c r="A29" s="1" t="s">
        <v>60</v>
      </c>
      <c r="B29" s="81" t="n">
        <f aca="false">B15-B20-(B23+B24+B25+B26+B27+B28)</f>
        <v>6589.8495</v>
      </c>
      <c r="D29" s="81" t="n">
        <f aca="false">D15-D20-(D23+D24+D25+D26+D27+D28)</f>
        <v>-4819.2755</v>
      </c>
      <c r="F29" s="81" t="n">
        <f aca="false">F15-F20-(F23+F24+F25+F26+F27+F28)</f>
        <v>6589.8495</v>
      </c>
      <c r="H29" s="81" t="n">
        <f aca="false">H15-H20-(H23+H24+H25+H26+H27+H28)</f>
        <v>-4819.2755</v>
      </c>
      <c r="J29" s="81" t="n">
        <f aca="false">J15-J20-(J23+J24+J25+J26+J27+J28)</f>
        <v>3330.0995</v>
      </c>
      <c r="L29" s="81" t="n">
        <f aca="false">L15-L20-(L23+L24+L25+L26+L27+L28)</f>
        <v>1700.2245</v>
      </c>
      <c r="N29" s="81" t="n">
        <f aca="false">N15-N20-(N23+N24+N25+N26+N27+N28)</f>
        <v>1700.2245</v>
      </c>
      <c r="P29" s="81" t="n">
        <f aca="false">P15-P20-(P23+P24+P25+P26+P27+P28)</f>
        <v>1700.2245</v>
      </c>
      <c r="R29" s="81" t="n">
        <f aca="false">R15-R20-(R23+R24+R25+R26+R27+R28)</f>
        <v>1700.2245</v>
      </c>
      <c r="T29" s="81" t="n">
        <f aca="false">T15-T20-(T23+T24+T25+T26+T27+T28)</f>
        <v>1700.2245</v>
      </c>
      <c r="V29" s="81" t="n">
        <f aca="false">V15-V20-(V23+V24+V25+V26+V27+V28)</f>
        <v>1700.2245</v>
      </c>
      <c r="X29" s="81" t="n">
        <f aca="false">X15-X20-(X23+X24+X25+X26+X27+X28)</f>
        <v>1700.2245</v>
      </c>
      <c r="Z29" s="81" t="n">
        <f aca="false">Z15-Z20-(Z23+Z24+Z25+Z26+Z27+Z28)</f>
        <v>18772.819</v>
      </c>
    </row>
    <row r="30" customFormat="false" ht="15" hidden="false" customHeight="true" outlineLevel="0" collapsed="false">
      <c r="A30" s="23"/>
      <c r="B30" s="57"/>
      <c r="C30" s="85" t="n">
        <f aca="false">B30/B10</f>
        <v>0</v>
      </c>
      <c r="D30" s="57"/>
      <c r="E30" s="85" t="n">
        <f aca="false">D30/D10</f>
        <v>0</v>
      </c>
      <c r="F30" s="57"/>
      <c r="G30" s="85" t="n">
        <f aca="false">F30/F10</f>
        <v>0</v>
      </c>
      <c r="H30" s="57"/>
      <c r="I30" s="85" t="n">
        <f aca="false">H30/H10</f>
        <v>0</v>
      </c>
      <c r="J30" s="57"/>
      <c r="K30" s="85" t="n">
        <f aca="false">J30/J10</f>
        <v>0</v>
      </c>
      <c r="L30" s="57"/>
      <c r="M30" s="85" t="n">
        <f aca="false">L30/L10</f>
        <v>0</v>
      </c>
      <c r="N30" s="57"/>
      <c r="O30" s="85" t="n">
        <f aca="false">N30/N10</f>
        <v>0</v>
      </c>
      <c r="P30" s="57"/>
      <c r="Q30" s="85" t="n">
        <f aca="false">P30/P10</f>
        <v>0</v>
      </c>
      <c r="R30" s="57"/>
      <c r="S30" s="85" t="n">
        <f aca="false">R30/R10</f>
        <v>0</v>
      </c>
      <c r="T30" s="57"/>
      <c r="U30" s="85" t="n">
        <f aca="false">T30/T10</f>
        <v>0</v>
      </c>
      <c r="V30" s="57"/>
      <c r="W30" s="85" t="n">
        <f aca="false">V30/V10</f>
        <v>0</v>
      </c>
      <c r="X30" s="57"/>
      <c r="Y30" s="85" t="n">
        <f aca="false">X30/X10</f>
        <v>0</v>
      </c>
      <c r="Z30" s="86"/>
      <c r="AA30" s="87" t="n">
        <f aca="false">Z30/Z10</f>
        <v>0</v>
      </c>
    </row>
    <row r="31" customFormat="false" ht="15" hidden="false" customHeight="true" outlineLevel="0" collapsed="false">
      <c r="A31" s="23"/>
      <c r="B31" s="57"/>
      <c r="C31" s="85" t="n">
        <f aca="false">B31/B10</f>
        <v>0</v>
      </c>
      <c r="D31" s="57"/>
      <c r="E31" s="85" t="n">
        <f aca="false">D31/D10</f>
        <v>0</v>
      </c>
      <c r="F31" s="57"/>
      <c r="G31" s="85" t="n">
        <f aca="false">F31/F10</f>
        <v>0</v>
      </c>
      <c r="H31" s="57"/>
      <c r="I31" s="85" t="n">
        <f aca="false">H31/H10</f>
        <v>0</v>
      </c>
      <c r="J31" s="57"/>
      <c r="K31" s="85" t="n">
        <f aca="false">J31/J10</f>
        <v>0</v>
      </c>
      <c r="L31" s="57"/>
      <c r="M31" s="85" t="n">
        <f aca="false">L31/L10</f>
        <v>0</v>
      </c>
      <c r="N31" s="57"/>
      <c r="O31" s="85" t="n">
        <f aca="false">N31/N10</f>
        <v>0</v>
      </c>
      <c r="P31" s="57"/>
      <c r="Q31" s="85" t="n">
        <f aca="false">P31/P10</f>
        <v>0</v>
      </c>
      <c r="R31" s="57"/>
      <c r="S31" s="85" t="n">
        <f aca="false">R31/R10</f>
        <v>0</v>
      </c>
      <c r="T31" s="57"/>
      <c r="U31" s="85" t="n">
        <f aca="false">T31/T10</f>
        <v>0</v>
      </c>
      <c r="V31" s="57"/>
      <c r="W31" s="85" t="n">
        <f aca="false">V31/V10</f>
        <v>0</v>
      </c>
      <c r="X31" s="57"/>
      <c r="Y31" s="85" t="n">
        <f aca="false">X31/X10</f>
        <v>0</v>
      </c>
      <c r="Z31" s="86"/>
      <c r="AA31" s="87" t="n">
        <f aca="false">Z31/Z10</f>
        <v>0</v>
      </c>
    </row>
    <row r="33" customFormat="false" ht="15" hidden="false" customHeight="true" outlineLevel="0" collapsed="false">
      <c r="A33" s="66" t="s">
        <v>158</v>
      </c>
    </row>
  </sheetData>
  <mergeCells count="15">
    <mergeCell ref="A1:AA1"/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6" t="s">
        <v>159</v>
      </c>
      <c r="B1" s="46"/>
      <c r="C1" s="46"/>
      <c r="D1" s="46"/>
    </row>
    <row r="2" customFormat="false" ht="15" hidden="false" customHeight="true" outlineLevel="0" collapsed="false">
      <c r="A2" s="47" t="s">
        <v>160</v>
      </c>
      <c r="B2" s="47"/>
      <c r="C2" s="47"/>
      <c r="D2" s="47"/>
    </row>
    <row r="4" customFormat="false" ht="15" hidden="false" customHeight="true" outlineLevel="0" collapsed="false">
      <c r="B4" s="17" t="s">
        <v>161</v>
      </c>
      <c r="C4" s="49" t="s">
        <v>162</v>
      </c>
      <c r="D4" s="49" t="s">
        <v>163</v>
      </c>
    </row>
    <row r="6" customFormat="false" ht="15" hidden="false" customHeight="true" outlineLevel="0" collapsed="false">
      <c r="B6" s="48" t="s">
        <v>164</v>
      </c>
    </row>
    <row r="8" customFormat="false" ht="15" hidden="false" customHeight="true" outlineLevel="0" collapsed="false">
      <c r="B8" s="53" t="s">
        <v>165</v>
      </c>
      <c r="C8" s="54" t="n">
        <f aca="false">'Vessel 2026 P&amp;L'!$AB$28</f>
        <v>21446</v>
      </c>
      <c r="D8" s="54" t="n">
        <f aca="false">C8/12</f>
        <v>1787.16666666667</v>
      </c>
    </row>
    <row r="10" customFormat="false" ht="15" hidden="false" customHeight="true" outlineLevel="0" collapsed="false">
      <c r="B10" s="48" t="s">
        <v>166</v>
      </c>
    </row>
    <row r="11" customFormat="false" ht="15" hidden="false" customHeight="true" outlineLevel="0" collapsed="false">
      <c r="B11" s="53" t="s">
        <v>167</v>
      </c>
      <c r="C11" s="54" t="n">
        <v>18543</v>
      </c>
      <c r="D11" s="54" t="n">
        <f aca="false">C11/12</f>
        <v>1545.25</v>
      </c>
    </row>
    <row r="12" customFormat="false" ht="15" hidden="false" customHeight="true" outlineLevel="0" collapsed="false">
      <c r="B12" s="53" t="s">
        <v>168</v>
      </c>
      <c r="C12" s="54" t="n">
        <v>30300</v>
      </c>
      <c r="D12" s="54" t="n">
        <f aca="false">C12/12</f>
        <v>2525</v>
      </c>
    </row>
    <row r="13" customFormat="false" ht="15" hidden="false" customHeight="true" outlineLevel="0" collapsed="false">
      <c r="B13" s="53" t="s">
        <v>169</v>
      </c>
      <c r="C13" s="54" t="n">
        <v>13917</v>
      </c>
      <c r="D13" s="54" t="n">
        <f aca="false">C13/12</f>
        <v>1159.75</v>
      </c>
    </row>
    <row r="14" customFormat="false" ht="15" hidden="false" customHeight="true" outlineLevel="0" collapsed="false">
      <c r="B14" s="53" t="s">
        <v>170</v>
      </c>
      <c r="C14" s="54" t="n">
        <v>6750</v>
      </c>
      <c r="D14" s="54" t="n">
        <f aca="false">C14/12</f>
        <v>562.5</v>
      </c>
    </row>
    <row r="15" customFormat="false" ht="15" hidden="false" customHeight="true" outlineLevel="0" collapsed="false">
      <c r="B15" s="53" t="s">
        <v>171</v>
      </c>
      <c r="C15" s="54" t="n">
        <v>5748</v>
      </c>
      <c r="D15" s="54" t="n">
        <f aca="false">C15/12</f>
        <v>479</v>
      </c>
    </row>
    <row r="16" customFormat="false" ht="15" hidden="false" customHeight="true" outlineLevel="0" collapsed="false">
      <c r="B16" s="53" t="s">
        <v>172</v>
      </c>
      <c r="C16" s="54" t="n">
        <v>5602</v>
      </c>
      <c r="D16" s="54" t="n">
        <f aca="false">C16/12</f>
        <v>466.833333333333</v>
      </c>
    </row>
    <row r="17" customFormat="false" ht="15" hidden="false" customHeight="true" outlineLevel="0" collapsed="false">
      <c r="B17" s="50" t="s">
        <v>173</v>
      </c>
      <c r="C17" s="43" t="n">
        <f aca="false">SUM(C11:C16)</f>
        <v>80860</v>
      </c>
      <c r="D17" s="43" t="n">
        <f aca="false">C17/12</f>
        <v>6738.33333333333</v>
      </c>
    </row>
    <row r="18" customFormat="false" ht="15" hidden="false" customHeight="true" outlineLevel="0" collapsed="false">
      <c r="B18" s="66" t="s">
        <v>174</v>
      </c>
      <c r="C18" s="81" t="n">
        <f aca="false">'Vessel 2026 P&amp;L'!$AB$44</f>
        <v>80848</v>
      </c>
      <c r="D18" s="41" t="n">
        <f aca="false">C18/12</f>
        <v>6737.33333333333</v>
      </c>
    </row>
    <row r="20" customFormat="false" ht="15" hidden="false" customHeight="true" outlineLevel="0" collapsed="false">
      <c r="B20" s="48" t="s">
        <v>175</v>
      </c>
    </row>
    <row r="21" customFormat="false" ht="15" hidden="false" customHeight="true" outlineLevel="0" collapsed="false">
      <c r="B21" s="53" t="s">
        <v>176</v>
      </c>
      <c r="C21" s="54" t="n">
        <v>2106</v>
      </c>
      <c r="D21" s="54" t="n">
        <f aca="false">C21/12</f>
        <v>175.5</v>
      </c>
    </row>
    <row r="22" customFormat="false" ht="15" hidden="false" customHeight="true" outlineLevel="0" collapsed="false">
      <c r="B22" s="53" t="s">
        <v>177</v>
      </c>
      <c r="C22" s="54" t="n">
        <v>1800</v>
      </c>
      <c r="D22" s="54" t="n">
        <f aca="false">C22/12</f>
        <v>150</v>
      </c>
    </row>
    <row r="23" customFormat="false" ht="15" hidden="false" customHeight="true" outlineLevel="0" collapsed="false">
      <c r="B23" s="53" t="s">
        <v>178</v>
      </c>
      <c r="C23" s="54" t="n">
        <v>4855</v>
      </c>
      <c r="D23" s="54" t="n">
        <f aca="false">C23/12</f>
        <v>404.583333333333</v>
      </c>
    </row>
    <row r="24" customFormat="false" ht="15" hidden="false" customHeight="true" outlineLevel="0" collapsed="false">
      <c r="B24" s="50" t="s">
        <v>179</v>
      </c>
      <c r="C24" s="43" t="n">
        <f aca="false">'Vessel 2026 P&amp;L'!$AB$47+'Vessel 2026 P&amp;L'!$AB$49+'Vessel 2026 P&amp;L'!$AB$51+'Vessel 2026 P&amp;L'!$AB$52</f>
        <v>10760</v>
      </c>
      <c r="D24" s="43" t="n">
        <f aca="false">C24/12</f>
        <v>896.666666666667</v>
      </c>
    </row>
    <row r="26" customFormat="false" ht="15" hidden="false" customHeight="true" outlineLevel="0" collapsed="false">
      <c r="B26" s="48" t="s">
        <v>180</v>
      </c>
    </row>
    <row r="27" customFormat="false" ht="15" hidden="false" customHeight="true" outlineLevel="0" collapsed="false">
      <c r="B27" s="53" t="s">
        <v>181</v>
      </c>
      <c r="C27" s="54" t="n">
        <v>2745</v>
      </c>
      <c r="D27" s="54" t="n">
        <f aca="false">C27/12</f>
        <v>228.75</v>
      </c>
    </row>
    <row r="28" customFormat="false" ht="15" hidden="false" customHeight="true" outlineLevel="0" collapsed="false">
      <c r="B28" s="53" t="s">
        <v>182</v>
      </c>
      <c r="C28" s="54" t="n">
        <v>48000</v>
      </c>
      <c r="D28" s="54" t="n">
        <f aca="false">C28/12</f>
        <v>4000</v>
      </c>
    </row>
    <row r="29" customFormat="false" ht="15" hidden="false" customHeight="true" outlineLevel="0" collapsed="false">
      <c r="B29" s="53" t="s">
        <v>183</v>
      </c>
      <c r="C29" s="54" t="n">
        <f aca="false">'Vessel 2026 P&amp;L'!$AB$48</f>
        <v>21342</v>
      </c>
      <c r="D29" s="54" t="n">
        <f aca="false">C29/12</f>
        <v>1778.5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3" min="3" style="0" width="10"/>
    <col collapsed="false" customWidth="true" hidden="false" outlineLevel="0" max="4" min="4" style="0" width="6.5"/>
    <col collapsed="false" customWidth="true" hidden="false" outlineLevel="0" max="5" min="5" style="0" width="10"/>
    <col collapsed="false" customWidth="true" hidden="false" outlineLevel="0" max="6" min="6" style="0" width="6.5"/>
    <col collapsed="false" customWidth="true" hidden="false" outlineLevel="0" max="7" min="7" style="0" width="10"/>
    <col collapsed="false" customWidth="true" hidden="false" outlineLevel="0" max="8" min="8" style="0" width="6.5"/>
    <col collapsed="false" customWidth="true" hidden="false" outlineLevel="0" max="9" min="9" style="0" width="10"/>
    <col collapsed="false" customWidth="true" hidden="false" outlineLevel="0" max="10" min="10" style="0" width="6.5"/>
    <col collapsed="false" customWidth="true" hidden="false" outlineLevel="0" max="11" min="11" style="0" width="10"/>
    <col collapsed="false" customWidth="true" hidden="false" outlineLevel="0" max="12" min="12" style="0" width="6.5"/>
    <col collapsed="false" customWidth="true" hidden="false" outlineLevel="0" max="13" min="13" style="0" width="10"/>
    <col collapsed="false" customWidth="true" hidden="false" outlineLevel="0" max="14" min="14" style="0" width="6.5"/>
    <col collapsed="false" customWidth="true" hidden="false" outlineLevel="0" max="15" min="15" style="0" width="10"/>
    <col collapsed="false" customWidth="true" hidden="false" outlineLevel="0" max="16" min="16" style="0" width="6.5"/>
    <col collapsed="false" customWidth="true" hidden="false" outlineLevel="0" max="17" min="17" style="0" width="10"/>
    <col collapsed="false" customWidth="true" hidden="false" outlineLevel="0" max="18" min="18" style="0" width="6.5"/>
    <col collapsed="false" customWidth="true" hidden="false" outlineLevel="0" max="19" min="19" style="0" width="10"/>
    <col collapsed="false" customWidth="true" hidden="false" outlineLevel="0" max="20" min="20" style="0" width="6.5"/>
    <col collapsed="false" customWidth="true" hidden="false" outlineLevel="0" max="21" min="21" style="0" width="10"/>
    <col collapsed="false" customWidth="true" hidden="false" outlineLevel="0" max="22" min="22" style="0" width="6.5"/>
    <col collapsed="false" customWidth="true" hidden="false" outlineLevel="0" max="23" min="23" style="0" width="10"/>
    <col collapsed="false" customWidth="true" hidden="false" outlineLevel="0" max="24" min="24" style="0" width="6.5"/>
    <col collapsed="false" customWidth="true" hidden="false" outlineLevel="0" max="25" min="25" style="0" width="10"/>
    <col collapsed="false" customWidth="true" hidden="false" outlineLevel="0" max="26" min="26" style="0" width="6.5"/>
    <col collapsed="false" customWidth="true" hidden="false" outlineLevel="0" max="27" min="27" style="0" width="2"/>
    <col collapsed="false" customWidth="true" hidden="false" outlineLevel="0" max="28" min="28" style="0" width="11"/>
    <col collapsed="false" customWidth="true" hidden="false" outlineLevel="0" max="29" min="29" style="0" width="6.5"/>
  </cols>
  <sheetData>
    <row r="1" customFormat="false" ht="15" hidden="false" customHeight="false" outlineLevel="0" collapsed="false">
      <c r="A1" s="88" t="s">
        <v>48</v>
      </c>
    </row>
    <row r="2" customFormat="false" ht="15" hidden="false" customHeight="false" outlineLevel="0" collapsed="false">
      <c r="A2" s="88" t="s">
        <v>184</v>
      </c>
    </row>
    <row r="3" customFormat="false" ht="15" hidden="false" customHeight="false" outlineLevel="0" collapsed="false">
      <c r="A3" s="88" t="s">
        <v>185</v>
      </c>
    </row>
    <row r="5" customFormat="false" ht="15" hidden="false" customHeight="false" outlineLevel="0" collapsed="false">
      <c r="C5" s="89" t="s">
        <v>186</v>
      </c>
      <c r="D5" s="89"/>
      <c r="E5" s="89" t="s">
        <v>187</v>
      </c>
      <c r="F5" s="89"/>
      <c r="G5" s="89" t="s">
        <v>188</v>
      </c>
      <c r="H5" s="89"/>
      <c r="I5" s="89" t="s">
        <v>189</v>
      </c>
      <c r="J5" s="89"/>
      <c r="K5" s="89" t="s">
        <v>68</v>
      </c>
      <c r="L5" s="89"/>
      <c r="M5" s="89" t="s">
        <v>190</v>
      </c>
      <c r="N5" s="89"/>
      <c r="O5" s="89" t="s">
        <v>191</v>
      </c>
      <c r="P5" s="89"/>
      <c r="Q5" s="89" t="s">
        <v>192</v>
      </c>
      <c r="R5" s="89"/>
      <c r="S5" s="89" t="s">
        <v>193</v>
      </c>
      <c r="T5" s="89"/>
      <c r="U5" s="89" t="s">
        <v>194</v>
      </c>
      <c r="V5" s="89"/>
      <c r="W5" s="89" t="s">
        <v>195</v>
      </c>
      <c r="X5" s="89"/>
      <c r="Y5" s="89" t="s">
        <v>196</v>
      </c>
      <c r="Z5" s="89"/>
      <c r="AB5" s="89" t="s">
        <v>185</v>
      </c>
      <c r="AC5" s="89"/>
    </row>
    <row r="6" customFormat="false" ht="15" hidden="false" customHeight="false" outlineLevel="0" collapsed="false">
      <c r="C6" s="90" t="s">
        <v>197</v>
      </c>
      <c r="D6" s="90"/>
      <c r="E6" s="90" t="s">
        <v>197</v>
      </c>
      <c r="F6" s="90"/>
      <c r="G6" s="90" t="s">
        <v>197</v>
      </c>
      <c r="H6" s="90"/>
      <c r="I6" s="90" t="s">
        <v>197</v>
      </c>
      <c r="J6" s="90"/>
      <c r="K6" s="90" t="s">
        <v>197</v>
      </c>
      <c r="L6" s="90"/>
      <c r="M6" s="90" t="s">
        <v>197</v>
      </c>
      <c r="N6" s="90"/>
      <c r="O6" s="90" t="s">
        <v>198</v>
      </c>
      <c r="P6" s="90"/>
      <c r="Q6" s="90" t="s">
        <v>198</v>
      </c>
      <c r="R6" s="90"/>
      <c r="S6" s="90" t="s">
        <v>198</v>
      </c>
      <c r="T6" s="90"/>
      <c r="U6" s="90" t="s">
        <v>198</v>
      </c>
      <c r="V6" s="90"/>
      <c r="W6" s="90" t="s">
        <v>198</v>
      </c>
      <c r="X6" s="90"/>
      <c r="Y6" s="90" t="s">
        <v>198</v>
      </c>
      <c r="Z6" s="90"/>
      <c r="AB6" s="90" t="s">
        <v>199</v>
      </c>
      <c r="AC6" s="90"/>
    </row>
    <row r="7" customFormat="false" ht="15" hidden="false" customHeight="false" outlineLevel="0" collapsed="false">
      <c r="C7" s="91" t="s">
        <v>200</v>
      </c>
      <c r="D7" s="91" t="s">
        <v>201</v>
      </c>
      <c r="E7" s="91" t="s">
        <v>200</v>
      </c>
      <c r="F7" s="91" t="s">
        <v>201</v>
      </c>
      <c r="G7" s="91" t="s">
        <v>200</v>
      </c>
      <c r="H7" s="91" t="s">
        <v>201</v>
      </c>
      <c r="I7" s="91" t="s">
        <v>200</v>
      </c>
      <c r="J7" s="91" t="s">
        <v>201</v>
      </c>
      <c r="K7" s="91" t="s">
        <v>200</v>
      </c>
      <c r="L7" s="91" t="s">
        <v>201</v>
      </c>
      <c r="M7" s="91" t="s">
        <v>200</v>
      </c>
      <c r="N7" s="91" t="s">
        <v>201</v>
      </c>
      <c r="O7" s="91" t="s">
        <v>200</v>
      </c>
      <c r="P7" s="91" t="s">
        <v>201</v>
      </c>
      <c r="Q7" s="91" t="s">
        <v>200</v>
      </c>
      <c r="R7" s="91" t="s">
        <v>201</v>
      </c>
      <c r="S7" s="91" t="s">
        <v>200</v>
      </c>
      <c r="T7" s="91" t="s">
        <v>201</v>
      </c>
      <c r="U7" s="91" t="s">
        <v>200</v>
      </c>
      <c r="V7" s="91" t="s">
        <v>201</v>
      </c>
      <c r="W7" s="91" t="s">
        <v>200</v>
      </c>
      <c r="X7" s="91" t="s">
        <v>201</v>
      </c>
      <c r="Y7" s="91" t="s">
        <v>200</v>
      </c>
      <c r="Z7" s="91" t="s">
        <v>201</v>
      </c>
      <c r="AB7" s="91" t="s">
        <v>200</v>
      </c>
      <c r="AC7" s="91" t="s">
        <v>201</v>
      </c>
    </row>
    <row r="8" customFormat="false" ht="15" hidden="false" customHeight="false" outlineLevel="0" collapsed="false">
      <c r="A8" s="92" t="s">
        <v>202</v>
      </c>
    </row>
    <row r="9" customFormat="false" ht="15" hidden="false" customHeight="false" outlineLevel="0" collapsed="false">
      <c r="A9" s="93" t="s">
        <v>203</v>
      </c>
      <c r="C9" s="94" t="n">
        <v>28343</v>
      </c>
      <c r="D9" s="95" t="n">
        <f aca="false">IFERROR(C9/C$16,0)</f>
        <v>0.743559473214754</v>
      </c>
      <c r="E9" s="94" t="n">
        <v>9119</v>
      </c>
      <c r="F9" s="95" t="n">
        <f aca="false">IFERROR(E9/E$16,0)</f>
        <v>0.546309609393722</v>
      </c>
      <c r="G9" s="94" t="n">
        <v>21950</v>
      </c>
      <c r="H9" s="95" t="n">
        <f aca="false">IFERROR(G9/G$16,0)</f>
        <v>0.551438261524934</v>
      </c>
      <c r="I9" s="94" t="n">
        <v>4645</v>
      </c>
      <c r="J9" s="95" t="n">
        <f aca="false">IFERROR(I9/I$16,0)</f>
        <v>0.37079907400016</v>
      </c>
      <c r="K9" s="94" t="n">
        <v>14241</v>
      </c>
      <c r="L9" s="95" t="n">
        <f aca="false">IFERROR(K9/K$16,0)</f>
        <v>0.347859009746208</v>
      </c>
      <c r="M9" s="94" t="n">
        <v>15390</v>
      </c>
      <c r="N9" s="95" t="n">
        <f aca="false">IFERROR(M9/M$16,0)</f>
        <v>0.335857538790564</v>
      </c>
      <c r="O9" s="94" t="n">
        <v>11504</v>
      </c>
      <c r="P9" s="95" t="n">
        <f aca="false">IFERROR(O9/O$16,0)</f>
        <v>0.347868158451769</v>
      </c>
      <c r="Q9" s="94" t="n">
        <v>8697</v>
      </c>
      <c r="R9" s="95" t="n">
        <f aca="false">IFERROR(Q9/Q$16,0)</f>
        <v>0.347866085356586</v>
      </c>
      <c r="S9" s="94" t="n">
        <v>8697</v>
      </c>
      <c r="T9" s="95" t="n">
        <f aca="false">IFERROR(S9/S$16,0)</f>
        <v>0.347866085356586</v>
      </c>
      <c r="U9" s="94" t="n">
        <v>6957</v>
      </c>
      <c r="V9" s="95" t="n">
        <f aca="false">IFERROR(U9/U$16,0)</f>
        <v>0.34785</v>
      </c>
      <c r="W9" s="94" t="n">
        <v>6957</v>
      </c>
      <c r="X9" s="95" t="n">
        <f aca="false">IFERROR(W9/W$16,0)</f>
        <v>0.34785</v>
      </c>
      <c r="Y9" s="94" t="n">
        <v>12175</v>
      </c>
      <c r="Z9" s="95" t="n">
        <f aca="false">IFERROR(Y9/Y$16,0)</f>
        <v>0.347867081916626</v>
      </c>
      <c r="AB9" s="94" t="n">
        <f aca="false">SUM(C9,E9,G9,I9,K9,M9,O9,Q9,S9,U9,W9,Y9)</f>
        <v>148675</v>
      </c>
      <c r="AC9" s="95" t="n">
        <f aca="false">IFERROR(AB9/AB$16,0)</f>
        <v>0.422402159244265</v>
      </c>
    </row>
    <row r="10" customFormat="false" ht="15" hidden="false" customHeight="false" outlineLevel="0" collapsed="false">
      <c r="A10" s="93" t="s">
        <v>204</v>
      </c>
      <c r="C10" s="94" t="n">
        <v>5992</v>
      </c>
      <c r="D10" s="95" t="n">
        <f aca="false">IFERROR(C10/C$16,0)</f>
        <v>0.157196075344981</v>
      </c>
      <c r="E10" s="94" t="n">
        <v>4542</v>
      </c>
      <c r="F10" s="95" t="n">
        <f aca="false">IFERROR(E10/E$16,0)</f>
        <v>0.272106398274623</v>
      </c>
      <c r="G10" s="94" t="n">
        <v>3907</v>
      </c>
      <c r="H10" s="95" t="n">
        <f aca="false">IFERROR(G10/G$16,0)</f>
        <v>0.0981534983042331</v>
      </c>
      <c r="I10" s="94" t="n">
        <v>1012</v>
      </c>
      <c r="J10" s="95" t="n">
        <f aca="false">IFERROR(I10/I$16,0)</f>
        <v>0.0807855033128443</v>
      </c>
      <c r="K10" s="94" t="n">
        <v>2090</v>
      </c>
      <c r="L10" s="95" t="n">
        <f aca="false">IFERROR(K10/K$16,0)</f>
        <v>0.0510515645228266</v>
      </c>
      <c r="M10" s="94" t="n">
        <v>2193</v>
      </c>
      <c r="N10" s="95" t="n">
        <f aca="false">IFERROR(M10/M$16,0)</f>
        <v>0.0478580625450102</v>
      </c>
      <c r="O10" s="94" t="n">
        <v>1688</v>
      </c>
      <c r="P10" s="95" t="n">
        <f aca="false">IFERROR(O10/O$16,0)</f>
        <v>0.0510432416087088</v>
      </c>
      <c r="Q10" s="94" t="n">
        <v>1276</v>
      </c>
      <c r="R10" s="95" t="n">
        <f aca="false">IFERROR(Q10/Q$16,0)</f>
        <v>0.0510379584816607</v>
      </c>
      <c r="S10" s="94" t="n">
        <v>1276</v>
      </c>
      <c r="T10" s="95" t="n">
        <f aca="false">IFERROR(S10/S$16,0)</f>
        <v>0.0510379584816607</v>
      </c>
      <c r="U10" s="94" t="n">
        <v>1021</v>
      </c>
      <c r="V10" s="95" t="n">
        <f aca="false">IFERROR(U10/U$16,0)</f>
        <v>0.05105</v>
      </c>
      <c r="W10" s="94" t="n">
        <v>1021</v>
      </c>
      <c r="X10" s="95" t="n">
        <f aca="false">IFERROR(W10/W$16,0)</f>
        <v>0.05105</v>
      </c>
      <c r="Y10" s="94" t="n">
        <v>1786</v>
      </c>
      <c r="Z10" s="95" t="n">
        <f aca="false">IFERROR(Y10/Y$16,0)</f>
        <v>0.0510300294294123</v>
      </c>
      <c r="AB10" s="94" t="n">
        <f aca="false">SUM(C10,E10,G10,I10,K10,M10,O10,Q10,S10,U10,W10,Y10)</f>
        <v>27804</v>
      </c>
      <c r="AC10" s="95" t="n">
        <f aca="false">IFERROR(AB10/AB$16,0)</f>
        <v>0.0789942467504794</v>
      </c>
    </row>
    <row r="11" customFormat="false" ht="15" hidden="false" customHeight="false" outlineLevel="0" collapsed="false">
      <c r="A11" s="93" t="s">
        <v>205</v>
      </c>
      <c r="C11" s="94" t="n">
        <v>1351</v>
      </c>
      <c r="D11" s="95" t="n">
        <f aca="false">IFERROR(C11/C$16,0)</f>
        <v>0.0354425730625951</v>
      </c>
      <c r="E11" s="94" t="n">
        <v>2141</v>
      </c>
      <c r="F11" s="95" t="n">
        <f aca="false">IFERROR(E11/E$16,0)</f>
        <v>0.128265037143542</v>
      </c>
      <c r="G11" s="94" t="n">
        <v>10278</v>
      </c>
      <c r="H11" s="95" t="n">
        <f aca="false">IFERROR(G11/G$16,0)</f>
        <v>0.258208767742746</v>
      </c>
      <c r="I11" s="94" t="n">
        <v>1836</v>
      </c>
      <c r="J11" s="95" t="n">
        <f aca="false">IFERROR(I11/I$16,0)</f>
        <v>0.146563423006306</v>
      </c>
      <c r="K11" s="94" t="n">
        <v>5557</v>
      </c>
      <c r="L11" s="95" t="n">
        <f aca="false">IFERROR(K11/K$16,0)</f>
        <v>0.135738537824568</v>
      </c>
      <c r="M11" s="94" t="n">
        <v>4142</v>
      </c>
      <c r="N11" s="95" t="n">
        <f aca="false">IFERROR(M11/M$16,0)</f>
        <v>0.0903912882177073</v>
      </c>
      <c r="O11" s="94" t="n">
        <v>4489</v>
      </c>
      <c r="P11" s="95" t="n">
        <f aca="false">IFERROR(O11/O$16,0)</f>
        <v>0.13574236468098</v>
      </c>
      <c r="Q11" s="94" t="n">
        <v>3394</v>
      </c>
      <c r="R11" s="95" t="n">
        <f aca="false">IFERROR(Q11/Q$16,0)</f>
        <v>0.135754569817207</v>
      </c>
      <c r="S11" s="94" t="n">
        <v>3394</v>
      </c>
      <c r="T11" s="95" t="n">
        <f aca="false">IFERROR(S11/S$16,0)</f>
        <v>0.135754569817207</v>
      </c>
      <c r="U11" s="94" t="n">
        <v>2715</v>
      </c>
      <c r="V11" s="95" t="n">
        <f aca="false">IFERROR(U11/U$16,0)</f>
        <v>0.13575</v>
      </c>
      <c r="W11" s="94" t="n">
        <v>2715</v>
      </c>
      <c r="X11" s="95" t="n">
        <f aca="false">IFERROR(W11/W$16,0)</f>
        <v>0.13575</v>
      </c>
      <c r="Y11" s="94" t="n">
        <v>4751</v>
      </c>
      <c r="Z11" s="95" t="n">
        <f aca="false">IFERROR(Y11/Y$16,0)</f>
        <v>0.135746735621018</v>
      </c>
      <c r="AB11" s="94" t="n">
        <f aca="false">SUM(C11,E11,G11,I11,K11,M11,O11,Q11,S11,U11,W11,Y11)</f>
        <v>46763</v>
      </c>
      <c r="AC11" s="95" t="n">
        <f aca="false">IFERROR(AB11/AB$16,0)</f>
        <v>0.132858867817317</v>
      </c>
    </row>
    <row r="12" customFormat="false" ht="15" hidden="false" customHeight="false" outlineLevel="0" collapsed="false">
      <c r="A12" s="93" t="s">
        <v>206</v>
      </c>
      <c r="C12" s="94" t="n">
        <v>40</v>
      </c>
      <c r="D12" s="95" t="n">
        <f aca="false">IFERROR(C12/C$16,0)</f>
        <v>0.00104937299963272</v>
      </c>
      <c r="E12" s="94" t="n">
        <v>0</v>
      </c>
      <c r="F12" s="95" t="n">
        <f aca="false">IFERROR(E12/E$16,0)</f>
        <v>0</v>
      </c>
      <c r="G12" s="94" t="n">
        <v>187</v>
      </c>
      <c r="H12" s="95" t="n">
        <f aca="false">IFERROR(G12/G$16,0)</f>
        <v>0.00469790227358372</v>
      </c>
      <c r="I12" s="94" t="n">
        <v>34</v>
      </c>
      <c r="J12" s="95" t="n">
        <f aca="false">IFERROR(I12/I$16,0)</f>
        <v>0.00271413746307975</v>
      </c>
      <c r="K12" s="94" t="n">
        <v>193</v>
      </c>
      <c r="L12" s="95" t="n">
        <f aca="false">IFERROR(K12/K$16,0)</f>
        <v>0.00471433107794524</v>
      </c>
      <c r="M12" s="94" t="n">
        <v>525</v>
      </c>
      <c r="N12" s="95" t="n">
        <f aca="false">IFERROR(M12/M$16,0)</f>
        <v>0.0114571285162473</v>
      </c>
      <c r="O12" s="94" t="n">
        <v>156</v>
      </c>
      <c r="P12" s="95" t="n">
        <f aca="false">IFERROR(O12/O$16,0)</f>
        <v>0.00471726640459631</v>
      </c>
      <c r="Q12" s="94" t="n">
        <v>118</v>
      </c>
      <c r="R12" s="95" t="n">
        <f aca="false">IFERROR(Q12/Q$16,0)</f>
        <v>0.0047198112075517</v>
      </c>
      <c r="S12" s="94" t="n">
        <v>118</v>
      </c>
      <c r="T12" s="95" t="n">
        <f aca="false">IFERROR(S12/S$16,0)</f>
        <v>0.0047198112075517</v>
      </c>
      <c r="U12" s="94" t="n">
        <v>94</v>
      </c>
      <c r="V12" s="95" t="n">
        <f aca="false">IFERROR(U12/U$16,0)</f>
        <v>0.0047</v>
      </c>
      <c r="W12" s="94" t="n">
        <v>94</v>
      </c>
      <c r="X12" s="95" t="n">
        <f aca="false">IFERROR(W12/W$16,0)</f>
        <v>0.0047</v>
      </c>
      <c r="Y12" s="94" t="n">
        <v>165</v>
      </c>
      <c r="Z12" s="95" t="n">
        <f aca="false">IFERROR(Y12/Y$16,0)</f>
        <v>0.00471442041201177</v>
      </c>
      <c r="AB12" s="94" t="n">
        <f aca="false">SUM(C12,E12,G12,I12,K12,M12,O12,Q12,S12,U12,W12,Y12)</f>
        <v>1724</v>
      </c>
      <c r="AC12" s="95" t="n">
        <f aca="false">IFERROR(AB12/AB$16,0)</f>
        <v>0.00489807514738263</v>
      </c>
    </row>
    <row r="13" customFormat="false" ht="15" hidden="false" customHeight="false" outlineLevel="0" collapsed="false">
      <c r="A13" s="93" t="s">
        <v>207</v>
      </c>
      <c r="C13" s="94" t="n">
        <v>758</v>
      </c>
      <c r="D13" s="95" t="n">
        <f aca="false">IFERROR(C13/C$16,0)</f>
        <v>0.01988561834304</v>
      </c>
      <c r="E13" s="94" t="n">
        <v>471</v>
      </c>
      <c r="F13" s="95" t="n">
        <f aca="false">IFERROR(E13/E$16,0)</f>
        <v>0.0282171099928109</v>
      </c>
      <c r="G13" s="94" t="n">
        <v>729</v>
      </c>
      <c r="H13" s="95" t="n">
        <f aca="false">IFERROR(G13/G$16,0)</f>
        <v>0.0183142821253611</v>
      </c>
      <c r="I13" s="94" t="n">
        <v>426</v>
      </c>
      <c r="J13" s="95" t="n">
        <f aca="false">IFERROR(I13/I$16,0)</f>
        <v>0.0340065458609404</v>
      </c>
      <c r="K13" s="94" t="n">
        <v>770</v>
      </c>
      <c r="L13" s="95" t="n">
        <f aca="false">IFERROR(K13/K$16,0)</f>
        <v>0.0188084711399888</v>
      </c>
      <c r="M13" s="94" t="n">
        <v>434</v>
      </c>
      <c r="N13" s="95" t="n">
        <f aca="false">IFERROR(M13/M$16,0)</f>
        <v>0.00947122624009777</v>
      </c>
      <c r="O13" s="94" t="n">
        <v>622</v>
      </c>
      <c r="P13" s="95" t="n">
        <f aca="false">IFERROR(O13/O$16,0)</f>
        <v>0.0188085878439673</v>
      </c>
      <c r="Q13" s="94" t="n">
        <v>470</v>
      </c>
      <c r="R13" s="95" t="n">
        <f aca="false">IFERROR(Q13/Q$16,0)</f>
        <v>0.0187992480300788</v>
      </c>
      <c r="S13" s="94" t="n">
        <v>470</v>
      </c>
      <c r="T13" s="95" t="n">
        <f aca="false">IFERROR(S13/S$16,0)</f>
        <v>0.0187992480300788</v>
      </c>
      <c r="U13" s="94" t="n">
        <v>376</v>
      </c>
      <c r="V13" s="95" t="n">
        <f aca="false">IFERROR(U13/U$16,0)</f>
        <v>0.0188</v>
      </c>
      <c r="W13" s="94" t="n">
        <v>376</v>
      </c>
      <c r="X13" s="95" t="n">
        <f aca="false">IFERROR(W13/W$16,0)</f>
        <v>0.0188</v>
      </c>
      <c r="Y13" s="94" t="n">
        <v>658</v>
      </c>
      <c r="Z13" s="95" t="n">
        <f aca="false">IFERROR(Y13/Y$16,0)</f>
        <v>0.0188005371582045</v>
      </c>
      <c r="AB13" s="94" t="n">
        <f aca="false">SUM(C13,E13,G13,I13,K13,M13,O13,Q13,S13,U13,W13,Y13)</f>
        <v>6560</v>
      </c>
      <c r="AC13" s="95" t="n">
        <f aca="false">IFERROR(AB13/AB$16,0)</f>
        <v>0.0186376873357483</v>
      </c>
    </row>
    <row r="14" customFormat="false" ht="15" hidden="false" customHeight="false" outlineLevel="0" collapsed="false">
      <c r="A14" s="93" t="s">
        <v>208</v>
      </c>
      <c r="C14" s="94" t="n">
        <v>3280</v>
      </c>
      <c r="D14" s="95" t="n">
        <f aca="false">IFERROR(C14/C$16,0)</f>
        <v>0.086048585969883</v>
      </c>
      <c r="E14" s="94" t="n">
        <v>419</v>
      </c>
      <c r="F14" s="95" t="n">
        <f aca="false">IFERROR(E14/E$16,0)</f>
        <v>0.0251018451953031</v>
      </c>
      <c r="G14" s="94" t="n">
        <v>2754</v>
      </c>
      <c r="H14" s="95" t="n">
        <f aca="false">IFERROR(G14/G$16,0)</f>
        <v>0.0691872880291421</v>
      </c>
      <c r="I14" s="94" t="n">
        <v>4574</v>
      </c>
      <c r="J14" s="95" t="n">
        <f aca="false">IFERROR(I14/I$16,0)</f>
        <v>0.36513131635667</v>
      </c>
      <c r="K14" s="94" t="n">
        <v>18088</v>
      </c>
      <c r="L14" s="95" t="n">
        <f aca="false">IFERROR(K14/K$16,0)</f>
        <v>0.441828085688463</v>
      </c>
      <c r="M14" s="94" t="n">
        <v>23139</v>
      </c>
      <c r="N14" s="95" t="n">
        <f aca="false">IFERROR(M14/M$16,0)</f>
        <v>0.504964755690374</v>
      </c>
      <c r="O14" s="94" t="n">
        <v>14611</v>
      </c>
      <c r="P14" s="95" t="n">
        <f aca="false">IFERROR(O14/O$16,0)</f>
        <v>0.441820381009979</v>
      </c>
      <c r="Q14" s="94" t="n">
        <v>11046</v>
      </c>
      <c r="R14" s="95" t="n">
        <f aca="false">IFERROR(Q14/Q$16,0)</f>
        <v>0.441822327106916</v>
      </c>
      <c r="S14" s="94" t="n">
        <v>11046</v>
      </c>
      <c r="T14" s="95" t="n">
        <f aca="false">IFERROR(S14/S$16,0)</f>
        <v>0.441822327106916</v>
      </c>
      <c r="U14" s="94" t="n">
        <v>8837</v>
      </c>
      <c r="V14" s="95" t="n">
        <f aca="false">IFERROR(U14/U$16,0)</f>
        <v>0.44185</v>
      </c>
      <c r="W14" s="94" t="n">
        <v>8837</v>
      </c>
      <c r="X14" s="95" t="n">
        <f aca="false">IFERROR(W14/W$16,0)</f>
        <v>0.44185</v>
      </c>
      <c r="Y14" s="94" t="n">
        <v>15464</v>
      </c>
      <c r="Z14" s="95" t="n">
        <f aca="false">IFERROR(Y14/Y$16,0)</f>
        <v>0.441841195462728</v>
      </c>
      <c r="AB14" s="94" t="n">
        <f aca="false">SUM(C14,E14,G14,I14,K14,M14,O14,Q14,S14,U14,W14,Y14)</f>
        <v>122095</v>
      </c>
      <c r="AC14" s="95" t="n">
        <f aca="false">IFERROR(AB14/AB$16,0)</f>
        <v>0.346885432203992</v>
      </c>
    </row>
    <row r="15" customFormat="false" ht="15" hidden="false" customHeight="false" outlineLevel="0" collapsed="false">
      <c r="A15" s="93" t="s">
        <v>209</v>
      </c>
      <c r="C15" s="94" t="n">
        <v>-1646</v>
      </c>
      <c r="D15" s="95" t="n">
        <f aca="false">IFERROR(C15/C$16,0)</f>
        <v>-0.0431816989348864</v>
      </c>
      <c r="E15" s="94" t="n">
        <v>0</v>
      </c>
      <c r="F15" s="95" t="n">
        <f aca="false">IFERROR(E15/E$16,0)</f>
        <v>0</v>
      </c>
      <c r="G15" s="94" t="n">
        <v>0</v>
      </c>
      <c r="H15" s="95" t="n">
        <f aca="false">IFERROR(G15/G$16,0)</f>
        <v>0</v>
      </c>
      <c r="I15" s="94" t="n">
        <v>0</v>
      </c>
      <c r="J15" s="95" t="n">
        <f aca="false">IFERROR(I15/I$16,0)</f>
        <v>0</v>
      </c>
      <c r="K15" s="94" t="n">
        <v>0</v>
      </c>
      <c r="L15" s="95" t="n">
        <f aca="false">IFERROR(K15/K$16,0)</f>
        <v>0</v>
      </c>
      <c r="M15" s="94" t="n">
        <v>0</v>
      </c>
      <c r="N15" s="95" t="n">
        <f aca="false">IFERROR(M15/M$16,0)</f>
        <v>0</v>
      </c>
      <c r="O15" s="94" t="n">
        <v>0</v>
      </c>
      <c r="P15" s="95" t="n">
        <f aca="false">IFERROR(O15/O$16,0)</f>
        <v>0</v>
      </c>
      <c r="Q15" s="94" t="n">
        <v>0</v>
      </c>
      <c r="R15" s="95" t="n">
        <f aca="false">IFERROR(Q15/Q$16,0)</f>
        <v>0</v>
      </c>
      <c r="S15" s="94" t="n">
        <v>0</v>
      </c>
      <c r="T15" s="95" t="n">
        <f aca="false">IFERROR(S15/S$16,0)</f>
        <v>0</v>
      </c>
      <c r="U15" s="94" t="n">
        <v>0</v>
      </c>
      <c r="V15" s="95" t="n">
        <f aca="false">IFERROR(U15/U$16,0)</f>
        <v>0</v>
      </c>
      <c r="W15" s="94" t="n">
        <v>0</v>
      </c>
      <c r="X15" s="95" t="n">
        <f aca="false">IFERROR(W15/W$16,0)</f>
        <v>0</v>
      </c>
      <c r="Y15" s="94" t="n">
        <v>0</v>
      </c>
      <c r="Z15" s="95" t="n">
        <f aca="false">IFERROR(Y15/Y$16,0)</f>
        <v>0</v>
      </c>
      <c r="AB15" s="94" t="n">
        <f aca="false">SUM(C15,E15,G15,I15,K15,M15,O15,Q15,S15,U15,W15,Y15)</f>
        <v>-1646</v>
      </c>
      <c r="AC15" s="95" t="n">
        <f aca="false">IFERROR(AB15/AB$16,0)</f>
        <v>-0.00467646849918318</v>
      </c>
    </row>
    <row r="16" customFormat="false" ht="15" hidden="false" customHeight="false" outlineLevel="0" collapsed="false">
      <c r="A16" s="92" t="s">
        <v>210</v>
      </c>
      <c r="C16" s="96" t="n">
        <f aca="false">SUM(C9:C15)</f>
        <v>38118</v>
      </c>
      <c r="D16" s="97" t="n">
        <f aca="false">IFERROR(C16/C$16,0)</f>
        <v>1</v>
      </c>
      <c r="E16" s="96" t="n">
        <f aca="false">SUM(E9:E15)</f>
        <v>16692</v>
      </c>
      <c r="F16" s="97" t="n">
        <f aca="false">IFERROR(E16/E$16,0)</f>
        <v>1</v>
      </c>
      <c r="G16" s="96" t="n">
        <f aca="false">SUM(G9:G15)</f>
        <v>39805</v>
      </c>
      <c r="H16" s="97" t="n">
        <f aca="false">IFERROR(G16/G$16,0)</f>
        <v>1</v>
      </c>
      <c r="I16" s="96" t="n">
        <f aca="false">SUM(I9:I15)</f>
        <v>12527</v>
      </c>
      <c r="J16" s="97" t="n">
        <f aca="false">IFERROR(I16/I$16,0)</f>
        <v>1</v>
      </c>
      <c r="K16" s="96" t="n">
        <f aca="false">SUM(K9:K15)</f>
        <v>40939</v>
      </c>
      <c r="L16" s="97" t="n">
        <f aca="false">IFERROR(K16/K$16,0)</f>
        <v>1</v>
      </c>
      <c r="M16" s="96" t="n">
        <f aca="false">SUM(M9:M15)</f>
        <v>45823</v>
      </c>
      <c r="N16" s="97" t="n">
        <f aca="false">IFERROR(M16/M$16,0)</f>
        <v>1</v>
      </c>
      <c r="O16" s="96" t="n">
        <f aca="false">SUM(O9:O15)</f>
        <v>33070</v>
      </c>
      <c r="P16" s="97" t="n">
        <f aca="false">IFERROR(O16/O$16,0)</f>
        <v>1</v>
      </c>
      <c r="Q16" s="96" t="n">
        <f aca="false">SUM(Q9:Q15)</f>
        <v>25001</v>
      </c>
      <c r="R16" s="97" t="n">
        <f aca="false">IFERROR(Q16/Q$16,0)</f>
        <v>1</v>
      </c>
      <c r="S16" s="96" t="n">
        <f aca="false">SUM(S9:S15)</f>
        <v>25001</v>
      </c>
      <c r="T16" s="97" t="n">
        <f aca="false">IFERROR(S16/S$16,0)</f>
        <v>1</v>
      </c>
      <c r="U16" s="96" t="n">
        <f aca="false">SUM(U9:U15)</f>
        <v>20000</v>
      </c>
      <c r="V16" s="97" t="n">
        <f aca="false">IFERROR(U16/U$16,0)</f>
        <v>1</v>
      </c>
      <c r="W16" s="96" t="n">
        <f aca="false">SUM(W9:W15)</f>
        <v>20000</v>
      </c>
      <c r="X16" s="97" t="n">
        <f aca="false">IFERROR(W16/W$16,0)</f>
        <v>1</v>
      </c>
      <c r="Y16" s="96" t="n">
        <f aca="false">SUM(Y9:Y15)</f>
        <v>34999</v>
      </c>
      <c r="Z16" s="97" t="n">
        <f aca="false">IFERROR(Y16/Y$16,0)</f>
        <v>1</v>
      </c>
      <c r="AB16" s="96" t="n">
        <f aca="false">SUM(AB9:AB15)</f>
        <v>351975</v>
      </c>
      <c r="AC16" s="97" t="n">
        <f aca="false">IFERROR(AB16/AB$16,0)</f>
        <v>1</v>
      </c>
    </row>
    <row r="18" customFormat="false" ht="15" hidden="false" customHeight="false" outlineLevel="0" collapsed="false">
      <c r="A18" s="92" t="s">
        <v>211</v>
      </c>
    </row>
    <row r="19" customFormat="false" ht="15" hidden="false" customHeight="false" outlineLevel="0" collapsed="false">
      <c r="A19" s="93" t="s">
        <v>212</v>
      </c>
      <c r="C19" s="94" t="n">
        <v>18631</v>
      </c>
      <c r="D19" s="95" t="n">
        <f aca="false">IFERROR(C19/C$9,0)</f>
        <v>0.657340436792153</v>
      </c>
      <c r="E19" s="94" t="n">
        <v>8386</v>
      </c>
      <c r="F19" s="95" t="n">
        <f aca="false">IFERROR(E19/E$9,0)</f>
        <v>0.919618379208247</v>
      </c>
      <c r="G19" s="94" t="n">
        <v>14740</v>
      </c>
      <c r="H19" s="95" t="n">
        <f aca="false">IFERROR(G19/G$9,0)</f>
        <v>0.671526195899772</v>
      </c>
      <c r="I19" s="94" t="n">
        <v>4280</v>
      </c>
      <c r="J19" s="95" t="n">
        <f aca="false">IFERROR(I19/I$9,0)</f>
        <v>0.921420882669537</v>
      </c>
      <c r="K19" s="94" t="n">
        <v>11232</v>
      </c>
      <c r="L19" s="95" t="n">
        <f aca="false">IFERROR(K19/K$9,0)</f>
        <v>0.788708658099853</v>
      </c>
      <c r="M19" s="94" t="n">
        <v>10735</v>
      </c>
      <c r="N19" s="95" t="n">
        <f aca="false">IFERROR(M19/M$9,0)</f>
        <v>0.697530864197531</v>
      </c>
      <c r="O19" s="94" t="n">
        <v>7478</v>
      </c>
      <c r="P19" s="95" t="n">
        <f aca="false">IFERROR(O19/O$9,0)</f>
        <v>0.650034770514604</v>
      </c>
      <c r="Q19" s="94" t="n">
        <v>5653</v>
      </c>
      <c r="R19" s="95" t="n">
        <f aca="false">IFERROR(Q19/Q$9,0)</f>
        <v>0.649994250891112</v>
      </c>
      <c r="S19" s="94" t="n">
        <v>5653</v>
      </c>
      <c r="T19" s="95" t="n">
        <f aca="false">IFERROR(S19/S$9,0)</f>
        <v>0.649994250891112</v>
      </c>
      <c r="U19" s="94" t="n">
        <v>4522</v>
      </c>
      <c r="V19" s="95" t="n">
        <f aca="false">IFERROR(U19/U$9,0)</f>
        <v>0.649992812994107</v>
      </c>
      <c r="W19" s="94" t="n">
        <v>4522</v>
      </c>
      <c r="X19" s="95" t="n">
        <f aca="false">IFERROR(W19/W$9,0)</f>
        <v>0.649992812994107</v>
      </c>
      <c r="Y19" s="94" t="n">
        <v>7914</v>
      </c>
      <c r="Z19" s="95" t="n">
        <f aca="false">IFERROR(Y19/Y$9,0)</f>
        <v>0.650020533880904</v>
      </c>
      <c r="AB19" s="94" t="n">
        <f aca="false">SUM(C19,E19,G19,I19,K19,M19,O19,Q19,S19,U19,W19,Y19)</f>
        <v>103746</v>
      </c>
      <c r="AC19" s="95" t="n">
        <f aca="false">IFERROR(AB19/AB$9,0)</f>
        <v>0.69780393475702</v>
      </c>
    </row>
    <row r="20" customFormat="false" ht="15" hidden="false" customHeight="false" outlineLevel="0" collapsed="false">
      <c r="A20" s="93" t="s">
        <v>213</v>
      </c>
      <c r="C20" s="94" t="n">
        <v>1198</v>
      </c>
      <c r="D20" s="95" t="n">
        <f aca="false">IFERROR(C20/C$10,0)</f>
        <v>0.199933244325768</v>
      </c>
      <c r="E20" s="94" t="n">
        <v>895</v>
      </c>
      <c r="F20" s="95" t="n">
        <f aca="false">IFERROR(E20/E$10,0)</f>
        <v>0.19704975781594</v>
      </c>
      <c r="G20" s="94" t="n">
        <v>1888</v>
      </c>
      <c r="H20" s="95" t="n">
        <f aca="false">IFERROR(G20/G$10,0)</f>
        <v>0.483235218837983</v>
      </c>
      <c r="I20" s="94" t="n">
        <v>0</v>
      </c>
      <c r="J20" s="95" t="n">
        <f aca="false">IFERROR(I20/I$10,0)</f>
        <v>0</v>
      </c>
      <c r="K20" s="94" t="n">
        <v>0</v>
      </c>
      <c r="L20" s="95" t="n">
        <f aca="false">IFERROR(K20/K$10,0)</f>
        <v>0</v>
      </c>
      <c r="M20" s="94" t="n">
        <v>0</v>
      </c>
      <c r="N20" s="95" t="n">
        <f aca="false">IFERROR(M20/M$10,0)</f>
        <v>0</v>
      </c>
      <c r="O20" s="94" t="n">
        <v>506</v>
      </c>
      <c r="P20" s="95" t="n">
        <f aca="false">IFERROR(O20/O$10,0)</f>
        <v>0.299763033175355</v>
      </c>
      <c r="Q20" s="94" t="n">
        <v>383</v>
      </c>
      <c r="R20" s="95" t="n">
        <f aca="false">IFERROR(Q20/Q$10,0)</f>
        <v>0.300156739811912</v>
      </c>
      <c r="S20" s="94" t="n">
        <v>383</v>
      </c>
      <c r="T20" s="95" t="n">
        <f aca="false">IFERROR(S20/S$10,0)</f>
        <v>0.300156739811912</v>
      </c>
      <c r="U20" s="94" t="n">
        <v>306</v>
      </c>
      <c r="V20" s="95" t="n">
        <f aca="false">IFERROR(U20/U$10,0)</f>
        <v>0.299706170421156</v>
      </c>
      <c r="W20" s="94" t="n">
        <v>306</v>
      </c>
      <c r="X20" s="95" t="n">
        <f aca="false">IFERROR(W20/W$10,0)</f>
        <v>0.299706170421156</v>
      </c>
      <c r="Y20" s="94" t="n">
        <v>536</v>
      </c>
      <c r="Z20" s="95" t="n">
        <f aca="false">IFERROR(Y20/Y$10,0)</f>
        <v>0.300111982082867</v>
      </c>
      <c r="AB20" s="94" t="n">
        <f aca="false">SUM(C20,E20,G20,I20,K20,M20,O20,Q20,S20,U20,W20,Y20)</f>
        <v>6401</v>
      </c>
      <c r="AC20" s="95" t="n">
        <f aca="false">IFERROR(AB20/AB$10,0)</f>
        <v>0.230218673572148</v>
      </c>
    </row>
    <row r="21" customFormat="false" ht="15" hidden="false" customHeight="false" outlineLevel="0" collapsed="false">
      <c r="A21" s="93" t="s">
        <v>214</v>
      </c>
      <c r="C21" s="94" t="n">
        <v>243</v>
      </c>
      <c r="D21" s="95" t="n">
        <f aca="false">IFERROR(C21/C$11,0)</f>
        <v>0.179866765358993</v>
      </c>
      <c r="E21" s="94" t="n">
        <v>931</v>
      </c>
      <c r="F21" s="95" t="n">
        <f aca="false">IFERROR(E21/E$11,0)</f>
        <v>0.434843531060252</v>
      </c>
      <c r="G21" s="94" t="n">
        <v>723</v>
      </c>
      <c r="H21" s="95" t="n">
        <f aca="false">IFERROR(G21/G$11,0)</f>
        <v>0.0703444249854057</v>
      </c>
      <c r="I21" s="94" t="n">
        <v>0</v>
      </c>
      <c r="J21" s="95" t="n">
        <f aca="false">IFERROR(I21/I$11,0)</f>
        <v>0</v>
      </c>
      <c r="K21" s="94" t="n">
        <v>1308</v>
      </c>
      <c r="L21" s="95" t="n">
        <f aca="false">IFERROR(K21/K$11,0)</f>
        <v>0.235378801511607</v>
      </c>
      <c r="M21" s="94" t="n">
        <v>5238</v>
      </c>
      <c r="N21" s="95" t="n">
        <f aca="false">IFERROR(M21/M$11,0)</f>
        <v>1.2646064703042</v>
      </c>
      <c r="O21" s="94" t="n">
        <v>0</v>
      </c>
      <c r="P21" s="95" t="n">
        <f aca="false">IFERROR(O21/O$11,0)</f>
        <v>0</v>
      </c>
      <c r="Q21" s="94" t="n">
        <v>0</v>
      </c>
      <c r="R21" s="95" t="n">
        <f aca="false">IFERROR(Q21/Q$11,0)</f>
        <v>0</v>
      </c>
      <c r="S21" s="94" t="n">
        <v>0</v>
      </c>
      <c r="T21" s="95" t="n">
        <f aca="false">IFERROR(S21/S$11,0)</f>
        <v>0</v>
      </c>
      <c r="U21" s="94" t="n">
        <v>0</v>
      </c>
      <c r="V21" s="95" t="n">
        <f aca="false">IFERROR(U21/U$11,0)</f>
        <v>0</v>
      </c>
      <c r="W21" s="94" t="n">
        <v>0</v>
      </c>
      <c r="X21" s="95" t="n">
        <f aca="false">IFERROR(W21/W$11,0)</f>
        <v>0</v>
      </c>
      <c r="Y21" s="94" t="n">
        <v>0</v>
      </c>
      <c r="Z21" s="95" t="n">
        <f aca="false">IFERROR(Y21/Y$11,0)</f>
        <v>0</v>
      </c>
      <c r="AB21" s="94" t="n">
        <f aca="false">SUM(C21,E21,G21,I21,K21,M21,O21,Q21,S21,U21,W21,Y21)</f>
        <v>8443</v>
      </c>
      <c r="AC21" s="95" t="n">
        <f aca="false">IFERROR(AB21/AB$11,0)</f>
        <v>0.180548724418878</v>
      </c>
    </row>
    <row r="22" customFormat="false" ht="15" hidden="false" customHeight="false" outlineLevel="0" collapsed="false">
      <c r="A22" s="93" t="s">
        <v>215</v>
      </c>
      <c r="C22" s="94" t="n">
        <v>8</v>
      </c>
      <c r="D22" s="95" t="n">
        <f aca="false">IFERROR(C22/C$12,0)</f>
        <v>0.2</v>
      </c>
      <c r="E22" s="94" t="n">
        <v>707</v>
      </c>
      <c r="F22" s="95" t="n">
        <f aca="false">IFERROR(E22/E$12,0)</f>
        <v>0</v>
      </c>
      <c r="G22" s="94" t="n">
        <v>239</v>
      </c>
      <c r="H22" s="95" t="n">
        <f aca="false">IFERROR(G22/G$12,0)</f>
        <v>1.27807486631016</v>
      </c>
      <c r="I22" s="94" t="n">
        <v>0</v>
      </c>
      <c r="J22" s="95" t="n">
        <f aca="false">IFERROR(I22/I$12,0)</f>
        <v>0</v>
      </c>
      <c r="K22" s="94" t="n">
        <v>0</v>
      </c>
      <c r="L22" s="95" t="n">
        <f aca="false">IFERROR(K22/K$12,0)</f>
        <v>0</v>
      </c>
      <c r="M22" s="94" t="n">
        <v>180</v>
      </c>
      <c r="N22" s="95" t="n">
        <f aca="false">IFERROR(M22/M$12,0)</f>
        <v>0.342857142857143</v>
      </c>
      <c r="O22" s="94" t="n">
        <v>47</v>
      </c>
      <c r="P22" s="95" t="n">
        <f aca="false">IFERROR(O22/O$12,0)</f>
        <v>0.301282051282051</v>
      </c>
      <c r="Q22" s="94" t="n">
        <v>35</v>
      </c>
      <c r="R22" s="95" t="n">
        <f aca="false">IFERROR(Q22/Q$12,0)</f>
        <v>0.296610169491525</v>
      </c>
      <c r="S22" s="94" t="n">
        <v>35</v>
      </c>
      <c r="T22" s="95" t="n">
        <f aca="false">IFERROR(S22/S$12,0)</f>
        <v>0.296610169491525</v>
      </c>
      <c r="U22" s="94" t="n">
        <v>29</v>
      </c>
      <c r="V22" s="95" t="n">
        <f aca="false">IFERROR(U22/U$12,0)</f>
        <v>0.308510638297872</v>
      </c>
      <c r="W22" s="94" t="n">
        <v>29</v>
      </c>
      <c r="X22" s="95" t="n">
        <f aca="false">IFERROR(W22/W$12,0)</f>
        <v>0.308510638297872</v>
      </c>
      <c r="Y22" s="94" t="n">
        <v>49</v>
      </c>
      <c r="Z22" s="95" t="n">
        <f aca="false">IFERROR(Y22/Y$12,0)</f>
        <v>0.296969696969697</v>
      </c>
      <c r="AB22" s="94" t="n">
        <f aca="false">SUM(C22,E22,G22,I22,K22,M22,O22,Q22,S22,U22,W22,Y22)</f>
        <v>1358</v>
      </c>
      <c r="AC22" s="95" t="n">
        <f aca="false">IFERROR(AB22/AB$12,0)</f>
        <v>0.787703016241299</v>
      </c>
    </row>
    <row r="23" customFormat="false" ht="15" hidden="false" customHeight="false" outlineLevel="0" collapsed="false">
      <c r="A23" s="93" t="s">
        <v>216</v>
      </c>
      <c r="C23" s="94" t="n">
        <v>190</v>
      </c>
      <c r="D23" s="95" t="n">
        <f aca="false">IFERROR(C23/C$13,0)</f>
        <v>0.25065963060686</v>
      </c>
      <c r="E23" s="94" t="n">
        <v>888</v>
      </c>
      <c r="F23" s="95" t="n">
        <f aca="false">IFERROR(E23/E$13,0)</f>
        <v>1.88535031847134</v>
      </c>
      <c r="G23" s="94" t="n">
        <v>699</v>
      </c>
      <c r="H23" s="95" t="n">
        <f aca="false">IFERROR(G23/G$13,0)</f>
        <v>0.958847736625514</v>
      </c>
      <c r="I23" s="94" t="n">
        <v>252</v>
      </c>
      <c r="J23" s="95" t="n">
        <f aca="false">IFERROR(I23/I$13,0)</f>
        <v>0.591549295774648</v>
      </c>
      <c r="K23" s="94" t="n">
        <v>404</v>
      </c>
      <c r="L23" s="95" t="n">
        <f aca="false">IFERROR(K23/K$13,0)</f>
        <v>0.524675324675325</v>
      </c>
      <c r="M23" s="94" t="n">
        <v>551</v>
      </c>
      <c r="N23" s="95" t="n">
        <f aca="false">IFERROR(M23/M$13,0)</f>
        <v>1.26958525345622</v>
      </c>
      <c r="O23" s="94" t="n">
        <v>0</v>
      </c>
      <c r="P23" s="95" t="n">
        <f aca="false">IFERROR(O23/O$13,0)</f>
        <v>0</v>
      </c>
      <c r="Q23" s="94" t="n">
        <v>0</v>
      </c>
      <c r="R23" s="95" t="n">
        <f aca="false">IFERROR(Q23/Q$13,0)</f>
        <v>0</v>
      </c>
      <c r="S23" s="94" t="n">
        <v>0</v>
      </c>
      <c r="T23" s="95" t="n">
        <f aca="false">IFERROR(S23/S$13,0)</f>
        <v>0</v>
      </c>
      <c r="U23" s="94" t="n">
        <v>0</v>
      </c>
      <c r="V23" s="95" t="n">
        <f aca="false">IFERROR(U23/U$13,0)</f>
        <v>0</v>
      </c>
      <c r="W23" s="94" t="n">
        <v>0</v>
      </c>
      <c r="X23" s="95" t="n">
        <f aca="false">IFERROR(W23/W$13,0)</f>
        <v>0</v>
      </c>
      <c r="Y23" s="94" t="n">
        <v>0</v>
      </c>
      <c r="Z23" s="95" t="n">
        <f aca="false">IFERROR(Y23/Y$13,0)</f>
        <v>0</v>
      </c>
      <c r="AB23" s="94" t="n">
        <f aca="false">SUM(C23,E23,G23,I23,K23,M23,O23,Q23,S23,U23,W23,Y23)</f>
        <v>2984</v>
      </c>
      <c r="AC23" s="95" t="n">
        <f aca="false">IFERROR(AB23/AB$13,0)</f>
        <v>0.454878048780488</v>
      </c>
    </row>
    <row r="24" customFormat="false" ht="15" hidden="false" customHeight="false" outlineLevel="0" collapsed="false">
      <c r="A24" s="92" t="s">
        <v>86</v>
      </c>
      <c r="C24" s="96" t="n">
        <f aca="false">SUM(C19:C23)</f>
        <v>20270</v>
      </c>
      <c r="D24" s="97" t="n">
        <f aca="false">IFERROR(C24/C$16,0)</f>
        <v>0.531769767563881</v>
      </c>
      <c r="E24" s="96" t="n">
        <f aca="false">SUM(E19:E23)</f>
        <v>11807</v>
      </c>
      <c r="F24" s="97" t="n">
        <f aca="false">IFERROR(E24/E$16,0)</f>
        <v>0.707344835849509</v>
      </c>
      <c r="G24" s="96" t="n">
        <f aca="false">SUM(G19:G23)</f>
        <v>18289</v>
      </c>
      <c r="H24" s="97" t="n">
        <f aca="false">IFERROR(G24/G$16,0)</f>
        <v>0.459464891345308</v>
      </c>
      <c r="I24" s="96" t="n">
        <f aca="false">SUM(I19:I23)</f>
        <v>4532</v>
      </c>
      <c r="J24" s="97" t="n">
        <f aca="false">IFERROR(I24/I$16,0)</f>
        <v>0.361778558314042</v>
      </c>
      <c r="K24" s="96" t="n">
        <f aca="false">SUM(K19:K23)</f>
        <v>12944</v>
      </c>
      <c r="L24" s="97" t="n">
        <f aca="false">IFERROR(K24/K$16,0)</f>
        <v>0.31617772783898</v>
      </c>
      <c r="M24" s="96" t="n">
        <f aca="false">SUM(M19:M23)</f>
        <v>16704</v>
      </c>
      <c r="N24" s="97" t="n">
        <f aca="false">IFERROR(M24/M$16,0)</f>
        <v>0.364533094734086</v>
      </c>
      <c r="O24" s="96" t="n">
        <f aca="false">SUM(O19:O23)</f>
        <v>8031</v>
      </c>
      <c r="P24" s="97" t="n">
        <f aca="false">IFERROR(O24/O$16,0)</f>
        <v>0.242848503175083</v>
      </c>
      <c r="Q24" s="96" t="n">
        <f aca="false">SUM(Q19:Q23)</f>
        <v>6071</v>
      </c>
      <c r="R24" s="97" t="n">
        <f aca="false">IFERROR(Q24/Q$16,0)</f>
        <v>0.242830286788528</v>
      </c>
      <c r="S24" s="96" t="n">
        <f aca="false">SUM(S19:S23)</f>
        <v>6071</v>
      </c>
      <c r="T24" s="97" t="n">
        <f aca="false">IFERROR(S24/S$16,0)</f>
        <v>0.242830286788528</v>
      </c>
      <c r="U24" s="96" t="n">
        <f aca="false">SUM(U19:U23)</f>
        <v>4857</v>
      </c>
      <c r="V24" s="97" t="n">
        <f aca="false">IFERROR(U24/U$16,0)</f>
        <v>0.24285</v>
      </c>
      <c r="W24" s="96" t="n">
        <f aca="false">SUM(W19:W23)</f>
        <v>4857</v>
      </c>
      <c r="X24" s="97" t="n">
        <f aca="false">IFERROR(W24/W$16,0)</f>
        <v>0.24285</v>
      </c>
      <c r="Y24" s="96" t="n">
        <f aca="false">SUM(Y19:Y23)</f>
        <v>8499</v>
      </c>
      <c r="Z24" s="97" t="n">
        <f aca="false">IFERROR(Y24/Y$16,0)</f>
        <v>0.242835509585988</v>
      </c>
      <c r="AB24" s="96" t="n">
        <f aca="false">SUM(AB19:AB23)</f>
        <v>122932</v>
      </c>
      <c r="AC24" s="97" t="n">
        <f aca="false">IFERROR(AB24/AB$16,0)</f>
        <v>0.349263442005824</v>
      </c>
    </row>
    <row r="25" customFormat="false" ht="15" hidden="false" customHeight="false" outlineLevel="0" collapsed="false">
      <c r="A25" s="92" t="s">
        <v>217</v>
      </c>
      <c r="C25" s="98" t="n">
        <f aca="false">C16-C24</f>
        <v>17848</v>
      </c>
      <c r="D25" s="99" t="n">
        <f aca="false">IFERROR(C25/C$16,0)</f>
        <v>0.468230232436119</v>
      </c>
      <c r="E25" s="98" t="n">
        <f aca="false">E16-E24</f>
        <v>4885</v>
      </c>
      <c r="F25" s="99" t="n">
        <f aca="false">IFERROR(E25/E$16,0)</f>
        <v>0.292655164150491</v>
      </c>
      <c r="G25" s="98" t="n">
        <f aca="false">G16-G24</f>
        <v>21516</v>
      </c>
      <c r="H25" s="99" t="n">
        <f aca="false">IFERROR(G25/G$16,0)</f>
        <v>0.540535108654692</v>
      </c>
      <c r="I25" s="98" t="n">
        <f aca="false">I16-I24</f>
        <v>7995</v>
      </c>
      <c r="J25" s="99" t="n">
        <f aca="false">IFERROR(I25/I$16,0)</f>
        <v>0.638221441685958</v>
      </c>
      <c r="K25" s="98" t="n">
        <f aca="false">K16-K24</f>
        <v>27995</v>
      </c>
      <c r="L25" s="99" t="n">
        <f aca="false">IFERROR(K25/K$16,0)</f>
        <v>0.68382227216102</v>
      </c>
      <c r="M25" s="98" t="n">
        <f aca="false">M16-M24</f>
        <v>29119</v>
      </c>
      <c r="N25" s="99" t="n">
        <f aca="false">IFERROR(M25/M$16,0)</f>
        <v>0.635466905265915</v>
      </c>
      <c r="O25" s="98" t="n">
        <f aca="false">O16-O24</f>
        <v>25039</v>
      </c>
      <c r="P25" s="99" t="n">
        <f aca="false">IFERROR(O25/O$16,0)</f>
        <v>0.757151496824917</v>
      </c>
      <c r="Q25" s="98" t="n">
        <f aca="false">Q16-Q24</f>
        <v>18930</v>
      </c>
      <c r="R25" s="99" t="n">
        <f aca="false">IFERROR(Q25/Q$16,0)</f>
        <v>0.757169713211472</v>
      </c>
      <c r="S25" s="98" t="n">
        <f aca="false">S16-S24</f>
        <v>18930</v>
      </c>
      <c r="T25" s="99" t="n">
        <f aca="false">IFERROR(S25/S$16,0)</f>
        <v>0.757169713211472</v>
      </c>
      <c r="U25" s="98" t="n">
        <f aca="false">U16-U24</f>
        <v>15143</v>
      </c>
      <c r="V25" s="99" t="n">
        <f aca="false">IFERROR(U25/U$16,0)</f>
        <v>0.75715</v>
      </c>
      <c r="W25" s="98" t="n">
        <f aca="false">W16-W24</f>
        <v>15143</v>
      </c>
      <c r="X25" s="99" t="n">
        <f aca="false">IFERROR(W25/W$16,0)</f>
        <v>0.75715</v>
      </c>
      <c r="Y25" s="98" t="n">
        <f aca="false">Y16-Y24</f>
        <v>26500</v>
      </c>
      <c r="Z25" s="99" t="n">
        <f aca="false">IFERROR(Y25/Y$16,0)</f>
        <v>0.757164490414012</v>
      </c>
      <c r="AB25" s="98" t="n">
        <f aca="false">AB16-AB24</f>
        <v>229043</v>
      </c>
      <c r="AC25" s="99" t="n">
        <f aca="false">IFERROR(AB25/AB$16,0)</f>
        <v>0.650736557994176</v>
      </c>
    </row>
    <row r="27" customFormat="false" ht="15" hidden="false" customHeight="false" outlineLevel="0" collapsed="false">
      <c r="A27" s="92" t="s">
        <v>218</v>
      </c>
    </row>
    <row r="28" customFormat="false" ht="15" hidden="false" customHeight="false" outlineLevel="0" collapsed="false">
      <c r="A28" s="93" t="s">
        <v>219</v>
      </c>
      <c r="C28" s="94" t="n">
        <v>1230</v>
      </c>
      <c r="D28" s="95" t="n">
        <f aca="false">IFERROR(C28/C$16,0)</f>
        <v>0.0322682197387061</v>
      </c>
      <c r="E28" s="94" t="n">
        <v>615</v>
      </c>
      <c r="F28" s="95" t="n">
        <f aca="false">IFERROR(E28/E$16,0)</f>
        <v>0.036843997124371</v>
      </c>
      <c r="G28" s="94" t="n">
        <v>1277</v>
      </c>
      <c r="H28" s="95" t="n">
        <f aca="false">IFERROR(G28/G$16,0)</f>
        <v>0.0320813968094461</v>
      </c>
      <c r="I28" s="94" t="n">
        <v>1132</v>
      </c>
      <c r="J28" s="95" t="n">
        <f aca="false">IFERROR(I28/I$16,0)</f>
        <v>0.0903648120060669</v>
      </c>
      <c r="K28" s="94" t="n">
        <v>1657</v>
      </c>
      <c r="L28" s="95" t="n">
        <f aca="false">IFERROR(K28/K$16,0)</f>
        <v>0.04047485282982</v>
      </c>
      <c r="M28" s="94" t="n">
        <v>5593</v>
      </c>
      <c r="N28" s="95" t="n">
        <f aca="false">IFERROR(M28/M$16,0)</f>
        <v>0.122056609126421</v>
      </c>
      <c r="O28" s="94" t="n">
        <v>1657</v>
      </c>
      <c r="P28" s="95" t="n">
        <f aca="false">IFERROR(O28/O$16,0)</f>
        <v>0.0501058361052313</v>
      </c>
      <c r="Q28" s="94" t="n">
        <v>1657</v>
      </c>
      <c r="R28" s="95" t="n">
        <f aca="false">IFERROR(Q28/Q$16,0)</f>
        <v>0.0662773489060438</v>
      </c>
      <c r="S28" s="94" t="n">
        <v>1657</v>
      </c>
      <c r="T28" s="95" t="n">
        <f aca="false">IFERROR(S28/S$16,0)</f>
        <v>0.0662773489060438</v>
      </c>
      <c r="U28" s="94" t="n">
        <v>1657</v>
      </c>
      <c r="V28" s="95" t="n">
        <f aca="false">IFERROR(U28/U$16,0)</f>
        <v>0.08285</v>
      </c>
      <c r="W28" s="94" t="n">
        <v>1657</v>
      </c>
      <c r="X28" s="95" t="n">
        <f aca="false">IFERROR(W28/W$16,0)</f>
        <v>0.08285</v>
      </c>
      <c r="Y28" s="94" t="n">
        <v>1657</v>
      </c>
      <c r="Z28" s="95" t="n">
        <f aca="false">IFERROR(Y28/Y$16,0)</f>
        <v>0.0473442098345667</v>
      </c>
      <c r="AB28" s="94" t="n">
        <f aca="false">SUM(C28,E28,G28,I28,K28,M28,O28,Q28,S28,U28,W28,Y28)</f>
        <v>21446</v>
      </c>
      <c r="AC28" s="95" t="n">
        <f aca="false">IFERROR(AB28/AB$16,0)</f>
        <v>0.0609304638113502</v>
      </c>
    </row>
    <row r="29" customFormat="false" ht="15" hidden="false" customHeight="false" outlineLevel="0" collapsed="false">
      <c r="A29" s="93" t="s">
        <v>220</v>
      </c>
      <c r="C29" s="94" t="n">
        <v>1097</v>
      </c>
      <c r="D29" s="95" t="n">
        <f aca="false">IFERROR(C29/C$16,0)</f>
        <v>0.0287790545149273</v>
      </c>
      <c r="E29" s="94" t="n">
        <v>2016</v>
      </c>
      <c r="F29" s="95" t="n">
        <f aca="false">IFERROR(E29/E$16,0)</f>
        <v>0.12077641984184</v>
      </c>
      <c r="G29" s="94" t="n">
        <v>1928</v>
      </c>
      <c r="H29" s="95" t="n">
        <f aca="false">IFERROR(G29/G$16,0)</f>
        <v>0.0484361261148097</v>
      </c>
      <c r="I29" s="94" t="n">
        <v>584</v>
      </c>
      <c r="J29" s="95" t="n">
        <f aca="false">IFERROR(I29/I$16,0)</f>
        <v>0.0466193023070168</v>
      </c>
      <c r="K29" s="94" t="n">
        <v>0</v>
      </c>
      <c r="L29" s="95" t="n">
        <f aca="false">IFERROR(K29/K$16,0)</f>
        <v>0</v>
      </c>
      <c r="M29" s="94" t="n">
        <v>1619</v>
      </c>
      <c r="N29" s="95" t="n">
        <f aca="false">IFERROR(M29/M$16,0)</f>
        <v>0.0353316020339131</v>
      </c>
      <c r="O29" s="94" t="n">
        <v>0</v>
      </c>
      <c r="P29" s="95" t="n">
        <f aca="false">IFERROR(O29/O$16,0)</f>
        <v>0</v>
      </c>
      <c r="Q29" s="94" t="n">
        <v>0</v>
      </c>
      <c r="R29" s="95" t="n">
        <f aca="false">IFERROR(Q29/Q$16,0)</f>
        <v>0</v>
      </c>
      <c r="S29" s="94" t="n">
        <v>0</v>
      </c>
      <c r="T29" s="95" t="n">
        <f aca="false">IFERROR(S29/S$16,0)</f>
        <v>0</v>
      </c>
      <c r="U29" s="94" t="n">
        <v>0</v>
      </c>
      <c r="V29" s="95" t="n">
        <f aca="false">IFERROR(U29/U$16,0)</f>
        <v>0</v>
      </c>
      <c r="W29" s="94" t="n">
        <v>0</v>
      </c>
      <c r="X29" s="95" t="n">
        <f aca="false">IFERROR(W29/W$16,0)</f>
        <v>0</v>
      </c>
      <c r="Y29" s="94" t="n">
        <v>0</v>
      </c>
      <c r="Z29" s="95" t="n">
        <f aca="false">IFERROR(Y29/Y$16,0)</f>
        <v>0</v>
      </c>
      <c r="AB29" s="94" t="n">
        <f aca="false">SUM(C29,E29,G29,I29,K29,M29,O29,Q29,S29,U29,W29,Y29)</f>
        <v>7244</v>
      </c>
      <c r="AC29" s="95" t="n">
        <f aca="false">IFERROR(AB29/AB$16,0)</f>
        <v>0.020581007173805</v>
      </c>
    </row>
    <row r="30" customFormat="false" ht="15" hidden="false" customHeight="false" outlineLevel="0" collapsed="false">
      <c r="A30" s="93" t="s">
        <v>221</v>
      </c>
      <c r="C30" s="94" t="n">
        <v>1384</v>
      </c>
      <c r="D30" s="95" t="n">
        <f aca="false">IFERROR(C30/C$16,0)</f>
        <v>0.0363083057872921</v>
      </c>
      <c r="E30" s="94" t="n">
        <v>1502</v>
      </c>
      <c r="F30" s="95" t="n">
        <f aca="false">IFERROR(E30/E$16,0)</f>
        <v>0.0899832254972442</v>
      </c>
      <c r="G30" s="94" t="n">
        <v>5284</v>
      </c>
      <c r="H30" s="95" t="n">
        <f aca="false">IFERROR(G30/G$16,0)</f>
        <v>0.132747142318804</v>
      </c>
      <c r="I30" s="94" t="n">
        <v>0</v>
      </c>
      <c r="J30" s="95" t="n">
        <f aca="false">IFERROR(I30/I$16,0)</f>
        <v>0</v>
      </c>
      <c r="K30" s="94" t="n">
        <v>8918</v>
      </c>
      <c r="L30" s="95" t="n">
        <f aca="false">IFERROR(K30/K$16,0)</f>
        <v>0.217836293021324</v>
      </c>
      <c r="M30" s="94" t="n">
        <v>4034</v>
      </c>
      <c r="N30" s="95" t="n">
        <f aca="false">IFERROR(M30/M$16,0)</f>
        <v>0.0880343932086507</v>
      </c>
      <c r="O30" s="94" t="n">
        <v>5384</v>
      </c>
      <c r="P30" s="95" t="n">
        <f aca="false">IFERROR(O30/O$16,0)</f>
        <v>0.162806168732991</v>
      </c>
      <c r="Q30" s="94" t="n">
        <v>2500</v>
      </c>
      <c r="R30" s="95" t="n">
        <f aca="false">IFERROR(Q30/Q$16,0)</f>
        <v>0.0999960001599936</v>
      </c>
      <c r="S30" s="94" t="n">
        <v>2500</v>
      </c>
      <c r="T30" s="95" t="n">
        <f aca="false">IFERROR(S30/S$16,0)</f>
        <v>0.0999960001599936</v>
      </c>
      <c r="U30" s="94" t="n">
        <v>2000</v>
      </c>
      <c r="V30" s="95" t="n">
        <f aca="false">IFERROR(U30/U$16,0)</f>
        <v>0.1</v>
      </c>
      <c r="W30" s="94" t="n">
        <v>2000</v>
      </c>
      <c r="X30" s="95" t="n">
        <f aca="false">IFERROR(W30/W$16,0)</f>
        <v>0.1</v>
      </c>
      <c r="Y30" s="94" t="n">
        <v>3500</v>
      </c>
      <c r="Z30" s="95" t="n">
        <f aca="false">IFERROR(Y30/Y$16,0)</f>
        <v>0.100002857224492</v>
      </c>
      <c r="AB30" s="94" t="n">
        <f aca="false">SUM(C30,E30,G30,I30,K30,M30,O30,Q30,S30,U30,W30,Y30)</f>
        <v>39006</v>
      </c>
      <c r="AC30" s="95" t="n">
        <f aca="false">IFERROR(AB30/AB$16,0)</f>
        <v>0.110820370764969</v>
      </c>
    </row>
    <row r="31" customFormat="false" ht="15" hidden="false" customHeight="false" outlineLevel="0" collapsed="false">
      <c r="A31" s="93" t="s">
        <v>222</v>
      </c>
      <c r="C31" s="94" t="n">
        <v>303</v>
      </c>
      <c r="D31" s="95" t="n">
        <f aca="false">IFERROR(C31/C$16,0)</f>
        <v>0.00794900047221785</v>
      </c>
      <c r="E31" s="94" t="n">
        <v>1318</v>
      </c>
      <c r="F31" s="95" t="n">
        <f aca="false">IFERROR(E31/E$16,0)</f>
        <v>0.0789599808291397</v>
      </c>
      <c r="G31" s="94" t="n">
        <v>842</v>
      </c>
      <c r="H31" s="95" t="n">
        <f aca="false">IFERROR(G31/G$16,0)</f>
        <v>0.0211531214671524</v>
      </c>
      <c r="I31" s="94" t="n">
        <v>479</v>
      </c>
      <c r="J31" s="95" t="n">
        <f aca="false">IFERROR(I31/I$16,0)</f>
        <v>0.038237407200447</v>
      </c>
      <c r="K31" s="94" t="n">
        <v>1667</v>
      </c>
      <c r="L31" s="95" t="n">
        <f aca="false">IFERROR(K31/K$16,0)</f>
        <v>0.0407191186887809</v>
      </c>
      <c r="M31" s="94" t="n">
        <v>1310</v>
      </c>
      <c r="N31" s="95" t="n">
        <f aca="false">IFERROR(M31/M$16,0)</f>
        <v>0.028588263535779</v>
      </c>
      <c r="O31" s="94" t="n">
        <v>257</v>
      </c>
      <c r="P31" s="95" t="n">
        <f aca="false">IFERROR(O31/O$16,0)</f>
        <v>0.00777139401270033</v>
      </c>
      <c r="Q31" s="94" t="n">
        <v>257</v>
      </c>
      <c r="R31" s="95" t="n">
        <f aca="false">IFERROR(Q31/Q$16,0)</f>
        <v>0.0102795888164473</v>
      </c>
      <c r="S31" s="94" t="n">
        <v>257</v>
      </c>
      <c r="T31" s="95" t="n">
        <f aca="false">IFERROR(S31/S$16,0)</f>
        <v>0.0102795888164473</v>
      </c>
      <c r="U31" s="94" t="n">
        <v>257</v>
      </c>
      <c r="V31" s="95" t="n">
        <f aca="false">IFERROR(U31/U$16,0)</f>
        <v>0.01285</v>
      </c>
      <c r="W31" s="94" t="n">
        <v>257</v>
      </c>
      <c r="X31" s="95" t="n">
        <f aca="false">IFERROR(W31/W$16,0)</f>
        <v>0.01285</v>
      </c>
      <c r="Y31" s="94" t="n">
        <v>257</v>
      </c>
      <c r="Z31" s="95" t="n">
        <f aca="false">IFERROR(Y31/Y$16,0)</f>
        <v>0.00734306694476985</v>
      </c>
      <c r="AB31" s="94" t="n">
        <f aca="false">SUM(C31,E31,G31,I31,K31,M31,O31,Q31,S31,U31,W31,Y31)</f>
        <v>7461</v>
      </c>
      <c r="AC31" s="95" t="n">
        <f aca="false">IFERROR(AB31/AB$16,0)</f>
        <v>0.0211975282335393</v>
      </c>
    </row>
    <row r="32" customFormat="false" ht="15" hidden="false" customHeight="false" outlineLevel="0" collapsed="false">
      <c r="A32" s="93" t="s">
        <v>223</v>
      </c>
      <c r="C32" s="94" t="n">
        <v>313</v>
      </c>
      <c r="D32" s="95" t="n">
        <f aca="false">IFERROR(C32/C$16,0)</f>
        <v>0.00821134372212603</v>
      </c>
      <c r="E32" s="94" t="n">
        <v>311</v>
      </c>
      <c r="F32" s="95" t="n">
        <f aca="false">IFERROR(E32/E$16,0)</f>
        <v>0.0186316798466331</v>
      </c>
      <c r="G32" s="94" t="n">
        <v>380</v>
      </c>
      <c r="H32" s="95" t="n">
        <f aca="false">IFERROR(G32/G$16,0)</f>
        <v>0.00954653937947494</v>
      </c>
      <c r="I32" s="94" t="n">
        <v>380</v>
      </c>
      <c r="J32" s="95" t="n">
        <f aca="false">IFERROR(I32/I$16,0)</f>
        <v>0.0303344775285384</v>
      </c>
      <c r="K32" s="94" t="n">
        <v>551</v>
      </c>
      <c r="L32" s="95" t="n">
        <f aca="false">IFERROR(K32/K$16,0)</f>
        <v>0.0134590488287452</v>
      </c>
      <c r="M32" s="94" t="n">
        <v>516</v>
      </c>
      <c r="N32" s="95" t="n">
        <f aca="false">IFERROR(M32/M$16,0)</f>
        <v>0.0112607205988259</v>
      </c>
      <c r="O32" s="94" t="n">
        <v>58</v>
      </c>
      <c r="P32" s="95" t="n">
        <f aca="false">IFERROR(O32/O$16,0)</f>
        <v>0.00175385545811914</v>
      </c>
      <c r="Q32" s="94" t="n">
        <v>58</v>
      </c>
      <c r="R32" s="95" t="n">
        <f aca="false">IFERROR(Q32/Q$16,0)</f>
        <v>0.00231990720371185</v>
      </c>
      <c r="S32" s="94" t="n">
        <v>58</v>
      </c>
      <c r="T32" s="95" t="n">
        <f aca="false">IFERROR(S32/S$16,0)</f>
        <v>0.00231990720371185</v>
      </c>
      <c r="U32" s="94" t="n">
        <v>58</v>
      </c>
      <c r="V32" s="95" t="n">
        <f aca="false">IFERROR(U32/U$16,0)</f>
        <v>0.0029</v>
      </c>
      <c r="W32" s="94" t="n">
        <v>58</v>
      </c>
      <c r="X32" s="95" t="n">
        <f aca="false">IFERROR(W32/W$16,0)</f>
        <v>0.0029</v>
      </c>
      <c r="Y32" s="94" t="n">
        <v>58</v>
      </c>
      <c r="Z32" s="95" t="n">
        <f aca="false">IFERROR(Y32/Y$16,0)</f>
        <v>0.00165719020543444</v>
      </c>
      <c r="AB32" s="94" t="n">
        <f aca="false">SUM(C32,E32,G32,I32,K32,M32,O32,Q32,S32,U32,W32,Y32)</f>
        <v>2799</v>
      </c>
      <c r="AC32" s="95" t="n">
        <f aca="false">IFERROR(AB32/AB$16,0)</f>
        <v>0.00795226933731089</v>
      </c>
    </row>
    <row r="33" customFormat="false" ht="15" hidden="false" customHeight="false" outlineLevel="0" collapsed="false">
      <c r="A33" s="92" t="s">
        <v>224</v>
      </c>
      <c r="C33" s="96" t="n">
        <f aca="false">SUM(C28:C32)</f>
        <v>4327</v>
      </c>
      <c r="D33" s="97" t="n">
        <f aca="false">IFERROR(C33/C$16,0)</f>
        <v>0.113515924235269</v>
      </c>
      <c r="E33" s="96" t="n">
        <f aca="false">SUM(E28:E32)</f>
        <v>5762</v>
      </c>
      <c r="F33" s="97" t="n">
        <f aca="false">IFERROR(E33/E$16,0)</f>
        <v>0.345195303139228</v>
      </c>
      <c r="G33" s="96" t="n">
        <f aca="false">SUM(G28:G32)</f>
        <v>9711</v>
      </c>
      <c r="H33" s="97" t="n">
        <f aca="false">IFERROR(G33/G$16,0)</f>
        <v>0.243964326089687</v>
      </c>
      <c r="I33" s="96" t="n">
        <f aca="false">SUM(I28:I32)</f>
        <v>2575</v>
      </c>
      <c r="J33" s="97" t="n">
        <f aca="false">IFERROR(I33/I$16,0)</f>
        <v>0.205555999042069</v>
      </c>
      <c r="K33" s="96" t="n">
        <f aca="false">SUM(K28:K32)</f>
        <v>12793</v>
      </c>
      <c r="L33" s="97" t="n">
        <f aca="false">IFERROR(K33/K$16,0)</f>
        <v>0.312489313368671</v>
      </c>
      <c r="M33" s="96" t="n">
        <f aca="false">SUM(M28:M32)</f>
        <v>13072</v>
      </c>
      <c r="N33" s="97" t="n">
        <f aca="false">IFERROR(M33/M$16,0)</f>
        <v>0.28527158850359</v>
      </c>
      <c r="O33" s="96" t="n">
        <f aca="false">SUM(O28:O32)</f>
        <v>7356</v>
      </c>
      <c r="P33" s="97" t="n">
        <f aca="false">IFERROR(O33/O$16,0)</f>
        <v>0.222437254309041</v>
      </c>
      <c r="Q33" s="96" t="n">
        <f aca="false">SUM(Q28:Q32)</f>
        <v>4472</v>
      </c>
      <c r="R33" s="97" t="n">
        <f aca="false">IFERROR(Q33/Q$16,0)</f>
        <v>0.178872845086197</v>
      </c>
      <c r="S33" s="96" t="n">
        <f aca="false">SUM(S28:S32)</f>
        <v>4472</v>
      </c>
      <c r="T33" s="97" t="n">
        <f aca="false">IFERROR(S33/S$16,0)</f>
        <v>0.178872845086197</v>
      </c>
      <c r="U33" s="96" t="n">
        <f aca="false">SUM(U28:U32)</f>
        <v>3972</v>
      </c>
      <c r="V33" s="97" t="n">
        <f aca="false">IFERROR(U33/U$16,0)</f>
        <v>0.1986</v>
      </c>
      <c r="W33" s="96" t="n">
        <f aca="false">SUM(W28:W32)</f>
        <v>3972</v>
      </c>
      <c r="X33" s="97" t="n">
        <f aca="false">IFERROR(W33/W$16,0)</f>
        <v>0.1986</v>
      </c>
      <c r="Y33" s="96" t="n">
        <f aca="false">SUM(Y28:Y32)</f>
        <v>5472</v>
      </c>
      <c r="Z33" s="97" t="n">
        <f aca="false">IFERROR(Y33/Y$16,0)</f>
        <v>0.156347324209263</v>
      </c>
      <c r="AB33" s="96" t="n">
        <f aca="false">SUM(AB28:AB32)</f>
        <v>77956</v>
      </c>
      <c r="AC33" s="97" t="n">
        <f aca="false">IFERROR(AB33/AB$16,0)</f>
        <v>0.221481639320975</v>
      </c>
    </row>
    <row r="35" customFormat="false" ht="15" hidden="false" customHeight="false" outlineLevel="0" collapsed="false">
      <c r="A35" s="92" t="s">
        <v>225</v>
      </c>
      <c r="C35" s="98" t="n">
        <f aca="false">C24+C33</f>
        <v>24597</v>
      </c>
      <c r="D35" s="99" t="n">
        <f aca="false">IFERROR(C35/C$16,0)</f>
        <v>0.64528569179915</v>
      </c>
      <c r="E35" s="98" t="n">
        <f aca="false">E24+E33</f>
        <v>17569</v>
      </c>
      <c r="F35" s="99" t="n">
        <f aca="false">IFERROR(E35/E$16,0)</f>
        <v>1.05254013898874</v>
      </c>
      <c r="G35" s="98" t="n">
        <f aca="false">G24+G33</f>
        <v>28000</v>
      </c>
      <c r="H35" s="99" t="n">
        <f aca="false">IFERROR(G35/G$16,0)</f>
        <v>0.703429217434996</v>
      </c>
      <c r="I35" s="98" t="n">
        <f aca="false">I24+I33</f>
        <v>7107</v>
      </c>
      <c r="J35" s="99" t="n">
        <f aca="false">IFERROR(I35/I$16,0)</f>
        <v>0.567334557356111</v>
      </c>
      <c r="K35" s="98" t="n">
        <f aca="false">K24+K33</f>
        <v>25737</v>
      </c>
      <c r="L35" s="99" t="n">
        <f aca="false">IFERROR(K35/K$16,0)</f>
        <v>0.62866704120765</v>
      </c>
      <c r="M35" s="98" t="n">
        <f aca="false">M24+M33</f>
        <v>29776</v>
      </c>
      <c r="N35" s="99" t="n">
        <f aca="false">IFERROR(M35/M$16,0)</f>
        <v>0.649804683237675</v>
      </c>
      <c r="O35" s="98" t="n">
        <f aca="false">O24+O33</f>
        <v>15387</v>
      </c>
      <c r="P35" s="99" t="n">
        <f aca="false">IFERROR(O35/O$16,0)</f>
        <v>0.465285757484125</v>
      </c>
      <c r="Q35" s="98" t="n">
        <f aca="false">Q24+Q33</f>
        <v>10543</v>
      </c>
      <c r="R35" s="99" t="n">
        <f aca="false">IFERROR(Q35/Q$16,0)</f>
        <v>0.421703131874725</v>
      </c>
      <c r="S35" s="98" t="n">
        <f aca="false">S24+S33</f>
        <v>10543</v>
      </c>
      <c r="T35" s="99" t="n">
        <f aca="false">IFERROR(S35/S$16,0)</f>
        <v>0.421703131874725</v>
      </c>
      <c r="U35" s="98" t="n">
        <f aca="false">U24+U33</f>
        <v>8829</v>
      </c>
      <c r="V35" s="99" t="n">
        <f aca="false">IFERROR(U35/U$16,0)</f>
        <v>0.44145</v>
      </c>
      <c r="W35" s="98" t="n">
        <f aca="false">W24+W33</f>
        <v>8829</v>
      </c>
      <c r="X35" s="99" t="n">
        <f aca="false">IFERROR(W35/W$16,0)</f>
        <v>0.44145</v>
      </c>
      <c r="Y35" s="98" t="n">
        <f aca="false">Y24+Y33</f>
        <v>13971</v>
      </c>
      <c r="Z35" s="99" t="n">
        <f aca="false">IFERROR(Y35/Y$16,0)</f>
        <v>0.399182833795251</v>
      </c>
      <c r="AB35" s="98" t="n">
        <f aca="false">AB24+AB33</f>
        <v>200888</v>
      </c>
      <c r="AC35" s="99" t="n">
        <f aca="false">IFERROR(AB35/AB$16,0)</f>
        <v>0.570745081326799</v>
      </c>
    </row>
    <row r="36" customFormat="false" ht="15" hidden="false" customHeight="false" outlineLevel="0" collapsed="false">
      <c r="A36" s="92" t="s">
        <v>226</v>
      </c>
      <c r="C36" s="98" t="n">
        <f aca="false">C25-C33</f>
        <v>13521</v>
      </c>
      <c r="D36" s="99" t="n">
        <f aca="false">IFERROR(C36/C$16,0)</f>
        <v>0.35471430820085</v>
      </c>
      <c r="E36" s="98" t="n">
        <f aca="false">E25-E33</f>
        <v>-877</v>
      </c>
      <c r="F36" s="99" t="n">
        <f aca="false">IFERROR(E36/E$16,0)</f>
        <v>-0.0525401389887371</v>
      </c>
      <c r="G36" s="98" t="n">
        <f aca="false">G25-G33</f>
        <v>11805</v>
      </c>
      <c r="H36" s="99" t="n">
        <f aca="false">IFERROR(G36/G$16,0)</f>
        <v>0.296570782565004</v>
      </c>
      <c r="I36" s="98" t="n">
        <f aca="false">I25-I33</f>
        <v>5420</v>
      </c>
      <c r="J36" s="99" t="n">
        <f aca="false">IFERROR(I36/I$16,0)</f>
        <v>0.432665442643889</v>
      </c>
      <c r="K36" s="98" t="n">
        <f aca="false">K25-K33</f>
        <v>15202</v>
      </c>
      <c r="L36" s="99" t="n">
        <f aca="false">IFERROR(K36/K$16,0)</f>
        <v>0.37133295879235</v>
      </c>
      <c r="M36" s="98" t="n">
        <f aca="false">M25-M33</f>
        <v>16047</v>
      </c>
      <c r="N36" s="99" t="n">
        <f aca="false">IFERROR(M36/M$16,0)</f>
        <v>0.350195316762325</v>
      </c>
      <c r="O36" s="98" t="n">
        <f aca="false">O25-O33</f>
        <v>17683</v>
      </c>
      <c r="P36" s="99" t="n">
        <f aca="false">IFERROR(O36/O$16,0)</f>
        <v>0.534714242515875</v>
      </c>
      <c r="Q36" s="98" t="n">
        <f aca="false">Q25-Q33</f>
        <v>14458</v>
      </c>
      <c r="R36" s="99" t="n">
        <f aca="false">IFERROR(Q36/Q$16,0)</f>
        <v>0.578296868125275</v>
      </c>
      <c r="S36" s="98" t="n">
        <f aca="false">S25-S33</f>
        <v>14458</v>
      </c>
      <c r="T36" s="99" t="n">
        <f aca="false">IFERROR(S36/S$16,0)</f>
        <v>0.578296868125275</v>
      </c>
      <c r="U36" s="98" t="n">
        <f aca="false">U25-U33</f>
        <v>11171</v>
      </c>
      <c r="V36" s="99" t="n">
        <f aca="false">IFERROR(U36/U$16,0)</f>
        <v>0.55855</v>
      </c>
      <c r="W36" s="98" t="n">
        <f aca="false">W25-W33</f>
        <v>11171</v>
      </c>
      <c r="X36" s="99" t="n">
        <f aca="false">IFERROR(W36/W$16,0)</f>
        <v>0.55855</v>
      </c>
      <c r="Y36" s="98" t="n">
        <f aca="false">Y25-Y33</f>
        <v>21028</v>
      </c>
      <c r="Z36" s="99" t="n">
        <f aca="false">IFERROR(Y36/Y$16,0)</f>
        <v>0.600817166204749</v>
      </c>
      <c r="AB36" s="98" t="n">
        <f aca="false">AB25-AB33</f>
        <v>151087</v>
      </c>
      <c r="AC36" s="99" t="n">
        <f aca="false">IFERROR(AB36/AB$16,0)</f>
        <v>0.429254918673201</v>
      </c>
    </row>
    <row r="38" customFormat="false" ht="15" hidden="false" customHeight="false" outlineLevel="0" collapsed="false">
      <c r="A38" s="92" t="s">
        <v>227</v>
      </c>
    </row>
    <row r="39" customFormat="false" ht="15" hidden="false" customHeight="false" outlineLevel="0" collapsed="false">
      <c r="A39" s="93" t="s">
        <v>228</v>
      </c>
      <c r="C39" s="94" t="n">
        <v>1631</v>
      </c>
      <c r="D39" s="95" t="n">
        <f aca="false">IFERROR(C39/C$16,0)</f>
        <v>0.0427881840600241</v>
      </c>
      <c r="E39" s="94" t="n">
        <v>1306</v>
      </c>
      <c r="F39" s="95" t="n">
        <f aca="false">IFERROR(E39/E$16,0)</f>
        <v>0.0782410735681764</v>
      </c>
      <c r="G39" s="94" t="n">
        <v>3262</v>
      </c>
      <c r="H39" s="95" t="n">
        <f aca="false">IFERROR(G39/G$16,0)</f>
        <v>0.081949503831177</v>
      </c>
      <c r="I39" s="94" t="n">
        <v>580</v>
      </c>
      <c r="J39" s="95" t="n">
        <f aca="false">IFERROR(I39/I$16,0)</f>
        <v>0.0462999920172428</v>
      </c>
      <c r="K39" s="94" t="n">
        <v>947</v>
      </c>
      <c r="L39" s="95" t="n">
        <f aca="false">IFERROR(K39/K$16,0)</f>
        <v>0.0231319768435966</v>
      </c>
      <c r="M39" s="94" t="n">
        <v>929</v>
      </c>
      <c r="N39" s="95" t="n">
        <f aca="false">IFERROR(M39/M$16,0)</f>
        <v>0.0202736616982738</v>
      </c>
      <c r="O39" s="94" t="n">
        <v>1262</v>
      </c>
      <c r="P39" s="95" t="n">
        <f aca="false">IFERROR(O39/O$16,0)</f>
        <v>0.0381614756576958</v>
      </c>
      <c r="Q39" s="94" t="n">
        <v>1262</v>
      </c>
      <c r="R39" s="95" t="n">
        <f aca="false">IFERROR(Q39/Q$16,0)</f>
        <v>0.0504779808807648</v>
      </c>
      <c r="S39" s="94" t="n">
        <v>1262</v>
      </c>
      <c r="T39" s="95" t="n">
        <f aca="false">IFERROR(S39/S$16,0)</f>
        <v>0.0504779808807648</v>
      </c>
      <c r="U39" s="94" t="n">
        <v>1262</v>
      </c>
      <c r="V39" s="95" t="n">
        <f aca="false">IFERROR(U39/U$16,0)</f>
        <v>0.0631</v>
      </c>
      <c r="W39" s="94" t="n">
        <v>1262</v>
      </c>
      <c r="X39" s="95" t="n">
        <f aca="false">IFERROR(W39/W$16,0)</f>
        <v>0.0631</v>
      </c>
      <c r="Y39" s="94" t="n">
        <v>1262</v>
      </c>
      <c r="Z39" s="95" t="n">
        <f aca="false">IFERROR(Y39/Y$16,0)</f>
        <v>0.0360581730906597</v>
      </c>
      <c r="AB39" s="94" t="n">
        <f aca="false">SUM(C39,E39,G39,I39,K39,M39,O39,Q39,S39,U39,W39,Y39)</f>
        <v>16227</v>
      </c>
      <c r="AC39" s="95" t="n">
        <f aca="false">IFERROR(AB39/AB$16,0)</f>
        <v>0.0461027061581078</v>
      </c>
    </row>
    <row r="40" customFormat="false" ht="15" hidden="false" customHeight="false" outlineLevel="0" collapsed="false">
      <c r="A40" s="93" t="s">
        <v>229</v>
      </c>
      <c r="C40" s="94" t="n">
        <v>0</v>
      </c>
      <c r="D40" s="95" t="n">
        <f aca="false">IFERROR(C40/C$16,0)</f>
        <v>0</v>
      </c>
      <c r="E40" s="94" t="n">
        <v>1112</v>
      </c>
      <c r="F40" s="95" t="n">
        <f aca="false">IFERROR(E40/E$16,0)</f>
        <v>0.0666187395159358</v>
      </c>
      <c r="G40" s="94" t="n">
        <v>256</v>
      </c>
      <c r="H40" s="95" t="n">
        <f aca="false">IFERROR(G40/G$16,0)</f>
        <v>0.00643135284511996</v>
      </c>
      <c r="I40" s="94" t="n">
        <v>0</v>
      </c>
      <c r="J40" s="95" t="n">
        <f aca="false">IFERROR(I40/I$16,0)</f>
        <v>0</v>
      </c>
      <c r="K40" s="94" t="n">
        <v>1445</v>
      </c>
      <c r="L40" s="95" t="n">
        <f aca="false">IFERROR(K40/K$16,0)</f>
        <v>0.035296416619849</v>
      </c>
      <c r="M40" s="94" t="n">
        <v>0</v>
      </c>
      <c r="N40" s="95" t="n">
        <f aca="false">IFERROR(M40/M$16,0)</f>
        <v>0</v>
      </c>
      <c r="O40" s="94" t="n">
        <v>1445</v>
      </c>
      <c r="P40" s="95" t="n">
        <f aca="false">IFERROR(O40/O$16,0)</f>
        <v>0.0436951920169338</v>
      </c>
      <c r="Q40" s="94" t="n">
        <v>1445</v>
      </c>
      <c r="R40" s="95" t="n">
        <f aca="false">IFERROR(Q40/Q$16,0)</f>
        <v>0.0577976880924763</v>
      </c>
      <c r="S40" s="94" t="n">
        <v>1445</v>
      </c>
      <c r="T40" s="95" t="n">
        <f aca="false">IFERROR(S40/S$16,0)</f>
        <v>0.0577976880924763</v>
      </c>
      <c r="U40" s="94" t="n">
        <v>1445</v>
      </c>
      <c r="V40" s="95" t="n">
        <f aca="false">IFERROR(U40/U$16,0)</f>
        <v>0.07225</v>
      </c>
      <c r="W40" s="94" t="n">
        <v>1445</v>
      </c>
      <c r="X40" s="95" t="n">
        <f aca="false">IFERROR(W40/W$16,0)</f>
        <v>0.07225</v>
      </c>
      <c r="Y40" s="94" t="n">
        <v>1445</v>
      </c>
      <c r="Z40" s="95" t="n">
        <f aca="false">IFERROR(Y40/Y$16,0)</f>
        <v>0.0412868939112546</v>
      </c>
      <c r="AB40" s="94" t="n">
        <f aca="false">SUM(C40,E40,G40,I40,K40,M40,O40,Q40,S40,U40,W40,Y40)</f>
        <v>11483</v>
      </c>
      <c r="AC40" s="95" t="n">
        <f aca="false">IFERROR(AB40/AB$16,0)</f>
        <v>0.0326244761701825</v>
      </c>
    </row>
    <row r="41" customFormat="false" ht="15" hidden="false" customHeight="false" outlineLevel="0" collapsed="false">
      <c r="A41" s="93" t="s">
        <v>230</v>
      </c>
      <c r="C41" s="94" t="n">
        <v>827</v>
      </c>
      <c r="D41" s="95" t="n">
        <f aca="false">IFERROR(C41/C$16,0)</f>
        <v>0.0216957867674065</v>
      </c>
      <c r="E41" s="94" t="n">
        <v>1090</v>
      </c>
      <c r="F41" s="95" t="n">
        <f aca="false">IFERROR(E41/E$16,0)</f>
        <v>0.0653007428708363</v>
      </c>
      <c r="G41" s="94" t="n">
        <v>1821</v>
      </c>
      <c r="H41" s="95" t="n">
        <f aca="false">IFERROR(G41/G$16,0)</f>
        <v>0.045748021605326</v>
      </c>
      <c r="I41" s="94" t="n">
        <v>1386</v>
      </c>
      <c r="J41" s="95" t="n">
        <f aca="false">IFERROR(I41/I$16,0)</f>
        <v>0.110641015406721</v>
      </c>
      <c r="K41" s="94" t="n">
        <v>674</v>
      </c>
      <c r="L41" s="95" t="n">
        <f aca="false">IFERROR(K41/K$16,0)</f>
        <v>0.0164635188939642</v>
      </c>
      <c r="M41" s="94" t="n">
        <v>619</v>
      </c>
      <c r="N41" s="95" t="n">
        <f aca="false">IFERROR(M41/M$16,0)</f>
        <v>0.013508500098204</v>
      </c>
      <c r="O41" s="94" t="n">
        <v>674</v>
      </c>
      <c r="P41" s="95" t="n">
        <f aca="false">IFERROR(O41/O$16,0)</f>
        <v>0.0203810099788328</v>
      </c>
      <c r="Q41" s="94" t="n">
        <v>674</v>
      </c>
      <c r="R41" s="95" t="n">
        <f aca="false">IFERROR(Q41/Q$16,0)</f>
        <v>0.0269589216431343</v>
      </c>
      <c r="S41" s="94" t="n">
        <v>674</v>
      </c>
      <c r="T41" s="95" t="n">
        <f aca="false">IFERROR(S41/S$16,0)</f>
        <v>0.0269589216431343</v>
      </c>
      <c r="U41" s="94" t="n">
        <v>674</v>
      </c>
      <c r="V41" s="95" t="n">
        <f aca="false">IFERROR(U41/U$16,0)</f>
        <v>0.0337</v>
      </c>
      <c r="W41" s="94" t="n">
        <v>674</v>
      </c>
      <c r="X41" s="95" t="n">
        <f aca="false">IFERROR(W41/W$16,0)</f>
        <v>0.0337</v>
      </c>
      <c r="Y41" s="94" t="n">
        <v>674</v>
      </c>
      <c r="Z41" s="95" t="n">
        <f aca="false">IFERROR(Y41/Y$16,0)</f>
        <v>0.0192576930769451</v>
      </c>
      <c r="AB41" s="94" t="n">
        <f aca="false">SUM(C41,E41,G41,I41,K41,M41,O41,Q41,S41,U41,W41,Y41)</f>
        <v>10461</v>
      </c>
      <c r="AC41" s="95" t="n">
        <f aca="false">IFERROR(AB41/AB$16,0)</f>
        <v>0.0297208608565949</v>
      </c>
    </row>
    <row r="42" customFormat="false" ht="15" hidden="false" customHeight="false" outlineLevel="0" collapsed="false">
      <c r="A42" s="93" t="s">
        <v>231</v>
      </c>
      <c r="C42" s="94" t="n">
        <v>3621</v>
      </c>
      <c r="D42" s="95" t="n">
        <f aca="false">IFERROR(C42/C$16,0)</f>
        <v>0.0949944907917519</v>
      </c>
      <c r="E42" s="94" t="n">
        <v>3804</v>
      </c>
      <c r="F42" s="95" t="n">
        <f aca="false">IFERROR(E42/E$16,0)</f>
        <v>0.227893601725377</v>
      </c>
      <c r="G42" s="94" t="n">
        <v>5209</v>
      </c>
      <c r="H42" s="95" t="n">
        <f aca="false">IFERROR(G42/G$16,0)</f>
        <v>0.13086295691496</v>
      </c>
      <c r="I42" s="94" t="n">
        <v>2705</v>
      </c>
      <c r="J42" s="95" t="n">
        <f aca="false">IFERROR(I42/I$16,0)</f>
        <v>0.215933583459727</v>
      </c>
      <c r="K42" s="94" t="n">
        <v>4709</v>
      </c>
      <c r="L42" s="95" t="n">
        <f aca="false">IFERROR(K42/K$16,0)</f>
        <v>0.115024792984685</v>
      </c>
      <c r="M42" s="94" t="n">
        <v>2885</v>
      </c>
      <c r="N42" s="95" t="n">
        <f aca="false">IFERROR(M42/M$16,0)</f>
        <v>0.0629596490845209</v>
      </c>
      <c r="O42" s="94" t="n">
        <v>3340</v>
      </c>
      <c r="P42" s="95" t="n">
        <f aca="false">IFERROR(O42/O$16,0)</f>
        <v>0.100997883277895</v>
      </c>
      <c r="Q42" s="94" t="n">
        <v>2979</v>
      </c>
      <c r="R42" s="95" t="n">
        <f aca="false">IFERROR(Q42/Q$16,0)</f>
        <v>0.119155233790648</v>
      </c>
      <c r="S42" s="94" t="n">
        <v>2857</v>
      </c>
      <c r="T42" s="95" t="n">
        <f aca="false">IFERROR(S42/S$16,0)</f>
        <v>0.114275428982841</v>
      </c>
      <c r="U42" s="94" t="n">
        <v>2748</v>
      </c>
      <c r="V42" s="95" t="n">
        <f aca="false">IFERROR(U42/U$16,0)</f>
        <v>0.1374</v>
      </c>
      <c r="W42" s="94" t="n">
        <v>2707</v>
      </c>
      <c r="X42" s="95" t="n">
        <f aca="false">IFERROR(W42/W$16,0)</f>
        <v>0.13535</v>
      </c>
      <c r="Y42" s="94" t="n">
        <v>2718</v>
      </c>
      <c r="Z42" s="95" t="n">
        <f aca="false">IFERROR(Y42/Y$16,0)</f>
        <v>0.0776593616960485</v>
      </c>
      <c r="AB42" s="94" t="n">
        <f aca="false">SUM(C42,E42,G42,I42,K42,M42,O42,Q42,S42,U42,W42,Y42)</f>
        <v>40282</v>
      </c>
      <c r="AC42" s="95" t="n">
        <f aca="false">IFERROR(AB42/AB$16,0)</f>
        <v>0.114445628240642</v>
      </c>
    </row>
    <row r="43" customFormat="false" ht="15" hidden="false" customHeight="false" outlineLevel="0" collapsed="false">
      <c r="A43" s="93" t="s">
        <v>232</v>
      </c>
      <c r="C43" s="94" t="n">
        <v>0</v>
      </c>
      <c r="D43" s="95" t="n">
        <f aca="false">IFERROR(C43/C$16,0)</f>
        <v>0</v>
      </c>
      <c r="E43" s="94" t="n">
        <v>0</v>
      </c>
      <c r="F43" s="95" t="n">
        <f aca="false">IFERROR(E43/E$16,0)</f>
        <v>0</v>
      </c>
      <c r="G43" s="94" t="n">
        <v>520</v>
      </c>
      <c r="H43" s="95" t="n">
        <f aca="false">IFERROR(G43/G$16,0)</f>
        <v>0.0130636854666499</v>
      </c>
      <c r="I43" s="94" t="n">
        <v>1875</v>
      </c>
      <c r="J43" s="95" t="n">
        <f aca="false">IFERROR(I43/I$16,0)</f>
        <v>0.149676698331604</v>
      </c>
      <c r="K43" s="94" t="n">
        <v>0</v>
      </c>
      <c r="L43" s="95" t="n">
        <f aca="false">IFERROR(K43/K$16,0)</f>
        <v>0</v>
      </c>
      <c r="M43" s="94" t="n">
        <v>0</v>
      </c>
      <c r="N43" s="95" t="n">
        <f aca="false">IFERROR(M43/M$16,0)</f>
        <v>0</v>
      </c>
      <c r="O43" s="94" t="n">
        <v>0</v>
      </c>
      <c r="P43" s="95" t="n">
        <f aca="false">IFERROR(O43/O$16,0)</f>
        <v>0</v>
      </c>
      <c r="Q43" s="94" t="n">
        <v>0</v>
      </c>
      <c r="R43" s="95" t="n">
        <f aca="false">IFERROR(Q43/Q$16,0)</f>
        <v>0</v>
      </c>
      <c r="S43" s="94" t="n">
        <v>0</v>
      </c>
      <c r="T43" s="95" t="n">
        <f aca="false">IFERROR(S43/S$16,0)</f>
        <v>0</v>
      </c>
      <c r="U43" s="94" t="n">
        <v>0</v>
      </c>
      <c r="V43" s="95" t="n">
        <f aca="false">IFERROR(U43/U$16,0)</f>
        <v>0</v>
      </c>
      <c r="W43" s="94" t="n">
        <v>0</v>
      </c>
      <c r="X43" s="95" t="n">
        <f aca="false">IFERROR(W43/W$16,0)</f>
        <v>0</v>
      </c>
      <c r="Y43" s="94" t="n">
        <v>0</v>
      </c>
      <c r="Z43" s="95" t="n">
        <f aca="false">IFERROR(Y43/Y$16,0)</f>
        <v>0</v>
      </c>
      <c r="AB43" s="94" t="n">
        <f aca="false">SUM(C43,E43,G43,I43,K43,M43,O43,Q43,S43,U43,W43,Y43)</f>
        <v>2395</v>
      </c>
      <c r="AC43" s="95" t="n">
        <f aca="false">IFERROR(AB43/AB$16,0)</f>
        <v>0.00680446054407273</v>
      </c>
    </row>
    <row r="44" customFormat="false" ht="15" hidden="false" customHeight="false" outlineLevel="0" collapsed="false">
      <c r="A44" s="92" t="s">
        <v>233</v>
      </c>
      <c r="C44" s="96" t="n">
        <f aca="false">SUM(C39:C43)</f>
        <v>6079</v>
      </c>
      <c r="D44" s="97" t="n">
        <f aca="false">IFERROR(C44/C$16,0)</f>
        <v>0.159478461619183</v>
      </c>
      <c r="E44" s="96" t="n">
        <f aca="false">SUM(E39:E43)</f>
        <v>7312</v>
      </c>
      <c r="F44" s="97" t="n">
        <f aca="false">IFERROR(E44/E$16,0)</f>
        <v>0.438054157680326</v>
      </c>
      <c r="G44" s="96" t="n">
        <f aca="false">SUM(G39:G43)</f>
        <v>11068</v>
      </c>
      <c r="H44" s="97" t="n">
        <f aca="false">IFERROR(G44/G$16,0)</f>
        <v>0.278055520663233</v>
      </c>
      <c r="I44" s="96" t="n">
        <f aca="false">SUM(I39:I43)</f>
        <v>6546</v>
      </c>
      <c r="J44" s="97" t="n">
        <f aca="false">IFERROR(I44/I$16,0)</f>
        <v>0.522551289215295</v>
      </c>
      <c r="K44" s="96" t="n">
        <f aca="false">SUM(K39:K43)</f>
        <v>7775</v>
      </c>
      <c r="L44" s="97" t="n">
        <f aca="false">IFERROR(K44/K$16,0)</f>
        <v>0.189916705342094</v>
      </c>
      <c r="M44" s="96" t="n">
        <f aca="false">SUM(M39:M43)</f>
        <v>4433</v>
      </c>
      <c r="N44" s="97" t="n">
        <f aca="false">IFERROR(M44/M$16,0)</f>
        <v>0.0967418108809986</v>
      </c>
      <c r="O44" s="96" t="n">
        <f aca="false">SUM(O39:O43)</f>
        <v>6721</v>
      </c>
      <c r="P44" s="97" t="n">
        <f aca="false">IFERROR(O44/O$16,0)</f>
        <v>0.203235560931358</v>
      </c>
      <c r="Q44" s="96" t="n">
        <f aca="false">SUM(Q39:Q43)</f>
        <v>6360</v>
      </c>
      <c r="R44" s="97" t="n">
        <f aca="false">IFERROR(Q44/Q$16,0)</f>
        <v>0.254389824407024</v>
      </c>
      <c r="S44" s="96" t="n">
        <f aca="false">SUM(S39:S43)</f>
        <v>6238</v>
      </c>
      <c r="T44" s="97" t="n">
        <f aca="false">IFERROR(S44/S$16,0)</f>
        <v>0.249510019599216</v>
      </c>
      <c r="U44" s="96" t="n">
        <f aca="false">SUM(U39:U43)</f>
        <v>6129</v>
      </c>
      <c r="V44" s="97" t="n">
        <f aca="false">IFERROR(U44/U$16,0)</f>
        <v>0.30645</v>
      </c>
      <c r="W44" s="96" t="n">
        <f aca="false">SUM(W39:W43)</f>
        <v>6088</v>
      </c>
      <c r="X44" s="97" t="n">
        <f aca="false">IFERROR(W44/W$16,0)</f>
        <v>0.3044</v>
      </c>
      <c r="Y44" s="96" t="n">
        <f aca="false">SUM(Y39:Y43)</f>
        <v>6099</v>
      </c>
      <c r="Z44" s="97" t="n">
        <f aca="false">IFERROR(Y44/Y$16,0)</f>
        <v>0.174262121774908</v>
      </c>
      <c r="AB44" s="96" t="n">
        <f aca="false">SUM(AB39:AB43)</f>
        <v>80848</v>
      </c>
      <c r="AC44" s="97" t="n">
        <f aca="false">IFERROR(AB44/AB$16,0)</f>
        <v>0.2296981319696</v>
      </c>
    </row>
    <row r="46" customFormat="false" ht="15" hidden="false" customHeight="false" outlineLevel="0" collapsed="false">
      <c r="A46" s="92" t="s">
        <v>234</v>
      </c>
    </row>
    <row r="47" customFormat="false" ht="15" hidden="false" customHeight="false" outlineLevel="0" collapsed="false">
      <c r="A47" s="93" t="s">
        <v>172</v>
      </c>
      <c r="C47" s="94" t="n">
        <v>479</v>
      </c>
      <c r="D47" s="95" t="n">
        <f aca="false">IFERROR(C47/C$16,0)</f>
        <v>0.0125662416706018</v>
      </c>
      <c r="E47" s="94" t="n">
        <v>433</v>
      </c>
      <c r="F47" s="95" t="n">
        <f aca="false">IFERROR(E47/E$16,0)</f>
        <v>0.0259405703330937</v>
      </c>
      <c r="G47" s="94" t="n">
        <v>479</v>
      </c>
      <c r="H47" s="95" t="n">
        <f aca="false">IFERROR(G47/G$16,0)</f>
        <v>0.0120336641125487</v>
      </c>
      <c r="I47" s="94" t="n">
        <v>464</v>
      </c>
      <c r="J47" s="95" t="n">
        <f aca="false">IFERROR(I47/I$16,0)</f>
        <v>0.0370399936137942</v>
      </c>
      <c r="K47" s="94" t="n">
        <v>479</v>
      </c>
      <c r="L47" s="95" t="n">
        <f aca="false">IFERROR(K47/K$16,0)</f>
        <v>0.0117003346442268</v>
      </c>
      <c r="M47" s="94" t="n">
        <v>0</v>
      </c>
      <c r="N47" s="95" t="n">
        <f aca="false">IFERROR(M47/M$16,0)</f>
        <v>0</v>
      </c>
      <c r="O47" s="94" t="n">
        <v>479</v>
      </c>
      <c r="P47" s="95" t="n">
        <f aca="false">IFERROR(O47/O$16,0)</f>
        <v>0.0144844269730874</v>
      </c>
      <c r="Q47" s="94" t="n">
        <v>479</v>
      </c>
      <c r="R47" s="95" t="n">
        <f aca="false">IFERROR(Q47/Q$16,0)</f>
        <v>0.0191592336306548</v>
      </c>
      <c r="S47" s="94" t="n">
        <v>479</v>
      </c>
      <c r="T47" s="95" t="n">
        <f aca="false">IFERROR(S47/S$16,0)</f>
        <v>0.0191592336306548</v>
      </c>
      <c r="U47" s="94" t="n">
        <v>479</v>
      </c>
      <c r="V47" s="95" t="n">
        <f aca="false">IFERROR(U47/U$16,0)</f>
        <v>0.02395</v>
      </c>
      <c r="W47" s="94" t="n">
        <v>479</v>
      </c>
      <c r="X47" s="95" t="n">
        <f aca="false">IFERROR(W47/W$16,0)</f>
        <v>0.02395</v>
      </c>
      <c r="Y47" s="94" t="n">
        <v>479</v>
      </c>
      <c r="Z47" s="95" t="n">
        <f aca="false">IFERROR(Y47/Y$16,0)</f>
        <v>0.0136861053172948</v>
      </c>
      <c r="AB47" s="94" t="n">
        <f aca="false">SUM(C47,E47,G47,I47,K47,M47,O47,Q47,S47,U47,W47,Y47)</f>
        <v>5208</v>
      </c>
      <c r="AC47" s="95" t="n">
        <f aca="false">IFERROR(AB47/AB$16,0)</f>
        <v>0.0147965054336245</v>
      </c>
    </row>
    <row r="48" customFormat="false" ht="15" hidden="false" customHeight="false" outlineLevel="0" collapsed="false">
      <c r="A48" s="93" t="s">
        <v>235</v>
      </c>
      <c r="C48" s="94" t="n">
        <v>2509</v>
      </c>
      <c r="D48" s="95" t="n">
        <f aca="false">IFERROR(C48/C$16,0)</f>
        <v>0.0658219214019623</v>
      </c>
      <c r="E48" s="94" t="n">
        <v>1020</v>
      </c>
      <c r="F48" s="95" t="n">
        <f aca="false">IFERROR(E48/E$16,0)</f>
        <v>0.0611071171818835</v>
      </c>
      <c r="G48" s="94" t="n">
        <v>2388</v>
      </c>
      <c r="H48" s="95" t="n">
        <f aca="false">IFERROR(G48/G$16,0)</f>
        <v>0.0599924632583846</v>
      </c>
      <c r="I48" s="94" t="n">
        <v>736</v>
      </c>
      <c r="J48" s="95" t="n">
        <f aca="false">IFERROR(I48/I$16,0)</f>
        <v>0.0587530933184322</v>
      </c>
      <c r="K48" s="94" t="n">
        <v>2456</v>
      </c>
      <c r="L48" s="95" t="n">
        <f aca="false">IFERROR(K48/K$16,0)</f>
        <v>0.0599916949607953</v>
      </c>
      <c r="M48" s="94" t="n">
        <v>2749</v>
      </c>
      <c r="N48" s="95" t="n">
        <f aca="false">IFERROR(M48/M$16,0)</f>
        <v>0.0599917072212644</v>
      </c>
      <c r="O48" s="94" t="n">
        <v>1984</v>
      </c>
      <c r="P48" s="95" t="n">
        <f aca="false">IFERROR(O48/O$16,0)</f>
        <v>0.0599939522225582</v>
      </c>
      <c r="Q48" s="94" t="n">
        <v>1500</v>
      </c>
      <c r="R48" s="95" t="n">
        <f aca="false">IFERROR(Q48/Q$16,0)</f>
        <v>0.0599976000959962</v>
      </c>
      <c r="S48" s="94" t="n">
        <v>1500</v>
      </c>
      <c r="T48" s="95" t="n">
        <f aca="false">IFERROR(S48/S$16,0)</f>
        <v>0.0599976000959962</v>
      </c>
      <c r="U48" s="94" t="n">
        <v>1200</v>
      </c>
      <c r="V48" s="95" t="n">
        <f aca="false">IFERROR(U48/U$16,0)</f>
        <v>0.06</v>
      </c>
      <c r="W48" s="94" t="n">
        <v>1200</v>
      </c>
      <c r="X48" s="95" t="n">
        <f aca="false">IFERROR(W48/W$16,0)</f>
        <v>0.06</v>
      </c>
      <c r="Y48" s="94" t="n">
        <v>2100</v>
      </c>
      <c r="Z48" s="95" t="n">
        <f aca="false">IFERROR(Y48/Y$16,0)</f>
        <v>0.0600017143346953</v>
      </c>
      <c r="AB48" s="94" t="n">
        <f aca="false">SUM(C48,E48,G48,I48,K48,M48,O48,Q48,S48,U48,W48,Y48)</f>
        <v>21342</v>
      </c>
      <c r="AC48" s="95" t="n">
        <f aca="false">IFERROR(AB48/AB$16,0)</f>
        <v>0.0606349882804176</v>
      </c>
    </row>
    <row r="49" customFormat="false" ht="15" hidden="false" customHeight="false" outlineLevel="0" collapsed="false">
      <c r="A49" s="93" t="s">
        <v>236</v>
      </c>
      <c r="C49" s="94" t="n">
        <v>1669</v>
      </c>
      <c r="D49" s="95" t="n">
        <f aca="false">IFERROR(C49/C$16,0)</f>
        <v>0.0437850884096752</v>
      </c>
      <c r="E49" s="94" t="n">
        <v>223</v>
      </c>
      <c r="F49" s="95" t="n">
        <f aca="false">IFERROR(E49/E$16,0)</f>
        <v>0.0133596932662353</v>
      </c>
      <c r="G49" s="94" t="n">
        <v>627</v>
      </c>
      <c r="H49" s="95" t="n">
        <f aca="false">IFERROR(G49/G$16,0)</f>
        <v>0.0157517899761337</v>
      </c>
      <c r="I49" s="94" t="n">
        <v>-128</v>
      </c>
      <c r="J49" s="95" t="n">
        <f aca="false">IFERROR(I49/I$16,0)</f>
        <v>-0.0102179292727708</v>
      </c>
      <c r="K49" s="94" t="n">
        <v>0</v>
      </c>
      <c r="L49" s="95" t="n">
        <f aca="false">IFERROR(K49/K$16,0)</f>
        <v>0</v>
      </c>
      <c r="M49" s="94" t="n">
        <v>0</v>
      </c>
      <c r="N49" s="95" t="n">
        <f aca="false">IFERROR(M49/M$16,0)</f>
        <v>0</v>
      </c>
      <c r="O49" s="94" t="n">
        <v>661</v>
      </c>
      <c r="P49" s="95" t="n">
        <f aca="false">IFERROR(O49/O$16,0)</f>
        <v>0.0199879044451164</v>
      </c>
      <c r="Q49" s="94" t="n">
        <v>500</v>
      </c>
      <c r="R49" s="95" t="n">
        <f aca="false">IFERROR(Q49/Q$16,0)</f>
        <v>0.0199992000319987</v>
      </c>
      <c r="S49" s="94" t="n">
        <v>500</v>
      </c>
      <c r="T49" s="95" t="n">
        <f aca="false">IFERROR(S49/S$16,0)</f>
        <v>0.0199992000319987</v>
      </c>
      <c r="U49" s="94" t="n">
        <v>400</v>
      </c>
      <c r="V49" s="95" t="n">
        <f aca="false">IFERROR(U49/U$16,0)</f>
        <v>0.02</v>
      </c>
      <c r="W49" s="94" t="n">
        <v>400</v>
      </c>
      <c r="X49" s="95" t="n">
        <f aca="false">IFERROR(W49/W$16,0)</f>
        <v>0.02</v>
      </c>
      <c r="Y49" s="94" t="n">
        <v>700</v>
      </c>
      <c r="Z49" s="95" t="n">
        <f aca="false">IFERROR(Y49/Y$16,0)</f>
        <v>0.0200005714448984</v>
      </c>
      <c r="AB49" s="94" t="n">
        <f aca="false">SUM(C49,E49,G49,I49,K49,M49,O49,Q49,S49,U49,W49,Y49)</f>
        <v>5552</v>
      </c>
      <c r="AC49" s="95" t="n">
        <f aca="false">IFERROR(AB49/AB$16,0)</f>
        <v>0.0157738475744016</v>
      </c>
    </row>
    <row r="50" customFormat="false" ht="15" hidden="false" customHeight="false" outlineLevel="0" collapsed="false">
      <c r="A50" s="93" t="s">
        <v>237</v>
      </c>
      <c r="C50" s="94" t="n">
        <v>4000</v>
      </c>
      <c r="D50" s="95" t="n">
        <f aca="false">IFERROR(C50/C$16,0)</f>
        <v>0.104937299963272</v>
      </c>
      <c r="E50" s="94" t="n">
        <v>4000</v>
      </c>
      <c r="F50" s="95" t="n">
        <f aca="false">IFERROR(E50/E$16,0)</f>
        <v>0.239635753654445</v>
      </c>
      <c r="G50" s="94" t="n">
        <v>4000</v>
      </c>
      <c r="H50" s="95" t="n">
        <f aca="false">IFERROR(G50/G$16,0)</f>
        <v>0.100489888204999</v>
      </c>
      <c r="I50" s="94" t="n">
        <v>4000</v>
      </c>
      <c r="J50" s="95" t="n">
        <f aca="false">IFERROR(I50/I$16,0)</f>
        <v>0.319310289774088</v>
      </c>
      <c r="K50" s="94" t="n">
        <v>4000</v>
      </c>
      <c r="L50" s="95" t="n">
        <f aca="false">IFERROR(K50/K$16,0)</f>
        <v>0.0977063435843572</v>
      </c>
      <c r="M50" s="94" t="n">
        <v>4000</v>
      </c>
      <c r="N50" s="95" t="n">
        <f aca="false">IFERROR(M50/M$16,0)</f>
        <v>0.0872924077428366</v>
      </c>
      <c r="O50" s="94" t="n">
        <v>4000</v>
      </c>
      <c r="P50" s="95" t="n">
        <f aca="false">IFERROR(O50/O$16,0)</f>
        <v>0.120955548835803</v>
      </c>
      <c r="Q50" s="94" t="n">
        <v>4000</v>
      </c>
      <c r="R50" s="95" t="n">
        <f aca="false">IFERROR(Q50/Q$16,0)</f>
        <v>0.15999360025599</v>
      </c>
      <c r="S50" s="94" t="n">
        <v>4000</v>
      </c>
      <c r="T50" s="95" t="n">
        <f aca="false">IFERROR(S50/S$16,0)</f>
        <v>0.15999360025599</v>
      </c>
      <c r="U50" s="94" t="n">
        <v>4000</v>
      </c>
      <c r="V50" s="95" t="n">
        <f aca="false">IFERROR(U50/U$16,0)</f>
        <v>0.2</v>
      </c>
      <c r="W50" s="94" t="n">
        <v>4000</v>
      </c>
      <c r="X50" s="95" t="n">
        <f aca="false">IFERROR(W50/W$16,0)</f>
        <v>0.2</v>
      </c>
      <c r="Y50" s="94" t="n">
        <v>4000</v>
      </c>
      <c r="Z50" s="95" t="n">
        <f aca="false">IFERROR(Y50/Y$16,0)</f>
        <v>0.114288979685134</v>
      </c>
      <c r="AB50" s="94" t="n">
        <f aca="false">SUM(C50,E50,G50,I50,K50,M50,O50,Q50,S50,U50,W50,Y50)</f>
        <v>48000</v>
      </c>
      <c r="AC50" s="95" t="n">
        <f aca="false">IFERROR(AB50/AB$16,0)</f>
        <v>0.13637332196889</v>
      </c>
    </row>
    <row r="51" customFormat="false" ht="15" hidden="false" customHeight="false" outlineLevel="0" collapsed="false">
      <c r="A51" s="93" t="s">
        <v>238</v>
      </c>
      <c r="C51" s="94" t="n">
        <v>0</v>
      </c>
      <c r="D51" s="95" t="n">
        <f aca="false">IFERROR(C51/C$16,0)</f>
        <v>0</v>
      </c>
      <c r="E51" s="94" t="n">
        <v>0</v>
      </c>
      <c r="F51" s="95" t="n">
        <f aca="false">IFERROR(E51/E$16,0)</f>
        <v>0</v>
      </c>
      <c r="G51" s="94" t="n">
        <v>0</v>
      </c>
      <c r="H51" s="95" t="n">
        <f aca="false">IFERROR(G51/G$16,0)</f>
        <v>0</v>
      </c>
      <c r="I51" s="94" t="n">
        <v>0</v>
      </c>
      <c r="J51" s="95" t="n">
        <f aca="false">IFERROR(I51/I$16,0)</f>
        <v>0</v>
      </c>
      <c r="K51" s="94" t="n">
        <v>0</v>
      </c>
      <c r="L51" s="95" t="n">
        <f aca="false">IFERROR(K51/K$16,0)</f>
        <v>0</v>
      </c>
      <c r="M51" s="94" t="n">
        <v>0</v>
      </c>
      <c r="N51" s="95" t="n">
        <f aca="false">IFERROR(M51/M$16,0)</f>
        <v>0</v>
      </c>
      <c r="O51" s="94" t="n">
        <v>0</v>
      </c>
      <c r="P51" s="95" t="n">
        <f aca="false">IFERROR(O51/O$16,0)</f>
        <v>0</v>
      </c>
      <c r="Q51" s="94" t="n">
        <v>0</v>
      </c>
      <c r="R51" s="95" t="n">
        <f aca="false">IFERROR(Q51/Q$16,0)</f>
        <v>0</v>
      </c>
      <c r="S51" s="94" t="n">
        <v>0</v>
      </c>
      <c r="T51" s="95" t="n">
        <f aca="false">IFERROR(S51/S$16,0)</f>
        <v>0</v>
      </c>
      <c r="U51" s="94" t="n">
        <v>0</v>
      </c>
      <c r="V51" s="95" t="n">
        <f aca="false">IFERROR(U51/U$16,0)</f>
        <v>0</v>
      </c>
      <c r="W51" s="94" t="n">
        <v>0</v>
      </c>
      <c r="X51" s="95" t="n">
        <f aca="false">IFERROR(W51/W$16,0)</f>
        <v>0</v>
      </c>
      <c r="Y51" s="94" t="n">
        <v>0</v>
      </c>
      <c r="Z51" s="95" t="n">
        <f aca="false">IFERROR(Y51/Y$16,0)</f>
        <v>0</v>
      </c>
      <c r="AB51" s="94" t="n">
        <f aca="false">SUM(C51,E51,G51,I51,K51,M51,O51,Q51,S51,U51,W51,Y51)</f>
        <v>0</v>
      </c>
      <c r="AC51" s="95" t="n">
        <f aca="false">IFERROR(AB51/AB$16,0)</f>
        <v>0</v>
      </c>
    </row>
    <row r="52" customFormat="false" ht="15" hidden="false" customHeight="false" outlineLevel="0" collapsed="false">
      <c r="A52" s="93" t="s">
        <v>239</v>
      </c>
      <c r="C52" s="94" t="n">
        <v>0</v>
      </c>
      <c r="D52" s="95" t="n">
        <f aca="false">IFERROR(C52/C$16,0)</f>
        <v>0</v>
      </c>
      <c r="E52" s="94" t="n">
        <v>0</v>
      </c>
      <c r="F52" s="95" t="n">
        <f aca="false">IFERROR(E52/E$16,0)</f>
        <v>0</v>
      </c>
      <c r="G52" s="94" t="n">
        <v>0</v>
      </c>
      <c r="H52" s="95" t="n">
        <f aca="false">IFERROR(G52/G$16,0)</f>
        <v>0</v>
      </c>
      <c r="I52" s="94" t="n">
        <v>0</v>
      </c>
      <c r="J52" s="95" t="n">
        <f aca="false">IFERROR(I52/I$16,0)</f>
        <v>0</v>
      </c>
      <c r="K52" s="94" t="n">
        <v>0</v>
      </c>
      <c r="L52" s="95" t="n">
        <f aca="false">IFERROR(K52/K$16,0)</f>
        <v>0</v>
      </c>
      <c r="M52" s="94" t="n">
        <v>0</v>
      </c>
      <c r="N52" s="95" t="n">
        <f aca="false">IFERROR(M52/M$16,0)</f>
        <v>0</v>
      </c>
      <c r="O52" s="94" t="n">
        <v>0</v>
      </c>
      <c r="P52" s="95" t="n">
        <f aca="false">IFERROR(O52/O$16,0)</f>
        <v>0</v>
      </c>
      <c r="Q52" s="94" t="n">
        <v>0</v>
      </c>
      <c r="R52" s="95" t="n">
        <f aca="false">IFERROR(Q52/Q$16,0)</f>
        <v>0</v>
      </c>
      <c r="S52" s="94" t="n">
        <v>0</v>
      </c>
      <c r="T52" s="95" t="n">
        <f aca="false">IFERROR(S52/S$16,0)</f>
        <v>0</v>
      </c>
      <c r="U52" s="94" t="n">
        <v>0</v>
      </c>
      <c r="V52" s="95" t="n">
        <f aca="false">IFERROR(U52/U$16,0)</f>
        <v>0</v>
      </c>
      <c r="W52" s="94" t="n">
        <v>0</v>
      </c>
      <c r="X52" s="95" t="n">
        <f aca="false">IFERROR(W52/W$16,0)</f>
        <v>0</v>
      </c>
      <c r="Y52" s="94" t="n">
        <v>0</v>
      </c>
      <c r="Z52" s="95" t="n">
        <f aca="false">IFERROR(Y52/Y$16,0)</f>
        <v>0</v>
      </c>
      <c r="AB52" s="94" t="n">
        <f aca="false">SUM(C52,E52,G52,I52,K52,M52,O52,Q52,S52,U52,W52,Y52)</f>
        <v>0</v>
      </c>
      <c r="AC52" s="95" t="n">
        <f aca="false">IFERROR(AB52/AB$16,0)</f>
        <v>0</v>
      </c>
    </row>
    <row r="53" customFormat="false" ht="15" hidden="false" customHeight="false" outlineLevel="0" collapsed="false">
      <c r="A53" s="92" t="s">
        <v>240</v>
      </c>
      <c r="C53" s="96" t="n">
        <f aca="false">SUM(C47:C52)</f>
        <v>8657</v>
      </c>
      <c r="D53" s="97" t="n">
        <f aca="false">IFERROR(C53/C$16,0)</f>
        <v>0.227110551445511</v>
      </c>
      <c r="E53" s="96" t="n">
        <f aca="false">SUM(E47:E52)</f>
        <v>5676</v>
      </c>
      <c r="F53" s="97" t="n">
        <f aca="false">IFERROR(E53/E$16,0)</f>
        <v>0.340043134435658</v>
      </c>
      <c r="G53" s="96" t="n">
        <f aca="false">SUM(G47:G52)</f>
        <v>7494</v>
      </c>
      <c r="H53" s="97" t="n">
        <f aca="false">IFERROR(G53/G$16,0)</f>
        <v>0.188267805552066</v>
      </c>
      <c r="I53" s="96" t="n">
        <f aca="false">SUM(I47:I52)</f>
        <v>5072</v>
      </c>
      <c r="J53" s="97" t="n">
        <f aca="false">IFERROR(I53/I$16,0)</f>
        <v>0.404885447433544</v>
      </c>
      <c r="K53" s="96" t="n">
        <f aca="false">SUM(K47:K52)</f>
        <v>6935</v>
      </c>
      <c r="L53" s="97" t="n">
        <f aca="false">IFERROR(K53/K$16,0)</f>
        <v>0.169398373189379</v>
      </c>
      <c r="M53" s="96" t="n">
        <f aca="false">SUM(M47:M52)</f>
        <v>6749</v>
      </c>
      <c r="N53" s="97" t="n">
        <f aca="false">IFERROR(M53/M$16,0)</f>
        <v>0.147284114964101</v>
      </c>
      <c r="O53" s="96" t="n">
        <f aca="false">SUM(O47:O52)</f>
        <v>7124</v>
      </c>
      <c r="P53" s="97" t="n">
        <f aca="false">IFERROR(O53/O$16,0)</f>
        <v>0.215421832476565</v>
      </c>
      <c r="Q53" s="96" t="n">
        <f aca="false">SUM(Q47:Q52)</f>
        <v>6479</v>
      </c>
      <c r="R53" s="97" t="n">
        <f aca="false">IFERROR(Q53/Q$16,0)</f>
        <v>0.259149634014639</v>
      </c>
      <c r="S53" s="96" t="n">
        <f aca="false">SUM(S47:S52)</f>
        <v>6479</v>
      </c>
      <c r="T53" s="97" t="n">
        <f aca="false">IFERROR(S53/S$16,0)</f>
        <v>0.259149634014639</v>
      </c>
      <c r="U53" s="96" t="n">
        <f aca="false">SUM(U47:U52)</f>
        <v>6079</v>
      </c>
      <c r="V53" s="97" t="n">
        <f aca="false">IFERROR(U53/U$16,0)</f>
        <v>0.30395</v>
      </c>
      <c r="W53" s="96" t="n">
        <f aca="false">SUM(W47:W52)</f>
        <v>6079</v>
      </c>
      <c r="X53" s="97" t="n">
        <f aca="false">IFERROR(W53/W$16,0)</f>
        <v>0.30395</v>
      </c>
      <c r="Y53" s="96" t="n">
        <f aca="false">SUM(Y47:Y52)</f>
        <v>7279</v>
      </c>
      <c r="Z53" s="97" t="n">
        <f aca="false">IFERROR(Y53/Y$16,0)</f>
        <v>0.207977370782022</v>
      </c>
      <c r="AB53" s="96" t="n">
        <f aca="false">SUM(AB47:AB52)</f>
        <v>80102</v>
      </c>
      <c r="AC53" s="97" t="n">
        <f aca="false">IFERROR(AB53/AB$16,0)</f>
        <v>0.227578663257334</v>
      </c>
    </row>
    <row r="55" customFormat="false" ht="15" hidden="false" customHeight="false" outlineLevel="0" collapsed="false">
      <c r="A55" s="92" t="s">
        <v>241</v>
      </c>
      <c r="C55" s="96" t="n">
        <f aca="false">C36-C44-C53</f>
        <v>-1215</v>
      </c>
      <c r="D55" s="97" t="n">
        <f aca="false">IFERROR(C55/C$16,0)</f>
        <v>-0.0318747048638439</v>
      </c>
      <c r="E55" s="96" t="n">
        <f aca="false">E36-E44-E53</f>
        <v>-13865</v>
      </c>
      <c r="F55" s="97" t="n">
        <f aca="false">IFERROR(E55/E$16,0)</f>
        <v>-0.830637431104721</v>
      </c>
      <c r="G55" s="96" t="n">
        <f aca="false">G36-G44-G53</f>
        <v>-6757</v>
      </c>
      <c r="H55" s="97" t="n">
        <f aca="false">IFERROR(G55/G$16,0)</f>
        <v>-0.169752543650295</v>
      </c>
      <c r="I55" s="96" t="n">
        <f aca="false">I36-I44-I53</f>
        <v>-6198</v>
      </c>
      <c r="J55" s="97" t="n">
        <f aca="false">IFERROR(I55/I$16,0)</f>
        <v>-0.494771294004949</v>
      </c>
      <c r="K55" s="96" t="n">
        <f aca="false">K36-K44-K53</f>
        <v>492</v>
      </c>
      <c r="L55" s="97" t="n">
        <f aca="false">IFERROR(K55/K$16,0)</f>
        <v>0.0120178802608759</v>
      </c>
      <c r="M55" s="96" t="n">
        <f aca="false">M36-M44-M53</f>
        <v>4865</v>
      </c>
      <c r="N55" s="97" t="n">
        <f aca="false">IFERROR(M55/M$16,0)</f>
        <v>0.106169390917225</v>
      </c>
      <c r="O55" s="96" t="n">
        <f aca="false">O36-O44-O53</f>
        <v>3838</v>
      </c>
      <c r="P55" s="97" t="n">
        <f aca="false">IFERROR(O55/O$16,0)</f>
        <v>0.116056849107953</v>
      </c>
      <c r="Q55" s="96" t="n">
        <f aca="false">Q36-Q44-Q53</f>
        <v>1619</v>
      </c>
      <c r="R55" s="97" t="n">
        <f aca="false">IFERROR(Q55/Q$16,0)</f>
        <v>0.0647574097036119</v>
      </c>
      <c r="S55" s="96" t="n">
        <f aca="false">S36-S44-S53</f>
        <v>1741</v>
      </c>
      <c r="T55" s="97" t="n">
        <f aca="false">IFERROR(S55/S$16,0)</f>
        <v>0.0696372145114196</v>
      </c>
      <c r="U55" s="96" t="n">
        <f aca="false">U36-U44-U53</f>
        <v>-1037</v>
      </c>
      <c r="V55" s="97" t="n">
        <f aca="false">IFERROR(U55/U$16,0)</f>
        <v>-0.05185</v>
      </c>
      <c r="W55" s="96" t="n">
        <f aca="false">W36-W44-W53</f>
        <v>-996</v>
      </c>
      <c r="X55" s="97" t="n">
        <f aca="false">IFERROR(W55/W$16,0)</f>
        <v>-0.0498</v>
      </c>
      <c r="Y55" s="96" t="n">
        <f aca="false">Y36-Y44-Y53</f>
        <v>7650</v>
      </c>
      <c r="Z55" s="97" t="n">
        <f aca="false">IFERROR(Y55/Y$16,0)</f>
        <v>0.218577673647819</v>
      </c>
      <c r="AB55" s="96" t="n">
        <f aca="false">AB36-AB44-AB53</f>
        <v>-9863</v>
      </c>
      <c r="AC55" s="97" t="n">
        <f aca="false">IFERROR(AB55/AB$16,0)</f>
        <v>-0.0280218765537325</v>
      </c>
    </row>
    <row r="57" customFormat="false" ht="15" hidden="false" customHeight="false" outlineLevel="0" collapsed="false">
      <c r="A57" s="93" t="s">
        <v>242</v>
      </c>
      <c r="C57" s="94" t="n">
        <v>0</v>
      </c>
      <c r="D57" s="95" t="n">
        <f aca="false">IFERROR(C57/C$16,0)</f>
        <v>0</v>
      </c>
      <c r="E57" s="94" t="n">
        <v>0</v>
      </c>
      <c r="F57" s="95" t="n">
        <f aca="false">IFERROR(E57/E$16,0)</f>
        <v>0</v>
      </c>
      <c r="G57" s="94" t="n">
        <v>0</v>
      </c>
      <c r="H57" s="95" t="n">
        <f aca="false">IFERROR(G57/G$16,0)</f>
        <v>0</v>
      </c>
      <c r="I57" s="94" t="n">
        <v>0</v>
      </c>
      <c r="J57" s="95" t="n">
        <f aca="false">IFERROR(I57/I$16,0)</f>
        <v>0</v>
      </c>
      <c r="K57" s="94" t="n">
        <v>0</v>
      </c>
      <c r="L57" s="95" t="n">
        <f aca="false">IFERROR(K57/K$16,0)</f>
        <v>0</v>
      </c>
      <c r="M57" s="94" t="n">
        <v>0</v>
      </c>
      <c r="N57" s="95" t="n">
        <f aca="false">IFERROR(M57/M$16,0)</f>
        <v>0</v>
      </c>
      <c r="O57" s="94" t="n">
        <v>0</v>
      </c>
      <c r="P57" s="95" t="n">
        <f aca="false">IFERROR(O57/O$16,0)</f>
        <v>0</v>
      </c>
      <c r="Q57" s="94" t="n">
        <v>0</v>
      </c>
      <c r="R57" s="95" t="n">
        <f aca="false">IFERROR(Q57/Q$16,0)</f>
        <v>0</v>
      </c>
      <c r="S57" s="94" t="n">
        <v>0</v>
      </c>
      <c r="T57" s="95" t="n">
        <f aca="false">IFERROR(S57/S$16,0)</f>
        <v>0</v>
      </c>
      <c r="U57" s="94" t="n">
        <v>0</v>
      </c>
      <c r="V57" s="95" t="n">
        <f aca="false">IFERROR(U57/U$16,0)</f>
        <v>0</v>
      </c>
      <c r="W57" s="94" t="n">
        <v>0</v>
      </c>
      <c r="X57" s="95" t="n">
        <f aca="false">IFERROR(W57/W$16,0)</f>
        <v>0</v>
      </c>
      <c r="Y57" s="94" t="n">
        <v>0</v>
      </c>
      <c r="Z57" s="95" t="n">
        <f aca="false">IFERROR(Y57/Y$16,0)</f>
        <v>0</v>
      </c>
      <c r="AB57" s="94" t="n">
        <f aca="false">SUM(C57,E57,G57,I57,K57,M57,O57,Q57,S57,U57,W57,Y57)</f>
        <v>0</v>
      </c>
      <c r="AC57" s="95" t="n">
        <f aca="false">IFERROR(AB57/AB$16,0)</f>
        <v>0</v>
      </c>
    </row>
    <row r="59" customFormat="false" ht="15" hidden="false" customHeight="false" outlineLevel="0" collapsed="false">
      <c r="A59" s="92" t="s">
        <v>243</v>
      </c>
      <c r="C59" s="98" t="n">
        <f aca="false">C55-C57</f>
        <v>-1215</v>
      </c>
      <c r="D59" s="99" t="n">
        <f aca="false">IFERROR(C59/C$16,0)</f>
        <v>-0.0318747048638439</v>
      </c>
      <c r="E59" s="98" t="n">
        <f aca="false">E55-E57</f>
        <v>-13865</v>
      </c>
      <c r="F59" s="99" t="n">
        <f aca="false">IFERROR(E59/E$16,0)</f>
        <v>-0.830637431104721</v>
      </c>
      <c r="G59" s="98" t="n">
        <f aca="false">G55-G57</f>
        <v>-6757</v>
      </c>
      <c r="H59" s="99" t="n">
        <f aca="false">IFERROR(G59/G$16,0)</f>
        <v>-0.169752543650295</v>
      </c>
      <c r="I59" s="98" t="n">
        <f aca="false">I55-I57</f>
        <v>-6198</v>
      </c>
      <c r="J59" s="99" t="n">
        <f aca="false">IFERROR(I59/I$16,0)</f>
        <v>-0.494771294004949</v>
      </c>
      <c r="K59" s="98" t="n">
        <f aca="false">K55-K57</f>
        <v>492</v>
      </c>
      <c r="L59" s="99" t="n">
        <f aca="false">IFERROR(K59/K$16,0)</f>
        <v>0.0120178802608759</v>
      </c>
      <c r="M59" s="98" t="n">
        <f aca="false">M55-M57</f>
        <v>4865</v>
      </c>
      <c r="N59" s="99" t="n">
        <f aca="false">IFERROR(M59/M$16,0)</f>
        <v>0.106169390917225</v>
      </c>
      <c r="O59" s="98" t="n">
        <f aca="false">O55-O57</f>
        <v>3838</v>
      </c>
      <c r="P59" s="99" t="n">
        <f aca="false">IFERROR(O59/O$16,0)</f>
        <v>0.116056849107953</v>
      </c>
      <c r="Q59" s="98" t="n">
        <f aca="false">Q55-Q57</f>
        <v>1619</v>
      </c>
      <c r="R59" s="99" t="n">
        <f aca="false">IFERROR(Q59/Q$16,0)</f>
        <v>0.0647574097036119</v>
      </c>
      <c r="S59" s="98" t="n">
        <f aca="false">S55-S57</f>
        <v>1741</v>
      </c>
      <c r="T59" s="99" t="n">
        <f aca="false">IFERROR(S59/S$16,0)</f>
        <v>0.0696372145114196</v>
      </c>
      <c r="U59" s="98" t="n">
        <f aca="false">U55-U57</f>
        <v>-1037</v>
      </c>
      <c r="V59" s="99" t="n">
        <f aca="false">IFERROR(U59/U$16,0)</f>
        <v>-0.05185</v>
      </c>
      <c r="W59" s="98" t="n">
        <f aca="false">W55-W57</f>
        <v>-996</v>
      </c>
      <c r="X59" s="99" t="n">
        <f aca="false">IFERROR(W59/W$16,0)</f>
        <v>-0.0498</v>
      </c>
      <c r="Y59" s="98" t="n">
        <f aca="false">Y55-Y57</f>
        <v>7650</v>
      </c>
      <c r="Z59" s="99" t="n">
        <f aca="false">IFERROR(Y59/Y$16,0)</f>
        <v>0.218577673647819</v>
      </c>
      <c r="AB59" s="98" t="n">
        <f aca="false">AB55-AB57</f>
        <v>-9863</v>
      </c>
      <c r="AC59" s="99" t="n">
        <f aca="false">IFERROR(AB59/AB$16,0)</f>
        <v>-0.0280218765537325</v>
      </c>
    </row>
    <row r="61" customFormat="false" ht="15" hidden="false" customHeight="false" outlineLevel="0" collapsed="false">
      <c r="A61" s="93" t="s">
        <v>244</v>
      </c>
      <c r="C61" s="94" t="n">
        <v>0</v>
      </c>
      <c r="D61" s="95" t="n">
        <f aca="false">IFERROR(C61/C$16,0)</f>
        <v>0</v>
      </c>
      <c r="E61" s="94" t="n">
        <v>0</v>
      </c>
      <c r="F61" s="95" t="n">
        <f aca="false">IFERROR(E61/E$16,0)</f>
        <v>0</v>
      </c>
      <c r="G61" s="94" t="n">
        <v>0</v>
      </c>
      <c r="H61" s="95" t="n">
        <f aca="false">IFERROR(G61/G$16,0)</f>
        <v>0</v>
      </c>
      <c r="I61" s="94" t="n">
        <v>0</v>
      </c>
      <c r="J61" s="95" t="n">
        <f aca="false">IFERROR(I61/I$16,0)</f>
        <v>0</v>
      </c>
      <c r="K61" s="94" t="n">
        <v>0</v>
      </c>
      <c r="L61" s="95" t="n">
        <f aca="false">IFERROR(K61/K$16,0)</f>
        <v>0</v>
      </c>
      <c r="M61" s="94" t="n">
        <v>0</v>
      </c>
      <c r="N61" s="95" t="n">
        <f aca="false">IFERROR(M61/M$16,0)</f>
        <v>0</v>
      </c>
      <c r="O61" s="94" t="n">
        <v>0</v>
      </c>
      <c r="P61" s="95" t="n">
        <f aca="false">IFERROR(O61/O$16,0)</f>
        <v>0</v>
      </c>
      <c r="Q61" s="94" t="n">
        <v>0</v>
      </c>
      <c r="R61" s="95" t="n">
        <f aca="false">IFERROR(Q61/Q$16,0)</f>
        <v>0</v>
      </c>
      <c r="S61" s="94" t="n">
        <v>0</v>
      </c>
      <c r="T61" s="95" t="n">
        <f aca="false">IFERROR(S61/S$16,0)</f>
        <v>0</v>
      </c>
      <c r="U61" s="94" t="n">
        <v>0</v>
      </c>
      <c r="V61" s="95" t="n">
        <f aca="false">IFERROR(U61/U$16,0)</f>
        <v>0</v>
      </c>
      <c r="W61" s="94" t="n">
        <v>0</v>
      </c>
      <c r="X61" s="95" t="n">
        <f aca="false">IFERROR(W61/W$16,0)</f>
        <v>0</v>
      </c>
      <c r="Y61" s="94" t="n">
        <v>0</v>
      </c>
      <c r="Z61" s="95" t="n">
        <f aca="false">IFERROR(Y61/Y$16,0)</f>
        <v>0</v>
      </c>
      <c r="AB61" s="94" t="n">
        <f aca="false">SUM(C61,E61,G61,I61,K61,M61,O61,Q61,S61,U61,W61,Y61)</f>
        <v>0</v>
      </c>
      <c r="AC61" s="95" t="n">
        <f aca="false">IFERROR(AB61/AB$16,0)</f>
        <v>0</v>
      </c>
    </row>
    <row r="62" customFormat="false" ht="15" hidden="false" customHeight="false" outlineLevel="0" collapsed="false">
      <c r="A62" s="93" t="s">
        <v>245</v>
      </c>
      <c r="C62" s="94" t="n">
        <v>239</v>
      </c>
      <c r="D62" s="95" t="n">
        <f aca="false">IFERROR(C62/C$16,0)</f>
        <v>0.0062700036728055</v>
      </c>
      <c r="E62" s="94" t="n">
        <v>375</v>
      </c>
      <c r="F62" s="95" t="n">
        <f aca="false">IFERROR(E62/E$16,0)</f>
        <v>0.0224658519051042</v>
      </c>
      <c r="G62" s="94" t="n">
        <v>500</v>
      </c>
      <c r="H62" s="95" t="n">
        <f aca="false">IFERROR(G62/G$16,0)</f>
        <v>0.0125612360256249</v>
      </c>
      <c r="I62" s="94" t="n">
        <v>500</v>
      </c>
      <c r="J62" s="95" t="n">
        <f aca="false">IFERROR(I62/I$16,0)</f>
        <v>0.039913786221761</v>
      </c>
      <c r="K62" s="94" t="n">
        <v>409</v>
      </c>
      <c r="L62" s="95" t="n">
        <f aca="false">IFERROR(K62/K$16,0)</f>
        <v>0.00999047363150053</v>
      </c>
      <c r="M62" s="94" t="n">
        <v>458</v>
      </c>
      <c r="N62" s="95" t="n">
        <f aca="false">IFERROR(M62/M$16,0)</f>
        <v>0.00999498068655479</v>
      </c>
      <c r="O62" s="94" t="n">
        <v>409</v>
      </c>
      <c r="P62" s="95" t="n">
        <f aca="false">IFERROR(O62/O$16,0)</f>
        <v>0.0123677048684608</v>
      </c>
      <c r="Q62" s="94" t="n">
        <v>409</v>
      </c>
      <c r="R62" s="95" t="n">
        <f aca="false">IFERROR(Q62/Q$16,0)</f>
        <v>0.016359345626175</v>
      </c>
      <c r="S62" s="94" t="n">
        <v>409</v>
      </c>
      <c r="T62" s="95" t="n">
        <f aca="false">IFERROR(S62/S$16,0)</f>
        <v>0.016359345626175</v>
      </c>
      <c r="U62" s="94" t="n">
        <v>409</v>
      </c>
      <c r="V62" s="95" t="n">
        <f aca="false">IFERROR(U62/U$16,0)</f>
        <v>0.02045</v>
      </c>
      <c r="W62" s="94" t="n">
        <v>409</v>
      </c>
      <c r="X62" s="95" t="n">
        <f aca="false">IFERROR(W62/W$16,0)</f>
        <v>0.02045</v>
      </c>
      <c r="Y62" s="94" t="n">
        <v>409</v>
      </c>
      <c r="Z62" s="95" t="n">
        <f aca="false">IFERROR(Y62/Y$16,0)</f>
        <v>0.0116860481728049</v>
      </c>
      <c r="AB62" s="94" t="n">
        <f aca="false">SUM(C62,E62,G62,I62,K62,M62,O62,Q62,S62,U62,W62,Y62)</f>
        <v>4935</v>
      </c>
      <c r="AC62" s="95" t="n">
        <f aca="false">IFERROR(AB62/AB$16,0)</f>
        <v>0.0140208821649265</v>
      </c>
    </row>
    <row r="63" customFormat="false" ht="15" hidden="false" customHeight="false" outlineLevel="0" collapsed="false">
      <c r="A63" s="92" t="s">
        <v>246</v>
      </c>
      <c r="C63" s="100" t="n">
        <f aca="false">C59-C61-C62</f>
        <v>-1454</v>
      </c>
      <c r="D63" s="101" t="n">
        <f aca="false">IFERROR(C63/C$16,0)</f>
        <v>-0.0381447085366494</v>
      </c>
      <c r="E63" s="100" t="n">
        <f aca="false">E59-E61-E62</f>
        <v>-14240</v>
      </c>
      <c r="F63" s="101" t="n">
        <f aca="false">IFERROR(E63/E$16,0)</f>
        <v>-0.853103283009825</v>
      </c>
      <c r="G63" s="100" t="n">
        <f aca="false">G59-G61-G62</f>
        <v>-7257</v>
      </c>
      <c r="H63" s="101" t="n">
        <f aca="false">IFERROR(G63/G$16,0)</f>
        <v>-0.18231377967592</v>
      </c>
      <c r="I63" s="100" t="n">
        <f aca="false">I59-I61-I62</f>
        <v>-6698</v>
      </c>
      <c r="J63" s="101" t="n">
        <f aca="false">IFERROR(I63/I$16,0)</f>
        <v>-0.53468508022671</v>
      </c>
      <c r="K63" s="100" t="n">
        <f aca="false">K59-K61-K62</f>
        <v>83</v>
      </c>
      <c r="L63" s="101" t="n">
        <f aca="false">IFERROR(K63/K$16,0)</f>
        <v>0.00202740662937541</v>
      </c>
      <c r="M63" s="100" t="n">
        <f aca="false">M59-M61-M62</f>
        <v>4407</v>
      </c>
      <c r="N63" s="101" t="n">
        <f aca="false">IFERROR(M63/M$16,0)</f>
        <v>0.0961744102306702</v>
      </c>
      <c r="O63" s="100" t="n">
        <f aca="false">O59-O61-O62</f>
        <v>3429</v>
      </c>
      <c r="P63" s="101" t="n">
        <f aca="false">IFERROR(O63/O$16,0)</f>
        <v>0.103689144239492</v>
      </c>
      <c r="Q63" s="100" t="n">
        <f aca="false">Q59-Q61-Q62</f>
        <v>1210</v>
      </c>
      <c r="R63" s="101" t="n">
        <f aca="false">IFERROR(Q63/Q$16,0)</f>
        <v>0.0483980640774369</v>
      </c>
      <c r="S63" s="100" t="n">
        <f aca="false">S59-S61-S62</f>
        <v>1332</v>
      </c>
      <c r="T63" s="101" t="n">
        <f aca="false">IFERROR(S63/S$16,0)</f>
        <v>0.0532778688852446</v>
      </c>
      <c r="U63" s="100" t="n">
        <f aca="false">U59-U61-U62</f>
        <v>-1446</v>
      </c>
      <c r="V63" s="101" t="n">
        <f aca="false">IFERROR(U63/U$16,0)</f>
        <v>-0.0723</v>
      </c>
      <c r="W63" s="100" t="n">
        <f aca="false">W59-W61-W62</f>
        <v>-1405</v>
      </c>
      <c r="X63" s="101" t="n">
        <f aca="false">IFERROR(W63/W$16,0)</f>
        <v>-0.07025</v>
      </c>
      <c r="Y63" s="100" t="n">
        <f aca="false">Y59-Y61-Y62</f>
        <v>7241</v>
      </c>
      <c r="Z63" s="101" t="n">
        <f aca="false">IFERROR(Y63/Y$16,0)</f>
        <v>0.206891625475014</v>
      </c>
      <c r="AB63" s="100" t="n">
        <f aca="false">AB59-AB61-AB62</f>
        <v>-14798</v>
      </c>
      <c r="AC63" s="101" t="n">
        <f aca="false">IFERROR(AB63/AB$16,0)</f>
        <v>-0.042042758718659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6" t="s">
        <v>247</v>
      </c>
      <c r="B1" s="46"/>
      <c r="C1" s="46"/>
      <c r="D1" s="46"/>
    </row>
    <row r="2" customFormat="false" ht="15" hidden="false" customHeight="true" outlineLevel="0" collapsed="false">
      <c r="A2" s="47" t="s">
        <v>248</v>
      </c>
      <c r="B2" s="47"/>
      <c r="C2" s="47"/>
      <c r="D2" s="47"/>
    </row>
    <row r="4" customFormat="false" ht="19.5" hidden="false" customHeight="true" outlineLevel="0" collapsed="false">
      <c r="B4" s="64" t="s">
        <v>249</v>
      </c>
      <c r="C4" s="64"/>
      <c r="D4" s="64"/>
    </row>
    <row r="5" customFormat="false" ht="15" hidden="false" customHeight="true" outlineLevel="0" collapsed="false">
      <c r="B5" s="51" t="s">
        <v>250</v>
      </c>
      <c r="C5" s="65" t="n">
        <v>106838.2</v>
      </c>
    </row>
    <row r="6" customFormat="false" ht="15" hidden="false" customHeight="true" outlineLevel="0" collapsed="false">
      <c r="B6" s="51" t="s">
        <v>251</v>
      </c>
      <c r="C6" s="65" t="n">
        <v>131727.36</v>
      </c>
      <c r="D6" s="66" t="s">
        <v>252</v>
      </c>
    </row>
    <row r="7" customFormat="false" ht="15" hidden="false" customHeight="true" outlineLevel="0" collapsed="false">
      <c r="B7" s="51" t="s">
        <v>253</v>
      </c>
      <c r="C7" s="65" t="n">
        <v>13996.3</v>
      </c>
    </row>
    <row r="8" customFormat="false" ht="15" hidden="false" customHeight="true" outlineLevel="0" collapsed="false">
      <c r="B8" s="51" t="s">
        <v>254</v>
      </c>
      <c r="C8" s="65" t="n">
        <v>5847.56</v>
      </c>
    </row>
    <row r="9" customFormat="false" ht="15" hidden="false" customHeight="true" outlineLevel="0" collapsed="false">
      <c r="B9" s="51" t="s">
        <v>255</v>
      </c>
      <c r="C9" s="65" t="n">
        <v>7792.6</v>
      </c>
      <c r="D9" s="1" t="s">
        <v>256</v>
      </c>
    </row>
    <row r="10" customFormat="false" ht="15" hidden="false" customHeight="true" outlineLevel="0" collapsed="false">
      <c r="B10" s="42" t="s">
        <v>144</v>
      </c>
      <c r="C10" s="69" t="n">
        <f aca="false">SUM(C5:C9)</f>
        <v>266202.02</v>
      </c>
    </row>
    <row r="12" customFormat="false" ht="19.5" hidden="false" customHeight="true" outlineLevel="0" collapsed="false">
      <c r="B12" s="64" t="s">
        <v>257</v>
      </c>
      <c r="C12" s="64"/>
      <c r="D12" s="64"/>
    </row>
    <row r="13" customFormat="false" ht="15" hidden="false" customHeight="true" outlineLevel="0" collapsed="false">
      <c r="B13" s="51" t="s">
        <v>258</v>
      </c>
      <c r="C13" s="67" t="n">
        <v>0.4407</v>
      </c>
      <c r="D13" s="1" t="s">
        <v>259</v>
      </c>
    </row>
    <row r="14" customFormat="false" ht="15" hidden="false" customHeight="true" outlineLevel="0" collapsed="false">
      <c r="B14" s="51" t="s">
        <v>260</v>
      </c>
      <c r="C14" s="67" t="n">
        <v>0.2216</v>
      </c>
    </row>
    <row r="15" customFormat="false" ht="15" hidden="false" customHeight="true" outlineLevel="0" collapsed="false">
      <c r="B15" s="51" t="s">
        <v>261</v>
      </c>
      <c r="C15" s="67" t="n">
        <v>0.3328</v>
      </c>
    </row>
    <row r="16" customFormat="false" ht="15" hidden="false" customHeight="true" outlineLevel="0" collapsed="false">
      <c r="B16" s="51" t="s">
        <v>262</v>
      </c>
      <c r="C16" s="67" t="n">
        <v>0</v>
      </c>
      <c r="D16" s="1" t="s">
        <v>263</v>
      </c>
    </row>
    <row r="17" customFormat="false" ht="15" hidden="false" customHeight="true" outlineLevel="0" collapsed="false">
      <c r="B17" s="51" t="s">
        <v>264</v>
      </c>
      <c r="C17" s="67" t="n">
        <v>0</v>
      </c>
      <c r="D17" s="1" t="s">
        <v>265</v>
      </c>
    </row>
    <row r="19" customFormat="false" ht="19.5" hidden="false" customHeight="true" outlineLevel="0" collapsed="false">
      <c r="B19" s="64" t="s">
        <v>266</v>
      </c>
      <c r="C19" s="64"/>
      <c r="D19" s="64"/>
    </row>
    <row r="20" customFormat="false" ht="15" hidden="false" customHeight="true" outlineLevel="0" collapsed="false">
      <c r="B20" s="51" t="s">
        <v>267</v>
      </c>
      <c r="C20" s="68" t="n">
        <v>10</v>
      </c>
      <c r="D20" s="66" t="s">
        <v>268</v>
      </c>
    </row>
    <row r="21" customFormat="false" ht="15" hidden="false" customHeight="true" outlineLevel="0" collapsed="false">
      <c r="B21" s="51" t="s">
        <v>269</v>
      </c>
      <c r="C21" s="68" t="n">
        <f aca="false">2*4/7</f>
        <v>1.14285714285714</v>
      </c>
      <c r="D21" s="66" t="s">
        <v>270</v>
      </c>
    </row>
    <row r="22" customFormat="false" ht="15" hidden="false" customHeight="true" outlineLevel="0" collapsed="false">
      <c r="B22" s="51" t="s">
        <v>271</v>
      </c>
      <c r="C22" s="68" t="n">
        <v>7</v>
      </c>
    </row>
    <row r="23" customFormat="false" ht="15" hidden="false" customHeight="true" outlineLevel="0" collapsed="false">
      <c r="B23" s="51" t="s">
        <v>272</v>
      </c>
      <c r="C23" s="65" t="n">
        <v>20</v>
      </c>
      <c r="D23" s="66" t="s">
        <v>273</v>
      </c>
    </row>
    <row r="24" customFormat="false" ht="15" hidden="false" customHeight="true" outlineLevel="0" collapsed="false">
      <c r="B24" s="51" t="s">
        <v>122</v>
      </c>
      <c r="C24" s="67" t="n">
        <v>0.16</v>
      </c>
    </row>
    <row r="25" customFormat="false" ht="15" hidden="false" customHeight="true" outlineLevel="0" collapsed="false">
      <c r="B25" s="42" t="s">
        <v>274</v>
      </c>
      <c r="C25" s="69" t="n">
        <f aca="false">(C20+C21)*C22*52*C23*(1+C24)+C26*52*(1+C24)</f>
        <v>111953.92</v>
      </c>
      <c r="D25" s="66" t="s">
        <v>275</v>
      </c>
    </row>
    <row r="26" customFormat="false" ht="15" hidden="false" customHeight="true" outlineLevel="0" collapsed="false">
      <c r="B26" s="51" t="s">
        <v>276</v>
      </c>
      <c r="C26" s="65" t="n">
        <v>296</v>
      </c>
      <c r="D26" s="1" t="s">
        <v>277</v>
      </c>
    </row>
    <row r="27" customFormat="false" ht="19.5" hidden="false" customHeight="true" outlineLevel="0" collapsed="false">
      <c r="B27" s="64" t="s">
        <v>278</v>
      </c>
      <c r="C27" s="64"/>
      <c r="D27" s="64"/>
    </row>
    <row r="28" customFormat="false" ht="15" hidden="false" customHeight="true" outlineLevel="0" collapsed="false">
      <c r="B28" s="51" t="s">
        <v>279</v>
      </c>
      <c r="C28" s="65" t="n">
        <v>164857</v>
      </c>
      <c r="D28" s="66" t="s">
        <v>280</v>
      </c>
    </row>
    <row r="30" customFormat="false" ht="19.5" hidden="false" customHeight="true" outlineLevel="0" collapsed="false">
      <c r="B30" s="64" t="s">
        <v>281</v>
      </c>
      <c r="C30" s="64"/>
      <c r="D30" s="64"/>
    </row>
    <row r="31" customFormat="false" ht="15" hidden="false" customHeight="true" outlineLevel="0" collapsed="false">
      <c r="B31" s="51" t="s">
        <v>127</v>
      </c>
      <c r="C31" s="67" t="n">
        <v>0.025</v>
      </c>
      <c r="D31" s="66" t="s">
        <v>282</v>
      </c>
    </row>
    <row r="32" customFormat="false" ht="15" hidden="false" customHeight="true" outlineLevel="0" collapsed="false">
      <c r="B32" s="51" t="s">
        <v>283</v>
      </c>
      <c r="C32" s="65" t="n">
        <v>89675</v>
      </c>
      <c r="D32" s="66" t="s">
        <v>284</v>
      </c>
    </row>
    <row r="33" customFormat="false" ht="15" hidden="false" customHeight="true" outlineLevel="0" collapsed="false">
      <c r="B33" s="51" t="s">
        <v>97</v>
      </c>
      <c r="C33" s="65" t="n">
        <v>5657</v>
      </c>
      <c r="D33" s="66" t="s">
        <v>285</v>
      </c>
    </row>
    <row r="35" customFormat="false" ht="19.5" hidden="false" customHeight="true" outlineLevel="0" collapsed="false">
      <c r="B35" s="64" t="s">
        <v>286</v>
      </c>
      <c r="C35" s="64"/>
      <c r="D35" s="64"/>
    </row>
    <row r="36" customFormat="false" ht="15" hidden="false" customHeight="true" outlineLevel="0" collapsed="false">
      <c r="B36" s="51" t="s">
        <v>287</v>
      </c>
      <c r="C36" s="65" t="n">
        <v>12000</v>
      </c>
      <c r="D36" s="1" t="s">
        <v>288</v>
      </c>
    </row>
    <row r="37" customFormat="false" ht="15" hidden="false" customHeight="true" outlineLevel="0" collapsed="false">
      <c r="B37" s="51" t="s">
        <v>289</v>
      </c>
      <c r="C37" s="102" t="n">
        <v>0.5</v>
      </c>
      <c r="D37" s="1" t="s">
        <v>290</v>
      </c>
    </row>
    <row r="39" customFormat="false" ht="15" hidden="false" customHeight="true" outlineLevel="0" collapsed="false">
      <c r="B39" s="103" t="s">
        <v>291</v>
      </c>
      <c r="C39" s="103"/>
      <c r="D39" s="103"/>
    </row>
    <row r="40" customFormat="false" ht="15" hidden="false" customHeight="true" outlineLevel="0" collapsed="false">
      <c r="B40" s="51" t="s">
        <v>130</v>
      </c>
      <c r="C40" s="104" t="n">
        <v>0.04</v>
      </c>
      <c r="D40" s="66" t="s">
        <v>292</v>
      </c>
    </row>
    <row r="41" customFormat="false" ht="15" hidden="false" customHeight="true" outlineLevel="0" collapsed="false">
      <c r="B41" s="51" t="s">
        <v>132</v>
      </c>
      <c r="C41" s="104" t="n">
        <v>0.06</v>
      </c>
      <c r="D41" s="66" t="s">
        <v>293</v>
      </c>
    </row>
    <row r="42" customFormat="false" ht="15" hidden="false" customHeight="true" outlineLevel="0" collapsed="false">
      <c r="B42" s="51" t="s">
        <v>294</v>
      </c>
      <c r="C42" s="105" t="n">
        <v>10012</v>
      </c>
      <c r="D42" s="66" t="s">
        <v>295</v>
      </c>
    </row>
    <row r="43" customFormat="false" ht="15" hidden="false" customHeight="true" outlineLevel="0" collapsed="false">
      <c r="B43" s="51" t="s">
        <v>296</v>
      </c>
      <c r="C43" s="105" t="n">
        <f aca="false">'LW Menu Pricing'!$C$53</f>
        <v>17614.35</v>
      </c>
      <c r="D43" s="66" t="s">
        <v>297</v>
      </c>
    </row>
    <row r="44" customFormat="false" ht="15" hidden="false" customHeight="true" outlineLevel="0" collapsed="false">
      <c r="B44" s="51" t="s">
        <v>298</v>
      </c>
      <c r="C44" s="106" t="n">
        <v>1</v>
      </c>
      <c r="D44" s="66" t="s">
        <v>299</v>
      </c>
    </row>
    <row r="45" customFormat="false" ht="15" hidden="false" customHeight="true" outlineLevel="0" collapsed="false">
      <c r="B45" s="51" t="s">
        <v>300</v>
      </c>
      <c r="C45" s="105" t="n">
        <v>12880</v>
      </c>
      <c r="D45" s="66" t="s">
        <v>301</v>
      </c>
    </row>
    <row r="46" customFormat="false" ht="15" hidden="false" customHeight="true" outlineLevel="0" collapsed="false">
      <c r="B46" s="1" t="s">
        <v>302</v>
      </c>
      <c r="C46" s="107" t="n">
        <v>0.5</v>
      </c>
      <c r="D46" s="1" t="s">
        <v>303</v>
      </c>
    </row>
    <row r="47" customFormat="false" ht="15" hidden="false" customHeight="true" outlineLevel="0" collapsed="false">
      <c r="B47" s="1" t="s">
        <v>304</v>
      </c>
      <c r="C47" s="81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3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7"/>
    <col collapsed="false" customWidth="true" hidden="false" outlineLevel="0" max="6" min="6" style="1" width="13"/>
  </cols>
  <sheetData>
    <row r="1" customFormat="false" ht="37.5" hidden="false" customHeight="true" outlineLevel="0" collapsed="false">
      <c r="A1" s="46" t="s">
        <v>305</v>
      </c>
      <c r="B1" s="46"/>
      <c r="C1" s="46"/>
      <c r="D1" s="46"/>
      <c r="E1" s="46"/>
      <c r="F1" s="46"/>
    </row>
    <row r="2" customFormat="false" ht="15" hidden="false" customHeight="true" outlineLevel="0" collapsed="false">
      <c r="A2" s="47" t="s">
        <v>306</v>
      </c>
      <c r="B2" s="47"/>
      <c r="C2" s="47"/>
      <c r="D2" s="47"/>
      <c r="E2" s="47"/>
      <c r="F2" s="47"/>
    </row>
    <row r="4" customFormat="false" ht="18" hidden="false" customHeight="true" outlineLevel="0" collapsed="false">
      <c r="A4" s="17"/>
      <c r="B4" s="108" t="s">
        <v>307</v>
      </c>
      <c r="C4" s="108" t="s">
        <v>52</v>
      </c>
      <c r="D4" s="109" t="s">
        <v>308</v>
      </c>
      <c r="E4" s="109" t="s">
        <v>52</v>
      </c>
      <c r="F4" s="108" t="s">
        <v>22</v>
      </c>
    </row>
    <row r="5" customFormat="false" ht="15" hidden="false" customHeight="true" outlineLevel="0" collapsed="false">
      <c r="A5" s="53" t="s">
        <v>141</v>
      </c>
      <c r="B5" s="54" t="n">
        <f aca="false">'LW Assumptions'!C5</f>
        <v>106838.2</v>
      </c>
      <c r="C5" s="55" t="n">
        <f aca="false">B5/B10</f>
        <v>0.401342559308904</v>
      </c>
      <c r="D5" s="54" t="n">
        <f aca="false">'LW Assumptions'!C5</f>
        <v>106838.2</v>
      </c>
      <c r="E5" s="55" t="n">
        <f aca="false">D5/D10</f>
        <v>0.401342559308904</v>
      </c>
      <c r="F5" s="110" t="n">
        <f aca="false">D5-B5</f>
        <v>0</v>
      </c>
    </row>
    <row r="6" customFormat="false" ht="15" hidden="false" customHeight="true" outlineLevel="0" collapsed="false">
      <c r="A6" s="53" t="s">
        <v>309</v>
      </c>
      <c r="B6" s="54" t="n">
        <f aca="false">'LW Assumptions'!C6</f>
        <v>131727.36</v>
      </c>
      <c r="C6" s="55" t="n">
        <f aca="false">B6/B10</f>
        <v>0.494839821275586</v>
      </c>
      <c r="D6" s="54" t="n">
        <f aca="false">'LW Assumptions'!C6</f>
        <v>131727.36</v>
      </c>
      <c r="E6" s="55" t="n">
        <f aca="false">D6/D10</f>
        <v>0.494839821275586</v>
      </c>
      <c r="F6" s="110" t="n">
        <f aca="false">D6-B6</f>
        <v>0</v>
      </c>
    </row>
    <row r="7" customFormat="false" ht="15" hidden="false" customHeight="true" outlineLevel="0" collapsed="false">
      <c r="A7" s="53" t="s">
        <v>310</v>
      </c>
      <c r="B7" s="54" t="n">
        <f aca="false">'LW Assumptions'!C7</f>
        <v>13996.3</v>
      </c>
      <c r="C7" s="55" t="n">
        <f aca="false">B7/B10</f>
        <v>0.0525777377647247</v>
      </c>
      <c r="D7" s="54" t="n">
        <f aca="false">'LW Assumptions'!C7</f>
        <v>13996.3</v>
      </c>
      <c r="E7" s="55" t="n">
        <f aca="false">D7/D10</f>
        <v>0.0525777377647247</v>
      </c>
      <c r="F7" s="110" t="n">
        <f aca="false">D7-B7</f>
        <v>0</v>
      </c>
    </row>
    <row r="8" customFormat="false" ht="15" hidden="false" customHeight="true" outlineLevel="0" collapsed="false">
      <c r="A8" s="53" t="s">
        <v>311</v>
      </c>
      <c r="B8" s="54" t="n">
        <f aca="false">'LW Assumptions'!C8</f>
        <v>5847.56</v>
      </c>
      <c r="C8" s="55" t="n">
        <f aca="false">B8/B10</f>
        <v>0.0219666251969087</v>
      </c>
      <c r="D8" s="54" t="n">
        <f aca="false">'LW Assumptions'!C8</f>
        <v>5847.56</v>
      </c>
      <c r="E8" s="55" t="n">
        <f aca="false">D8/D10</f>
        <v>0.0219666251969087</v>
      </c>
      <c r="F8" s="110" t="n">
        <f aca="false">D8-B8</f>
        <v>0</v>
      </c>
    </row>
    <row r="9" customFormat="false" ht="15" hidden="false" customHeight="true" outlineLevel="0" collapsed="false">
      <c r="A9" s="53" t="s">
        <v>312</v>
      </c>
      <c r="B9" s="54" t="n">
        <f aca="false">'LW Assumptions'!C9</f>
        <v>7792.6</v>
      </c>
      <c r="C9" s="55" t="n">
        <f aca="false">B9/B10</f>
        <v>0.0292732564538767</v>
      </c>
      <c r="D9" s="54" t="n">
        <f aca="false">'LW Assumptions'!C9</f>
        <v>7792.6</v>
      </c>
      <c r="E9" s="55" t="n">
        <f aca="false">D9/D10</f>
        <v>0.0292732564538767</v>
      </c>
      <c r="F9" s="110" t="n">
        <f aca="false">D9-B9</f>
        <v>0</v>
      </c>
    </row>
    <row r="10" customFormat="false" ht="15" hidden="false" customHeight="true" outlineLevel="0" collapsed="false">
      <c r="A10" s="50" t="s">
        <v>144</v>
      </c>
      <c r="B10" s="43" t="n">
        <f aca="false">SUM(B5:B9)</f>
        <v>266202.02</v>
      </c>
      <c r="C10" s="25" t="n">
        <f aca="false">B10/B10</f>
        <v>1</v>
      </c>
      <c r="D10" s="43" t="n">
        <f aca="false">SUM(D5:D9)</f>
        <v>266202.02</v>
      </c>
      <c r="E10" s="25" t="n">
        <f aca="false">D10/D10</f>
        <v>1</v>
      </c>
      <c r="F10" s="111" t="n">
        <f aca="false">D10-B10</f>
        <v>0</v>
      </c>
    </row>
    <row r="12" customFormat="false" ht="15" hidden="false" customHeight="true" outlineLevel="0" collapsed="false">
      <c r="A12" s="53" t="s">
        <v>313</v>
      </c>
      <c r="B12" s="54" t="n">
        <f aca="false">B5*'LW Assumptions'!C13</f>
        <v>47083.59474</v>
      </c>
      <c r="C12" s="55" t="n">
        <f aca="false">B12/B5</f>
        <v>0.4407</v>
      </c>
      <c r="D12" s="54" t="n">
        <f aca="false">D5*'LW Assumptions'!C13</f>
        <v>47083.59474</v>
      </c>
      <c r="E12" s="55" t="n">
        <f aca="false">D12/D5</f>
        <v>0.4407</v>
      </c>
      <c r="F12" s="110" t="n">
        <f aca="false">D12-B12</f>
        <v>0</v>
      </c>
    </row>
    <row r="13" customFormat="false" ht="15" hidden="false" customHeight="true" outlineLevel="0" collapsed="false">
      <c r="A13" s="53" t="s">
        <v>314</v>
      </c>
      <c r="B13" s="54" t="n">
        <f aca="false">B6*'LW Assumptions'!C14</f>
        <v>29190.782976</v>
      </c>
      <c r="C13" s="55" t="n">
        <f aca="false">B13/B6</f>
        <v>0.2216</v>
      </c>
      <c r="D13" s="54" t="n">
        <f aca="false">D6*'LW Assumptions'!C14</f>
        <v>29190.782976</v>
      </c>
      <c r="E13" s="55" t="n">
        <f aca="false">D13/D6</f>
        <v>0.2216</v>
      </c>
      <c r="F13" s="110" t="n">
        <f aca="false">D13-B13</f>
        <v>0</v>
      </c>
    </row>
    <row r="14" customFormat="false" ht="15" hidden="false" customHeight="true" outlineLevel="0" collapsed="false">
      <c r="A14" s="53" t="s">
        <v>315</v>
      </c>
      <c r="B14" s="54" t="n">
        <f aca="false">B7*'LW Assumptions'!C15</f>
        <v>4657.96864</v>
      </c>
      <c r="C14" s="55" t="n">
        <f aca="false">B14/B7</f>
        <v>0.3328</v>
      </c>
      <c r="D14" s="54" t="n">
        <f aca="false">D7*'LW Assumptions'!C15</f>
        <v>4657.96864</v>
      </c>
      <c r="E14" s="55" t="n">
        <f aca="false">D14/D7</f>
        <v>0.3328</v>
      </c>
      <c r="F14" s="110" t="n">
        <f aca="false">D14-B14</f>
        <v>0</v>
      </c>
    </row>
    <row r="15" customFormat="false" ht="15" hidden="false" customHeight="true" outlineLevel="0" collapsed="false">
      <c r="A15" s="53" t="s">
        <v>316</v>
      </c>
      <c r="B15" s="54" t="n">
        <f aca="false">B8*'LW Assumptions'!C16</f>
        <v>0</v>
      </c>
      <c r="C15" s="55" t="n">
        <f aca="false">B15/B8</f>
        <v>0</v>
      </c>
      <c r="D15" s="54" t="n">
        <f aca="false">D8*'LW Assumptions'!C16</f>
        <v>0</v>
      </c>
      <c r="E15" s="55" t="n">
        <f aca="false">D15/D8</f>
        <v>0</v>
      </c>
      <c r="F15" s="110" t="n">
        <f aca="false">D15-B15</f>
        <v>0</v>
      </c>
    </row>
    <row r="16" customFormat="false" ht="15" hidden="false" customHeight="true" outlineLevel="0" collapsed="false">
      <c r="A16" s="53" t="s">
        <v>317</v>
      </c>
      <c r="B16" s="54" t="n">
        <f aca="false">B9*'LW Assumptions'!C17</f>
        <v>0</v>
      </c>
      <c r="C16" s="55" t="n">
        <f aca="false">B16/B9</f>
        <v>0</v>
      </c>
      <c r="D16" s="54" t="n">
        <f aca="false">D9*'LW Assumptions'!C17</f>
        <v>0</v>
      </c>
      <c r="E16" s="55" t="n">
        <f aca="false">D16/D9</f>
        <v>0</v>
      </c>
      <c r="F16" s="110" t="n">
        <f aca="false">D16-B16</f>
        <v>0</v>
      </c>
    </row>
    <row r="17" customFormat="false" ht="15" hidden="false" customHeight="true" outlineLevel="0" collapsed="false">
      <c r="A17" s="50" t="s">
        <v>147</v>
      </c>
      <c r="B17" s="43" t="n">
        <f aca="false">SUM(B12:B16)</f>
        <v>80932.346356</v>
      </c>
      <c r="C17" s="25" t="n">
        <f aca="false">B17/B10</f>
        <v>0.304026041410204</v>
      </c>
      <c r="D17" s="43" t="n">
        <f aca="false">SUM(D12:D16)</f>
        <v>80932.346356</v>
      </c>
      <c r="E17" s="25" t="n">
        <f aca="false">D17/D10</f>
        <v>0.304026041410204</v>
      </c>
      <c r="F17" s="111" t="n">
        <f aca="false">D17-B17</f>
        <v>0</v>
      </c>
    </row>
    <row r="18" customFormat="false" ht="15" hidden="false" customHeight="true" outlineLevel="0" collapsed="false">
      <c r="A18" s="50" t="s">
        <v>9</v>
      </c>
      <c r="B18" s="43" t="n">
        <f aca="false">B10-B17</f>
        <v>185269.673644</v>
      </c>
      <c r="C18" s="25" t="n">
        <f aca="false">B18/B10</f>
        <v>0.695973958589796</v>
      </c>
      <c r="D18" s="43" t="n">
        <f aca="false">D10-D17</f>
        <v>185269.673644</v>
      </c>
      <c r="E18" s="25" t="n">
        <f aca="false">D18/D10</f>
        <v>0.695973958589796</v>
      </c>
      <c r="F18" s="111" t="n">
        <f aca="false">D18-B18</f>
        <v>0</v>
      </c>
    </row>
    <row r="20" customFormat="false" ht="15" hidden="false" customHeight="true" outlineLevel="0" collapsed="false">
      <c r="A20" s="112" t="s">
        <v>10</v>
      </c>
      <c r="B20" s="113" t="n">
        <f aca="false">'LW Assumptions'!C28</f>
        <v>164857</v>
      </c>
      <c r="C20" s="114" t="n">
        <f aca="false">B20/B10</f>
        <v>0.619292821294144</v>
      </c>
      <c r="D20" s="115" t="n">
        <f aca="false">'LW Assumptions'!C25</f>
        <v>111953.92</v>
      </c>
      <c r="E20" s="114" t="n">
        <f aca="false">D20/D10</f>
        <v>0.420559994247978</v>
      </c>
      <c r="F20" s="116" t="n">
        <f aca="false">D20-B20</f>
        <v>-52903.08</v>
      </c>
    </row>
    <row r="21" customFormat="false" ht="15" hidden="false" customHeight="true" outlineLevel="0" collapsed="false">
      <c r="A21" s="53" t="s">
        <v>53</v>
      </c>
      <c r="B21" s="58" t="n">
        <f aca="false">'LW Assumptions'!$C$42</f>
        <v>10012</v>
      </c>
      <c r="C21" s="55" t="n">
        <f aca="false">B21/B10</f>
        <v>0.0376105335338928</v>
      </c>
      <c r="D21" s="58" t="n">
        <f aca="false">D10*'LW Assumptions'!C31</f>
        <v>6655.0505</v>
      </c>
      <c r="E21" s="55" t="n">
        <f aca="false">D21/D10</f>
        <v>0.025</v>
      </c>
      <c r="F21" s="58" t="n">
        <f aca="false">D21-B21</f>
        <v>-3356.9495</v>
      </c>
    </row>
    <row r="22" customFormat="false" ht="15" hidden="false" customHeight="true" outlineLevel="0" collapsed="false">
      <c r="A22" s="53" t="s">
        <v>94</v>
      </c>
      <c r="B22" s="58" t="n">
        <f aca="false">'LW Assumptions'!C32</f>
        <v>89675</v>
      </c>
      <c r="C22" s="55" t="n">
        <f aca="false">B22/B10</f>
        <v>0.336868217604059</v>
      </c>
      <c r="D22" s="58" t="n">
        <f aca="false">'LW Assumptions'!C32</f>
        <v>89675</v>
      </c>
      <c r="E22" s="55" t="n">
        <f aca="false">D22/D10</f>
        <v>0.336868217604059</v>
      </c>
      <c r="F22" s="58" t="n">
        <f aca="false">D22-B22</f>
        <v>0</v>
      </c>
    </row>
    <row r="23" customFormat="false" ht="15" hidden="false" customHeight="true" outlineLevel="0" collapsed="false">
      <c r="A23" s="53" t="s">
        <v>97</v>
      </c>
      <c r="B23" s="58" t="n">
        <f aca="false">'LW Assumptions'!C33</f>
        <v>5657</v>
      </c>
      <c r="C23" s="55" t="n">
        <f aca="false">B23/B10</f>
        <v>0.0212507778866592</v>
      </c>
      <c r="D23" s="58" t="n">
        <f aca="false">'LW Assumptions'!C33</f>
        <v>5657</v>
      </c>
      <c r="E23" s="55" t="n">
        <f aca="false">D23/D10</f>
        <v>0.0212507778866592</v>
      </c>
      <c r="F23" s="58" t="n">
        <f aca="false">D23-B23</f>
        <v>0</v>
      </c>
    </row>
    <row r="24" customFormat="false" ht="15" hidden="false" customHeight="true" outlineLevel="0" collapsed="false">
      <c r="A24" s="50" t="s">
        <v>56</v>
      </c>
      <c r="B24" s="24" t="n">
        <f aca="false">B10*'LW Assumptions'!$C$40</f>
        <v>10648.0808</v>
      </c>
      <c r="C24" s="25" t="n">
        <f aca="false">B24/B10</f>
        <v>0.04</v>
      </c>
      <c r="D24" s="24" t="n">
        <f aca="false">D10*'LW Assumptions'!$C$40</f>
        <v>10648.0808</v>
      </c>
      <c r="E24" s="25" t="n">
        <f aca="false">D24/D10</f>
        <v>0.04</v>
      </c>
      <c r="F24" s="24" t="n">
        <f aca="false">D24-B24</f>
        <v>0</v>
      </c>
    </row>
    <row r="25" customFormat="false" ht="15" hidden="false" customHeight="true" outlineLevel="0" collapsed="false">
      <c r="A25" s="1" t="s">
        <v>318</v>
      </c>
      <c r="B25" s="7" t="n">
        <f aca="false">B10*'LW Assumptions'!$C$41</f>
        <v>15972.1212</v>
      </c>
      <c r="C25" s="10" t="n">
        <f aca="false">B25/B10</f>
        <v>0.06</v>
      </c>
      <c r="D25" s="7" t="n">
        <f aca="false">D10*'LW Assumptions'!$C$41</f>
        <v>15972.1212</v>
      </c>
      <c r="E25" s="10" t="n">
        <f aca="false">D25/D10</f>
        <v>0.06</v>
      </c>
      <c r="F25" s="7" t="n">
        <f aca="false">D25-B25</f>
        <v>0</v>
      </c>
    </row>
    <row r="26" customFormat="false" ht="15" hidden="false" customHeight="true" outlineLevel="0" collapsed="false">
      <c r="A26" s="117" t="s">
        <v>319</v>
      </c>
      <c r="B26" s="118" t="n">
        <f aca="false">SUM(B20:B25)</f>
        <v>296821.202</v>
      </c>
      <c r="C26" s="119" t="n">
        <f aca="false">B26/B10</f>
        <v>1.11502235031875</v>
      </c>
      <c r="D26" s="118" t="n">
        <f aca="false">SUM(D20:D25)</f>
        <v>240561.1725</v>
      </c>
      <c r="E26" s="119" t="n">
        <f aca="false">D26/D10</f>
        <v>0.903678989738696</v>
      </c>
      <c r="F26" s="118" t="n">
        <f aca="false">D26-B26</f>
        <v>-56260.0295</v>
      </c>
    </row>
    <row r="27" customFormat="false" ht="15" hidden="false" customHeight="true" outlineLevel="0" collapsed="false">
      <c r="A27" s="26"/>
      <c r="B27" s="40"/>
      <c r="C27" s="28"/>
      <c r="D27" s="40"/>
      <c r="E27" s="28"/>
      <c r="F27" s="40"/>
    </row>
    <row r="28" customFormat="false" ht="15" hidden="false" customHeight="true" outlineLevel="0" collapsed="false">
      <c r="A28" s="26" t="s">
        <v>320</v>
      </c>
      <c r="B28" s="27" t="n">
        <f aca="false">B18-B26</f>
        <v>-111551.528356</v>
      </c>
      <c r="C28" s="28" t="n">
        <f aca="false">B28/B10</f>
        <v>-0.419048391728958</v>
      </c>
      <c r="D28" s="27" t="n">
        <f aca="false">D18-D26</f>
        <v>-55291.498856</v>
      </c>
      <c r="E28" s="28" t="n">
        <f aca="false">D28/D10</f>
        <v>-0.2077050311489</v>
      </c>
      <c r="F28" s="27" t="n">
        <f aca="false">D28-B28</f>
        <v>56260.0295</v>
      </c>
    </row>
    <row r="29" customFormat="false" ht="15" hidden="false" customHeight="true" outlineLevel="0" collapsed="false">
      <c r="A29" s="82"/>
      <c r="B29" s="44"/>
      <c r="C29" s="31"/>
      <c r="D29" s="44"/>
      <c r="E29" s="31"/>
      <c r="F29" s="44"/>
    </row>
    <row r="31" customFormat="false" ht="15" hidden="false" customHeight="true" outlineLevel="0" collapsed="false">
      <c r="A31" s="32"/>
      <c r="B31" s="57"/>
      <c r="C31" s="120"/>
      <c r="D31" s="57"/>
      <c r="E31" s="120"/>
      <c r="F31" s="57"/>
    </row>
    <row r="32" customFormat="false" ht="15" hidden="false" customHeight="true" outlineLevel="0" collapsed="false">
      <c r="A32" s="32"/>
      <c r="B32" s="57"/>
      <c r="C32" s="120"/>
      <c r="D32" s="57"/>
      <c r="E32" s="120"/>
      <c r="F32" s="57"/>
    </row>
    <row r="34" customFormat="false" ht="15" hidden="false" customHeight="true" outlineLevel="0" collapsed="false">
      <c r="A34" s="73" t="s">
        <v>321</v>
      </c>
      <c r="F34" s="121" t="n">
        <f aca="false">B20-D20</f>
        <v>52903.08</v>
      </c>
    </row>
    <row r="35" customFormat="false" ht="15" hidden="false" customHeight="true" outlineLevel="0" collapsed="false">
      <c r="A35" s="122" t="s">
        <v>322</v>
      </c>
      <c r="B35" s="122"/>
      <c r="C35" s="122"/>
      <c r="D35" s="122"/>
      <c r="E35" s="122"/>
      <c r="F35" s="122"/>
    </row>
    <row r="36" customFormat="false" ht="15" hidden="false" customHeight="true" outlineLevel="0" collapsed="false">
      <c r="A36" s="122"/>
      <c r="B36" s="122"/>
      <c r="C36" s="122"/>
      <c r="D36" s="122"/>
      <c r="E36" s="122"/>
      <c r="F36" s="122"/>
    </row>
  </sheetData>
  <mergeCells count="3">
    <mergeCell ref="A1:F1"/>
    <mergeCell ref="A2:F2"/>
    <mergeCell ref="A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0.3"/>
    <col collapsed="false" customWidth="true" hidden="false" outlineLevel="0" max="3" min="3" style="1" width="6.1"/>
    <col collapsed="false" customWidth="true" hidden="false" outlineLevel="0" max="4" min="4" style="1" width="10.3"/>
    <col collapsed="false" customWidth="true" hidden="false" outlineLevel="0" max="5" min="5" style="1" width="6.1"/>
    <col collapsed="false" customWidth="true" hidden="false" outlineLevel="0" max="6" min="6" style="1" width="10.3"/>
    <col collapsed="false" customWidth="true" hidden="false" outlineLevel="0" max="7" min="7" style="1" width="6.1"/>
    <col collapsed="false" customWidth="true" hidden="false" outlineLevel="0" max="8" min="8" style="1" width="10.3"/>
    <col collapsed="false" customWidth="true" hidden="false" outlineLevel="0" max="9" min="9" style="1" width="6.1"/>
    <col collapsed="false" customWidth="true" hidden="false" outlineLevel="0" max="10" min="10" style="1" width="10.3"/>
    <col collapsed="false" customWidth="true" hidden="false" outlineLevel="0" max="11" min="11" style="1" width="6.1"/>
    <col collapsed="false" customWidth="true" hidden="false" outlineLevel="0" max="12" min="12" style="1" width="10.3"/>
    <col collapsed="false" customWidth="true" hidden="false" outlineLevel="0" max="13" min="13" style="1" width="6.1"/>
    <col collapsed="false" customWidth="true" hidden="false" outlineLevel="0" max="14" min="14" style="1" width="10.3"/>
    <col collapsed="false" customWidth="true" hidden="false" outlineLevel="0" max="15" min="15" style="1" width="6.1"/>
    <col collapsed="false" customWidth="true" hidden="false" outlineLevel="0" max="16" min="16" style="1" width="10.3"/>
    <col collapsed="false" customWidth="true" hidden="false" outlineLevel="0" max="17" min="17" style="1" width="6.1"/>
    <col collapsed="false" customWidth="true" hidden="false" outlineLevel="0" max="18" min="18" style="1" width="10.3"/>
    <col collapsed="false" customWidth="true" hidden="false" outlineLevel="0" max="19" min="19" style="1" width="6.1"/>
    <col collapsed="false" customWidth="true" hidden="false" outlineLevel="0" max="20" min="20" style="1" width="10.3"/>
    <col collapsed="false" customWidth="true" hidden="false" outlineLevel="0" max="21" min="21" style="1" width="6.1"/>
    <col collapsed="false" customWidth="true" hidden="false" outlineLevel="0" max="22" min="22" style="1" width="10.3"/>
    <col collapsed="false" customWidth="true" hidden="false" outlineLevel="0" max="23" min="23" style="1" width="6.1"/>
    <col collapsed="false" customWidth="true" hidden="false" outlineLevel="0" max="24" min="24" style="1" width="10.3"/>
    <col collapsed="false" customWidth="true" hidden="false" outlineLevel="0" max="25" min="25" style="1" width="6.1"/>
    <col collapsed="false" customWidth="true" hidden="false" outlineLevel="0" max="26" min="26" style="1" width="10.3"/>
    <col collapsed="false" customWidth="true" hidden="false" outlineLevel="0" max="27" min="27" style="1" width="6.1"/>
  </cols>
  <sheetData>
    <row r="1" customFormat="false" ht="30" hidden="false" customHeight="true" outlineLevel="0" collapsed="false">
      <c r="A1" s="14" t="s">
        <v>323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customFormat="false" ht="15" hidden="false" customHeight="true" outlineLevel="0" collapsed="false">
      <c r="A2" s="16" t="s">
        <v>324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4" customFormat="false" ht="15" hidden="false" customHeight="true" outlineLevel="0" collapsed="false">
      <c r="A4" s="17" t="s">
        <v>138</v>
      </c>
      <c r="B4" s="18" t="s">
        <v>64</v>
      </c>
      <c r="C4" s="18"/>
      <c r="D4" s="18" t="s">
        <v>65</v>
      </c>
      <c r="E4" s="18"/>
      <c r="F4" s="18" t="s">
        <v>66</v>
      </c>
      <c r="G4" s="18"/>
      <c r="H4" s="18" t="s">
        <v>67</v>
      </c>
      <c r="I4" s="18"/>
      <c r="J4" s="18" t="s">
        <v>68</v>
      </c>
      <c r="K4" s="18"/>
      <c r="L4" s="18" t="s">
        <v>69</v>
      </c>
      <c r="M4" s="18"/>
      <c r="N4" s="18" t="s">
        <v>70</v>
      </c>
      <c r="O4" s="18"/>
      <c r="P4" s="18" t="s">
        <v>71</v>
      </c>
      <c r="Q4" s="18"/>
      <c r="R4" s="18" t="s">
        <v>72</v>
      </c>
      <c r="S4" s="18"/>
      <c r="T4" s="18" t="s">
        <v>73</v>
      </c>
      <c r="U4" s="18"/>
      <c r="V4" s="18" t="s">
        <v>74</v>
      </c>
      <c r="W4" s="18"/>
      <c r="X4" s="18" t="s">
        <v>75</v>
      </c>
      <c r="Y4" s="18"/>
      <c r="Z4" s="19" t="s">
        <v>47</v>
      </c>
      <c r="AA4" s="19"/>
    </row>
    <row r="5" customFormat="false" ht="15" hidden="false" customHeight="true" outlineLevel="0" collapsed="false">
      <c r="A5" s="73" t="s">
        <v>325</v>
      </c>
      <c r="B5" s="123" t="n">
        <v>0.7037</v>
      </c>
      <c r="D5" s="123" t="n">
        <v>0.81</v>
      </c>
      <c r="F5" s="123" t="n">
        <v>1.2058</v>
      </c>
      <c r="H5" s="123" t="n">
        <v>0.9305</v>
      </c>
      <c r="J5" s="123" t="n">
        <v>1.123</v>
      </c>
      <c r="L5" s="124" t="n">
        <v>1.227</v>
      </c>
      <c r="N5" s="124" t="n">
        <f aca="false">AVERAGE($B5,$D5,$F5,$H5,$J5,$L5)</f>
        <v>1</v>
      </c>
      <c r="P5" s="124" t="n">
        <f aca="false">AVERAGE($B5,$D5,$F5,$H5,$J5,$L5)</f>
        <v>1</v>
      </c>
      <c r="R5" s="124" t="n">
        <f aca="false">AVERAGE($B5,$D5,$F5,$H5,$J5,$L5)</f>
        <v>1</v>
      </c>
      <c r="T5" s="124" t="n">
        <f aca="false">AVERAGE($B5,$D5,$F5,$H5,$J5,$L5)</f>
        <v>1</v>
      </c>
      <c r="V5" s="124" t="n">
        <f aca="false">AVERAGE($B5,$D5,$F5,$H5,$J5,$L5)</f>
        <v>1</v>
      </c>
      <c r="X5" s="124" t="n">
        <f aca="false">AVERAGE($B5,$D5,$F5,$H5,$J5,$L5)</f>
        <v>1</v>
      </c>
      <c r="Z5" s="124" t="n">
        <f aca="false">AVERAGE(B5,D5,F5,H5,J5,L5,N5,P5,R5,T5,V5,X5)</f>
        <v>1</v>
      </c>
    </row>
    <row r="6" customFormat="false" ht="15" hidden="false" customHeight="true" outlineLevel="0" collapsed="false">
      <c r="A6" s="26" t="s">
        <v>141</v>
      </c>
      <c r="B6" s="40" t="n">
        <f aca="false">('LW Assumptions'!$C$5/12)*B5</f>
        <v>6265.17011166667</v>
      </c>
      <c r="C6" s="28" t="n">
        <f aca="false">B6/B11</f>
        <v>0.357629197146751</v>
      </c>
      <c r="D6" s="40" t="n">
        <f aca="false">('LW Assumptions'!$C$5/12)*D5</f>
        <v>7211.5785</v>
      </c>
      <c r="E6" s="28" t="n">
        <f aca="false">D6/D11</f>
        <v>0.357629197146751</v>
      </c>
      <c r="F6" s="40" t="n">
        <f aca="false">('LW Assumptions'!$C$5/12)*F5</f>
        <v>10735.4584633333</v>
      </c>
      <c r="G6" s="28" t="n">
        <f aca="false">F6/F11</f>
        <v>0.357629197146751</v>
      </c>
      <c r="H6" s="40" t="n">
        <f aca="false">('LW Assumptions'!$C$5/12)*H5</f>
        <v>8284.41209166667</v>
      </c>
      <c r="I6" s="28" t="n">
        <f aca="false">H6/H11</f>
        <v>0.357629197146751</v>
      </c>
      <c r="J6" s="40" t="n">
        <f aca="false">('LW Assumptions'!$C$5/12)*J5</f>
        <v>9998.27488333333</v>
      </c>
      <c r="K6" s="28" t="n">
        <f aca="false">J6/J11</f>
        <v>0.357629197146751</v>
      </c>
      <c r="L6" s="40" t="n">
        <f aca="false">('LW Assumptions'!$C$5/12)*L5</f>
        <v>10924.20595</v>
      </c>
      <c r="M6" s="28" t="n">
        <f aca="false">L6/L11</f>
        <v>0.357629197146751</v>
      </c>
      <c r="N6" s="40" t="n">
        <f aca="false">('LW Assumptions'!$C$5/12)*N5</f>
        <v>8903.18333333333</v>
      </c>
      <c r="O6" s="28" t="n">
        <f aca="false">N6/N11</f>
        <v>0.357629197146751</v>
      </c>
      <c r="P6" s="40" t="n">
        <f aca="false">('LW Assumptions'!$C$5/12)*P5</f>
        <v>8903.18333333333</v>
      </c>
      <c r="Q6" s="28" t="n">
        <f aca="false">P6/P11</f>
        <v>0.357629197146751</v>
      </c>
      <c r="R6" s="40" t="n">
        <f aca="false">('LW Assumptions'!$C$5/12)*R5</f>
        <v>8903.18333333333</v>
      </c>
      <c r="S6" s="28" t="n">
        <f aca="false">R6/R11</f>
        <v>0.357629197146751</v>
      </c>
      <c r="T6" s="40" t="n">
        <f aca="false">('LW Assumptions'!$C$5/12)*T5</f>
        <v>8903.18333333333</v>
      </c>
      <c r="U6" s="28" t="n">
        <f aca="false">T6/T11</f>
        <v>0.357629197146751</v>
      </c>
      <c r="V6" s="40" t="n">
        <f aca="false">('LW Assumptions'!$C$5/12)*V5</f>
        <v>8903.18333333333</v>
      </c>
      <c r="W6" s="28" t="n">
        <f aca="false">V6/V11</f>
        <v>0.357629197146751</v>
      </c>
      <c r="X6" s="40" t="n">
        <f aca="false">('LW Assumptions'!$C$5/12)*X5</f>
        <v>8903.18333333333</v>
      </c>
      <c r="Y6" s="28" t="n">
        <f aca="false">X6/X11</f>
        <v>0.357629197146751</v>
      </c>
      <c r="Z6" s="40" t="n">
        <f aca="false">B6+D6+F6+H6+J6+L6+N6+P6+R6+T6+V6+X6</f>
        <v>106838.2</v>
      </c>
      <c r="AA6" s="28" t="n">
        <f aca="false">Z6/Z11</f>
        <v>0.357629197146751</v>
      </c>
    </row>
    <row r="7" customFormat="false" ht="15" hidden="false" customHeight="true" outlineLevel="0" collapsed="false">
      <c r="A7" s="26" t="s">
        <v>309</v>
      </c>
      <c r="B7" s="40" t="n">
        <f aca="false">('LW Assumptions'!$C$6/12)*B5</f>
        <v>7724.711936</v>
      </c>
      <c r="C7" s="28" t="n">
        <f aca="false">B7/B11</f>
        <v>0.440942939876009</v>
      </c>
      <c r="D7" s="40" t="n">
        <f aca="false">('LW Assumptions'!$C$6/12)*D5</f>
        <v>8891.5968</v>
      </c>
      <c r="E7" s="28" t="n">
        <f aca="false">D7/D11</f>
        <v>0.440942939876009</v>
      </c>
      <c r="F7" s="40" t="n">
        <f aca="false">('LW Assumptions'!$C$6/12)*F5</f>
        <v>13236.404224</v>
      </c>
      <c r="G7" s="28" t="n">
        <f aca="false">F7/F11</f>
        <v>0.440942939876009</v>
      </c>
      <c r="H7" s="40" t="n">
        <f aca="false">('LW Assumptions'!$C$6/12)*H5</f>
        <v>10214.35904</v>
      </c>
      <c r="I7" s="28" t="n">
        <f aca="false">H7/H11</f>
        <v>0.440942939876009</v>
      </c>
      <c r="J7" s="40" t="n">
        <f aca="false">('LW Assumptions'!$C$6/12)*J5</f>
        <v>12327.48544</v>
      </c>
      <c r="K7" s="28" t="n">
        <f aca="false">J7/J11</f>
        <v>0.440942939876009</v>
      </c>
      <c r="L7" s="40" t="n">
        <f aca="false">('LW Assumptions'!$C$6/12)*L5</f>
        <v>13469.12256</v>
      </c>
      <c r="M7" s="28" t="n">
        <f aca="false">L7/L11</f>
        <v>0.440942939876009</v>
      </c>
      <c r="N7" s="40" t="n">
        <f aca="false">('LW Assumptions'!$C$6/12)*N5</f>
        <v>10977.28</v>
      </c>
      <c r="O7" s="28" t="n">
        <f aca="false">N7/N11</f>
        <v>0.440942939876009</v>
      </c>
      <c r="P7" s="40" t="n">
        <f aca="false">('LW Assumptions'!$C$6/12)*P5</f>
        <v>10977.28</v>
      </c>
      <c r="Q7" s="28" t="n">
        <f aca="false">P7/P11</f>
        <v>0.440942939876009</v>
      </c>
      <c r="R7" s="40" t="n">
        <f aca="false">('LW Assumptions'!$C$6/12)*R5</f>
        <v>10977.28</v>
      </c>
      <c r="S7" s="28" t="n">
        <f aca="false">R7/R11</f>
        <v>0.440942939876009</v>
      </c>
      <c r="T7" s="40" t="n">
        <f aca="false">('LW Assumptions'!$C$6/12)*T5</f>
        <v>10977.28</v>
      </c>
      <c r="U7" s="28" t="n">
        <f aca="false">T7/T11</f>
        <v>0.440942939876009</v>
      </c>
      <c r="V7" s="40" t="n">
        <f aca="false">('LW Assumptions'!$C$6/12)*V5</f>
        <v>10977.28</v>
      </c>
      <c r="W7" s="28" t="n">
        <f aca="false">V7/V11</f>
        <v>0.440942939876009</v>
      </c>
      <c r="X7" s="40" t="n">
        <f aca="false">('LW Assumptions'!$C$6/12)*X5</f>
        <v>10977.28</v>
      </c>
      <c r="Y7" s="28" t="n">
        <f aca="false">X7/X11</f>
        <v>0.440942939876009</v>
      </c>
      <c r="Z7" s="40" t="n">
        <f aca="false">B7+D7+F7+H7+J7+L7+N7+P7+R7+T7+V7+X7</f>
        <v>131727.36</v>
      </c>
      <c r="AA7" s="28" t="n">
        <f aca="false">Z7/Z11</f>
        <v>0.440942939876009</v>
      </c>
    </row>
    <row r="8" customFormat="false" ht="15" hidden="false" customHeight="true" outlineLevel="0" collapsed="false">
      <c r="A8" s="26" t="s">
        <v>310</v>
      </c>
      <c r="B8" s="40" t="n">
        <f aca="false">('LW Assumptions'!$C$7/12)*B5</f>
        <v>820.766359166667</v>
      </c>
      <c r="C8" s="28" t="n">
        <f aca="false">B8/B11</f>
        <v>0.0468510844625338</v>
      </c>
      <c r="D8" s="40" t="n">
        <f aca="false">('LW Assumptions'!$C$7/12)*D5</f>
        <v>944.75025</v>
      </c>
      <c r="E8" s="28" t="n">
        <f aca="false">D8/D11</f>
        <v>0.0468510844625338</v>
      </c>
      <c r="F8" s="40" t="n">
        <f aca="false">('LW Assumptions'!$C$7/12)*F5</f>
        <v>1406.39487833333</v>
      </c>
      <c r="G8" s="28" t="n">
        <f aca="false">F8/F11</f>
        <v>0.0468510844625337</v>
      </c>
      <c r="H8" s="40" t="n">
        <f aca="false">('LW Assumptions'!$C$7/12)*H5</f>
        <v>1085.29642916667</v>
      </c>
      <c r="I8" s="28" t="n">
        <f aca="false">H8/H11</f>
        <v>0.0468510844625338</v>
      </c>
      <c r="J8" s="40" t="n">
        <f aca="false">('LW Assumptions'!$C$7/12)*J5</f>
        <v>1309.82040833333</v>
      </c>
      <c r="K8" s="28" t="n">
        <f aca="false">J8/J11</f>
        <v>0.0468510844625338</v>
      </c>
      <c r="L8" s="40" t="n">
        <f aca="false">('LW Assumptions'!$C$7/12)*L5</f>
        <v>1431.121675</v>
      </c>
      <c r="M8" s="28" t="n">
        <f aca="false">L8/L11</f>
        <v>0.0468510844625337</v>
      </c>
      <c r="N8" s="40" t="n">
        <f aca="false">('LW Assumptions'!$C$7/12)*N5</f>
        <v>1166.35833333333</v>
      </c>
      <c r="O8" s="28" t="n">
        <f aca="false">N8/N11</f>
        <v>0.0468510844625337</v>
      </c>
      <c r="P8" s="40" t="n">
        <f aca="false">('LW Assumptions'!$C$7/12)*P5</f>
        <v>1166.35833333333</v>
      </c>
      <c r="Q8" s="28" t="n">
        <f aca="false">P8/P11</f>
        <v>0.0468510844625337</v>
      </c>
      <c r="R8" s="40" t="n">
        <f aca="false">('LW Assumptions'!$C$7/12)*R5</f>
        <v>1166.35833333333</v>
      </c>
      <c r="S8" s="28" t="n">
        <f aca="false">R8/R11</f>
        <v>0.0468510844625337</v>
      </c>
      <c r="T8" s="40" t="n">
        <f aca="false">('LW Assumptions'!$C$7/12)*T5</f>
        <v>1166.35833333333</v>
      </c>
      <c r="U8" s="28" t="n">
        <f aca="false">T8/T11</f>
        <v>0.0468510844625337</v>
      </c>
      <c r="V8" s="40" t="n">
        <f aca="false">('LW Assumptions'!$C$7/12)*V5</f>
        <v>1166.35833333333</v>
      </c>
      <c r="W8" s="28" t="n">
        <f aca="false">V8/V11</f>
        <v>0.0468510844625337</v>
      </c>
      <c r="X8" s="40" t="n">
        <f aca="false">('LW Assumptions'!$C$7/12)*X5</f>
        <v>1166.35833333333</v>
      </c>
      <c r="Y8" s="28" t="n">
        <f aca="false">X8/X11</f>
        <v>0.0468510844625337</v>
      </c>
      <c r="Z8" s="40" t="n">
        <f aca="false">B8+D8+F8+H8+J8+L8+N8+P8+R8+T8+V8+X8</f>
        <v>13996.3</v>
      </c>
      <c r="AA8" s="28" t="n">
        <f aca="false">Z8/Z11</f>
        <v>0.0468510844625337</v>
      </c>
    </row>
    <row r="9" customFormat="false" ht="15" hidden="false" customHeight="true" outlineLevel="0" collapsed="false">
      <c r="A9" s="26" t="s">
        <v>326</v>
      </c>
      <c r="B9" s="40" t="n">
        <f aca="false">('LW Assumptions'!$C$8/12)*B5*(1+'LW Assumptions'!$C$46)+('LW Assumptions'!$C$36/12)*B5</f>
        <v>1218.0659965</v>
      </c>
      <c r="C9" s="28" t="n">
        <f aca="false">B9/B11</f>
        <v>0.0695297903545941</v>
      </c>
      <c r="D9" s="40" t="n">
        <f aca="false">('LW Assumptions'!$C$8/12)*D5*(1+'LW Assumptions'!$C$46)+('LW Assumptions'!$C$36/12)*D5</f>
        <v>1402.06545</v>
      </c>
      <c r="E9" s="28" t="n">
        <f aca="false">D9/D11</f>
        <v>0.0695297903545941</v>
      </c>
      <c r="F9" s="40" t="n">
        <f aca="false">('LW Assumptions'!$C$8/12)*F5*(1+'LW Assumptions'!$C$46)+('LW Assumptions'!$C$36/12)*F5</f>
        <v>2087.173481</v>
      </c>
      <c r="G9" s="28" t="n">
        <f aca="false">F9/F11</f>
        <v>0.0695297903545941</v>
      </c>
      <c r="H9" s="40" t="n">
        <f aca="false">('LW Assumptions'!$C$8/12)*H5*(1+'LW Assumptions'!$C$46)+('LW Assumptions'!$C$36/12)*H5</f>
        <v>1610.6443225</v>
      </c>
      <c r="I9" s="28" t="n">
        <f aca="false">H9/H11</f>
        <v>0.0695297903545941</v>
      </c>
      <c r="J9" s="40" t="n">
        <f aca="false">('LW Assumptions'!$C$8/12)*J5*(1+'LW Assumptions'!$C$46)+('LW Assumptions'!$C$36/12)*J5</f>
        <v>1943.851235</v>
      </c>
      <c r="K9" s="28" t="n">
        <f aca="false">J9/J11</f>
        <v>0.0695297903545941</v>
      </c>
      <c r="L9" s="40" t="n">
        <f aca="false">('LW Assumptions'!$C$8/12)*L5*(1+'LW Assumptions'!$C$46)+('LW Assumptions'!$C$36/12)*L5</f>
        <v>2123.869515</v>
      </c>
      <c r="M9" s="28" t="n">
        <f aca="false">L9/L11</f>
        <v>0.0695297903545941</v>
      </c>
      <c r="N9" s="40" t="n">
        <f aca="false">('LW Assumptions'!$C$8/12)*N5*(1+'LW Assumptions'!$C$46)+('LW Assumptions'!$C$36/12)*N5</f>
        <v>1730.945</v>
      </c>
      <c r="O9" s="28" t="n">
        <f aca="false">N9/N11</f>
        <v>0.0695297903545941</v>
      </c>
      <c r="P9" s="40" t="n">
        <f aca="false">('LW Assumptions'!$C$8/12)*P5*(1+'LW Assumptions'!$C$46)+('LW Assumptions'!$C$36/12)*P5</f>
        <v>1730.945</v>
      </c>
      <c r="Q9" s="28" t="n">
        <f aca="false">P9/P11</f>
        <v>0.0695297903545941</v>
      </c>
      <c r="R9" s="40" t="n">
        <f aca="false">('LW Assumptions'!$C$8/12)*R5*(1+'LW Assumptions'!$C$46)+('LW Assumptions'!$C$36/12)*R5</f>
        <v>1730.945</v>
      </c>
      <c r="S9" s="28" t="n">
        <f aca="false">R9/R11</f>
        <v>0.0695297903545941</v>
      </c>
      <c r="T9" s="40" t="n">
        <f aca="false">('LW Assumptions'!$C$8/12)*T5*(1+'LW Assumptions'!$C$46)+('LW Assumptions'!$C$36/12)*T5</f>
        <v>1730.945</v>
      </c>
      <c r="U9" s="28" t="n">
        <f aca="false">T9/T11</f>
        <v>0.0695297903545941</v>
      </c>
      <c r="V9" s="40" t="n">
        <f aca="false">('LW Assumptions'!$C$8/12)*V5*(1+'LW Assumptions'!$C$46)+('LW Assumptions'!$C$36/12)*V5</f>
        <v>1730.945</v>
      </c>
      <c r="W9" s="28" t="n">
        <f aca="false">V9/V11</f>
        <v>0.0695297903545941</v>
      </c>
      <c r="X9" s="40" t="n">
        <f aca="false">('LW Assumptions'!$C$8/12)*X5*(1+'LW Assumptions'!$C$46)+('LW Assumptions'!$C$36/12)*X5</f>
        <v>1730.945</v>
      </c>
      <c r="Y9" s="28" t="n">
        <f aca="false">X9/X11</f>
        <v>0.0695297903545941</v>
      </c>
      <c r="Z9" s="40" t="n">
        <f aca="false">B9+D9+F9+H9+J9+L9+N9+P9+R9+T9+V9+X9</f>
        <v>20771.34</v>
      </c>
      <c r="AA9" s="28" t="n">
        <f aca="false">Z9/Z11</f>
        <v>0.0695297903545941</v>
      </c>
    </row>
    <row r="10" customFormat="false" ht="15" hidden="false" customHeight="true" outlineLevel="0" collapsed="false">
      <c r="A10" s="26" t="s">
        <v>312</v>
      </c>
      <c r="B10" s="40" t="n">
        <f aca="false">('LW Assumptions'!$C$9/12)*B5</f>
        <v>456.971051666667</v>
      </c>
      <c r="C10" s="28" t="n">
        <f aca="false">B10/B11</f>
        <v>0.026084876773343</v>
      </c>
      <c r="D10" s="40" t="n">
        <f aca="false">('LW Assumptions'!$C$9/12)*D5</f>
        <v>526.0005</v>
      </c>
      <c r="E10" s="28" t="n">
        <f aca="false">D10/D11</f>
        <v>0.026084876773343</v>
      </c>
      <c r="F10" s="40" t="n">
        <f aca="false">('LW Assumptions'!$C$9/12)*F5</f>
        <v>783.026423333333</v>
      </c>
      <c r="G10" s="28" t="n">
        <f aca="false">F10/F11</f>
        <v>0.026084876773343</v>
      </c>
      <c r="H10" s="40" t="n">
        <f aca="false">('LW Assumptions'!$C$9/12)*H5</f>
        <v>604.251191666667</v>
      </c>
      <c r="I10" s="28" t="n">
        <f aca="false">H10/H11</f>
        <v>0.026084876773343</v>
      </c>
      <c r="J10" s="40" t="n">
        <f aca="false">('LW Assumptions'!$C$9/12)*J5</f>
        <v>729.257483333333</v>
      </c>
      <c r="K10" s="28" t="n">
        <f aca="false">J10/J11</f>
        <v>0.026084876773343</v>
      </c>
      <c r="L10" s="40" t="n">
        <f aca="false">('LW Assumptions'!$C$9/12)*L5</f>
        <v>796.79335</v>
      </c>
      <c r="M10" s="28" t="n">
        <f aca="false">L10/L11</f>
        <v>0.026084876773343</v>
      </c>
      <c r="N10" s="40" t="n">
        <f aca="false">('LW Assumptions'!$C$9/12)*N5</f>
        <v>649.383333333333</v>
      </c>
      <c r="O10" s="28" t="n">
        <f aca="false">N10/N11</f>
        <v>0.026084876773343</v>
      </c>
      <c r="P10" s="40" t="n">
        <f aca="false">('LW Assumptions'!$C$9/12)*P5</f>
        <v>649.383333333333</v>
      </c>
      <c r="Q10" s="28" t="n">
        <f aca="false">P10/P11</f>
        <v>0.026084876773343</v>
      </c>
      <c r="R10" s="40" t="n">
        <f aca="false">('LW Assumptions'!$C$9/12)*R5</f>
        <v>649.383333333333</v>
      </c>
      <c r="S10" s="28" t="n">
        <f aca="false">R10/R11</f>
        <v>0.026084876773343</v>
      </c>
      <c r="T10" s="40" t="n">
        <f aca="false">('LW Assumptions'!$C$9/12)*T5</f>
        <v>649.383333333333</v>
      </c>
      <c r="U10" s="28" t="n">
        <f aca="false">T10/T11</f>
        <v>0.026084876773343</v>
      </c>
      <c r="V10" s="40" t="n">
        <f aca="false">('LW Assumptions'!$C$9/12)*V5</f>
        <v>649.383333333333</v>
      </c>
      <c r="W10" s="28" t="n">
        <f aca="false">V10/V11</f>
        <v>0.026084876773343</v>
      </c>
      <c r="X10" s="40" t="n">
        <f aca="false">('LW Assumptions'!$C$9/12)*X5</f>
        <v>649.383333333333</v>
      </c>
      <c r="Y10" s="28" t="n">
        <f aca="false">X10/X11</f>
        <v>0.026084876773343</v>
      </c>
      <c r="Z10" s="40" t="n">
        <f aca="false">B10+D10+F10+H10+J10+L10+N10+P10+R10+T10+V10+X10</f>
        <v>7792.6</v>
      </c>
      <c r="AA10" s="28" t="n">
        <f aca="false">Z10/Z11</f>
        <v>0.026084876773343</v>
      </c>
    </row>
    <row r="11" customFormat="false" ht="15" hidden="false" customHeight="true" outlineLevel="0" collapsed="false">
      <c r="A11" s="23" t="s">
        <v>327</v>
      </c>
      <c r="B11" s="43" t="n">
        <f aca="false">SUM(B6:B10)+('LW Assumptions'!$C$43*'LW Assumptions'!$C$44/12)*B5</f>
        <v>17518.62029625</v>
      </c>
      <c r="C11" s="25" t="n">
        <f aca="false">B11/B11</f>
        <v>1</v>
      </c>
      <c r="D11" s="43" t="n">
        <f aca="false">SUM(D6:D10)+('LW Assumptions'!$C$43*'LW Assumptions'!$C$44/12)*D5</f>
        <v>20164.960125</v>
      </c>
      <c r="E11" s="25" t="n">
        <f aca="false">D11/D11</f>
        <v>1</v>
      </c>
      <c r="F11" s="43" t="n">
        <f aca="false">SUM(F6:F10)+('LW Assumptions'!$C$43*'LW Assumptions'!$C$44/12)*F5</f>
        <v>30018.4060725</v>
      </c>
      <c r="G11" s="25" t="n">
        <f aca="false">F11/F11</f>
        <v>1</v>
      </c>
      <c r="H11" s="43" t="n">
        <f aca="false">SUM(H6:H10)+('LW Assumptions'!$C$43*'LW Assumptions'!$C$44/12)*H5</f>
        <v>23164.80913125</v>
      </c>
      <c r="I11" s="25" t="n">
        <f aca="false">H11/H11</f>
        <v>1</v>
      </c>
      <c r="J11" s="43" t="n">
        <f aca="false">SUM(J6:J10)+('LW Assumptions'!$C$43*'LW Assumptions'!$C$44/12)*J5</f>
        <v>27957.0990375</v>
      </c>
      <c r="K11" s="25" t="n">
        <f aca="false">J11/J11</f>
        <v>1</v>
      </c>
      <c r="L11" s="43" t="n">
        <f aca="false">SUM(L6:L10)+('LW Assumptions'!$C$43*'LW Assumptions'!$C$44/12)*L5</f>
        <v>30546.1803375</v>
      </c>
      <c r="M11" s="25" t="n">
        <f aca="false">L11/L11</f>
        <v>1</v>
      </c>
      <c r="N11" s="43" t="n">
        <f aca="false">SUM(N6:N10)+('LW Assumptions'!$C$43*'LW Assumptions'!$C$44/12)*N5</f>
        <v>24895.0125</v>
      </c>
      <c r="O11" s="25" t="n">
        <f aca="false">N11/N11</f>
        <v>1</v>
      </c>
      <c r="P11" s="43" t="n">
        <f aca="false">SUM(P6:P10)+('LW Assumptions'!$C$43*'LW Assumptions'!$C$44/12)*P5</f>
        <v>24895.0125</v>
      </c>
      <c r="Q11" s="25" t="n">
        <f aca="false">P11/P11</f>
        <v>1</v>
      </c>
      <c r="R11" s="43" t="n">
        <f aca="false">SUM(R6:R10)+('LW Assumptions'!$C$43*'LW Assumptions'!$C$44/12)*R5</f>
        <v>24895.0125</v>
      </c>
      <c r="S11" s="25" t="n">
        <f aca="false">R11/R11</f>
        <v>1</v>
      </c>
      <c r="T11" s="43" t="n">
        <f aca="false">SUM(T6:T10)+('LW Assumptions'!$C$43*'LW Assumptions'!$C$44/12)*T5</f>
        <v>24895.0125</v>
      </c>
      <c r="U11" s="25" t="n">
        <f aca="false">T11/T11</f>
        <v>1</v>
      </c>
      <c r="V11" s="43" t="n">
        <f aca="false">SUM(V6:V10)+('LW Assumptions'!$C$43*'LW Assumptions'!$C$44/12)*V5</f>
        <v>24895.0125</v>
      </c>
      <c r="W11" s="25" t="n">
        <f aca="false">V11/V11</f>
        <v>1</v>
      </c>
      <c r="X11" s="43" t="n">
        <f aca="false">SUM(X6:X10)+('LW Assumptions'!$C$43*'LW Assumptions'!$C$44/12)*X5</f>
        <v>24895.0125</v>
      </c>
      <c r="Y11" s="25" t="n">
        <f aca="false">X11/X11</f>
        <v>1</v>
      </c>
      <c r="Z11" s="43" t="n">
        <f aca="false">B11+D11+F11+H11+J11+L11+N11+P11+R11+T11+V11+X11</f>
        <v>298740.15</v>
      </c>
      <c r="AA11" s="25" t="n">
        <f aca="false">Z11/Z11</f>
        <v>1</v>
      </c>
    </row>
    <row r="13" customFormat="false" ht="15" hidden="false" customHeight="true" outlineLevel="0" collapsed="false">
      <c r="A13" s="26" t="s">
        <v>145</v>
      </c>
      <c r="B13" s="40" t="n">
        <f aca="false">B6*'LW Assumptions'!$C$13</f>
        <v>2761.0604682115</v>
      </c>
      <c r="C13" s="28" t="n">
        <f aca="false">B13/B6</f>
        <v>0.4407</v>
      </c>
      <c r="D13" s="40" t="n">
        <f aca="false">D6*'LW Assumptions'!$C$13</f>
        <v>3178.14264495</v>
      </c>
      <c r="E13" s="28" t="n">
        <f aca="false">D13/D6</f>
        <v>0.4407</v>
      </c>
      <c r="F13" s="40" t="n">
        <f aca="false">F6*'LW Assumptions'!$C$13</f>
        <v>4731.116544791</v>
      </c>
      <c r="G13" s="28" t="n">
        <f aca="false">F13/F6</f>
        <v>0.4407</v>
      </c>
      <c r="H13" s="40" t="n">
        <f aca="false">H6*'LW Assumptions'!$C$13</f>
        <v>3650.9404087975</v>
      </c>
      <c r="I13" s="28" t="n">
        <f aca="false">H13/H6</f>
        <v>0.4407</v>
      </c>
      <c r="J13" s="40" t="n">
        <f aca="false">J6*'LW Assumptions'!$C$13</f>
        <v>4406.239741085</v>
      </c>
      <c r="K13" s="28" t="n">
        <f aca="false">J13/J6</f>
        <v>0.4407</v>
      </c>
      <c r="L13" s="40" t="n">
        <f aca="false">L6*'LW Assumptions'!$C$13</f>
        <v>4814.297562165</v>
      </c>
      <c r="M13" s="28" t="n">
        <f aca="false">L13/L6</f>
        <v>0.4407</v>
      </c>
      <c r="N13" s="40" t="n">
        <f aca="false">N6*'LW Assumptions'!$C$13</f>
        <v>3923.632895</v>
      </c>
      <c r="O13" s="28" t="n">
        <f aca="false">N13/N6</f>
        <v>0.4407</v>
      </c>
      <c r="P13" s="40" t="n">
        <f aca="false">P6*'LW Assumptions'!$C$13</f>
        <v>3923.632895</v>
      </c>
      <c r="Q13" s="28" t="n">
        <f aca="false">P13/P6</f>
        <v>0.4407</v>
      </c>
      <c r="R13" s="40" t="n">
        <f aca="false">R6*'LW Assumptions'!$C$13</f>
        <v>3923.632895</v>
      </c>
      <c r="S13" s="28" t="n">
        <f aca="false">R13/R6</f>
        <v>0.4407</v>
      </c>
      <c r="T13" s="40" t="n">
        <f aca="false">T6*'LW Assumptions'!$C$13</f>
        <v>3923.632895</v>
      </c>
      <c r="U13" s="28" t="n">
        <f aca="false">T13/T6</f>
        <v>0.4407</v>
      </c>
      <c r="V13" s="40" t="n">
        <f aca="false">V6*'LW Assumptions'!$C$13</f>
        <v>3923.632895</v>
      </c>
      <c r="W13" s="28" t="n">
        <f aca="false">V13/V6</f>
        <v>0.4407</v>
      </c>
      <c r="X13" s="40" t="n">
        <f aca="false">X6*'LW Assumptions'!$C$13</f>
        <v>3923.632895</v>
      </c>
      <c r="Y13" s="28" t="n">
        <f aca="false">X13/X6</f>
        <v>0.4407</v>
      </c>
      <c r="Z13" s="40" t="n">
        <f aca="false">B13+D13+F13+H13+J13+L13+N13+P13+R13+T13+V13+X13</f>
        <v>47083.59474</v>
      </c>
      <c r="AA13" s="28" t="n">
        <f aca="false">Z13/Z6</f>
        <v>0.4407</v>
      </c>
    </row>
    <row r="14" customFormat="false" ht="15" hidden="false" customHeight="true" outlineLevel="0" collapsed="false">
      <c r="A14" s="26" t="s">
        <v>328</v>
      </c>
      <c r="B14" s="40" t="n">
        <f aca="false">B7*'LW Assumptions'!$C$14</f>
        <v>1711.7961650176</v>
      </c>
      <c r="C14" s="28" t="n">
        <f aca="false">B14/B7</f>
        <v>0.2216</v>
      </c>
      <c r="D14" s="40" t="n">
        <f aca="false">D7*'LW Assumptions'!$C$14</f>
        <v>1970.37785088</v>
      </c>
      <c r="E14" s="28" t="n">
        <f aca="false">D14/D7</f>
        <v>0.2216</v>
      </c>
      <c r="F14" s="40" t="n">
        <f aca="false">F7*'LW Assumptions'!$C$14</f>
        <v>2933.1871760384</v>
      </c>
      <c r="G14" s="28" t="n">
        <f aca="false">F14/F7</f>
        <v>0.2216</v>
      </c>
      <c r="H14" s="40" t="n">
        <f aca="false">H7*'LW Assumptions'!$C$14</f>
        <v>2263.501963264</v>
      </c>
      <c r="I14" s="28" t="n">
        <f aca="false">H14/H7</f>
        <v>0.2216</v>
      </c>
      <c r="J14" s="40" t="n">
        <f aca="false">J7*'LW Assumptions'!$C$14</f>
        <v>2731.770773504</v>
      </c>
      <c r="K14" s="28" t="n">
        <f aca="false">J14/J7</f>
        <v>0.2216</v>
      </c>
      <c r="L14" s="40" t="n">
        <f aca="false">L7*'LW Assumptions'!$C$14</f>
        <v>2984.757559296</v>
      </c>
      <c r="M14" s="28" t="n">
        <f aca="false">L14/L7</f>
        <v>0.2216</v>
      </c>
      <c r="N14" s="40" t="n">
        <f aca="false">N7*'LW Assumptions'!$C$14</f>
        <v>2432.565248</v>
      </c>
      <c r="O14" s="28" t="n">
        <f aca="false">N14/N7</f>
        <v>0.2216</v>
      </c>
      <c r="P14" s="40" t="n">
        <f aca="false">P7*'LW Assumptions'!$C$14</f>
        <v>2432.565248</v>
      </c>
      <c r="Q14" s="28" t="n">
        <f aca="false">P14/P7</f>
        <v>0.2216</v>
      </c>
      <c r="R14" s="40" t="n">
        <f aca="false">R7*'LW Assumptions'!$C$14</f>
        <v>2432.565248</v>
      </c>
      <c r="S14" s="28" t="n">
        <f aca="false">R14/R7</f>
        <v>0.2216</v>
      </c>
      <c r="T14" s="40" t="n">
        <f aca="false">T7*'LW Assumptions'!$C$14</f>
        <v>2432.565248</v>
      </c>
      <c r="U14" s="28" t="n">
        <f aca="false">T14/T7</f>
        <v>0.2216</v>
      </c>
      <c r="V14" s="40" t="n">
        <f aca="false">V7*'LW Assumptions'!$C$14</f>
        <v>2432.565248</v>
      </c>
      <c r="W14" s="28" t="n">
        <f aca="false">V14/V7</f>
        <v>0.2216</v>
      </c>
      <c r="X14" s="40" t="n">
        <f aca="false">X7*'LW Assumptions'!$C$14</f>
        <v>2432.565248</v>
      </c>
      <c r="Y14" s="28" t="n">
        <f aca="false">X14/X7</f>
        <v>0.2216</v>
      </c>
      <c r="Z14" s="40" t="n">
        <f aca="false">B14+D14+F14+H14+J14+L14+N14+P14+R14+T14+V14+X14</f>
        <v>29190.782976</v>
      </c>
      <c r="AA14" s="28" t="n">
        <f aca="false">Z14/Z7</f>
        <v>0.2216</v>
      </c>
    </row>
    <row r="15" customFormat="false" ht="15" hidden="false" customHeight="true" outlineLevel="0" collapsed="false">
      <c r="A15" s="26" t="s">
        <v>329</v>
      </c>
      <c r="B15" s="40" t="n">
        <f aca="false">B8*'LW Assumptions'!$C$15</f>
        <v>273.151044330667</v>
      </c>
      <c r="C15" s="28" t="n">
        <f aca="false">B15/B8</f>
        <v>0.3328</v>
      </c>
      <c r="D15" s="40" t="n">
        <f aca="false">D8*'LW Assumptions'!$C$15</f>
        <v>314.4128832</v>
      </c>
      <c r="E15" s="28" t="n">
        <f aca="false">D15/D8</f>
        <v>0.3328</v>
      </c>
      <c r="F15" s="40" t="n">
        <f aca="false">F8*'LW Assumptions'!$C$15</f>
        <v>468.048215509333</v>
      </c>
      <c r="G15" s="28" t="n">
        <f aca="false">F15/F8</f>
        <v>0.3328</v>
      </c>
      <c r="H15" s="40" t="n">
        <f aca="false">H8*'LW Assumptions'!$C$15</f>
        <v>361.186651626667</v>
      </c>
      <c r="I15" s="28" t="n">
        <f aca="false">H15/H8</f>
        <v>0.3328</v>
      </c>
      <c r="J15" s="40" t="n">
        <f aca="false">J8*'LW Assumptions'!$C$15</f>
        <v>435.908231893333</v>
      </c>
      <c r="K15" s="28" t="n">
        <f aca="false">J15/J8</f>
        <v>0.3328</v>
      </c>
      <c r="L15" s="40" t="n">
        <f aca="false">L8*'LW Assumptions'!$C$15</f>
        <v>476.27729344</v>
      </c>
      <c r="M15" s="28" t="n">
        <f aca="false">L15/L8</f>
        <v>0.3328</v>
      </c>
      <c r="N15" s="40" t="n">
        <f aca="false">N8*'LW Assumptions'!$C$15</f>
        <v>388.164053333333</v>
      </c>
      <c r="O15" s="28" t="n">
        <f aca="false">N15/N8</f>
        <v>0.3328</v>
      </c>
      <c r="P15" s="40" t="n">
        <f aca="false">P8*'LW Assumptions'!$C$15</f>
        <v>388.164053333333</v>
      </c>
      <c r="Q15" s="28" t="n">
        <f aca="false">P15/P8</f>
        <v>0.3328</v>
      </c>
      <c r="R15" s="40" t="n">
        <f aca="false">R8*'LW Assumptions'!$C$15</f>
        <v>388.164053333333</v>
      </c>
      <c r="S15" s="28" t="n">
        <f aca="false">R15/R8</f>
        <v>0.3328</v>
      </c>
      <c r="T15" s="40" t="n">
        <f aca="false">T8*'LW Assumptions'!$C$15</f>
        <v>388.164053333333</v>
      </c>
      <c r="U15" s="28" t="n">
        <f aca="false">T15/T8</f>
        <v>0.3328</v>
      </c>
      <c r="V15" s="40" t="n">
        <f aca="false">V8*'LW Assumptions'!$C$15</f>
        <v>388.164053333333</v>
      </c>
      <c r="W15" s="28" t="n">
        <f aca="false">V15/V8</f>
        <v>0.3328</v>
      </c>
      <c r="X15" s="40" t="n">
        <f aca="false">X8*'LW Assumptions'!$C$15</f>
        <v>388.164053333333</v>
      </c>
      <c r="Y15" s="28" t="n">
        <f aca="false">X15/X8</f>
        <v>0.3328</v>
      </c>
      <c r="Z15" s="40" t="n">
        <f aca="false">B15+D15+F15+H15+J15+L15+N15+P15+R15+T15+V15+X15</f>
        <v>4657.96864</v>
      </c>
      <c r="AA15" s="28" t="n">
        <f aca="false">Z15/Z8</f>
        <v>0.3328</v>
      </c>
    </row>
    <row r="16" customFormat="false" ht="15" hidden="false" customHeight="true" outlineLevel="0" collapsed="false">
      <c r="A16" s="26" t="s">
        <v>330</v>
      </c>
      <c r="B16" s="40" t="n">
        <f aca="false">B9*'LW Assumptions'!$C$16+('LW Assumptions'!$C$36/12)*B5*('LW Assumptions'!$C$37-'LW Assumptions'!$C$16)</f>
        <v>351.85</v>
      </c>
      <c r="C16" s="28" t="n">
        <f aca="false">B16/B9</f>
        <v>0.288859553596446</v>
      </c>
      <c r="D16" s="40" t="n">
        <f aca="false">D9*'LW Assumptions'!$C$16+('LW Assumptions'!$C$36/12)*D5*('LW Assumptions'!$C$37-'LW Assumptions'!$C$16)</f>
        <v>405</v>
      </c>
      <c r="E16" s="28" t="n">
        <f aca="false">D16/D9</f>
        <v>0.288859553596446</v>
      </c>
      <c r="F16" s="40" t="n">
        <f aca="false">F9*'LW Assumptions'!$C$16+('LW Assumptions'!$C$36/12)*F5*('LW Assumptions'!$C$37-'LW Assumptions'!$C$16)</f>
        <v>602.9</v>
      </c>
      <c r="G16" s="28" t="n">
        <f aca="false">F16/F9</f>
        <v>0.288859553596446</v>
      </c>
      <c r="H16" s="40" t="n">
        <f aca="false">H9*'LW Assumptions'!$C$16+('LW Assumptions'!$C$36/12)*H5*('LW Assumptions'!$C$37-'LW Assumptions'!$C$16)</f>
        <v>465.25</v>
      </c>
      <c r="I16" s="28" t="n">
        <f aca="false">H16/H9</f>
        <v>0.288859553596446</v>
      </c>
      <c r="J16" s="40" t="n">
        <f aca="false">J9*'LW Assumptions'!$C$16+('LW Assumptions'!$C$36/12)*J5*('LW Assumptions'!$C$37-'LW Assumptions'!$C$16)</f>
        <v>561.5</v>
      </c>
      <c r="K16" s="28" t="n">
        <f aca="false">J16/J9</f>
        <v>0.288859553596446</v>
      </c>
      <c r="L16" s="40" t="n">
        <f aca="false">L9*'LW Assumptions'!$C$16+('LW Assumptions'!$C$36/12)*L5*('LW Assumptions'!$C$37-'LW Assumptions'!$C$16)</f>
        <v>613.5</v>
      </c>
      <c r="M16" s="28" t="n">
        <f aca="false">L16/L9</f>
        <v>0.288859553596446</v>
      </c>
      <c r="N16" s="40" t="n">
        <f aca="false">N9*'LW Assumptions'!$C$16+('LW Assumptions'!$C$36/12)*N5*('LW Assumptions'!$C$37-'LW Assumptions'!$C$16)</f>
        <v>500</v>
      </c>
      <c r="O16" s="28" t="n">
        <f aca="false">N16/N9</f>
        <v>0.288859553596446</v>
      </c>
      <c r="P16" s="40" t="n">
        <f aca="false">P9*'LW Assumptions'!$C$16+('LW Assumptions'!$C$36/12)*P5*('LW Assumptions'!$C$37-'LW Assumptions'!$C$16)</f>
        <v>500</v>
      </c>
      <c r="Q16" s="28" t="n">
        <f aca="false">P16/P9</f>
        <v>0.288859553596446</v>
      </c>
      <c r="R16" s="40" t="n">
        <f aca="false">R9*'LW Assumptions'!$C$16+('LW Assumptions'!$C$36/12)*R5*('LW Assumptions'!$C$37-'LW Assumptions'!$C$16)</f>
        <v>500</v>
      </c>
      <c r="S16" s="28" t="n">
        <f aca="false">R16/R9</f>
        <v>0.288859553596446</v>
      </c>
      <c r="T16" s="40" t="n">
        <f aca="false">T9*'LW Assumptions'!$C$16+('LW Assumptions'!$C$36/12)*T5*('LW Assumptions'!$C$37-'LW Assumptions'!$C$16)</f>
        <v>500</v>
      </c>
      <c r="U16" s="28" t="n">
        <f aca="false">T16/T9</f>
        <v>0.288859553596446</v>
      </c>
      <c r="V16" s="40" t="n">
        <f aca="false">V9*'LW Assumptions'!$C$16+('LW Assumptions'!$C$36/12)*V5*('LW Assumptions'!$C$37-'LW Assumptions'!$C$16)</f>
        <v>500</v>
      </c>
      <c r="W16" s="28" t="n">
        <f aca="false">V16/V9</f>
        <v>0.288859553596446</v>
      </c>
      <c r="X16" s="40" t="n">
        <f aca="false">X9*'LW Assumptions'!$C$16+('LW Assumptions'!$C$36/12)*X5*('LW Assumptions'!$C$37-'LW Assumptions'!$C$16)</f>
        <v>500</v>
      </c>
      <c r="Y16" s="28" t="n">
        <f aca="false">X16/X9</f>
        <v>0.288859553596446</v>
      </c>
      <c r="Z16" s="40" t="n">
        <f aca="false">B16+D16+F16+H16+J16+L16+N16+P16+R16+T16+V16+X16</f>
        <v>6000</v>
      </c>
      <c r="AA16" s="28" t="n">
        <f aca="false">Z16/Z9</f>
        <v>0.288859553596446</v>
      </c>
    </row>
    <row r="17" customFormat="false" ht="15" hidden="false" customHeight="true" outlineLevel="0" collapsed="false">
      <c r="A17" s="26" t="s">
        <v>331</v>
      </c>
      <c r="B17" s="40" t="n">
        <f aca="false">B10*'LW Assumptions'!$C$17</f>
        <v>0</v>
      </c>
      <c r="C17" s="28" t="n">
        <f aca="false">B17/B10</f>
        <v>0</v>
      </c>
      <c r="D17" s="40" t="n">
        <f aca="false">D10*'LW Assumptions'!$C$17</f>
        <v>0</v>
      </c>
      <c r="E17" s="28" t="n">
        <f aca="false">D17/D10</f>
        <v>0</v>
      </c>
      <c r="F17" s="40" t="n">
        <f aca="false">F10*'LW Assumptions'!$C$17</f>
        <v>0</v>
      </c>
      <c r="G17" s="28" t="n">
        <f aca="false">F17/F10</f>
        <v>0</v>
      </c>
      <c r="H17" s="40" t="n">
        <f aca="false">H10*'LW Assumptions'!$C$17</f>
        <v>0</v>
      </c>
      <c r="I17" s="28" t="n">
        <f aca="false">H17/H10</f>
        <v>0</v>
      </c>
      <c r="J17" s="40" t="n">
        <f aca="false">J10*'LW Assumptions'!$C$17</f>
        <v>0</v>
      </c>
      <c r="K17" s="28" t="n">
        <f aca="false">J17/J10</f>
        <v>0</v>
      </c>
      <c r="L17" s="40" t="n">
        <f aca="false">L10*'LW Assumptions'!$C$17</f>
        <v>0</v>
      </c>
      <c r="M17" s="28" t="n">
        <f aca="false">L17/L10</f>
        <v>0</v>
      </c>
      <c r="N17" s="40" t="n">
        <f aca="false">N10*'LW Assumptions'!$C$17</f>
        <v>0</v>
      </c>
      <c r="O17" s="28" t="n">
        <f aca="false">N17/N10</f>
        <v>0</v>
      </c>
      <c r="P17" s="40" t="n">
        <f aca="false">P10*'LW Assumptions'!$C$17</f>
        <v>0</v>
      </c>
      <c r="Q17" s="28" t="n">
        <f aca="false">P17/P10</f>
        <v>0</v>
      </c>
      <c r="R17" s="40" t="n">
        <f aca="false">R10*'LW Assumptions'!$C$17</f>
        <v>0</v>
      </c>
      <c r="S17" s="28" t="n">
        <f aca="false">R17/R10</f>
        <v>0</v>
      </c>
      <c r="T17" s="40" t="n">
        <f aca="false">T10*'LW Assumptions'!$C$17</f>
        <v>0</v>
      </c>
      <c r="U17" s="28" t="n">
        <f aca="false">T17/T10</f>
        <v>0</v>
      </c>
      <c r="V17" s="40" t="n">
        <f aca="false">V10*'LW Assumptions'!$C$17</f>
        <v>0</v>
      </c>
      <c r="W17" s="28" t="n">
        <f aca="false">V17/V10</f>
        <v>0</v>
      </c>
      <c r="X17" s="40" t="n">
        <f aca="false">X10*'LW Assumptions'!$C$17</f>
        <v>0</v>
      </c>
      <c r="Y17" s="28" t="n">
        <f aca="false">X17/X10</f>
        <v>0</v>
      </c>
      <c r="Z17" s="40" t="n">
        <f aca="false">B17+D17+F17+H17+J17+L17+N17+P17+R17+T17+V17+X17</f>
        <v>0</v>
      </c>
      <c r="AA17" s="28" t="n">
        <f aca="false">Z17/Z10</f>
        <v>0</v>
      </c>
    </row>
    <row r="18" customFormat="false" ht="15" hidden="false" customHeight="true" outlineLevel="0" collapsed="false">
      <c r="A18" s="23" t="s">
        <v>147</v>
      </c>
      <c r="B18" s="43" t="n">
        <f aca="false">SUM(B13:B17)</f>
        <v>5097.85767755977</v>
      </c>
      <c r="C18" s="25" t="n">
        <f aca="false">B18/B11</f>
        <v>0.290996527771711</v>
      </c>
      <c r="D18" s="43" t="n">
        <f aca="false">SUM(D13:D17)</f>
        <v>5867.93337903</v>
      </c>
      <c r="E18" s="25" t="n">
        <f aca="false">D18/D11</f>
        <v>0.290996527771711</v>
      </c>
      <c r="F18" s="43" t="n">
        <f aca="false">SUM(F13:F17)</f>
        <v>8735.25193633873</v>
      </c>
      <c r="G18" s="25" t="n">
        <f aca="false">F18/F11</f>
        <v>0.290996527771711</v>
      </c>
      <c r="H18" s="43" t="n">
        <f aca="false">SUM(H13:H17)</f>
        <v>6740.87902368817</v>
      </c>
      <c r="I18" s="25" t="n">
        <f aca="false">H18/H11</f>
        <v>0.290996527771711</v>
      </c>
      <c r="J18" s="43" t="n">
        <f aca="false">SUM(J13:J17)</f>
        <v>8135.41874648233</v>
      </c>
      <c r="K18" s="25" t="n">
        <f aca="false">J18/J11</f>
        <v>0.290996527771711</v>
      </c>
      <c r="L18" s="43" t="n">
        <f aca="false">SUM(L13:L17)</f>
        <v>8888.832414901</v>
      </c>
      <c r="M18" s="25" t="n">
        <f aca="false">L18/L11</f>
        <v>0.290996527771711</v>
      </c>
      <c r="N18" s="43" t="n">
        <f aca="false">SUM(N13:N17)</f>
        <v>7244.36219633333</v>
      </c>
      <c r="O18" s="25" t="n">
        <f aca="false">N18/N11</f>
        <v>0.290996527771711</v>
      </c>
      <c r="P18" s="43" t="n">
        <f aca="false">SUM(P13:P17)</f>
        <v>7244.36219633333</v>
      </c>
      <c r="Q18" s="25" t="n">
        <f aca="false">P18/P11</f>
        <v>0.290996527771711</v>
      </c>
      <c r="R18" s="43" t="n">
        <f aca="false">SUM(R13:R17)</f>
        <v>7244.36219633333</v>
      </c>
      <c r="S18" s="25" t="n">
        <f aca="false">R18/R11</f>
        <v>0.290996527771711</v>
      </c>
      <c r="T18" s="43" t="n">
        <f aca="false">SUM(T13:T17)</f>
        <v>7244.36219633333</v>
      </c>
      <c r="U18" s="25" t="n">
        <f aca="false">T18/T11</f>
        <v>0.290996527771711</v>
      </c>
      <c r="V18" s="43" t="n">
        <f aca="false">SUM(V13:V17)</f>
        <v>7244.36219633333</v>
      </c>
      <c r="W18" s="25" t="n">
        <f aca="false">V18/V11</f>
        <v>0.290996527771711</v>
      </c>
      <c r="X18" s="43" t="n">
        <f aca="false">SUM(X13:X17)</f>
        <v>7244.36219633333</v>
      </c>
      <c r="Y18" s="25" t="n">
        <f aca="false">X18/X11</f>
        <v>0.290996527771711</v>
      </c>
      <c r="Z18" s="43" t="n">
        <f aca="false">B18+D18+F18+H18+J18+L18+N18+P18+R18+T18+V18+X18</f>
        <v>86932.346356</v>
      </c>
      <c r="AA18" s="25" t="n">
        <f aca="false">Z18/Z11</f>
        <v>0.29099652777171</v>
      </c>
    </row>
    <row r="19" customFormat="false" ht="15" hidden="false" customHeight="true" outlineLevel="0" collapsed="false">
      <c r="A19" s="23" t="s">
        <v>9</v>
      </c>
      <c r="B19" s="43" t="n">
        <f aca="false">B11-B18</f>
        <v>12420.7626186902</v>
      </c>
      <c r="C19" s="25" t="n">
        <f aca="false">B19/B11</f>
        <v>0.709003472228289</v>
      </c>
      <c r="D19" s="43" t="n">
        <f aca="false">D11-D18</f>
        <v>14297.02674597</v>
      </c>
      <c r="E19" s="25" t="n">
        <f aca="false">D19/D11</f>
        <v>0.709003472228289</v>
      </c>
      <c r="F19" s="43" t="n">
        <f aca="false">F11-F18</f>
        <v>21283.1541361613</v>
      </c>
      <c r="G19" s="25" t="n">
        <f aca="false">F19/F11</f>
        <v>0.709003472228289</v>
      </c>
      <c r="H19" s="43" t="n">
        <f aca="false">H11-H18</f>
        <v>16423.9301075618</v>
      </c>
      <c r="I19" s="25" t="n">
        <f aca="false">H19/H11</f>
        <v>0.709003472228289</v>
      </c>
      <c r="J19" s="43" t="n">
        <f aca="false">J11-J18</f>
        <v>19821.6802910177</v>
      </c>
      <c r="K19" s="25" t="n">
        <f aca="false">J19/J11</f>
        <v>0.709003472228289</v>
      </c>
      <c r="L19" s="43" t="n">
        <f aca="false">L11-L18</f>
        <v>21657.347922599</v>
      </c>
      <c r="M19" s="25" t="n">
        <f aca="false">L19/L11</f>
        <v>0.709003472228289</v>
      </c>
      <c r="N19" s="43" t="n">
        <f aca="false">N11-N18</f>
        <v>17650.6503036667</v>
      </c>
      <c r="O19" s="25" t="n">
        <f aca="false">N19/N11</f>
        <v>0.709003472228289</v>
      </c>
      <c r="P19" s="43" t="n">
        <f aca="false">P11-P18</f>
        <v>17650.6503036667</v>
      </c>
      <c r="Q19" s="25" t="n">
        <f aca="false">P19/P11</f>
        <v>0.709003472228289</v>
      </c>
      <c r="R19" s="43" t="n">
        <f aca="false">R11-R18</f>
        <v>17650.6503036667</v>
      </c>
      <c r="S19" s="25" t="n">
        <f aca="false">R19/R11</f>
        <v>0.709003472228289</v>
      </c>
      <c r="T19" s="43" t="n">
        <f aca="false">T11-T18</f>
        <v>17650.6503036667</v>
      </c>
      <c r="U19" s="25" t="n">
        <f aca="false">T19/T11</f>
        <v>0.709003472228289</v>
      </c>
      <c r="V19" s="43" t="n">
        <f aca="false">V11-V18</f>
        <v>17650.6503036667</v>
      </c>
      <c r="W19" s="25" t="n">
        <f aca="false">V19/V11</f>
        <v>0.709003472228289</v>
      </c>
      <c r="X19" s="43" t="n">
        <f aca="false">X11-X18</f>
        <v>17650.6503036667</v>
      </c>
      <c r="Y19" s="25" t="n">
        <f aca="false">X19/X11</f>
        <v>0.709003472228289</v>
      </c>
      <c r="Z19" s="43" t="n">
        <f aca="false">Z11-Z18</f>
        <v>211807.803644</v>
      </c>
      <c r="AA19" s="25" t="n">
        <f aca="false">Z19/Z11</f>
        <v>0.70900347222829</v>
      </c>
    </row>
    <row r="21" customFormat="false" ht="15" hidden="false" customHeight="true" outlineLevel="0" collapsed="false">
      <c r="A21" s="26" t="s">
        <v>332</v>
      </c>
      <c r="B21" s="40" t="n">
        <f aca="false">'LW Assumptions'!$C$25/12</f>
        <v>9329.49333333333</v>
      </c>
      <c r="C21" s="28" t="n">
        <f aca="false">B21/B11</f>
        <v>0.532547265456195</v>
      </c>
      <c r="D21" s="40" t="n">
        <f aca="false">'LW Assumptions'!$C$25/12</f>
        <v>9329.49333333333</v>
      </c>
      <c r="E21" s="28" t="n">
        <f aca="false">D21/D11</f>
        <v>0.462658655187067</v>
      </c>
      <c r="F21" s="40" t="n">
        <f aca="false">'LW Assumptions'!$C$25/12</f>
        <v>9329.49333333333</v>
      </c>
      <c r="G21" s="28" t="n">
        <f aca="false">F21/F11</f>
        <v>0.310792428845185</v>
      </c>
      <c r="H21" s="40" t="n">
        <f aca="false">'LW Assumptions'!$C$25/12</f>
        <v>9329.49333333333</v>
      </c>
      <c r="I21" s="28" t="n">
        <f aca="false">H21/H11</f>
        <v>0.402744235036566</v>
      </c>
      <c r="J21" s="40" t="n">
        <f aca="false">'LW Assumptions'!$C$25/12</f>
        <v>9329.49333333333</v>
      </c>
      <c r="K21" s="28" t="n">
        <f aca="false">J21/J11</f>
        <v>0.333707489493789</v>
      </c>
      <c r="L21" s="40" t="n">
        <f aca="false">'LW Assumptions'!$C$25/12</f>
        <v>9329.49333333333</v>
      </c>
      <c r="M21" s="28" t="n">
        <f aca="false">L21/L11</f>
        <v>0.305422584108822</v>
      </c>
      <c r="N21" s="40" t="n">
        <f aca="false">'LW Assumptions'!$C$25/12</f>
        <v>9329.49333333333</v>
      </c>
      <c r="O21" s="28" t="n">
        <f aca="false">N21/N11</f>
        <v>0.374753510701524</v>
      </c>
      <c r="P21" s="40" t="n">
        <f aca="false">'LW Assumptions'!$C$25/12</f>
        <v>9329.49333333333</v>
      </c>
      <c r="Q21" s="28" t="n">
        <f aca="false">P21/P11</f>
        <v>0.374753510701524</v>
      </c>
      <c r="R21" s="40" t="n">
        <f aca="false">'LW Assumptions'!$C$25/12</f>
        <v>9329.49333333333</v>
      </c>
      <c r="S21" s="28" t="n">
        <f aca="false">R21/R11</f>
        <v>0.374753510701524</v>
      </c>
      <c r="T21" s="40" t="n">
        <f aca="false">'LW Assumptions'!$C$25/12</f>
        <v>9329.49333333333</v>
      </c>
      <c r="U21" s="28" t="n">
        <f aca="false">T21/T11</f>
        <v>0.374753510701524</v>
      </c>
      <c r="V21" s="40" t="n">
        <f aca="false">'LW Assumptions'!$C$25/12</f>
        <v>9329.49333333333</v>
      </c>
      <c r="W21" s="28" t="n">
        <f aca="false">V21/V11</f>
        <v>0.374753510701524</v>
      </c>
      <c r="X21" s="40" t="n">
        <f aca="false">'LW Assumptions'!$C$25/12</f>
        <v>9329.49333333333</v>
      </c>
      <c r="Y21" s="28" t="n">
        <f aca="false">X21/X11</f>
        <v>0.374753510701524</v>
      </c>
      <c r="Z21" s="40" t="n">
        <f aca="false">B21+D21+F21+H21+J21+L21+N21+P21+R21+T21+V21+X21</f>
        <v>111953.92</v>
      </c>
      <c r="AA21" s="28" t="n">
        <f aca="false">Z21/Z11</f>
        <v>0.374753510701524</v>
      </c>
    </row>
    <row r="22" customFormat="false" ht="15" hidden="false" customHeight="true" outlineLevel="0" collapsed="false">
      <c r="A22" s="26" t="s">
        <v>153</v>
      </c>
      <c r="B22" s="40" t="n">
        <f aca="false">B11*'LW Assumptions'!$C$31</f>
        <v>437.96550740625</v>
      </c>
      <c r="C22" s="28" t="n">
        <f aca="false">B22/B11</f>
        <v>0.025</v>
      </c>
      <c r="D22" s="40" t="n">
        <f aca="false">D11*'LW Assumptions'!$C$31</f>
        <v>504.124003125</v>
      </c>
      <c r="E22" s="28" t="n">
        <f aca="false">D22/D11</f>
        <v>0.025</v>
      </c>
      <c r="F22" s="40" t="n">
        <f aca="false">F11*'LW Assumptions'!$C$31</f>
        <v>750.4601518125</v>
      </c>
      <c r="G22" s="28" t="n">
        <f aca="false">F22/F11</f>
        <v>0.025</v>
      </c>
      <c r="H22" s="40" t="n">
        <f aca="false">H11*'LW Assumptions'!$C$31</f>
        <v>579.12022828125</v>
      </c>
      <c r="I22" s="28" t="n">
        <f aca="false">H22/H11</f>
        <v>0.025</v>
      </c>
      <c r="J22" s="40" t="n">
        <f aca="false">J11*'LW Assumptions'!$C$31</f>
        <v>698.9274759375</v>
      </c>
      <c r="K22" s="28" t="n">
        <f aca="false">J22/J11</f>
        <v>0.025</v>
      </c>
      <c r="L22" s="40" t="n">
        <f aca="false">L11*'LW Assumptions'!$C$31</f>
        <v>763.6545084375</v>
      </c>
      <c r="M22" s="28" t="n">
        <f aca="false">L22/L11</f>
        <v>0.025</v>
      </c>
      <c r="N22" s="40" t="n">
        <f aca="false">N11*'LW Assumptions'!$C$31</f>
        <v>622.3753125</v>
      </c>
      <c r="O22" s="28" t="n">
        <f aca="false">N22/N11</f>
        <v>0.025</v>
      </c>
      <c r="P22" s="40" t="n">
        <f aca="false">P11*'LW Assumptions'!$C$31</f>
        <v>622.3753125</v>
      </c>
      <c r="Q22" s="28" t="n">
        <f aca="false">P22/P11</f>
        <v>0.025</v>
      </c>
      <c r="R22" s="40" t="n">
        <f aca="false">R11*'LW Assumptions'!$C$31</f>
        <v>622.3753125</v>
      </c>
      <c r="S22" s="28" t="n">
        <f aca="false">R22/R11</f>
        <v>0.025</v>
      </c>
      <c r="T22" s="40" t="n">
        <f aca="false">T11*'LW Assumptions'!$C$31</f>
        <v>622.3753125</v>
      </c>
      <c r="U22" s="28" t="n">
        <f aca="false">T22/T11</f>
        <v>0.025</v>
      </c>
      <c r="V22" s="40" t="n">
        <f aca="false">V11*'LW Assumptions'!$C$31</f>
        <v>622.3753125</v>
      </c>
      <c r="W22" s="28" t="n">
        <f aca="false">V22/V11</f>
        <v>0.025</v>
      </c>
      <c r="X22" s="40" t="n">
        <f aca="false">X11*'LW Assumptions'!$C$31</f>
        <v>622.3753125</v>
      </c>
      <c r="Y22" s="28" t="n">
        <f aca="false">X22/X11</f>
        <v>0.025</v>
      </c>
      <c r="Z22" s="40" t="n">
        <f aca="false">B22+D22+F22+H22+J22+L22+N22+P22+R22+T22+V22+X22</f>
        <v>7468.50375</v>
      </c>
      <c r="AA22" s="28" t="n">
        <f aca="false">Z22/Z11</f>
        <v>0.025</v>
      </c>
    </row>
    <row r="23" customFormat="false" ht="15" hidden="false" customHeight="true" outlineLevel="0" collapsed="false">
      <c r="A23" s="26" t="s">
        <v>152</v>
      </c>
      <c r="B23" s="40" t="n">
        <f aca="false">'LW Assumptions'!$C$32/12</f>
        <v>7472.91666666667</v>
      </c>
      <c r="C23" s="28" t="n">
        <f aca="false">B23/B11</f>
        <v>0.426569931895054</v>
      </c>
      <c r="D23" s="40" t="n">
        <f aca="false">'LW Assumptions'!$C$32/12</f>
        <v>7472.91666666667</v>
      </c>
      <c r="E23" s="28" t="n">
        <f aca="false">D23/D11</f>
        <v>0.370589211203147</v>
      </c>
      <c r="F23" s="40" t="n">
        <f aca="false">'LW Assumptions'!$C$32/12</f>
        <v>7472.91666666667</v>
      </c>
      <c r="G23" s="28" t="n">
        <f aca="false">F23/F11</f>
        <v>0.248944485880369</v>
      </c>
      <c r="H23" s="40" t="n">
        <f aca="false">'LW Assumptions'!$C$32/12</f>
        <v>7472.91666666667</v>
      </c>
      <c r="I23" s="28" t="n">
        <f aca="false">H23/H11</f>
        <v>0.322597808785115</v>
      </c>
      <c r="J23" s="40" t="n">
        <f aca="false">'LW Assumptions'!$C$32/12</f>
        <v>7472.91666666667</v>
      </c>
      <c r="K23" s="28" t="n">
        <f aca="false">J23/J11</f>
        <v>0.267299431054808</v>
      </c>
      <c r="L23" s="40" t="n">
        <f aca="false">'LW Assumptions'!$C$32/12</f>
        <v>7472.91666666667</v>
      </c>
      <c r="M23" s="28" t="n">
        <f aca="false">L23/L11</f>
        <v>0.244643244559535</v>
      </c>
      <c r="N23" s="40" t="n">
        <f aca="false">'LW Assumptions'!$C$32/12</f>
        <v>7472.91666666667</v>
      </c>
      <c r="O23" s="28" t="n">
        <f aca="false">N23/N11</f>
        <v>0.300177261074549</v>
      </c>
      <c r="P23" s="40" t="n">
        <f aca="false">'LW Assumptions'!$C$32/12</f>
        <v>7472.91666666667</v>
      </c>
      <c r="Q23" s="28" t="n">
        <f aca="false">P23/P11</f>
        <v>0.300177261074549</v>
      </c>
      <c r="R23" s="40" t="n">
        <f aca="false">'LW Assumptions'!$C$32/12</f>
        <v>7472.91666666667</v>
      </c>
      <c r="S23" s="28" t="n">
        <f aca="false">R23/R11</f>
        <v>0.300177261074549</v>
      </c>
      <c r="T23" s="40" t="n">
        <f aca="false">'LW Assumptions'!$C$32/12</f>
        <v>7472.91666666667</v>
      </c>
      <c r="U23" s="28" t="n">
        <f aca="false">T23/T11</f>
        <v>0.300177261074549</v>
      </c>
      <c r="V23" s="40" t="n">
        <f aca="false">'LW Assumptions'!$C$32/12</f>
        <v>7472.91666666667</v>
      </c>
      <c r="W23" s="28" t="n">
        <f aca="false">V23/V11</f>
        <v>0.300177261074549</v>
      </c>
      <c r="X23" s="40" t="n">
        <f aca="false">'LW Assumptions'!$C$32/12</f>
        <v>7472.91666666667</v>
      </c>
      <c r="Y23" s="28" t="n">
        <f aca="false">X23/X11</f>
        <v>0.300177261074549</v>
      </c>
      <c r="Z23" s="40" t="n">
        <f aca="false">B23+D23+F23+H23+J23+L23+N23+P23+R23+T23+V23+X23</f>
        <v>89675</v>
      </c>
      <c r="AA23" s="28" t="n">
        <f aca="false">Z23/Z11</f>
        <v>0.300177261074549</v>
      </c>
    </row>
    <row r="24" customFormat="false" ht="15" hidden="false" customHeight="true" outlineLevel="0" collapsed="false">
      <c r="A24" s="26" t="s">
        <v>154</v>
      </c>
      <c r="B24" s="40" t="n">
        <f aca="false">'LW Assumptions'!$C$33/12</f>
        <v>471.416666666667</v>
      </c>
      <c r="C24" s="28" t="n">
        <f aca="false">B24/B11</f>
        <v>0.0269094631138034</v>
      </c>
      <c r="D24" s="40" t="n">
        <f aca="false">'LW Assumptions'!$C$33/12</f>
        <v>471.416666666667</v>
      </c>
      <c r="E24" s="28" t="n">
        <f aca="false">D24/D11</f>
        <v>0.0233780113496092</v>
      </c>
      <c r="F24" s="40" t="n">
        <f aca="false">'LW Assumptions'!$C$33/12</f>
        <v>471.416666666667</v>
      </c>
      <c r="G24" s="28" t="n">
        <f aca="false">F24/F11</f>
        <v>0.0157042537677753</v>
      </c>
      <c r="H24" s="40" t="n">
        <f aca="false">'LW Assumptions'!$C$33/12</f>
        <v>471.416666666667</v>
      </c>
      <c r="I24" s="28" t="n">
        <f aca="false">H24/H11</f>
        <v>0.0203505525988001</v>
      </c>
      <c r="J24" s="40" t="n">
        <f aca="false">'LW Assumptions'!$C$33/12</f>
        <v>471.416666666667</v>
      </c>
      <c r="K24" s="28" t="n">
        <f aca="false">J24/J11</f>
        <v>0.0168621453189523</v>
      </c>
      <c r="L24" s="40" t="n">
        <f aca="false">'LW Assumptions'!$C$33/12</f>
        <v>471.416666666667</v>
      </c>
      <c r="M24" s="28" t="n">
        <f aca="false">L24/L11</f>
        <v>0.0154329170278594</v>
      </c>
      <c r="N24" s="40" t="n">
        <f aca="false">'LW Assumptions'!$C$33/12</f>
        <v>471.416666666667</v>
      </c>
      <c r="O24" s="28" t="n">
        <f aca="false">N24/N11</f>
        <v>0.0189361891931834</v>
      </c>
      <c r="P24" s="40" t="n">
        <f aca="false">'LW Assumptions'!$C$33/12</f>
        <v>471.416666666667</v>
      </c>
      <c r="Q24" s="28" t="n">
        <f aca="false">P24/P11</f>
        <v>0.0189361891931834</v>
      </c>
      <c r="R24" s="40" t="n">
        <f aca="false">'LW Assumptions'!$C$33/12</f>
        <v>471.416666666667</v>
      </c>
      <c r="S24" s="28" t="n">
        <f aca="false">R24/R11</f>
        <v>0.0189361891931834</v>
      </c>
      <c r="T24" s="40" t="n">
        <f aca="false">'LW Assumptions'!$C$33/12</f>
        <v>471.416666666667</v>
      </c>
      <c r="U24" s="28" t="n">
        <f aca="false">T24/T11</f>
        <v>0.0189361891931834</v>
      </c>
      <c r="V24" s="40" t="n">
        <f aca="false">'LW Assumptions'!$C$33/12</f>
        <v>471.416666666667</v>
      </c>
      <c r="W24" s="28" t="n">
        <f aca="false">V24/V11</f>
        <v>0.0189361891931834</v>
      </c>
      <c r="X24" s="40" t="n">
        <f aca="false">'LW Assumptions'!$C$33/12</f>
        <v>471.416666666667</v>
      </c>
      <c r="Y24" s="28" t="n">
        <f aca="false">X24/X11</f>
        <v>0.0189361891931834</v>
      </c>
      <c r="Z24" s="40" t="n">
        <f aca="false">B24+D24+F24+H24+J24+L24+N24+P24+R24+T24+V24+X24</f>
        <v>5657</v>
      </c>
      <c r="AA24" s="28" t="n">
        <f aca="false">Z24/Z11</f>
        <v>0.0189361891931834</v>
      </c>
    </row>
    <row r="25" customFormat="false" ht="15" hidden="false" customHeight="true" outlineLevel="0" collapsed="false">
      <c r="A25" s="23" t="s">
        <v>155</v>
      </c>
      <c r="B25" s="43" t="n">
        <f aca="false">B11*'LW Assumptions'!$C$40</f>
        <v>700.74481185</v>
      </c>
      <c r="C25" s="25" t="n">
        <f aca="false">B25/B11</f>
        <v>0.04</v>
      </c>
      <c r="D25" s="43" t="n">
        <f aca="false">D11*'LW Assumptions'!$C$40</f>
        <v>806.598405</v>
      </c>
      <c r="E25" s="25" t="n">
        <f aca="false">D25/D11</f>
        <v>0.04</v>
      </c>
      <c r="F25" s="43" t="n">
        <f aca="false">F11*'LW Assumptions'!$C$40</f>
        <v>1200.7362429</v>
      </c>
      <c r="G25" s="25" t="n">
        <f aca="false">F25/F11</f>
        <v>0.04</v>
      </c>
      <c r="H25" s="43" t="n">
        <f aca="false">H11*'LW Assumptions'!$C$40</f>
        <v>926.59236525</v>
      </c>
      <c r="I25" s="25" t="n">
        <f aca="false">H25/H11</f>
        <v>0.04</v>
      </c>
      <c r="J25" s="43" t="n">
        <f aca="false">J11*'LW Assumptions'!$C$40</f>
        <v>1118.2839615</v>
      </c>
      <c r="K25" s="25" t="n">
        <f aca="false">J25/J11</f>
        <v>0.04</v>
      </c>
      <c r="L25" s="43" t="n">
        <f aca="false">L11*'LW Assumptions'!$C$40</f>
        <v>1221.8472135</v>
      </c>
      <c r="M25" s="25" t="n">
        <f aca="false">L25/L11</f>
        <v>0.04</v>
      </c>
      <c r="N25" s="43" t="n">
        <f aca="false">N11*'LW Assumptions'!$C$40</f>
        <v>995.8005</v>
      </c>
      <c r="O25" s="25" t="n">
        <f aca="false">N25/N11</f>
        <v>0.04</v>
      </c>
      <c r="P25" s="43" t="n">
        <f aca="false">P11*'LW Assumptions'!$C$40</f>
        <v>995.8005</v>
      </c>
      <c r="Q25" s="25" t="n">
        <f aca="false">P25/P11</f>
        <v>0.04</v>
      </c>
      <c r="R25" s="43" t="n">
        <f aca="false">R11*'LW Assumptions'!$C$40</f>
        <v>995.8005</v>
      </c>
      <c r="S25" s="25" t="n">
        <f aca="false">R25/R11</f>
        <v>0.04</v>
      </c>
      <c r="T25" s="43" t="n">
        <f aca="false">T11*'LW Assumptions'!$C$40</f>
        <v>995.8005</v>
      </c>
      <c r="U25" s="25" t="n">
        <f aca="false">T25/T11</f>
        <v>0.04</v>
      </c>
      <c r="V25" s="43" t="n">
        <f aca="false">V11*'LW Assumptions'!$C$40</f>
        <v>995.8005</v>
      </c>
      <c r="W25" s="25" t="n">
        <f aca="false">V25/V11</f>
        <v>0.04</v>
      </c>
      <c r="X25" s="43" t="n">
        <f aca="false">X11*'LW Assumptions'!$C$40</f>
        <v>995.8005</v>
      </c>
      <c r="Y25" s="25" t="n">
        <f aca="false">X25/X11</f>
        <v>0.04</v>
      </c>
      <c r="Z25" s="43" t="n">
        <f aca="false">B25+D25+F25+H25+J25+L25+N25+P25+R25+T25+V25+X25</f>
        <v>11949.606</v>
      </c>
      <c r="AA25" s="25" t="n">
        <f aca="false">Z25/Z11</f>
        <v>0.04</v>
      </c>
    </row>
    <row r="26" customFormat="false" ht="15" hidden="false" customHeight="true" outlineLevel="0" collapsed="false">
      <c r="A26" s="1" t="s">
        <v>318</v>
      </c>
      <c r="B26" s="81" t="n">
        <f aca="false">B11*'LW Assumptions'!$C$41</f>
        <v>1051.117217775</v>
      </c>
      <c r="D26" s="81" t="n">
        <f aca="false">D11*'LW Assumptions'!$C$41</f>
        <v>1209.8976075</v>
      </c>
      <c r="F26" s="81" t="n">
        <f aca="false">F11*'LW Assumptions'!$C$41</f>
        <v>1801.10436435</v>
      </c>
      <c r="H26" s="81" t="n">
        <f aca="false">H11*'LW Assumptions'!$C$41</f>
        <v>1389.888547875</v>
      </c>
      <c r="J26" s="81" t="n">
        <f aca="false">J11*'LW Assumptions'!$C$41</f>
        <v>1677.42594225</v>
      </c>
      <c r="L26" s="81" t="n">
        <f aca="false">L11*'LW Assumptions'!$C$41</f>
        <v>1832.77082025</v>
      </c>
      <c r="N26" s="81" t="n">
        <f aca="false">N11*'LW Assumptions'!$C$41</f>
        <v>1493.70075</v>
      </c>
      <c r="P26" s="81" t="n">
        <f aca="false">P11*'LW Assumptions'!$C$41</f>
        <v>1493.70075</v>
      </c>
      <c r="R26" s="81" t="n">
        <f aca="false">R11*'LW Assumptions'!$C$41</f>
        <v>1493.70075</v>
      </c>
      <c r="T26" s="81" t="n">
        <f aca="false">T11*'LW Assumptions'!$C$41</f>
        <v>1493.70075</v>
      </c>
      <c r="V26" s="81" t="n">
        <f aca="false">V11*'LW Assumptions'!$C$41</f>
        <v>1493.70075</v>
      </c>
      <c r="X26" s="81" t="n">
        <f aca="false">X11*'LW Assumptions'!$C$41</f>
        <v>1493.70075</v>
      </c>
      <c r="Z26" s="81" t="n">
        <f aca="false">B26+D26+F26+H26+J26+L26+N26+P26+R26+T26+V26+X26</f>
        <v>17924.409</v>
      </c>
    </row>
    <row r="27" customFormat="false" ht="15" hidden="false" customHeight="true" outlineLevel="0" collapsed="false">
      <c r="A27" s="82" t="s">
        <v>320</v>
      </c>
      <c r="B27" s="125" t="n">
        <f aca="false">B19-(B21+B22+B23+B24+B25+B26)</f>
        <v>-7042.89158500769</v>
      </c>
      <c r="C27" s="25" t="n">
        <f aca="false">B27/B11</f>
        <v>-0.402023188236763</v>
      </c>
      <c r="D27" s="125" t="n">
        <f aca="false">D19-(D21+D22+D23+D24+D25+D26)</f>
        <v>-5497.41993632167</v>
      </c>
      <c r="E27" s="25" t="n">
        <f aca="false">D27/D11</f>
        <v>-0.272622405511535</v>
      </c>
      <c r="F27" s="125" t="n">
        <f aca="false">F19-(F21+F22+F23+F24+F25+F26)</f>
        <v>257.026710432099</v>
      </c>
      <c r="G27" s="25" t="n">
        <f aca="false">F27/F11</f>
        <v>0.00856230373495955</v>
      </c>
      <c r="H27" s="125" t="n">
        <f aca="false">H19-(H21+H22+H23+H24+H25+H26)</f>
        <v>-3745.49770051109</v>
      </c>
      <c r="I27" s="25" t="n">
        <f aca="false">H27/H11</f>
        <v>-0.161689124192191</v>
      </c>
      <c r="J27" s="125" t="n">
        <f aca="false">J19-(J21+J22+J23+J24+J25+J26)</f>
        <v>-946.783755336506</v>
      </c>
      <c r="K27" s="25" t="n">
        <f aca="false">J27/J11</f>
        <v>-0.0338655936392594</v>
      </c>
      <c r="L27" s="125" t="n">
        <f aca="false">L19-(L21+L22+L23+L24+L25+L26)</f>
        <v>565.248713744833</v>
      </c>
      <c r="M27" s="25" t="n">
        <f aca="false">L27/L11</f>
        <v>0.0185047265320733</v>
      </c>
      <c r="N27" s="125" t="n">
        <f aca="false">N19-(N21+N22+N23+N24+N25+N26)</f>
        <v>-2735.0529255</v>
      </c>
      <c r="O27" s="25" t="n">
        <f aca="false">N27/N11</f>
        <v>-0.109863488740968</v>
      </c>
      <c r="P27" s="125" t="n">
        <f aca="false">P19-(P21+P22+P23+P24+P25+P26)</f>
        <v>-2735.0529255</v>
      </c>
      <c r="Q27" s="25" t="n">
        <f aca="false">P27/P11</f>
        <v>-0.109863488740968</v>
      </c>
      <c r="R27" s="125" t="n">
        <f aca="false">R19-(R21+R22+R23+R24+R25+R26)</f>
        <v>-2735.0529255</v>
      </c>
      <c r="S27" s="25" t="n">
        <f aca="false">R27/R11</f>
        <v>-0.109863488740968</v>
      </c>
      <c r="T27" s="125" t="n">
        <f aca="false">T19-(T21+T22+T23+T24+T25+T26)</f>
        <v>-2735.0529255</v>
      </c>
      <c r="U27" s="25" t="n">
        <f aca="false">T27/T11</f>
        <v>-0.109863488740968</v>
      </c>
      <c r="V27" s="125" t="n">
        <f aca="false">V19-(V21+V22+V23+V24+V25+V26)</f>
        <v>-2735.0529255</v>
      </c>
      <c r="W27" s="25" t="n">
        <f aca="false">V27/V11</f>
        <v>-0.109863488740968</v>
      </c>
      <c r="X27" s="125" t="n">
        <f aca="false">X19-(X21+X22+X23+X24+X25+X26)</f>
        <v>-2735.0529255</v>
      </c>
      <c r="Y27" s="25" t="n">
        <f aca="false">X27/X11</f>
        <v>-0.109863488740968</v>
      </c>
      <c r="Z27" s="125" t="n">
        <f aca="false">Z19-(Z21+Z22+Z23+Z24+Z25+Z26)</f>
        <v>-32820.6351059999</v>
      </c>
      <c r="AA27" s="25" t="n">
        <f aca="false">Z27/Z11</f>
        <v>-0.109863488740967</v>
      </c>
    </row>
    <row r="28" customFormat="false" ht="15" hidden="false" customHeight="true" outlineLevel="0" collapsed="false">
      <c r="A28" s="26"/>
      <c r="B28" s="40"/>
      <c r="C28" s="28" t="n">
        <f aca="false">B28/B11</f>
        <v>0</v>
      </c>
      <c r="D28" s="40"/>
      <c r="E28" s="28" t="n">
        <f aca="false">D28/D11</f>
        <v>0</v>
      </c>
      <c r="F28" s="40"/>
      <c r="G28" s="28" t="n">
        <f aca="false">F28/F11</f>
        <v>0</v>
      </c>
      <c r="H28" s="40"/>
      <c r="I28" s="28" t="n">
        <f aca="false">H28/H11</f>
        <v>0</v>
      </c>
      <c r="J28" s="40"/>
      <c r="K28" s="28" t="n">
        <f aca="false">J28/J11</f>
        <v>0</v>
      </c>
      <c r="L28" s="40"/>
      <c r="M28" s="28" t="n">
        <f aca="false">L28/L11</f>
        <v>0</v>
      </c>
      <c r="N28" s="40"/>
      <c r="O28" s="28" t="n">
        <f aca="false">N28/N11</f>
        <v>0</v>
      </c>
      <c r="P28" s="40"/>
      <c r="Q28" s="28" t="n">
        <f aca="false">P28/P11</f>
        <v>0</v>
      </c>
      <c r="R28" s="40"/>
      <c r="S28" s="28" t="n">
        <f aca="false">R28/R11</f>
        <v>0</v>
      </c>
      <c r="T28" s="40"/>
      <c r="U28" s="28" t="n">
        <f aca="false">T28/T11</f>
        <v>0</v>
      </c>
      <c r="V28" s="40"/>
      <c r="W28" s="28" t="n">
        <f aca="false">V28/V11</f>
        <v>0</v>
      </c>
      <c r="X28" s="40"/>
      <c r="Y28" s="28" t="n">
        <f aca="false">X28/X11</f>
        <v>0</v>
      </c>
      <c r="Z28" s="40"/>
      <c r="AA28" s="28" t="n">
        <f aca="false">Z28/Z11</f>
        <v>0</v>
      </c>
    </row>
    <row r="29" customFormat="false" ht="15" hidden="false" customHeight="true" outlineLevel="0" collapsed="false">
      <c r="A29" s="26"/>
      <c r="B29" s="40"/>
      <c r="C29" s="28" t="n">
        <f aca="false">B29/B11</f>
        <v>0</v>
      </c>
      <c r="D29" s="40"/>
      <c r="E29" s="28" t="n">
        <f aca="false">D29/D11</f>
        <v>0</v>
      </c>
      <c r="F29" s="40"/>
      <c r="G29" s="28" t="n">
        <f aca="false">F29/F11</f>
        <v>0</v>
      </c>
      <c r="H29" s="40"/>
      <c r="I29" s="28" t="n">
        <f aca="false">H29/H11</f>
        <v>0</v>
      </c>
      <c r="J29" s="40"/>
      <c r="K29" s="28" t="n">
        <f aca="false">J29/J11</f>
        <v>0</v>
      </c>
      <c r="L29" s="40"/>
      <c r="M29" s="28" t="n">
        <f aca="false">L29/L11</f>
        <v>0</v>
      </c>
      <c r="N29" s="40"/>
      <c r="O29" s="28" t="n">
        <f aca="false">N29/N11</f>
        <v>0</v>
      </c>
      <c r="P29" s="40"/>
      <c r="Q29" s="28" t="n">
        <f aca="false">P29/P11</f>
        <v>0</v>
      </c>
      <c r="R29" s="40"/>
      <c r="S29" s="28" t="n">
        <f aca="false">R29/R11</f>
        <v>0</v>
      </c>
      <c r="T29" s="40"/>
      <c r="U29" s="28" t="n">
        <f aca="false">T29/T11</f>
        <v>0</v>
      </c>
      <c r="V29" s="40"/>
      <c r="W29" s="28" t="n">
        <f aca="false">V29/V11</f>
        <v>0</v>
      </c>
      <c r="X29" s="40"/>
      <c r="Y29" s="28" t="n">
        <f aca="false">X29/X11</f>
        <v>0</v>
      </c>
      <c r="Z29" s="40"/>
      <c r="AA29" s="28" t="n">
        <f aca="false">Z29/Z11</f>
        <v>0</v>
      </c>
    </row>
    <row r="30" customFormat="false" ht="15" hidden="false" customHeight="true" outlineLevel="0" collapsed="false">
      <c r="A30" s="82"/>
      <c r="B30" s="44"/>
      <c r="C30" s="31" t="n">
        <f aca="false">B30/B11</f>
        <v>0</v>
      </c>
      <c r="D30" s="44"/>
      <c r="E30" s="31" t="n">
        <f aca="false">D30/D11</f>
        <v>0</v>
      </c>
      <c r="F30" s="44"/>
      <c r="G30" s="31" t="n">
        <f aca="false">F30/F11</f>
        <v>0</v>
      </c>
      <c r="H30" s="44"/>
      <c r="I30" s="31" t="n">
        <f aca="false">H30/H11</f>
        <v>0</v>
      </c>
      <c r="J30" s="44"/>
      <c r="K30" s="31" t="n">
        <f aca="false">J30/J11</f>
        <v>0</v>
      </c>
      <c r="L30" s="44"/>
      <c r="M30" s="31" t="n">
        <f aca="false">L30/L11</f>
        <v>0</v>
      </c>
      <c r="N30" s="44"/>
      <c r="O30" s="31" t="n">
        <f aca="false">N30/N11</f>
        <v>0</v>
      </c>
      <c r="P30" s="44"/>
      <c r="Q30" s="31" t="n">
        <f aca="false">P30/P11</f>
        <v>0</v>
      </c>
      <c r="R30" s="44"/>
      <c r="S30" s="31" t="n">
        <f aca="false">R30/R11</f>
        <v>0</v>
      </c>
      <c r="T30" s="44"/>
      <c r="U30" s="31" t="n">
        <f aca="false">T30/T11</f>
        <v>0</v>
      </c>
      <c r="V30" s="44"/>
      <c r="W30" s="31" t="n">
        <f aca="false">V30/V11</f>
        <v>0</v>
      </c>
      <c r="X30" s="44"/>
      <c r="Y30" s="31" t="n">
        <f aca="false">X30/X11</f>
        <v>0</v>
      </c>
      <c r="Z30" s="44"/>
      <c r="AA30" s="31" t="n">
        <f aca="false">Z30/Z11</f>
        <v>0</v>
      </c>
    </row>
    <row r="31" customFormat="false" ht="15" hidden="false" customHeight="true" outlineLevel="0" collapsed="false">
      <c r="A31" s="32"/>
      <c r="B31" s="57"/>
      <c r="C31" s="120" t="n">
        <f aca="false">B31/B11</f>
        <v>0</v>
      </c>
      <c r="D31" s="57"/>
      <c r="E31" s="120" t="n">
        <f aca="false">D31/D11</f>
        <v>0</v>
      </c>
      <c r="F31" s="57"/>
      <c r="G31" s="120" t="n">
        <f aca="false">F31/F11</f>
        <v>0</v>
      </c>
      <c r="H31" s="57"/>
      <c r="I31" s="120" t="n">
        <f aca="false">H31/H11</f>
        <v>0</v>
      </c>
      <c r="J31" s="57"/>
      <c r="K31" s="120" t="n">
        <f aca="false">J31/J11</f>
        <v>0</v>
      </c>
      <c r="L31" s="57"/>
      <c r="M31" s="120" t="n">
        <f aca="false">L31/L11</f>
        <v>0</v>
      </c>
      <c r="N31" s="57"/>
      <c r="O31" s="120" t="n">
        <f aca="false">N31/N11</f>
        <v>0</v>
      </c>
      <c r="P31" s="57"/>
      <c r="Q31" s="120" t="n">
        <f aca="false">P31/P11</f>
        <v>0</v>
      </c>
      <c r="R31" s="57"/>
      <c r="S31" s="120" t="n">
        <f aca="false">R31/R11</f>
        <v>0</v>
      </c>
      <c r="T31" s="57"/>
      <c r="U31" s="120" t="n">
        <f aca="false">T31/T11</f>
        <v>0</v>
      </c>
      <c r="V31" s="57"/>
      <c r="W31" s="120" t="n">
        <f aca="false">V31/V11</f>
        <v>0</v>
      </c>
      <c r="X31" s="57"/>
      <c r="Y31" s="120" t="n">
        <f aca="false">X31/X11</f>
        <v>0</v>
      </c>
      <c r="Z31" s="57"/>
      <c r="AA31" s="120" t="n">
        <f aca="false">Z31/Z11</f>
        <v>0</v>
      </c>
    </row>
    <row r="32" customFormat="false" ht="15" hidden="false" customHeight="true" outlineLevel="0" collapsed="false">
      <c r="A32" s="32"/>
      <c r="B32" s="57"/>
      <c r="C32" s="120" t="n">
        <f aca="false">B32/B11</f>
        <v>0</v>
      </c>
      <c r="D32" s="57"/>
      <c r="E32" s="120" t="n">
        <f aca="false">D32/D11</f>
        <v>0</v>
      </c>
      <c r="F32" s="57"/>
      <c r="G32" s="120" t="n">
        <f aca="false">F32/F11</f>
        <v>0</v>
      </c>
      <c r="H32" s="57"/>
      <c r="I32" s="120" t="n">
        <f aca="false">H32/H11</f>
        <v>0</v>
      </c>
      <c r="J32" s="57"/>
      <c r="K32" s="120" t="n">
        <f aca="false">J32/J11</f>
        <v>0</v>
      </c>
      <c r="L32" s="57"/>
      <c r="M32" s="120" t="n">
        <f aca="false">L32/L11</f>
        <v>0</v>
      </c>
      <c r="N32" s="57"/>
      <c r="O32" s="120" t="n">
        <f aca="false">N32/N11</f>
        <v>0</v>
      </c>
      <c r="P32" s="57"/>
      <c r="Q32" s="120" t="n">
        <f aca="false">P32/P11</f>
        <v>0</v>
      </c>
      <c r="R32" s="57"/>
      <c r="S32" s="120" t="n">
        <f aca="false">R32/R11</f>
        <v>0</v>
      </c>
      <c r="T32" s="57"/>
      <c r="U32" s="120" t="n">
        <f aca="false">T32/T11</f>
        <v>0</v>
      </c>
      <c r="V32" s="57"/>
      <c r="W32" s="120" t="n">
        <f aca="false">V32/V11</f>
        <v>0</v>
      </c>
      <c r="X32" s="57"/>
      <c r="Y32" s="120" t="n">
        <f aca="false">X32/X11</f>
        <v>0</v>
      </c>
      <c r="Z32" s="57"/>
      <c r="AA32" s="120" t="n">
        <f aca="false">Z32/Z11</f>
        <v>0</v>
      </c>
    </row>
    <row r="33" customFormat="false" ht="15" hidden="false" customHeight="true" outlineLevel="0" collapsed="false">
      <c r="A33" s="122" t="s">
        <v>333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</row>
    <row r="34" customFormat="false" ht="15" hidden="false" customHeight="true" outlineLevel="0" collapsed="false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</row>
    <row r="35" customFormat="false" ht="15" hidden="false" customHeight="true" outlineLevel="0" collapsed="false">
      <c r="A35" s="36" t="s">
        <v>334</v>
      </c>
      <c r="B35" s="36"/>
      <c r="C35" s="36"/>
      <c r="D35" s="36"/>
      <c r="E35" s="36"/>
      <c r="F35" s="36"/>
    </row>
    <row r="36" customFormat="false" ht="15" hidden="false" customHeight="true" outlineLevel="0" collapsed="false">
      <c r="A36" s="37" t="s">
        <v>335</v>
      </c>
      <c r="B36" s="38" t="s">
        <v>336</v>
      </c>
      <c r="C36" s="38" t="s">
        <v>337</v>
      </c>
      <c r="D36" s="38" t="s">
        <v>338</v>
      </c>
      <c r="E36" s="38" t="s">
        <v>339</v>
      </c>
      <c r="F36" s="38" t="s">
        <v>340</v>
      </c>
    </row>
    <row r="37" customFormat="false" ht="15" hidden="false" customHeight="true" outlineLevel="0" collapsed="false">
      <c r="A37" s="126" t="s">
        <v>341</v>
      </c>
      <c r="B37" s="127" t="n">
        <f aca="false">'LW Assumptions'!C20+'LW Assumptions'!C21</f>
        <v>11.1428571428571</v>
      </c>
      <c r="C37" s="128" t="n">
        <f aca="false">B37*'LW Assumptions'!$C$22*52*'LW Assumptions'!$C$23*(1+'LW Assumptions'!$C$24)</f>
        <v>94099.2</v>
      </c>
      <c r="D37" s="105" t="n">
        <f aca="false">$Z$19-C37-($Z$22+$Z$23+$Z$24)</f>
        <v>14908.0998940001</v>
      </c>
      <c r="E37" s="129" t="n">
        <f aca="false">D37/$Z$11</f>
        <v>0.0499032349484999</v>
      </c>
      <c r="F37" s="128"/>
    </row>
    <row r="38" customFormat="false" ht="15" hidden="false" customHeight="true" outlineLevel="0" collapsed="false">
      <c r="A38" s="26" t="s">
        <v>342</v>
      </c>
      <c r="B38" s="130" t="n">
        <v>10</v>
      </c>
      <c r="C38" s="40" t="n">
        <f aca="false">B38*'LW Assumptions'!$C$22*52*'LW Assumptions'!$C$23*(1+'LW Assumptions'!$C$24)</f>
        <v>84448</v>
      </c>
      <c r="D38" s="41" t="n">
        <f aca="false">$Z$19-C38-($Z$22+$Z$23+$Z$24)</f>
        <v>24559.2998940001</v>
      </c>
      <c r="E38" s="28" t="n">
        <f aca="false">D38/$Z$11</f>
        <v>0.0822095720779416</v>
      </c>
      <c r="F38" s="40"/>
    </row>
    <row r="39" customFormat="false" ht="15" hidden="false" customHeight="true" outlineLevel="0" collapsed="false">
      <c r="A39" s="131" t="s">
        <v>343</v>
      </c>
      <c r="B39" s="132" t="n">
        <v>12</v>
      </c>
      <c r="C39" s="33" t="n">
        <f aca="false">B39*'LW Assumptions'!$C$22*52*'LW Assumptions'!$C$23*(1+'LW Assumptions'!$C$24)</f>
        <v>101337.6</v>
      </c>
      <c r="D39" s="57" t="n">
        <f aca="false">$Z$19-C39-($Z$22+$Z$23+$Z$24)</f>
        <v>7669.69989400011</v>
      </c>
      <c r="E39" s="34" t="n">
        <f aca="false">D39/$Z$11</f>
        <v>0.0256734821014186</v>
      </c>
      <c r="F39" s="33"/>
    </row>
    <row r="40" customFormat="false" ht="15" hidden="false" customHeight="true" outlineLevel="0" collapsed="false">
      <c r="A40" s="26" t="s">
        <v>344</v>
      </c>
      <c r="B40" s="130" t="n">
        <v>16</v>
      </c>
      <c r="C40" s="40" t="n">
        <f aca="false">B40*'LW Assumptions'!$C$22*52*'LW Assumptions'!$C$23*(1+'LW Assumptions'!$C$24)</f>
        <v>135116.8</v>
      </c>
      <c r="D40" s="41" t="n">
        <f aca="false">$Z$19-C40-($Z$22+$Z$23+$Z$24)</f>
        <v>-26109.5001059999</v>
      </c>
      <c r="E40" s="28" t="n">
        <f aca="false">D40/$Z$11</f>
        <v>-0.0873986978516275</v>
      </c>
      <c r="F40" s="40"/>
    </row>
    <row r="42" customFormat="false" ht="15" hidden="false" customHeight="true" outlineLevel="0" collapsed="false">
      <c r="A42" s="122" t="s">
        <v>345</v>
      </c>
      <c r="B42" s="122"/>
      <c r="C42" s="122"/>
      <c r="D42" s="122"/>
      <c r="E42" s="122"/>
      <c r="F42" s="122"/>
    </row>
    <row r="43" customFormat="false" ht="15" hidden="false" customHeight="true" outlineLevel="0" collapsed="false">
      <c r="A43" s="122"/>
      <c r="B43" s="122"/>
      <c r="C43" s="122"/>
      <c r="D43" s="122"/>
      <c r="E43" s="122"/>
      <c r="F43" s="122"/>
    </row>
  </sheetData>
  <mergeCells count="17">
    <mergeCell ref="A2:AA2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33:AA34"/>
    <mergeCell ref="A35:F35"/>
    <mergeCell ref="A42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6" t="s">
        <v>346</v>
      </c>
      <c r="B1" s="46"/>
      <c r="C1" s="46"/>
      <c r="D1" s="46"/>
      <c r="E1" s="46"/>
      <c r="F1" s="46"/>
      <c r="G1" s="46"/>
      <c r="H1" s="46"/>
    </row>
    <row r="2" customFormat="false" ht="15" hidden="false" customHeight="true" outlineLevel="0" collapsed="false">
      <c r="A2" s="47" t="s">
        <v>347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B4" s="48" t="s">
        <v>348</v>
      </c>
      <c r="F4" s="48" t="s">
        <v>349</v>
      </c>
    </row>
    <row r="5" customFormat="false" ht="15" hidden="false" customHeight="true" outlineLevel="0" collapsed="false">
      <c r="B5" s="17" t="s">
        <v>350</v>
      </c>
      <c r="C5" s="49" t="s">
        <v>162</v>
      </c>
      <c r="D5" s="49" t="s">
        <v>351</v>
      </c>
      <c r="F5" s="17" t="s">
        <v>352</v>
      </c>
      <c r="G5" s="49" t="s">
        <v>353</v>
      </c>
      <c r="H5" s="49" t="s">
        <v>354</v>
      </c>
    </row>
    <row r="6" customFormat="false" ht="15" hidden="false" customHeight="true" outlineLevel="0" collapsed="false">
      <c r="B6" s="51" t="s">
        <v>355</v>
      </c>
      <c r="C6" s="54" t="n">
        <v>42998</v>
      </c>
      <c r="D6" s="55" t="n">
        <f aca="false">C6/'LW Assumptions'!C10</f>
        <v>0.161523943357004</v>
      </c>
      <c r="F6" s="51" t="s">
        <v>356</v>
      </c>
      <c r="G6" s="54" t="n">
        <v>72907</v>
      </c>
      <c r="H6" s="55" t="n">
        <f aca="false">G6/$G$8</f>
        <v>0.692354443843005</v>
      </c>
    </row>
    <row r="7" customFormat="false" ht="15" hidden="false" customHeight="true" outlineLevel="0" collapsed="false">
      <c r="B7" s="51" t="s">
        <v>357</v>
      </c>
      <c r="C7" s="54" t="n">
        <v>54634</v>
      </c>
      <c r="D7" s="55" t="n">
        <f aca="false">C7/'LW Assumptions'!C10</f>
        <v>0.205235106780933</v>
      </c>
      <c r="F7" s="51" t="s">
        <v>358</v>
      </c>
      <c r="G7" s="54" t="n">
        <v>32396</v>
      </c>
      <c r="H7" s="55" t="n">
        <f aca="false">G7/$G$8</f>
        <v>0.307645556156995</v>
      </c>
    </row>
    <row r="8" customFormat="false" ht="15" hidden="false" customHeight="true" outlineLevel="0" collapsed="false">
      <c r="B8" s="51" t="s">
        <v>359</v>
      </c>
      <c r="C8" s="54" t="n">
        <v>30727</v>
      </c>
      <c r="D8" s="55" t="n">
        <f aca="false">C8/'LW Assumptions'!C10</f>
        <v>0.115427373541343</v>
      </c>
      <c r="F8" s="133" t="s">
        <v>360</v>
      </c>
      <c r="G8" s="43" t="n">
        <f aca="false">G6+G7</f>
        <v>105303</v>
      </c>
      <c r="H8" s="25" t="n">
        <f aca="false">G8/$G$8</f>
        <v>1</v>
      </c>
    </row>
    <row r="9" customFormat="false" ht="15" hidden="false" customHeight="true" outlineLevel="0" collapsed="false">
      <c r="B9" s="51" t="s">
        <v>361</v>
      </c>
      <c r="C9" s="54" t="n">
        <v>12880</v>
      </c>
      <c r="D9" s="55" t="n">
        <f aca="false">C9/'LW Assumptions'!C10</f>
        <v>0.0483843060244246</v>
      </c>
    </row>
    <row r="10" customFormat="false" ht="15" hidden="false" customHeight="true" outlineLevel="0" collapsed="false">
      <c r="B10" s="51" t="s">
        <v>362</v>
      </c>
      <c r="C10" s="54" t="n">
        <v>886</v>
      </c>
      <c r="D10" s="55" t="n">
        <f aca="false">C10/'LW Assumptions'!C10</f>
        <v>0.00332829931192859</v>
      </c>
      <c r="F10" s="66" t="s">
        <v>363</v>
      </c>
    </row>
    <row r="11" customFormat="false" ht="15" hidden="false" customHeight="true" outlineLevel="0" collapsed="false">
      <c r="B11" s="51" t="s">
        <v>149</v>
      </c>
      <c r="C11" s="54" t="n">
        <v>22733</v>
      </c>
      <c r="D11" s="55" t="n">
        <f aca="false">C11/'LW Assumptions'!C10</f>
        <v>0.0853975488240097</v>
      </c>
      <c r="F11" s="66" t="s">
        <v>364</v>
      </c>
    </row>
    <row r="12" customFormat="false" ht="15" hidden="false" customHeight="true" outlineLevel="0" collapsed="false">
      <c r="B12" s="133" t="s">
        <v>365</v>
      </c>
      <c r="C12" s="43" t="n">
        <f aca="false">SUM(C6:C11)</f>
        <v>164858</v>
      </c>
      <c r="D12" s="25" t="n">
        <f aca="false">C12/'LW Assumptions'!C10</f>
        <v>0.619296577839642</v>
      </c>
      <c r="F12" s="66" t="s">
        <v>366</v>
      </c>
    </row>
    <row r="14" customFormat="false" ht="15" hidden="false" customHeight="true" outlineLevel="0" collapsed="false">
      <c r="B14" s="48" t="s">
        <v>367</v>
      </c>
    </row>
    <row r="15" customFormat="false" ht="15" hidden="false" customHeight="true" outlineLevel="0" collapsed="false">
      <c r="B15" s="51" t="s">
        <v>368</v>
      </c>
      <c r="C15" s="134" t="n">
        <f aca="false">'LW Assumptions'!C20+'LW Assumptions'!C21</f>
        <v>11.1428571428571</v>
      </c>
    </row>
    <row r="16" customFormat="false" ht="15" hidden="false" customHeight="true" outlineLevel="0" collapsed="false">
      <c r="B16" s="51" t="s">
        <v>369</v>
      </c>
      <c r="C16" s="58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1" t="s">
        <v>370</v>
      </c>
      <c r="C17" s="54" t="n">
        <f aca="false">C16*'LW Assumptions'!C23</f>
        <v>81120</v>
      </c>
    </row>
    <row r="18" customFormat="false" ht="15" hidden="false" customHeight="true" outlineLevel="0" collapsed="false">
      <c r="B18" s="51" t="s">
        <v>371</v>
      </c>
      <c r="C18" s="54" t="n">
        <f aca="false">'LW Assumptions'!C26*52</f>
        <v>15392</v>
      </c>
    </row>
    <row r="19" customFormat="false" ht="15" hidden="false" customHeight="true" outlineLevel="0" collapsed="false">
      <c r="B19" s="51" t="s">
        <v>372</v>
      </c>
      <c r="C19" s="54" t="n">
        <f aca="false">(C17+C18)*'LW Assumptions'!C24</f>
        <v>15441.92</v>
      </c>
    </row>
    <row r="20" customFormat="false" ht="15" hidden="false" customHeight="true" outlineLevel="0" collapsed="false">
      <c r="B20" s="51" t="s">
        <v>373</v>
      </c>
      <c r="C20" s="58" t="n">
        <f aca="false">C17+C18+C19</f>
        <v>111953.92</v>
      </c>
    </row>
    <row r="21" customFormat="false" ht="15" hidden="false" customHeight="true" outlineLevel="0" collapsed="false">
      <c r="B21" s="135" t="s">
        <v>374</v>
      </c>
      <c r="C21" s="136" t="n">
        <f aca="false">C12-C20</f>
        <v>52904.08</v>
      </c>
    </row>
    <row r="23" customFormat="false" ht="15" hidden="false" customHeight="true" outlineLevel="0" collapsed="false">
      <c r="B23" s="63" t="s">
        <v>375</v>
      </c>
      <c r="C23" s="63"/>
      <c r="D23" s="63"/>
      <c r="E23" s="63"/>
      <c r="F23" s="63"/>
      <c r="G23" s="63"/>
      <c r="H23" s="63"/>
    </row>
    <row r="24" customFormat="false" ht="15" hidden="false" customHeight="true" outlineLevel="0" collapsed="false">
      <c r="B24" s="63"/>
      <c r="C24" s="63"/>
      <c r="D24" s="63"/>
      <c r="E24" s="63"/>
      <c r="F24" s="63"/>
      <c r="G24" s="63"/>
      <c r="H24" s="63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37" t="s">
        <v>376</v>
      </c>
      <c r="B1" s="15"/>
      <c r="C1" s="15"/>
      <c r="D1" s="15"/>
    </row>
    <row r="2" customFormat="false" ht="15" hidden="false" customHeight="true" outlineLevel="0" collapsed="false">
      <c r="A2" s="138" t="s">
        <v>377</v>
      </c>
      <c r="B2" s="138"/>
      <c r="C2" s="138"/>
      <c r="D2" s="138"/>
    </row>
    <row r="4" customFormat="false" ht="15" hidden="false" customHeight="true" outlineLevel="0" collapsed="false">
      <c r="A4" s="17"/>
      <c r="B4" s="49" t="s">
        <v>378</v>
      </c>
      <c r="C4" s="49" t="s">
        <v>379</v>
      </c>
      <c r="D4" s="49" t="s">
        <v>380</v>
      </c>
    </row>
    <row r="5" customFormat="false" ht="15" hidden="false" customHeight="true" outlineLevel="0" collapsed="false">
      <c r="A5" s="139" t="s">
        <v>381</v>
      </c>
      <c r="B5" s="45"/>
      <c r="C5" s="45"/>
      <c r="D5" s="45"/>
    </row>
    <row r="6" customFormat="false" ht="15" hidden="false" customHeight="true" outlineLevel="0" collapsed="false">
      <c r="A6" s="140" t="s">
        <v>382</v>
      </c>
      <c r="B6" s="141" t="s">
        <v>383</v>
      </c>
      <c r="C6" s="141" t="str">
        <f aca="false">('LW Assumptions'!$C$20+'LW Assumptions'!$C$21)&amp;" (6am–2pm)"</f>
        <v>11.1428571428571 (6am–2pm)</v>
      </c>
    </row>
    <row r="7" customFormat="false" ht="15" hidden="false" customHeight="true" outlineLevel="0" collapsed="false">
      <c r="A7" s="140" t="s">
        <v>384</v>
      </c>
      <c r="B7" s="130" t="n">
        <v>7</v>
      </c>
      <c r="C7" s="130" t="n">
        <f aca="false">'LW Assumptions'!$C$22</f>
        <v>7</v>
      </c>
    </row>
    <row r="9" customFormat="false" ht="15" hidden="false" customHeight="true" outlineLevel="0" collapsed="false">
      <c r="A9" s="139" t="s">
        <v>385</v>
      </c>
      <c r="B9" s="45"/>
      <c r="C9" s="45"/>
      <c r="D9" s="45"/>
    </row>
    <row r="10" customFormat="false" ht="15" hidden="false" customHeight="true" outlineLevel="0" collapsed="false">
      <c r="A10" s="140" t="s">
        <v>386</v>
      </c>
      <c r="B10" s="142" t="n">
        <v>111.8</v>
      </c>
      <c r="C10" s="142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40" t="s">
        <v>387</v>
      </c>
      <c r="B11" s="142" t="n">
        <v>13.3</v>
      </c>
      <c r="C11" s="142" t="n">
        <f aca="false">B11</f>
        <v>13.3</v>
      </c>
    </row>
    <row r="12" customFormat="false" ht="15" hidden="false" customHeight="true" outlineLevel="0" collapsed="false">
      <c r="A12" s="143" t="s">
        <v>388</v>
      </c>
      <c r="B12" s="144" t="n">
        <v>125.1</v>
      </c>
      <c r="C12" s="144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32"/>
      <c r="B13" s="145"/>
      <c r="C13" s="145"/>
    </row>
    <row r="14" customFormat="false" ht="15" hidden="false" customHeight="true" outlineLevel="0" collapsed="false">
      <c r="A14" s="139" t="s">
        <v>389</v>
      </c>
      <c r="B14" s="45"/>
      <c r="C14" s="45"/>
      <c r="D14" s="45"/>
    </row>
    <row r="15" customFormat="false" ht="15" hidden="false" customHeight="true" outlineLevel="0" collapsed="false">
      <c r="A15" s="140" t="s">
        <v>390</v>
      </c>
      <c r="B15" s="40" t="n">
        <v>2207</v>
      </c>
      <c r="C15" s="4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40" t="s">
        <v>391</v>
      </c>
      <c r="B16" s="40" t="n">
        <v>296</v>
      </c>
      <c r="C16" s="40" t="n">
        <f aca="false">'LW Assumptions'!$C$26</f>
        <v>296</v>
      </c>
    </row>
    <row r="17" customFormat="false" ht="15" hidden="false" customHeight="true" outlineLevel="0" collapsed="false">
      <c r="A17" s="32" t="s">
        <v>392</v>
      </c>
      <c r="B17" s="41" t="n">
        <v>2503</v>
      </c>
      <c r="C17" s="41" t="n">
        <f aca="false">C15+C16</f>
        <v>1856</v>
      </c>
    </row>
    <row r="18" customFormat="false" ht="15" hidden="false" customHeight="true" outlineLevel="0" collapsed="false">
      <c r="A18" s="140" t="s">
        <v>393</v>
      </c>
      <c r="B18" s="40" t="n">
        <f aca="false">'LW Assumptions'!$C$45/52</f>
        <v>247.692307692308</v>
      </c>
      <c r="C18" s="40" t="n">
        <f aca="false">'LW Assumptions'!$C$45/52</f>
        <v>247.692307692308</v>
      </c>
    </row>
    <row r="19" customFormat="false" ht="15" hidden="false" customHeight="true" outlineLevel="0" collapsed="false">
      <c r="A19" s="140" t="s">
        <v>394</v>
      </c>
      <c r="B19" s="40" t="n">
        <f aca="false">(B17+B18)*'LW Assumptions'!$C$24</f>
        <v>440.110769230769</v>
      </c>
      <c r="C19" s="40" t="n">
        <f aca="false">(C17+C18)*'LW Assumptions'!$C$24</f>
        <v>336.590769230769</v>
      </c>
    </row>
    <row r="20" customFormat="false" ht="15" hidden="false" customHeight="true" outlineLevel="0" collapsed="false">
      <c r="A20" s="146" t="s">
        <v>395</v>
      </c>
      <c r="B20" s="44" t="n">
        <f aca="false">B17+B18+B19</f>
        <v>3190.80307692308</v>
      </c>
      <c r="C20" s="44" t="n">
        <f aca="false">C17+C18+C19</f>
        <v>2440.28307692308</v>
      </c>
      <c r="D20" s="44" t="n">
        <f aca="false">C20-B20</f>
        <v>-750.52</v>
      </c>
    </row>
    <row r="21" customFormat="false" ht="15" hidden="false" customHeight="true" outlineLevel="0" collapsed="false">
      <c r="A21" s="147"/>
      <c r="B21" s="148"/>
      <c r="C21" s="148"/>
      <c r="D21" s="148"/>
    </row>
    <row r="22" customFormat="false" ht="15" hidden="false" customHeight="true" outlineLevel="0" collapsed="false">
      <c r="A22" s="32" t="s">
        <v>396</v>
      </c>
      <c r="B22" s="41" t="n">
        <f aca="false">B20*52</f>
        <v>165921.76</v>
      </c>
      <c r="C22" s="41" t="n">
        <f aca="false">C20*52</f>
        <v>126894.72</v>
      </c>
      <c r="D22" s="41" t="n">
        <f aca="false">C22-B22</f>
        <v>-39027.04</v>
      </c>
    </row>
    <row r="23" customFormat="false" ht="15" hidden="false" customHeight="true" outlineLevel="0" collapsed="false">
      <c r="A23" s="32"/>
      <c r="B23" s="41"/>
      <c r="C23" s="41"/>
      <c r="D23" s="41"/>
    </row>
    <row r="24" customFormat="false" ht="15" hidden="false" customHeight="true" outlineLevel="0" collapsed="false">
      <c r="A24" s="139" t="s">
        <v>397</v>
      </c>
      <c r="B24" s="45"/>
      <c r="C24" s="45"/>
      <c r="D24" s="45"/>
    </row>
    <row r="25" customFormat="false" ht="15" hidden="false" customHeight="true" outlineLevel="0" collapsed="false">
      <c r="A25" s="140" t="s">
        <v>398</v>
      </c>
      <c r="B25" s="40" t="n">
        <v>5888.94</v>
      </c>
      <c r="C25" s="40" t="n">
        <v>5888.94</v>
      </c>
    </row>
    <row r="26" customFormat="false" ht="15" hidden="false" customHeight="true" outlineLevel="0" collapsed="false">
      <c r="A26" s="32" t="s">
        <v>399</v>
      </c>
      <c r="B26" s="149" t="n">
        <f aca="false">B20/B25</f>
        <v>0.541829782086942</v>
      </c>
      <c r="C26" s="149" t="n">
        <f aca="false">C20/C25</f>
        <v>0.414384095766484</v>
      </c>
      <c r="D26" s="149" t="n">
        <f aca="false">C26-B26</f>
        <v>-0.127445686320458</v>
      </c>
    </row>
    <row r="27" customFormat="false" ht="15" hidden="false" customHeight="true" outlineLevel="0" collapsed="false">
      <c r="A27" s="32"/>
      <c r="B27" s="149"/>
      <c r="C27" s="149"/>
      <c r="D27" s="149"/>
    </row>
    <row r="28" customFormat="false" ht="15" hidden="false" customHeight="true" outlineLevel="0" collapsed="false">
      <c r="A28" s="150" t="s">
        <v>400</v>
      </c>
      <c r="B28" s="150"/>
      <c r="C28" s="150"/>
      <c r="D28" s="150"/>
    </row>
    <row r="29" customFormat="false" ht="15" hidden="false" customHeight="true" outlineLevel="0" collapsed="false">
      <c r="A29" s="32" t="s">
        <v>401</v>
      </c>
      <c r="C29" s="41" t="n">
        <f aca="false">B20-C20</f>
        <v>750.52</v>
      </c>
      <c r="D29" s="41" t="n">
        <f aca="false">C22-B22</f>
        <v>-39027.04</v>
      </c>
    </row>
    <row r="31" customFormat="false" ht="15" hidden="false" customHeight="true" outlineLevel="0" collapsed="false">
      <c r="A31" s="151" t="s">
        <v>402</v>
      </c>
    </row>
    <row r="32" customFormat="false" ht="15" hidden="false" customHeight="true" outlineLevel="0" collapsed="false">
      <c r="A32" s="152" t="s">
        <v>403</v>
      </c>
      <c r="B32" s="152"/>
      <c r="C32" s="152"/>
      <c r="D32" s="152"/>
    </row>
    <row r="33" customFormat="false" ht="15" hidden="false" customHeight="true" outlineLevel="0" collapsed="false">
      <c r="A33" s="152"/>
      <c r="B33" s="152"/>
      <c r="C33" s="152"/>
      <c r="D33" s="152"/>
    </row>
    <row r="35" customFormat="false" ht="15" hidden="false" customHeight="true" outlineLevel="0" collapsed="false">
      <c r="A35" s="151" t="s">
        <v>404</v>
      </c>
    </row>
    <row r="36" customFormat="false" ht="15" hidden="false" customHeight="true" outlineLevel="0" collapsed="false">
      <c r="A36" s="152" t="s">
        <v>405</v>
      </c>
      <c r="B36" s="152"/>
      <c r="C36" s="152"/>
      <c r="D36" s="152"/>
    </row>
    <row r="37" customFormat="false" ht="15" hidden="false" customHeight="true" outlineLevel="0" collapsed="false">
      <c r="A37" s="152"/>
      <c r="B37" s="152"/>
      <c r="C37" s="152"/>
      <c r="D37" s="152"/>
    </row>
    <row r="39" customFormat="false" ht="15" hidden="false" customHeight="true" outlineLevel="0" collapsed="false">
      <c r="A39" s="153" t="s">
        <v>406</v>
      </c>
    </row>
    <row r="40" customFormat="false" ht="15" hidden="false" customHeight="true" outlineLevel="0" collapsed="false">
      <c r="A40" s="152" t="s">
        <v>407</v>
      </c>
      <c r="B40" s="152"/>
      <c r="C40" s="152"/>
      <c r="D40" s="152"/>
    </row>
    <row r="41" customFormat="false" ht="15" hidden="false" customHeight="true" outlineLevel="0" collapsed="false">
      <c r="A41" s="152"/>
      <c r="B41" s="152"/>
      <c r="C41" s="152"/>
      <c r="D41" s="152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54" t="s">
        <v>408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5" hidden="false" customHeight="true" outlineLevel="0" collapsed="false">
      <c r="A2" s="138" t="s">
        <v>409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4" customFormat="false" ht="15" hidden="false" customHeight="true" outlineLevel="0" collapsed="false">
      <c r="A4" s="151" t="s">
        <v>410</v>
      </c>
      <c r="B4" s="155" t="s">
        <v>411</v>
      </c>
      <c r="C4" s="156" t="n">
        <f aca="false">'LW Assumptions'!$C$23</f>
        <v>20</v>
      </c>
      <c r="D4" s="155" t="s">
        <v>412</v>
      </c>
      <c r="E4" s="156" t="n">
        <v>25</v>
      </c>
    </row>
    <row r="6" customFormat="false" ht="15" hidden="false" customHeight="true" outlineLevel="0" collapsed="false">
      <c r="A6" s="48" t="s">
        <v>413</v>
      </c>
    </row>
    <row r="7" customFormat="false" ht="15" hidden="false" customHeight="true" outlineLevel="0" collapsed="false">
      <c r="A7" s="37" t="s">
        <v>414</v>
      </c>
      <c r="B7" s="37" t="s">
        <v>350</v>
      </c>
      <c r="C7" s="38" t="s">
        <v>415</v>
      </c>
      <c r="D7" s="38" t="s">
        <v>416</v>
      </c>
      <c r="E7" s="38" t="s">
        <v>417</v>
      </c>
      <c r="F7" s="38" t="s">
        <v>418</v>
      </c>
      <c r="G7" s="38" t="s">
        <v>419</v>
      </c>
      <c r="H7" s="38" t="s">
        <v>420</v>
      </c>
      <c r="I7" s="38" t="s">
        <v>421</v>
      </c>
      <c r="J7" s="38" t="s">
        <v>422</v>
      </c>
      <c r="K7" s="38" t="s">
        <v>423</v>
      </c>
      <c r="L7" s="38" t="s">
        <v>424</v>
      </c>
    </row>
    <row r="8" customFormat="false" ht="15" hidden="false" customHeight="true" outlineLevel="0" collapsed="false">
      <c r="A8" s="39" t="s">
        <v>425</v>
      </c>
      <c r="B8" s="157" t="s">
        <v>426</v>
      </c>
      <c r="C8" s="158" t="n">
        <v>18.29</v>
      </c>
      <c r="D8" s="159" t="n">
        <f aca="false">6*$C8</f>
        <v>109.74</v>
      </c>
      <c r="E8" s="159" t="n">
        <f aca="false">7.75*$C8</f>
        <v>141.7475</v>
      </c>
      <c r="F8" s="160" t="n">
        <v>0</v>
      </c>
      <c r="G8" s="160" t="n">
        <v>0</v>
      </c>
      <c r="H8" s="160" t="n">
        <v>0</v>
      </c>
      <c r="I8" s="160" t="n">
        <v>0</v>
      </c>
      <c r="J8" s="160" t="n">
        <v>0</v>
      </c>
      <c r="K8" s="161" t="n">
        <v>13.75</v>
      </c>
      <c r="L8" s="162" t="n">
        <f aca="false">SUM(D8:J8)</f>
        <v>251.4875</v>
      </c>
    </row>
    <row r="9" customFormat="false" ht="15" hidden="false" customHeight="true" outlineLevel="0" collapsed="false">
      <c r="A9" s="39" t="s">
        <v>425</v>
      </c>
      <c r="B9" s="157" t="s">
        <v>427</v>
      </c>
      <c r="C9" s="158" t="n">
        <v>21.03</v>
      </c>
      <c r="D9" s="159" t="n">
        <f aca="false">1.75*$C9</f>
        <v>36.8025</v>
      </c>
      <c r="E9" s="159" t="n">
        <f aca="false">1.75*$C9</f>
        <v>36.8025</v>
      </c>
      <c r="F9" s="159" t="n">
        <f aca="false">7.75*$C9</f>
        <v>162.9825</v>
      </c>
      <c r="G9" s="160" t="n">
        <v>0</v>
      </c>
      <c r="H9" s="160" t="n">
        <v>0</v>
      </c>
      <c r="I9" s="160" t="n">
        <v>0</v>
      </c>
      <c r="J9" s="160" t="n">
        <v>0</v>
      </c>
      <c r="K9" s="161" t="n">
        <v>11.25</v>
      </c>
      <c r="L9" s="162" t="n">
        <f aca="false">SUM(D9:J9)</f>
        <v>236.5875</v>
      </c>
      <c r="M9" s="163" t="s">
        <v>428</v>
      </c>
    </row>
    <row r="10" customFormat="false" ht="15" hidden="false" customHeight="true" outlineLevel="0" collapsed="false">
      <c r="A10" s="39" t="s">
        <v>429</v>
      </c>
      <c r="B10" s="157" t="s">
        <v>426</v>
      </c>
      <c r="C10" s="158" t="n">
        <v>17.79</v>
      </c>
      <c r="D10" s="160" t="n">
        <v>0</v>
      </c>
      <c r="E10" s="160" t="n">
        <v>0</v>
      </c>
      <c r="F10" s="160" t="n">
        <v>0</v>
      </c>
      <c r="G10" s="160" t="n">
        <v>0</v>
      </c>
      <c r="H10" s="159" t="n">
        <f aca="false">8*$C10</f>
        <v>142.32</v>
      </c>
      <c r="I10" s="159" t="n">
        <f aca="false">8*$C10</f>
        <v>142.32</v>
      </c>
      <c r="J10" s="159" t="n">
        <f aca="false">8*$C10</f>
        <v>142.32</v>
      </c>
      <c r="K10" s="161" t="n">
        <v>24</v>
      </c>
      <c r="L10" s="162" t="n">
        <f aca="false">SUM(D10:J10)</f>
        <v>426.96</v>
      </c>
    </row>
    <row r="11" customFormat="false" ht="15" hidden="false" customHeight="true" outlineLevel="0" collapsed="false">
      <c r="A11" s="39" t="s">
        <v>430</v>
      </c>
      <c r="B11" s="157" t="s">
        <v>431</v>
      </c>
      <c r="C11" s="158" t="n">
        <v>19.79</v>
      </c>
      <c r="D11" s="159" t="n">
        <f aca="false">8*$C11</f>
        <v>158.32</v>
      </c>
      <c r="E11" s="159" t="n">
        <f aca="false">8*$C11</f>
        <v>158.32</v>
      </c>
      <c r="F11" s="159" t="n">
        <f aca="false">8*$C11</f>
        <v>158.32</v>
      </c>
      <c r="G11" s="159" t="n">
        <f aca="false">8*$C11</f>
        <v>158.32</v>
      </c>
      <c r="H11" s="160" t="n">
        <v>0</v>
      </c>
      <c r="I11" s="160" t="n">
        <v>0</v>
      </c>
      <c r="J11" s="159" t="n">
        <f aca="false">3*$C11</f>
        <v>59.37</v>
      </c>
      <c r="K11" s="161" t="n">
        <v>35</v>
      </c>
      <c r="L11" s="162" t="n">
        <f aca="false">SUM(D11:J11)</f>
        <v>692.65</v>
      </c>
      <c r="M11" s="163" t="s">
        <v>432</v>
      </c>
    </row>
    <row r="12" customFormat="false" ht="15" hidden="false" customHeight="true" outlineLevel="0" collapsed="false">
      <c r="A12" s="39" t="s">
        <v>433</v>
      </c>
      <c r="B12" s="157" t="s">
        <v>431</v>
      </c>
      <c r="C12" s="158" t="n">
        <v>21.21</v>
      </c>
      <c r="D12" s="160" t="n">
        <v>0</v>
      </c>
      <c r="E12" s="160" t="n">
        <v>0</v>
      </c>
      <c r="F12" s="159" t="n">
        <f aca="false">8*$C12</f>
        <v>169.68</v>
      </c>
      <c r="G12" s="159" t="n">
        <f aca="false">8*$C12</f>
        <v>169.68</v>
      </c>
      <c r="H12" s="159" t="n">
        <f aca="false">8*$C12</f>
        <v>169.68</v>
      </c>
      <c r="I12" s="159" t="n">
        <f aca="false">8*$C12</f>
        <v>169.68</v>
      </c>
      <c r="J12" s="159" t="n">
        <f aca="false">8*$C12</f>
        <v>169.68</v>
      </c>
      <c r="K12" s="161" t="n">
        <v>40</v>
      </c>
      <c r="L12" s="162" t="n">
        <f aca="false">SUM(D12:J12)</f>
        <v>848.4</v>
      </c>
    </row>
    <row r="13" customFormat="false" ht="15" hidden="false" customHeight="true" outlineLevel="0" collapsed="false">
      <c r="A13" s="39" t="s">
        <v>434</v>
      </c>
      <c r="B13" s="157" t="s">
        <v>435</v>
      </c>
      <c r="C13" s="158" t="n">
        <v>25</v>
      </c>
      <c r="D13" s="160" t="n">
        <v>0</v>
      </c>
      <c r="E13" s="160" t="n">
        <v>0</v>
      </c>
      <c r="F13" s="160" t="n">
        <v>0</v>
      </c>
      <c r="G13" s="159" t="n">
        <f aca="false">8*$C13</f>
        <v>200</v>
      </c>
      <c r="H13" s="159" t="n">
        <f aca="false">8*$C13</f>
        <v>200</v>
      </c>
      <c r="I13" s="160" t="n">
        <v>0</v>
      </c>
      <c r="J13" s="160" t="n">
        <v>0</v>
      </c>
      <c r="K13" s="161" t="n">
        <v>16</v>
      </c>
      <c r="L13" s="162" t="n">
        <f aca="false">SUM(D13:J13)</f>
        <v>400</v>
      </c>
      <c r="M13" s="163" t="s">
        <v>436</v>
      </c>
    </row>
    <row r="14" customFormat="false" ht="15" hidden="false" customHeight="true" outlineLevel="0" collapsed="false">
      <c r="A14" s="133" t="s">
        <v>437</v>
      </c>
      <c r="B14" s="45"/>
      <c r="C14" s="164"/>
      <c r="D14" s="164" t="n">
        <f aca="false">SUM(D8:D13)</f>
        <v>304.8625</v>
      </c>
      <c r="E14" s="164" t="n">
        <f aca="false">SUM(E8:E13)</f>
        <v>336.87</v>
      </c>
      <c r="F14" s="164" t="n">
        <f aca="false">SUM(F8:F13)</f>
        <v>490.9825</v>
      </c>
      <c r="G14" s="164" t="n">
        <f aca="false">SUM(G8:G13)</f>
        <v>528</v>
      </c>
      <c r="H14" s="164" t="n">
        <f aca="false">SUM(H8:H13)</f>
        <v>512</v>
      </c>
      <c r="I14" s="164" t="n">
        <f aca="false">SUM(I8:I13)</f>
        <v>312</v>
      </c>
      <c r="J14" s="164" t="n">
        <f aca="false">SUM(J8:J13)</f>
        <v>371.37</v>
      </c>
      <c r="K14" s="165" t="n">
        <f aca="false">SUM(K8:K13)</f>
        <v>140</v>
      </c>
      <c r="L14" s="105" t="n">
        <f aca="false">SUM(L8:L13)</f>
        <v>2856.085</v>
      </c>
      <c r="M14" s="157" t="s">
        <v>438</v>
      </c>
    </row>
    <row r="17" customFormat="false" ht="15" hidden="false" customHeight="true" outlineLevel="0" collapsed="false">
      <c r="A17" s="36" t="s">
        <v>439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customFormat="false" ht="15" hidden="false" customHeight="true" outlineLevel="0" collapsed="false">
      <c r="A18" s="37"/>
      <c r="B18" s="37" t="s">
        <v>440</v>
      </c>
      <c r="D18" s="38" t="s">
        <v>441</v>
      </c>
      <c r="F18" s="38" t="s">
        <v>442</v>
      </c>
      <c r="G18" s="38" t="s">
        <v>443</v>
      </c>
      <c r="H18" s="38" t="s">
        <v>444</v>
      </c>
      <c r="J18" s="38" t="s">
        <v>445</v>
      </c>
    </row>
    <row r="19" customFormat="false" ht="15" hidden="false" customHeight="true" outlineLevel="0" collapsed="false">
      <c r="A19" s="151" t="s">
        <v>446</v>
      </c>
      <c r="B19" s="39" t="s">
        <v>447</v>
      </c>
      <c r="D19" s="166" t="s">
        <v>448</v>
      </c>
      <c r="F19" s="167" t="s">
        <v>449</v>
      </c>
      <c r="G19" s="168" t="n">
        <v>8</v>
      </c>
      <c r="H19" s="159" t="n">
        <f aca="false">8*$C$4</f>
        <v>160</v>
      </c>
      <c r="J19" s="162" t="n">
        <f aca="false">H19*7</f>
        <v>1120</v>
      </c>
    </row>
    <row r="20" customFormat="false" ht="15" hidden="false" customHeight="true" outlineLevel="0" collapsed="false">
      <c r="A20" s="151"/>
      <c r="B20" s="39" t="s">
        <v>450</v>
      </c>
      <c r="D20" s="166" t="s">
        <v>451</v>
      </c>
      <c r="F20" s="167" t="s">
        <v>449</v>
      </c>
      <c r="G20" s="168" t="n">
        <v>8</v>
      </c>
      <c r="H20" s="159" t="n">
        <f aca="false">8*$C$4</f>
        <v>160</v>
      </c>
      <c r="J20" s="162" t="n">
        <f aca="false">H20*7</f>
        <v>1120</v>
      </c>
    </row>
    <row r="21" customFormat="false" ht="15" hidden="false" customHeight="true" outlineLevel="0" collapsed="false">
      <c r="A21" s="151"/>
      <c r="B21" s="39" t="s">
        <v>452</v>
      </c>
      <c r="D21" s="166" t="s">
        <v>453</v>
      </c>
      <c r="F21" s="167" t="s">
        <v>454</v>
      </c>
      <c r="G21" s="168" t="n">
        <v>4</v>
      </c>
      <c r="H21" s="159" t="n">
        <f aca="false">4*$E$4</f>
        <v>100</v>
      </c>
      <c r="J21" s="162" t="n">
        <f aca="false">H21*7</f>
        <v>700</v>
      </c>
    </row>
    <row r="22" customFormat="false" ht="15" hidden="false" customHeight="true" outlineLevel="0" collapsed="false">
      <c r="A22" s="169" t="s">
        <v>455</v>
      </c>
      <c r="B22" s="45"/>
      <c r="D22" s="45"/>
      <c r="F22" s="45"/>
      <c r="G22" s="165" t="n">
        <f aca="false">G19+G20+G21</f>
        <v>20</v>
      </c>
      <c r="H22" s="164" t="n">
        <f aca="false">H19+H20+H21</f>
        <v>420</v>
      </c>
      <c r="J22" s="164" t="n">
        <f aca="false">H22*7</f>
        <v>2940</v>
      </c>
    </row>
    <row r="24" customFormat="false" ht="15" hidden="false" customHeight="true" outlineLevel="0" collapsed="false">
      <c r="A24" s="170" t="s">
        <v>456</v>
      </c>
      <c r="B24" s="171" t="s">
        <v>457</v>
      </c>
      <c r="C24" s="172"/>
      <c r="D24" s="173" t="s">
        <v>458</v>
      </c>
      <c r="E24" s="172"/>
      <c r="F24" s="174" t="s">
        <v>459</v>
      </c>
      <c r="G24" s="175" t="n">
        <v>10</v>
      </c>
      <c r="H24" s="176" t="n">
        <f aca="false">10*$C$4</f>
        <v>200</v>
      </c>
      <c r="I24" s="172"/>
      <c r="J24" s="177" t="n">
        <f aca="false">H24*7</f>
        <v>1400</v>
      </c>
    </row>
    <row r="25" customFormat="false" ht="15" hidden="false" customHeight="true" outlineLevel="0" collapsed="false">
      <c r="A25" s="178"/>
      <c r="B25" s="179" t="s">
        <v>460</v>
      </c>
      <c r="C25" s="180"/>
      <c r="D25" s="181" t="s">
        <v>461</v>
      </c>
      <c r="E25" s="180"/>
      <c r="F25" s="182" t="s">
        <v>462</v>
      </c>
      <c r="G25" s="183" t="n">
        <v>0</v>
      </c>
      <c r="H25" s="184" t="n">
        <v>0</v>
      </c>
      <c r="I25" s="180"/>
      <c r="J25" s="185" t="n">
        <f aca="false">H25*7</f>
        <v>0</v>
      </c>
    </row>
    <row r="26" customFormat="false" ht="15" hidden="false" customHeight="true" outlineLevel="0" collapsed="false">
      <c r="A26" s="170" t="s">
        <v>463</v>
      </c>
      <c r="B26" s="172"/>
      <c r="D26" s="172"/>
      <c r="F26" s="172"/>
      <c r="G26" s="186" t="n">
        <v>10</v>
      </c>
      <c r="H26" s="177" t="n">
        <f aca="false">10*$C$4</f>
        <v>200</v>
      </c>
      <c r="J26" s="177" t="n">
        <f aca="false">H26*7</f>
        <v>1400</v>
      </c>
    </row>
    <row r="28" customFormat="false" ht="15" hidden="false" customHeight="true" outlineLevel="0" collapsed="false">
      <c r="A28" s="122" t="s">
        <v>464</v>
      </c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customFormat="false" ht="15" hidden="false" customHeight="true" outlineLevel="0" collapsed="false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87" t="s">
        <v>465</v>
      </c>
      <c r="B1" s="15"/>
      <c r="C1" s="15"/>
      <c r="D1" s="15"/>
    </row>
    <row r="2" customFormat="false" ht="15" hidden="false" customHeight="true" outlineLevel="0" collapsed="false">
      <c r="A2" s="188" t="s">
        <v>466</v>
      </c>
      <c r="B2" s="188"/>
      <c r="C2" s="188"/>
      <c r="D2" s="188"/>
    </row>
    <row r="4" customFormat="false" ht="15" hidden="false" customHeight="true" outlineLevel="0" collapsed="false">
      <c r="A4" s="17" t="s">
        <v>467</v>
      </c>
      <c r="B4" s="49" t="s">
        <v>162</v>
      </c>
      <c r="C4" s="49" t="s">
        <v>163</v>
      </c>
      <c r="D4" s="49" t="s">
        <v>468</v>
      </c>
    </row>
    <row r="5" customFormat="false" ht="15" hidden="false" customHeight="true" outlineLevel="0" collapsed="false">
      <c r="A5" s="50" t="s">
        <v>469</v>
      </c>
      <c r="B5" s="45"/>
      <c r="C5" s="45"/>
      <c r="D5" s="45"/>
    </row>
    <row r="6" customFormat="false" ht="15" hidden="false" customHeight="true" outlineLevel="0" collapsed="false">
      <c r="A6" s="140" t="s">
        <v>470</v>
      </c>
      <c r="B6" s="40" t="n">
        <v>119121</v>
      </c>
      <c r="C6" s="40" t="n">
        <f aca="false">B6/12</f>
        <v>9926.75</v>
      </c>
      <c r="D6" s="28" t="n">
        <f aca="false">B6/258287</f>
        <v>0.461196266169029</v>
      </c>
    </row>
    <row r="7" customFormat="false" ht="15" hidden="false" customHeight="true" outlineLevel="0" collapsed="false">
      <c r="A7" s="140" t="s">
        <v>471</v>
      </c>
      <c r="B7" s="40" t="n">
        <v>133545</v>
      </c>
      <c r="C7" s="40" t="n">
        <f aca="false">B7/12</f>
        <v>11128.75</v>
      </c>
      <c r="D7" s="28" t="n">
        <f aca="false">B7/258287</f>
        <v>0.517041120923624</v>
      </c>
    </row>
    <row r="8" customFormat="false" ht="15" hidden="false" customHeight="true" outlineLevel="0" collapsed="false">
      <c r="A8" s="140" t="s">
        <v>472</v>
      </c>
      <c r="B8" s="40" t="n">
        <v>17887</v>
      </c>
      <c r="C8" s="40" t="n">
        <f aca="false">B8/12</f>
        <v>1490.58333333333</v>
      </c>
      <c r="D8" s="28" t="n">
        <f aca="false">B8/258287</f>
        <v>0.0692524207567551</v>
      </c>
    </row>
    <row r="9" customFormat="false" ht="15" hidden="false" customHeight="true" outlineLevel="0" collapsed="false">
      <c r="A9" s="140" t="s">
        <v>473</v>
      </c>
      <c r="B9" s="40" t="n">
        <v>6836</v>
      </c>
      <c r="C9" s="40" t="n">
        <f aca="false">B9/12</f>
        <v>569.666666666667</v>
      </c>
      <c r="D9" s="28" t="n">
        <f aca="false">B9/258287</f>
        <v>0.026466682411426</v>
      </c>
    </row>
    <row r="10" customFormat="false" ht="15" hidden="false" customHeight="true" outlineLevel="0" collapsed="false">
      <c r="A10" s="140" t="s">
        <v>474</v>
      </c>
      <c r="B10" s="40" t="n">
        <v>-20307</v>
      </c>
      <c r="C10" s="40" t="n">
        <f aca="false">B10/12</f>
        <v>-1692.25</v>
      </c>
      <c r="D10" s="28" t="n">
        <f aca="false">B10/258287</f>
        <v>-0.0786218431434799</v>
      </c>
    </row>
    <row r="11" customFormat="false" ht="15" hidden="false" customHeight="true" outlineLevel="0" collapsed="false">
      <c r="A11" s="140" t="s">
        <v>475</v>
      </c>
      <c r="B11" s="40" t="n">
        <v>1204</v>
      </c>
      <c r="C11" s="40" t="n">
        <f aca="false">B11/12</f>
        <v>100.333333333333</v>
      </c>
      <c r="D11" s="28" t="n">
        <f aca="false">B11/258287</f>
        <v>0.00466148122050277</v>
      </c>
    </row>
    <row r="12" customFormat="false" ht="15" hidden="false" customHeight="true" outlineLevel="0" collapsed="false">
      <c r="A12" s="126" t="s">
        <v>476</v>
      </c>
      <c r="B12" s="105" t="n">
        <v>258287</v>
      </c>
      <c r="C12" s="128" t="n">
        <f aca="false">B12/12</f>
        <v>21523.9166666667</v>
      </c>
      <c r="D12" s="129" t="n">
        <f aca="false">B12/258287</f>
        <v>1</v>
      </c>
    </row>
    <row r="13" customFormat="false" ht="15" hidden="false" customHeight="true" outlineLevel="0" collapsed="false">
      <c r="B13" s="51"/>
      <c r="C13" s="54"/>
      <c r="D13" s="54"/>
    </row>
    <row r="14" customFormat="false" ht="15" hidden="false" customHeight="true" outlineLevel="0" collapsed="false">
      <c r="A14" s="50" t="s">
        <v>477</v>
      </c>
      <c r="B14" s="189"/>
      <c r="C14" s="190"/>
      <c r="D14" s="190"/>
    </row>
    <row r="15" customFormat="false" ht="15" hidden="false" customHeight="true" outlineLevel="0" collapsed="false">
      <c r="A15" s="140" t="s">
        <v>478</v>
      </c>
      <c r="B15" s="40" t="n">
        <v>48655</v>
      </c>
      <c r="C15" s="40" t="n">
        <f aca="false">B15/12</f>
        <v>4054.58333333333</v>
      </c>
      <c r="D15" s="28" t="n">
        <f aca="false">B15/258287</f>
        <v>0.188375721581032</v>
      </c>
    </row>
    <row r="16" customFormat="false" ht="15" hidden="false" customHeight="true" outlineLevel="0" collapsed="false">
      <c r="A16" s="140" t="s">
        <v>479</v>
      </c>
      <c r="B16" s="40" t="n">
        <v>27428</v>
      </c>
      <c r="C16" s="40" t="n">
        <f aca="false">B16/12</f>
        <v>2285.66666666667</v>
      </c>
      <c r="D16" s="28" t="n">
        <f aca="false">B16/258287</f>
        <v>0.106191949265739</v>
      </c>
    </row>
    <row r="17" customFormat="false" ht="15" hidden="false" customHeight="true" outlineLevel="0" collapsed="false">
      <c r="A17" s="140" t="s">
        <v>480</v>
      </c>
      <c r="B17" s="40" t="n">
        <v>5516</v>
      </c>
      <c r="C17" s="40" t="n">
        <f aca="false">B17/12</f>
        <v>459.666666666667</v>
      </c>
      <c r="D17" s="28" t="n">
        <f aca="false">B17/258287</f>
        <v>0.0213560883823034</v>
      </c>
    </row>
    <row r="18" customFormat="false" ht="15" hidden="false" customHeight="true" outlineLevel="0" collapsed="false">
      <c r="A18" s="140" t="s">
        <v>481</v>
      </c>
      <c r="B18" s="40" t="n">
        <v>0</v>
      </c>
      <c r="C18" s="40" t="n">
        <f aca="false">B18/12</f>
        <v>0</v>
      </c>
      <c r="D18" s="28" t="n">
        <f aca="false">B18/258287</f>
        <v>0</v>
      </c>
    </row>
    <row r="19" customFormat="false" ht="15" hidden="false" customHeight="true" outlineLevel="0" collapsed="false">
      <c r="A19" s="50" t="s">
        <v>147</v>
      </c>
      <c r="B19" s="43" t="n">
        <v>81599</v>
      </c>
      <c r="C19" s="191" t="n">
        <f aca="false">B19/12</f>
        <v>6799.91666666667</v>
      </c>
      <c r="D19" s="192" t="n">
        <f aca="false">B19/258287</f>
        <v>0.315923759229075</v>
      </c>
    </row>
    <row r="20" customFormat="false" ht="15" hidden="false" customHeight="true" outlineLevel="0" collapsed="false">
      <c r="A20" s="126" t="s">
        <v>9</v>
      </c>
      <c r="B20" s="105" t="n">
        <v>176688</v>
      </c>
      <c r="C20" s="128" t="n">
        <f aca="false">B20/12</f>
        <v>14724</v>
      </c>
      <c r="D20" s="129" t="n">
        <f aca="false">B20/258287</f>
        <v>0.684076240770925</v>
      </c>
    </row>
    <row r="21" customFormat="false" ht="15" hidden="false" customHeight="true" outlineLevel="0" collapsed="false">
      <c r="B21" s="51"/>
      <c r="C21" s="54"/>
      <c r="D21" s="54"/>
    </row>
    <row r="22" customFormat="false" ht="15" hidden="false" customHeight="true" outlineLevel="0" collapsed="false">
      <c r="A22" s="50" t="s">
        <v>114</v>
      </c>
      <c r="B22" s="189"/>
      <c r="C22" s="190"/>
      <c r="D22" s="190"/>
    </row>
    <row r="23" customFormat="false" ht="15" hidden="false" customHeight="true" outlineLevel="0" collapsed="false">
      <c r="A23" s="140" t="s">
        <v>482</v>
      </c>
      <c r="B23" s="40" t="n">
        <v>142124</v>
      </c>
      <c r="C23" s="40" t="n">
        <f aca="false">B23/12</f>
        <v>11843.6666666667</v>
      </c>
      <c r="D23" s="28" t="n">
        <f aca="false">B23/258287</f>
        <v>0.550256110450778</v>
      </c>
    </row>
    <row r="24" customFormat="false" ht="15" hidden="false" customHeight="true" outlineLevel="0" collapsed="false">
      <c r="A24" s="140" t="s">
        <v>483</v>
      </c>
      <c r="B24" s="40" t="n">
        <v>16219</v>
      </c>
      <c r="C24" s="40" t="n">
        <f aca="false">B24/12</f>
        <v>1351.58333333333</v>
      </c>
      <c r="D24" s="28" t="n">
        <f aca="false">B24/258287</f>
        <v>0.0627944883017728</v>
      </c>
    </row>
    <row r="25" customFormat="false" ht="15" hidden="false" customHeight="true" outlineLevel="0" collapsed="false">
      <c r="A25" s="140" t="s">
        <v>484</v>
      </c>
      <c r="B25" s="40" t="n">
        <v>6514</v>
      </c>
      <c r="C25" s="40" t="n">
        <f aca="false">B25/12</f>
        <v>542.833333333333</v>
      </c>
      <c r="D25" s="28" t="n">
        <f aca="false">B25/258287</f>
        <v>0.0252200072012916</v>
      </c>
    </row>
    <row r="26" customFormat="false" ht="15" hidden="false" customHeight="true" outlineLevel="0" collapsed="false">
      <c r="A26" s="50" t="s">
        <v>150</v>
      </c>
      <c r="B26" s="43" t="n">
        <v>164857</v>
      </c>
      <c r="C26" s="191" t="n">
        <f aca="false">B26/12</f>
        <v>13738.0833333333</v>
      </c>
      <c r="D26" s="192" t="n">
        <f aca="false">B26/258287</f>
        <v>0.638270605953842</v>
      </c>
    </row>
    <row r="27" customFormat="false" ht="15" hidden="false" customHeight="true" outlineLevel="0" collapsed="false">
      <c r="B27" s="51"/>
      <c r="C27" s="54"/>
      <c r="D27" s="54"/>
    </row>
    <row r="28" customFormat="false" ht="15" hidden="false" customHeight="true" outlineLevel="0" collapsed="false">
      <c r="A28" s="50" t="s">
        <v>485</v>
      </c>
      <c r="B28" s="189"/>
      <c r="C28" s="190"/>
      <c r="D28" s="190"/>
    </row>
    <row r="29" customFormat="false" ht="15" hidden="false" customHeight="true" outlineLevel="0" collapsed="false">
      <c r="A29" s="140" t="s">
        <v>486</v>
      </c>
      <c r="B29" s="40" t="n">
        <v>44540</v>
      </c>
      <c r="C29" s="40" t="n">
        <f aca="false">B29/12</f>
        <v>3711.66666666667</v>
      </c>
      <c r="D29" s="28" t="n">
        <f aca="false">B29/258287</f>
        <v>0.172443831861456</v>
      </c>
    </row>
    <row r="30" customFormat="false" ht="15" hidden="false" customHeight="true" outlineLevel="0" collapsed="false">
      <c r="A30" s="140" t="s">
        <v>487</v>
      </c>
      <c r="B30" s="40" t="n">
        <v>11918</v>
      </c>
      <c r="C30" s="40" t="n">
        <f aca="false">B30/12</f>
        <v>993.166666666667</v>
      </c>
      <c r="D30" s="28" t="n">
        <f aca="false">B30/258287</f>
        <v>0.0461424694235482</v>
      </c>
    </row>
    <row r="31" customFormat="false" ht="15" hidden="false" customHeight="true" outlineLevel="0" collapsed="false">
      <c r="A31" s="140" t="s">
        <v>488</v>
      </c>
      <c r="B31" s="40" t="n">
        <v>2912</v>
      </c>
      <c r="C31" s="40" t="n">
        <f aca="false">B31/12</f>
        <v>242.666666666667</v>
      </c>
      <c r="D31" s="28" t="n">
        <f aca="false">B31/258287</f>
        <v>0.011274280161216</v>
      </c>
    </row>
    <row r="32" customFormat="false" ht="15" hidden="false" customHeight="true" outlineLevel="0" collapsed="false">
      <c r="A32" s="140" t="s">
        <v>489</v>
      </c>
      <c r="B32" s="40" t="n">
        <v>30305</v>
      </c>
      <c r="C32" s="40" t="n">
        <f aca="false">B32/12</f>
        <v>2525.41666666667</v>
      </c>
      <c r="D32" s="28" t="n">
        <f aca="false">B32/258287</f>
        <v>0.117330721251941</v>
      </c>
    </row>
    <row r="33" customFormat="false" ht="15" hidden="false" customHeight="true" outlineLevel="0" collapsed="false">
      <c r="A33" s="50" t="s">
        <v>490</v>
      </c>
      <c r="B33" s="43" t="n">
        <v>89675</v>
      </c>
      <c r="C33" s="191" t="n">
        <f aca="false">B33/12</f>
        <v>7472.91666666667</v>
      </c>
      <c r="D33" s="192" t="n">
        <f aca="false">B33/258287</f>
        <v>0.347191302698161</v>
      </c>
    </row>
    <row r="34" customFormat="false" ht="15" hidden="false" customHeight="true" outlineLevel="0" collapsed="false">
      <c r="A34" s="26" t="s">
        <v>491</v>
      </c>
      <c r="B34" s="40" t="n">
        <v>10012</v>
      </c>
      <c r="C34" s="40" t="n">
        <f aca="false">B34/12</f>
        <v>834.333333333333</v>
      </c>
      <c r="D34" s="28" t="n">
        <f aca="false">B34/258287</f>
        <v>0.0387630813784666</v>
      </c>
    </row>
    <row r="35" customFormat="false" ht="15" hidden="false" customHeight="true" outlineLevel="0" collapsed="false">
      <c r="A35" s="23" t="s">
        <v>492</v>
      </c>
      <c r="B35" s="41" t="n">
        <v>5657</v>
      </c>
      <c r="C35" s="40" t="n">
        <f aca="false">B35/12</f>
        <v>471.416666666667</v>
      </c>
      <c r="D35" s="28" t="n">
        <f aca="false">B35/258287</f>
        <v>0.0219019927445051</v>
      </c>
    </row>
    <row r="37" customFormat="false" ht="15" hidden="false" customHeight="true" outlineLevel="0" collapsed="false">
      <c r="A37" s="193" t="s">
        <v>15</v>
      </c>
      <c r="B37" s="44" t="n">
        <v>-93513</v>
      </c>
      <c r="C37" s="194" t="n">
        <f aca="false">B37/12</f>
        <v>-7792.75</v>
      </c>
      <c r="D37" s="129" t="n">
        <f aca="false">B37/258287</f>
        <v>-0.36205074200405</v>
      </c>
    </row>
    <row r="38" customFormat="false" ht="15" hidden="false" customHeight="true" outlineLevel="0" collapsed="false">
      <c r="A38" s="140" t="s">
        <v>493</v>
      </c>
      <c r="B38" s="40" t="n">
        <v>-48000</v>
      </c>
      <c r="C38" s="40" t="n">
        <f aca="false">B38/12</f>
        <v>-4000</v>
      </c>
    </row>
    <row r="39" customFormat="false" ht="15" hidden="false" customHeight="true" outlineLevel="0" collapsed="false">
      <c r="A39" s="140" t="s">
        <v>494</v>
      </c>
      <c r="B39" s="40" t="n">
        <v>-15642</v>
      </c>
      <c r="C39" s="40" t="n">
        <f aca="false">B39/12</f>
        <v>-1303.5</v>
      </c>
    </row>
    <row r="40" customFormat="false" ht="15" hidden="false" customHeight="true" outlineLevel="0" collapsed="false">
      <c r="A40" s="193" t="s">
        <v>495</v>
      </c>
      <c r="B40" s="44" t="n">
        <v>-157155</v>
      </c>
      <c r="C40" s="194" t="n">
        <f aca="false">B40/12</f>
        <v>-13096.25</v>
      </c>
      <c r="D40" s="129" t="n">
        <f aca="false">B40/258287</f>
        <v>-0.60845106412634</v>
      </c>
    </row>
    <row r="42" customFormat="false" ht="15" hidden="false" customHeight="true" outlineLevel="0" collapsed="false">
      <c r="A42" s="195" t="s">
        <v>496</v>
      </c>
      <c r="B42" s="195"/>
      <c r="C42" s="195"/>
      <c r="D42" s="195"/>
    </row>
    <row r="43" customFormat="false" ht="15" hidden="false" customHeight="true" outlineLevel="0" collapsed="false">
      <c r="A43" s="195"/>
      <c r="B43" s="195"/>
      <c r="C43" s="195"/>
      <c r="D43" s="195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37" t="s">
        <v>497</v>
      </c>
      <c r="B1" s="15"/>
      <c r="C1" s="15"/>
      <c r="D1" s="15"/>
      <c r="E1" s="15"/>
      <c r="F1" s="15"/>
      <c r="G1" s="15"/>
      <c r="H1" s="15"/>
      <c r="I1" s="15"/>
    </row>
    <row r="2" customFormat="false" ht="15" hidden="false" customHeight="true" outlineLevel="0" collapsed="false">
      <c r="A2" s="138" t="s">
        <v>498</v>
      </c>
      <c r="B2" s="138"/>
      <c r="C2" s="138"/>
      <c r="D2" s="138"/>
      <c r="E2" s="138"/>
      <c r="F2" s="138"/>
      <c r="G2" s="138"/>
      <c r="H2" s="138"/>
      <c r="I2" s="138"/>
    </row>
    <row r="4" customFormat="false" ht="15" hidden="false" customHeight="true" outlineLevel="0" collapsed="false">
      <c r="A4" s="37" t="s">
        <v>499</v>
      </c>
      <c r="B4" s="37" t="s">
        <v>500</v>
      </c>
      <c r="C4" s="38" t="s">
        <v>501</v>
      </c>
      <c r="D4" s="38" t="s">
        <v>502</v>
      </c>
      <c r="E4" s="38" t="s">
        <v>503</v>
      </c>
      <c r="F4" s="38" t="s">
        <v>504</v>
      </c>
      <c r="G4" s="38" t="s">
        <v>505</v>
      </c>
      <c r="H4" s="38" t="s">
        <v>506</v>
      </c>
      <c r="I4" s="38" t="s">
        <v>507</v>
      </c>
    </row>
    <row r="5" customFormat="false" ht="15" hidden="false" customHeight="true" outlineLevel="0" collapsed="false">
      <c r="A5" s="196" t="s">
        <v>508</v>
      </c>
      <c r="B5" s="197"/>
      <c r="C5" s="198"/>
      <c r="D5" s="198"/>
      <c r="E5" s="198"/>
      <c r="F5" s="198"/>
      <c r="G5" s="198"/>
      <c r="H5" s="198"/>
      <c r="I5" s="198"/>
    </row>
    <row r="6" customFormat="false" ht="15" hidden="false" customHeight="true" outlineLevel="0" collapsed="false">
      <c r="A6" s="39" t="s">
        <v>509</v>
      </c>
      <c r="B6" s="155" t="s">
        <v>510</v>
      </c>
      <c r="C6" s="27" t="n">
        <f aca="false">2441*12/5</f>
        <v>5858.4</v>
      </c>
      <c r="D6" s="199" t="n">
        <f aca="false">IF(C6=0,0,E6/C6)</f>
        <v>5.53011061040557</v>
      </c>
      <c r="E6" s="40" t="n">
        <f aca="false">13499*12/5</f>
        <v>32397.6</v>
      </c>
      <c r="F6" s="200" t="n">
        <v>0.5</v>
      </c>
      <c r="G6" s="199" t="n">
        <f aca="false">D6+F6</f>
        <v>6.03011061040557</v>
      </c>
      <c r="H6" s="40" t="n">
        <f aca="false">E6+I6</f>
        <v>35326.8</v>
      </c>
      <c r="I6" s="41" t="n">
        <f aca="false">C6*F6</f>
        <v>2929.2</v>
      </c>
    </row>
    <row r="7" customFormat="false" ht="15" hidden="false" customHeight="true" outlineLevel="0" collapsed="false">
      <c r="A7" s="39" t="s">
        <v>511</v>
      </c>
      <c r="B7" s="155" t="s">
        <v>510</v>
      </c>
      <c r="C7" s="27" t="n">
        <f aca="false">1454*12/5</f>
        <v>3489.6</v>
      </c>
      <c r="D7" s="199" t="n">
        <f aca="false">IF(C7=0,0,E7/C7)</f>
        <v>3.45942228335626</v>
      </c>
      <c r="E7" s="40" t="n">
        <f aca="false">5030*12/5</f>
        <v>12072</v>
      </c>
      <c r="F7" s="200" t="n">
        <v>0.5</v>
      </c>
      <c r="G7" s="199" t="n">
        <f aca="false">D7+F7</f>
        <v>3.95942228335626</v>
      </c>
      <c r="H7" s="40" t="n">
        <f aca="false">E7+I7</f>
        <v>13816.8</v>
      </c>
      <c r="I7" s="41" t="n">
        <f aca="false">C7*F7</f>
        <v>1744.8</v>
      </c>
    </row>
    <row r="8" customFormat="false" ht="15" hidden="false" customHeight="true" outlineLevel="0" collapsed="false">
      <c r="A8" s="39" t="s">
        <v>512</v>
      </c>
      <c r="B8" s="155" t="s">
        <v>510</v>
      </c>
      <c r="C8" s="27" t="n">
        <f aca="false">823*12/5</f>
        <v>1975.2</v>
      </c>
      <c r="D8" s="199" t="n">
        <f aca="false">IF(C8=0,0,E8/C8)</f>
        <v>5.22357229647631</v>
      </c>
      <c r="E8" s="40" t="n">
        <f aca="false">4299*12/5</f>
        <v>10317.6</v>
      </c>
      <c r="F8" s="200" t="n">
        <v>0.5</v>
      </c>
      <c r="G8" s="199" t="n">
        <f aca="false">D8+F8</f>
        <v>5.72357229647631</v>
      </c>
      <c r="H8" s="40" t="n">
        <f aca="false">E8+I8</f>
        <v>11305.2</v>
      </c>
      <c r="I8" s="41" t="n">
        <f aca="false">C8*F8</f>
        <v>987.6</v>
      </c>
    </row>
    <row r="9" customFormat="false" ht="15" hidden="false" customHeight="true" outlineLevel="0" collapsed="false">
      <c r="A9" s="39" t="s">
        <v>513</v>
      </c>
      <c r="B9" s="155" t="s">
        <v>510</v>
      </c>
      <c r="C9" s="27" t="n">
        <f aca="false">512*12/5</f>
        <v>1228.8</v>
      </c>
      <c r="D9" s="199" t="n">
        <f aca="false">IF(C9=0,0,E9/C9)</f>
        <v>4.375</v>
      </c>
      <c r="E9" s="40" t="n">
        <f aca="false">2240*12/5</f>
        <v>5376</v>
      </c>
      <c r="F9" s="200" t="n">
        <v>0.5</v>
      </c>
      <c r="G9" s="199" t="n">
        <f aca="false">D9+F9</f>
        <v>4.875</v>
      </c>
      <c r="H9" s="40" t="n">
        <f aca="false">E9+I9</f>
        <v>5990.4</v>
      </c>
      <c r="I9" s="41" t="n">
        <f aca="false">C9*F9</f>
        <v>614.4</v>
      </c>
    </row>
    <row r="10" customFormat="false" ht="15" hidden="false" customHeight="true" outlineLevel="0" collapsed="false">
      <c r="A10" s="39" t="s">
        <v>514</v>
      </c>
      <c r="B10" s="155" t="s">
        <v>510</v>
      </c>
      <c r="C10" s="27" t="n">
        <f aca="false">528*12/5</f>
        <v>1267.2</v>
      </c>
      <c r="D10" s="199" t="n">
        <f aca="false">IF(C10=0,0,E10/C10)</f>
        <v>4.01136363636364</v>
      </c>
      <c r="E10" s="40" t="n">
        <f aca="false">2118*12/5</f>
        <v>5083.2</v>
      </c>
      <c r="F10" s="200" t="n">
        <v>0.5</v>
      </c>
      <c r="G10" s="199" t="n">
        <f aca="false">D10+F10</f>
        <v>4.51136363636364</v>
      </c>
      <c r="H10" s="40" t="n">
        <f aca="false">E10+I10</f>
        <v>5716.8</v>
      </c>
      <c r="I10" s="41" t="n">
        <f aca="false">C10*F10</f>
        <v>633.6</v>
      </c>
    </row>
    <row r="11" customFormat="false" ht="15" hidden="false" customHeight="true" outlineLevel="0" collapsed="false">
      <c r="A11" s="39" t="s">
        <v>515</v>
      </c>
      <c r="B11" s="155" t="s">
        <v>510</v>
      </c>
      <c r="C11" s="27" t="n">
        <f aca="false">737*12/5</f>
        <v>1768.8</v>
      </c>
      <c r="D11" s="199" t="n">
        <f aca="false">IF(C11=0,0,E11/C11)</f>
        <v>2.69199457259159</v>
      </c>
      <c r="E11" s="40" t="n">
        <f aca="false">1984*12/5</f>
        <v>4761.6</v>
      </c>
      <c r="F11" s="200" t="n">
        <v>0.5</v>
      </c>
      <c r="G11" s="199" t="n">
        <f aca="false">D11+F11</f>
        <v>3.19199457259159</v>
      </c>
      <c r="H11" s="40" t="n">
        <f aca="false">E11+I11</f>
        <v>5646</v>
      </c>
      <c r="I11" s="41" t="n">
        <f aca="false">C11*F11</f>
        <v>884.4</v>
      </c>
    </row>
    <row r="12" customFormat="false" ht="15" hidden="false" customHeight="true" outlineLevel="0" collapsed="false">
      <c r="A12" s="39" t="s">
        <v>516</v>
      </c>
      <c r="B12" s="155" t="s">
        <v>510</v>
      </c>
      <c r="C12" s="27" t="n">
        <f aca="false">348*12/5</f>
        <v>835.2</v>
      </c>
      <c r="D12" s="199" t="n">
        <f aca="false">IF(C12=0,0,E12/C12)</f>
        <v>6.63793103448276</v>
      </c>
      <c r="E12" s="40" t="n">
        <f aca="false">2310*12/5</f>
        <v>5544</v>
      </c>
      <c r="F12" s="200" t="n">
        <v>0.5</v>
      </c>
      <c r="G12" s="199" t="n">
        <f aca="false">D12+F12</f>
        <v>7.13793103448276</v>
      </c>
      <c r="H12" s="40" t="n">
        <f aca="false">E12+I12</f>
        <v>5961.6</v>
      </c>
      <c r="I12" s="41" t="n">
        <f aca="false">C12*F12</f>
        <v>417.6</v>
      </c>
    </row>
    <row r="13" customFormat="false" ht="15" hidden="false" customHeight="true" outlineLevel="0" collapsed="false">
      <c r="A13" s="39" t="s">
        <v>517</v>
      </c>
      <c r="B13" s="155" t="s">
        <v>510</v>
      </c>
      <c r="C13" s="27" t="n">
        <f aca="false">20731-SUM(C6:C12)</f>
        <v>4307.8</v>
      </c>
      <c r="D13" s="199" t="n">
        <f aca="false">IF(C13=0,0,E13/C13)</f>
        <v>4.75973814940341</v>
      </c>
      <c r="E13" s="40" t="n">
        <f aca="false">96056-SUM(E6:E12)</f>
        <v>20504</v>
      </c>
      <c r="F13" s="200" t="n">
        <v>0.5</v>
      </c>
      <c r="G13" s="199" t="n">
        <f aca="false">D13+F13</f>
        <v>5.25973814940341</v>
      </c>
      <c r="H13" s="40" t="n">
        <f aca="false">E13+I13</f>
        <v>22657.9</v>
      </c>
      <c r="I13" s="41" t="n">
        <f aca="false">C13*F13</f>
        <v>2153.9</v>
      </c>
    </row>
    <row r="14" customFormat="false" ht="15" hidden="false" customHeight="true" outlineLevel="0" collapsed="false">
      <c r="A14" s="196" t="s">
        <v>518</v>
      </c>
      <c r="B14" s="197"/>
      <c r="C14" s="198"/>
      <c r="D14" s="197"/>
      <c r="E14" s="198"/>
      <c r="F14" s="197"/>
      <c r="G14" s="197"/>
      <c r="H14" s="198"/>
      <c r="I14" s="198"/>
    </row>
    <row r="15" customFormat="false" ht="15" hidden="false" customHeight="true" outlineLevel="0" collapsed="false">
      <c r="A15" s="39" t="s">
        <v>519</v>
      </c>
      <c r="B15" s="155" t="s">
        <v>250</v>
      </c>
      <c r="C15" s="201" t="n">
        <f aca="false">684*12/5</f>
        <v>1641.6</v>
      </c>
      <c r="D15" s="202" t="n">
        <f aca="false">IF(C15=0,0,E15/C15)</f>
        <v>11.7923976608187</v>
      </c>
      <c r="E15" s="203" t="n">
        <f aca="false">8066*12/5</f>
        <v>19358.4</v>
      </c>
      <c r="F15" s="204" t="n">
        <v>1</v>
      </c>
      <c r="G15" s="202" t="n">
        <f aca="false">D15+F15</f>
        <v>12.7923976608187</v>
      </c>
      <c r="H15" s="203" t="n">
        <f aca="false">E15+I15</f>
        <v>21000</v>
      </c>
      <c r="I15" s="205" t="n">
        <f aca="false">C15*F15</f>
        <v>1641.6</v>
      </c>
    </row>
    <row r="16" customFormat="false" ht="15" hidden="false" customHeight="true" outlineLevel="0" collapsed="false">
      <c r="A16" s="39" t="s">
        <v>520</v>
      </c>
      <c r="B16" s="155" t="s">
        <v>250</v>
      </c>
      <c r="C16" s="201" t="n">
        <f aca="false">261*12/5</f>
        <v>626.4</v>
      </c>
      <c r="D16" s="202" t="n">
        <f aca="false">IF(C16=0,0,E16/C16)</f>
        <v>9.75862068965517</v>
      </c>
      <c r="E16" s="203" t="n">
        <f aca="false">2547*12/5</f>
        <v>6112.8</v>
      </c>
      <c r="F16" s="204" t="n">
        <v>1</v>
      </c>
      <c r="G16" s="202" t="n">
        <f aca="false">D16+F16</f>
        <v>10.7586206896552</v>
      </c>
      <c r="H16" s="203" t="n">
        <f aca="false">E16+I16</f>
        <v>6739.2</v>
      </c>
      <c r="I16" s="205" t="n">
        <f aca="false">C16*F16</f>
        <v>626.4</v>
      </c>
    </row>
    <row r="17" customFormat="false" ht="15" hidden="false" customHeight="true" outlineLevel="0" collapsed="false">
      <c r="A17" s="39" t="s">
        <v>521</v>
      </c>
      <c r="B17" s="155" t="s">
        <v>250</v>
      </c>
      <c r="C17" s="27" t="n">
        <f aca="false">3386-SUM(C15:C16)</f>
        <v>1118</v>
      </c>
      <c r="D17" s="202" t="n">
        <f aca="false">IF(C17=0,0,E17/C17)</f>
        <v>12.1509838998211</v>
      </c>
      <c r="E17" s="203" t="n">
        <f aca="false">39056-SUM(E15:E16)</f>
        <v>13584.8</v>
      </c>
      <c r="F17" s="204" t="n">
        <v>1</v>
      </c>
      <c r="G17" s="202" t="n">
        <f aca="false">D17+F17</f>
        <v>13.1509838998211</v>
      </c>
      <c r="H17" s="203" t="n">
        <f aca="false">E17+I17</f>
        <v>14702.8</v>
      </c>
      <c r="I17" s="205" t="n">
        <f aca="false">C17*F17</f>
        <v>1118</v>
      </c>
    </row>
    <row r="18" customFormat="false" ht="15" hidden="false" customHeight="true" outlineLevel="0" collapsed="false">
      <c r="A18" s="196" t="s">
        <v>522</v>
      </c>
      <c r="B18" s="197"/>
      <c r="C18" s="198"/>
      <c r="D18" s="197"/>
      <c r="E18" s="197"/>
      <c r="F18" s="197"/>
      <c r="G18" s="197"/>
      <c r="H18" s="197"/>
      <c r="I18" s="197"/>
    </row>
    <row r="19" customFormat="false" ht="15" hidden="false" customHeight="true" outlineLevel="0" collapsed="false">
      <c r="A19" s="39" t="s">
        <v>523</v>
      </c>
      <c r="B19" s="155" t="s">
        <v>510</v>
      </c>
      <c r="C19" s="27" t="n">
        <f aca="false">385*12/5</f>
        <v>924</v>
      </c>
      <c r="D19" s="202" t="n">
        <f aca="false">IF(C19=0,0,E19/C19)</f>
        <v>5.71428571428571</v>
      </c>
      <c r="E19" s="203" t="n">
        <f aca="false">2200*12/5</f>
        <v>5280</v>
      </c>
      <c r="F19" s="204" t="n">
        <v>0.5</v>
      </c>
      <c r="G19" s="202" t="n">
        <f aca="false">D19+F19</f>
        <v>6.21428571428571</v>
      </c>
      <c r="H19" s="203" t="n">
        <f aca="false">E19+I19</f>
        <v>5742</v>
      </c>
      <c r="I19" s="205" t="n">
        <f aca="false">C19*F19</f>
        <v>462</v>
      </c>
    </row>
    <row r="20" customFormat="false" ht="15" hidden="false" customHeight="true" outlineLevel="0" collapsed="false">
      <c r="A20" s="39" t="s">
        <v>524</v>
      </c>
      <c r="B20" s="155" t="s">
        <v>510</v>
      </c>
      <c r="C20" s="27" t="n">
        <f aca="false">6022-C19</f>
        <v>5098</v>
      </c>
      <c r="D20" s="202" t="n">
        <f aca="false">IF(C20=0,0,E20/C20)</f>
        <v>4.39623381718321</v>
      </c>
      <c r="E20" s="203" t="n">
        <f aca="false">27692-E19</f>
        <v>22412</v>
      </c>
      <c r="F20" s="204" t="n">
        <v>0.5</v>
      </c>
      <c r="G20" s="202" t="n">
        <f aca="false">D20+F20</f>
        <v>4.89623381718321</v>
      </c>
      <c r="H20" s="203" t="n">
        <f aca="false">E20+I20</f>
        <v>24961</v>
      </c>
      <c r="I20" s="205" t="n">
        <f aca="false">C20*F20</f>
        <v>2549</v>
      </c>
    </row>
    <row r="21" customFormat="false" ht="15" hidden="false" customHeight="true" outlineLevel="0" collapsed="false">
      <c r="A21" s="196" t="s">
        <v>525</v>
      </c>
      <c r="B21" s="197"/>
      <c r="C21" s="197"/>
      <c r="D21" s="197"/>
      <c r="E21" s="197"/>
      <c r="F21" s="197"/>
      <c r="G21" s="197"/>
      <c r="H21" s="197"/>
      <c r="I21" s="197"/>
    </row>
    <row r="22" customFormat="false" ht="15" hidden="false" customHeight="true" outlineLevel="0" collapsed="false">
      <c r="A22" s="39" t="s">
        <v>526</v>
      </c>
      <c r="B22" s="155" t="s">
        <v>250</v>
      </c>
      <c r="C22" s="201" t="n">
        <v>3775</v>
      </c>
      <c r="D22" s="202" t="n">
        <f aca="false">IF(C22=0,0,E22/C22)</f>
        <v>4.54145695364238</v>
      </c>
      <c r="E22" s="203" t="n">
        <v>17144</v>
      </c>
      <c r="F22" s="204" t="n">
        <v>0.5</v>
      </c>
      <c r="G22" s="202" t="n">
        <f aca="false">D22+F22</f>
        <v>5.04145695364238</v>
      </c>
      <c r="H22" s="203" t="n">
        <f aca="false">E22+I22</f>
        <v>19031.5</v>
      </c>
      <c r="I22" s="205" t="n">
        <f aca="false">C22*F22</f>
        <v>1887.5</v>
      </c>
    </row>
    <row r="23" customFormat="false" ht="15" hidden="false" customHeight="true" outlineLevel="0" collapsed="false">
      <c r="A23" s="39" t="s">
        <v>527</v>
      </c>
      <c r="B23" s="155" t="s">
        <v>510</v>
      </c>
      <c r="C23" s="27" t="n">
        <v>806</v>
      </c>
      <c r="D23" s="202" t="n">
        <f aca="false">IF(C23=0,0,E23/C23)</f>
        <v>6.74565756823821</v>
      </c>
      <c r="E23" s="203" t="n">
        <v>5437</v>
      </c>
      <c r="F23" s="204" t="n">
        <v>0.5</v>
      </c>
      <c r="G23" s="202" t="n">
        <f aca="false">D23+F23</f>
        <v>7.24565756823821</v>
      </c>
      <c r="H23" s="203" t="n">
        <f aca="false">E23+I23</f>
        <v>5840</v>
      </c>
      <c r="I23" s="205" t="n">
        <f aca="false">C23*F23</f>
        <v>403</v>
      </c>
    </row>
    <row r="24" customFormat="false" ht="15" hidden="false" customHeight="true" outlineLevel="0" collapsed="false">
      <c r="A24" s="39" t="s">
        <v>528</v>
      </c>
      <c r="B24" s="155" t="s">
        <v>250</v>
      </c>
      <c r="C24" s="27" t="n">
        <v>1037</v>
      </c>
      <c r="D24" s="202" t="n">
        <f aca="false">IF(C24=0,0,E24/C24)</f>
        <v>6.13114754098361</v>
      </c>
      <c r="E24" s="203" t="n">
        <v>6358</v>
      </c>
      <c r="F24" s="204" t="n">
        <v>0.5</v>
      </c>
      <c r="G24" s="202" t="n">
        <f aca="false">D24+F24</f>
        <v>6.63114754098361</v>
      </c>
      <c r="H24" s="203" t="n">
        <f aca="false">E24+I24</f>
        <v>6876.5</v>
      </c>
      <c r="I24" s="205" t="n">
        <f aca="false">C24*F24</f>
        <v>518.5</v>
      </c>
    </row>
    <row r="25" customFormat="false" ht="15" hidden="false" customHeight="true" outlineLevel="0" collapsed="false">
      <c r="A25" s="196" t="s">
        <v>529</v>
      </c>
      <c r="B25" s="197"/>
      <c r="C25" s="198"/>
      <c r="D25" s="197"/>
      <c r="E25" s="197"/>
      <c r="F25" s="197"/>
      <c r="G25" s="197"/>
      <c r="H25" s="197"/>
      <c r="I25" s="197"/>
    </row>
    <row r="26" customFormat="false" ht="15" hidden="false" customHeight="true" outlineLevel="0" collapsed="false">
      <c r="A26" s="39" t="s">
        <v>530</v>
      </c>
      <c r="B26" s="155" t="s">
        <v>250</v>
      </c>
      <c r="C26" s="201" t="n">
        <v>2210</v>
      </c>
      <c r="D26" s="202" t="n">
        <f aca="false">IF(C26=0,0,E26/C26)</f>
        <v>6.50678733031674</v>
      </c>
      <c r="E26" s="203" t="n">
        <v>14380</v>
      </c>
      <c r="F26" s="204" t="n">
        <v>0</v>
      </c>
      <c r="G26" s="202" t="n">
        <f aca="false">D26+F26</f>
        <v>6.50678733031674</v>
      </c>
      <c r="H26" s="203" t="n">
        <f aca="false">E26+I26</f>
        <v>14380</v>
      </c>
      <c r="I26" s="205" t="n">
        <f aca="false">C26*F26</f>
        <v>0</v>
      </c>
    </row>
    <row r="27" customFormat="false" ht="15" hidden="false" customHeight="true" outlineLevel="0" collapsed="false">
      <c r="A27" s="39" t="s">
        <v>531</v>
      </c>
      <c r="B27" s="155" t="s">
        <v>250</v>
      </c>
      <c r="C27" s="201" t="n">
        <v>3060</v>
      </c>
      <c r="D27" s="202" t="n">
        <f aca="false">IF(C27=0,0,E27/C27)</f>
        <v>4.2781045751634</v>
      </c>
      <c r="E27" s="203" t="n">
        <v>13091</v>
      </c>
      <c r="F27" s="204" t="n">
        <v>0</v>
      </c>
      <c r="G27" s="202" t="n">
        <f aca="false">D27+F27</f>
        <v>4.2781045751634</v>
      </c>
      <c r="H27" s="203" t="n">
        <f aca="false">E27+I27</f>
        <v>13091</v>
      </c>
      <c r="I27" s="205" t="n">
        <f aca="false">C27*F27</f>
        <v>0</v>
      </c>
    </row>
    <row r="28" customFormat="false" ht="15" hidden="false" customHeight="true" outlineLevel="0" collapsed="false">
      <c r="A28" s="26" t="s">
        <v>532</v>
      </c>
      <c r="B28" s="155" t="s">
        <v>533</v>
      </c>
      <c r="C28" s="27" t="n">
        <v>358</v>
      </c>
      <c r="D28" s="199" t="n">
        <f aca="false">IF(C28=0,0,E28/C28)</f>
        <v>24.840782122905</v>
      </c>
      <c r="E28" s="40" t="n">
        <v>8893</v>
      </c>
      <c r="F28" s="204" t="n">
        <v>0</v>
      </c>
      <c r="G28" s="202" t="n">
        <f aca="false">D28+F28</f>
        <v>24.840782122905</v>
      </c>
      <c r="H28" s="203" t="n">
        <f aca="false">E28+I28</f>
        <v>8893</v>
      </c>
      <c r="I28" s="205" t="n">
        <f aca="false">C28*F28</f>
        <v>0</v>
      </c>
    </row>
    <row r="29" customFormat="false" ht="15" hidden="false" customHeight="true" outlineLevel="0" collapsed="false">
      <c r="A29" s="133" t="s">
        <v>534</v>
      </c>
      <c r="B29" s="197"/>
      <c r="C29" s="24" t="n">
        <f aca="false">SUM(C6:C28)</f>
        <v>41385</v>
      </c>
      <c r="D29" s="198"/>
      <c r="E29" s="43" t="n">
        <f aca="false">SUM(E6:E28)</f>
        <v>228107</v>
      </c>
      <c r="F29" s="197"/>
      <c r="G29" s="197"/>
      <c r="H29" s="206" t="n">
        <f aca="false">SUM(H6:H28)</f>
        <v>247678.5</v>
      </c>
      <c r="I29" s="206" t="n">
        <f aca="false">SUM(I6:I28)</f>
        <v>19571.5</v>
      </c>
    </row>
    <row r="30" customFormat="false" ht="15" hidden="false" customHeight="true" outlineLevel="0" collapsed="false">
      <c r="A30" s="155" t="s">
        <v>535</v>
      </c>
      <c r="B30" s="207"/>
      <c r="C30" s="208"/>
      <c r="D30" s="208"/>
      <c r="E30" s="208"/>
      <c r="F30" s="207"/>
      <c r="G30" s="207"/>
      <c r="H30" s="207"/>
      <c r="I30" s="207"/>
    </row>
    <row r="31" customFormat="false" ht="15" hidden="false" customHeight="true" outlineLevel="0" collapsed="false">
      <c r="A31" s="207"/>
      <c r="B31" s="207"/>
      <c r="C31" s="208"/>
      <c r="D31" s="208"/>
      <c r="E31" s="208"/>
      <c r="F31" s="207"/>
      <c r="G31" s="207"/>
      <c r="H31" s="207"/>
      <c r="I31" s="207"/>
    </row>
    <row r="32" customFormat="false" ht="15" hidden="false" customHeight="true" outlineLevel="0" collapsed="false">
      <c r="A32" s="36" t="s">
        <v>536</v>
      </c>
      <c r="B32" s="36"/>
      <c r="C32" s="36"/>
      <c r="D32" s="36"/>
      <c r="E32" s="36"/>
      <c r="F32" s="36"/>
      <c r="G32" s="36"/>
      <c r="H32" s="36"/>
      <c r="I32" s="36"/>
    </row>
    <row r="33" customFormat="false" ht="15" hidden="false" customHeight="true" outlineLevel="0" collapsed="false">
      <c r="A33" s="42" t="s">
        <v>537</v>
      </c>
      <c r="B33" s="207"/>
      <c r="C33" s="41" t="n">
        <f aca="false">SUMIF($B$6:$B$28,"NA",$I$6:$I$28)</f>
        <v>13779.5</v>
      </c>
      <c r="D33" s="208"/>
      <c r="E33" s="208"/>
      <c r="F33" s="207"/>
      <c r="G33" s="207"/>
      <c r="H33" s="207"/>
      <c r="I33" s="207"/>
    </row>
    <row r="34" customFormat="false" ht="15" hidden="false" customHeight="true" outlineLevel="0" collapsed="false">
      <c r="A34" s="42" t="s">
        <v>538</v>
      </c>
      <c r="B34" s="207"/>
      <c r="C34" s="41" t="n">
        <f aca="false">SUMIF($B$6:$B$28,"Food",$I$6:$I$28)</f>
        <v>5792</v>
      </c>
      <c r="D34" s="208"/>
      <c r="E34" s="208"/>
      <c r="F34" s="207"/>
      <c r="G34" s="207"/>
      <c r="H34" s="207"/>
      <c r="I34" s="207"/>
    </row>
    <row r="35" customFormat="false" ht="15" hidden="false" customHeight="true" outlineLevel="0" collapsed="false">
      <c r="A35" s="42" t="s">
        <v>539</v>
      </c>
      <c r="B35" s="207"/>
      <c r="C35" s="41" t="n">
        <f aca="false">I29</f>
        <v>19571.5</v>
      </c>
      <c r="D35" s="208"/>
      <c r="E35" s="208"/>
      <c r="F35" s="207"/>
      <c r="G35" s="207"/>
      <c r="H35" s="207"/>
      <c r="I35" s="207"/>
    </row>
    <row r="36" customFormat="false" ht="15" hidden="false" customHeight="true" outlineLevel="0" collapsed="false">
      <c r="A36" s="155" t="s">
        <v>540</v>
      </c>
      <c r="B36" s="207"/>
      <c r="C36" s="209" t="n">
        <f aca="false">I29/258287</f>
        <v>0.0757742356371014</v>
      </c>
      <c r="D36" s="208"/>
      <c r="E36" s="208"/>
      <c r="F36" s="207"/>
      <c r="G36" s="207"/>
      <c r="H36" s="207"/>
      <c r="I36" s="207"/>
    </row>
    <row r="37" customFormat="false" ht="15" hidden="false" customHeight="true" outlineLevel="0" collapsed="false">
      <c r="A37" s="207"/>
      <c r="B37" s="207"/>
      <c r="C37" s="208"/>
      <c r="D37" s="208"/>
      <c r="E37" s="208"/>
      <c r="F37" s="207"/>
      <c r="G37" s="207"/>
      <c r="H37" s="207"/>
      <c r="I37" s="207"/>
    </row>
    <row r="38" customFormat="false" ht="15" hidden="false" customHeight="true" outlineLevel="0" collapsed="false">
      <c r="A38" s="42" t="s">
        <v>541</v>
      </c>
      <c r="B38" s="207"/>
      <c r="C38" s="208"/>
      <c r="D38" s="208"/>
      <c r="E38" s="208"/>
      <c r="F38" s="207"/>
      <c r="G38" s="207"/>
      <c r="H38" s="207"/>
      <c r="I38" s="207"/>
    </row>
    <row r="39" customFormat="false" ht="15" hidden="false" customHeight="true" outlineLevel="0" collapsed="false">
      <c r="A39" s="39" t="s">
        <v>542</v>
      </c>
      <c r="B39" s="207"/>
      <c r="C39" s="203" t="n">
        <f aca="false">I29*1</f>
        <v>19571.5</v>
      </c>
      <c r="D39" s="207"/>
      <c r="E39" s="207"/>
      <c r="F39" s="207"/>
      <c r="G39" s="207"/>
      <c r="H39" s="207"/>
      <c r="I39" s="207"/>
    </row>
    <row r="40" customFormat="false" ht="15" hidden="false" customHeight="true" outlineLevel="0" collapsed="false">
      <c r="A40" s="39" t="s">
        <v>543</v>
      </c>
      <c r="B40" s="207"/>
      <c r="C40" s="203" t="n">
        <f aca="false">I29*0.9</f>
        <v>17614.35</v>
      </c>
      <c r="D40" s="207"/>
      <c r="E40" s="207"/>
      <c r="F40" s="207"/>
      <c r="G40" s="207"/>
      <c r="H40" s="207"/>
      <c r="I40" s="207"/>
    </row>
    <row r="41" customFormat="false" ht="30" hidden="false" customHeight="true" outlineLevel="0" collapsed="false">
      <c r="A41" s="210" t="s">
        <v>544</v>
      </c>
      <c r="B41" s="207"/>
      <c r="C41" s="203" t="n">
        <f aca="false">I29*0.8</f>
        <v>15657.2</v>
      </c>
      <c r="D41" s="207"/>
      <c r="E41" s="207"/>
      <c r="F41" s="207"/>
      <c r="G41" s="207"/>
      <c r="H41" s="207"/>
      <c r="I41" s="207"/>
    </row>
    <row r="42" customFormat="false" ht="30" hidden="false" customHeight="true" outlineLevel="0" collapsed="false">
      <c r="A42" s="211"/>
      <c r="B42" s="207"/>
      <c r="C42" s="207"/>
      <c r="D42" s="207"/>
      <c r="E42" s="207"/>
      <c r="F42" s="207"/>
      <c r="G42" s="207"/>
      <c r="H42" s="207"/>
      <c r="I42" s="207"/>
    </row>
    <row r="43" customFormat="false" ht="30" hidden="false" customHeight="true" outlineLevel="0" collapsed="false">
      <c r="A43" s="212" t="s">
        <v>545</v>
      </c>
      <c r="B43" s="212"/>
      <c r="C43" s="212"/>
      <c r="D43" s="212"/>
      <c r="E43" s="212"/>
      <c r="F43" s="212"/>
      <c r="G43" s="212"/>
      <c r="H43" s="212"/>
      <c r="I43" s="212"/>
    </row>
    <row r="44" customFormat="false" ht="30" hidden="false" customHeight="true" outlineLevel="0" collapsed="false">
      <c r="A44" s="213" t="s">
        <v>546</v>
      </c>
      <c r="B44" s="213"/>
      <c r="C44" s="213"/>
      <c r="D44" s="213"/>
      <c r="E44" s="213"/>
      <c r="F44" s="213"/>
      <c r="G44" s="213"/>
      <c r="H44" s="213"/>
      <c r="I44" s="213"/>
    </row>
    <row r="45" customFormat="false" ht="30" hidden="false" customHeight="true" outlineLevel="0" collapsed="false">
      <c r="A45" s="213" t="s">
        <v>547</v>
      </c>
      <c r="B45" s="213"/>
      <c r="C45" s="213"/>
      <c r="D45" s="213"/>
      <c r="E45" s="213"/>
      <c r="F45" s="213"/>
      <c r="G45" s="213"/>
      <c r="H45" s="213"/>
      <c r="I45" s="213"/>
    </row>
    <row r="46" customFormat="false" ht="30" hidden="false" customHeight="true" outlineLevel="0" collapsed="false">
      <c r="A46" s="213" t="s">
        <v>548</v>
      </c>
      <c r="B46" s="213"/>
      <c r="C46" s="213"/>
      <c r="D46" s="213"/>
      <c r="E46" s="213"/>
      <c r="F46" s="213"/>
      <c r="G46" s="213"/>
      <c r="H46" s="213"/>
      <c r="I46" s="213"/>
    </row>
    <row r="47" customFormat="false" ht="30" hidden="false" customHeight="true" outlineLevel="0" collapsed="false">
      <c r="A47" s="213" t="s">
        <v>549</v>
      </c>
      <c r="B47" s="213"/>
      <c r="C47" s="213"/>
      <c r="D47" s="213"/>
      <c r="E47" s="213"/>
      <c r="F47" s="213"/>
      <c r="G47" s="213"/>
      <c r="H47" s="213"/>
      <c r="I47" s="213"/>
    </row>
    <row r="48" customFormat="false" ht="30" hidden="false" customHeight="true" outlineLevel="0" collapsed="false">
      <c r="A48" s="213" t="s">
        <v>550</v>
      </c>
      <c r="B48" s="213"/>
      <c r="C48" s="213"/>
      <c r="D48" s="213"/>
      <c r="E48" s="213"/>
      <c r="F48" s="213"/>
      <c r="G48" s="213"/>
      <c r="H48" s="213"/>
      <c r="I48" s="213"/>
    </row>
    <row r="49" customFormat="false" ht="15" hidden="false" customHeight="true" outlineLevel="0" collapsed="false">
      <c r="A49" s="207"/>
      <c r="B49" s="207"/>
      <c r="C49" s="207"/>
      <c r="D49" s="207"/>
      <c r="E49" s="207"/>
      <c r="F49" s="207"/>
      <c r="G49" s="207"/>
      <c r="H49" s="207"/>
      <c r="I49" s="207"/>
    </row>
    <row r="50" customFormat="false" ht="15" hidden="false" customHeight="true" outlineLevel="0" collapsed="false">
      <c r="A50" s="42" t="s">
        <v>551</v>
      </c>
      <c r="B50" s="207"/>
      <c r="C50" s="207"/>
      <c r="D50" s="207"/>
      <c r="E50" s="207"/>
      <c r="F50" s="207"/>
      <c r="G50" s="207"/>
      <c r="H50" s="207"/>
      <c r="I50" s="207"/>
    </row>
    <row r="51" customFormat="false" ht="15" hidden="false" customHeight="true" outlineLevel="0" collapsed="false">
      <c r="A51" s="39" t="s">
        <v>552</v>
      </c>
      <c r="B51" s="207"/>
      <c r="C51" s="203" t="n">
        <f aca="false">I29</f>
        <v>19571.5</v>
      </c>
      <c r="D51" s="207"/>
      <c r="E51" s="207"/>
      <c r="F51" s="207"/>
      <c r="G51" s="207"/>
      <c r="H51" s="207"/>
      <c r="I51" s="207"/>
    </row>
    <row r="52" customFormat="false" ht="15" hidden="false" customHeight="true" outlineLevel="0" collapsed="false">
      <c r="A52" s="39" t="s">
        <v>553</v>
      </c>
      <c r="B52" s="207"/>
      <c r="C52" s="107" t="n">
        <v>0.9</v>
      </c>
      <c r="D52" s="207"/>
      <c r="E52" s="207"/>
      <c r="F52" s="207"/>
      <c r="G52" s="207"/>
      <c r="H52" s="207"/>
      <c r="I52" s="207"/>
    </row>
    <row r="53" customFormat="false" ht="15" hidden="false" customHeight="true" outlineLevel="0" collapsed="false">
      <c r="A53" s="42" t="s">
        <v>554</v>
      </c>
      <c r="B53" s="207"/>
      <c r="C53" s="205" t="n">
        <f aca="false">C51*C52</f>
        <v>17614.35</v>
      </c>
      <c r="D53" s="207"/>
      <c r="E53" s="207"/>
      <c r="F53" s="207"/>
      <c r="G53" s="207"/>
      <c r="H53" s="207"/>
      <c r="I53" s="207"/>
    </row>
    <row r="54" customFormat="false" ht="15" hidden="false" customHeight="true" outlineLevel="0" collapsed="false">
      <c r="A54" s="207"/>
      <c r="B54" s="207"/>
      <c r="C54" s="207"/>
      <c r="D54" s="207"/>
      <c r="E54" s="207"/>
      <c r="F54" s="207"/>
      <c r="G54" s="207"/>
      <c r="H54" s="207"/>
      <c r="I54" s="207"/>
    </row>
    <row r="55" customFormat="false" ht="15" hidden="false" customHeight="true" outlineLevel="0" collapsed="false">
      <c r="A55" s="207"/>
      <c r="B55" s="207"/>
      <c r="C55" s="207"/>
      <c r="D55" s="207"/>
      <c r="E55" s="207"/>
      <c r="F55" s="207"/>
      <c r="G55" s="207"/>
      <c r="H55" s="207"/>
      <c r="I55" s="207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2026-07-09T14:15:03Z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