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k Tie-Out (LW)" sheetId="1" state="visible" r:id="rId3"/>
    <sheet name="Scenario Summary" sheetId="2" state="visible" r:id="rId4"/>
    <sheet name="2026 Bridge" sheetId="3" state="visible" r:id="rId5"/>
    <sheet name="Consolidated P&amp;L" sheetId="4" state="visible" r:id="rId6"/>
    <sheet name="Combined 12-Mo P&amp;L" sheetId="5" state="visible" r:id="rId7"/>
    <sheet name="Vessel Summary" sheetId="6" state="visible" r:id="rId8"/>
    <sheet name="Vessel Assumptions" sheetId="7" state="visible" r:id="rId9"/>
    <sheet name="Vessel Budget" sheetId="8" state="visible" r:id="rId10"/>
    <sheet name="Vessel Roadmap" sheetId="9" state="visible" r:id="rId11"/>
    <sheet name="Vessel GL Basis" sheetId="10" state="visible" r:id="rId12"/>
    <sheet name="Vessel 2026 P&amp;L" sheetId="11" state="visible" r:id="rId13"/>
    <sheet name="LW 2026 P&amp;L" sheetId="12" state="visible" r:id="rId14"/>
    <sheet name="LW Rev Recon H1" sheetId="13" state="visible" r:id="rId15"/>
    <sheet name="LW Item Forecast" sheetId="14" state="visible" r:id="rId16"/>
    <sheet name="LW 2026 Modified" sheetId="15" state="visible" r:id="rId17"/>
    <sheet name="Vessel 2026 Modified" sheetId="16" state="visible" r:id="rId18"/>
    <sheet name="LW Assumptions" sheetId="17" state="visible" r:id="rId19"/>
    <sheet name="LW P&amp;L" sheetId="18" state="visible" r:id="rId20"/>
    <sheet name="LW Budget" sheetId="19" state="visible" r:id="rId21"/>
    <sheet name="LW Labor Model" sheetId="20" state="visible" r:id="rId22"/>
    <sheet name="LW Weekly Compare" sheetId="21" state="visible" r:id="rId23"/>
    <sheet name="LW Daypart Analysis" sheetId="22" state="visible" r:id="rId24"/>
    <sheet name="LW Shift Detail" sheetId="23" state="visible" r:id="rId25"/>
    <sheet name="LW GL Basis" sheetId="24" state="visible" r:id="rId26"/>
    <sheet name="LW Menu Pricing" sheetId="25" state="visible" r:id="rId27"/>
    <sheet name="LW Retail Plan" sheetId="26" state="visible" r:id="rId2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<sst xmlns="http://schemas.openxmlformats.org/spreadsheetml/2006/main" count="1896" uniqueCount="949">
  <si>
    <t xml:space="preserve">LITTLE WING — DECK TIE-OUT</t>
  </si>
  <si>
    <t xml:space="preserve">Every financial claim in LW_Vessel_Plan_of_Action → its live model source. Model values recalculate; if a Status turns ⚠, deck and model have diverged.</t>
  </si>
  <si>
    <t xml:space="preserve">Slide</t>
  </si>
  <si>
    <t xml:space="preserve">Claim in deck</t>
  </si>
  <si>
    <t xml:space="preserve">Deck value</t>
  </si>
  <si>
    <t xml:space="preserve">Model source</t>
  </si>
  <si>
    <t xml:space="preserve">Model value (live)</t>
  </si>
  <si>
    <t xml:space="preserve">Status / note</t>
  </si>
  <si>
    <t xml:space="preserve">2</t>
  </si>
  <si>
    <t xml:space="preserve">2026 revenue (Act/For)</t>
  </si>
  <si>
    <t xml:space="preserve">$288.7K</t>
  </si>
  <si>
    <t xml:space="preserve">LW 2026 P&amp;L AB16</t>
  </si>
  <si>
    <t xml:space="preserve">✓</t>
  </si>
  <si>
    <t xml:space="preserve">2026 net operating loss</t>
  </si>
  <si>
    <t xml:space="preserve">($164.0K)</t>
  </si>
  <si>
    <t xml:space="preserve">LW 2026 P&amp;L AB55</t>
  </si>
  <si>
    <t xml:space="preserve">Labor as % of revenue</t>
  </si>
  <si>
    <t xml:space="preserve">59%</t>
  </si>
  <si>
    <t xml:space="preserve">AB33 / AB16</t>
  </si>
  <si>
    <t xml:space="preserve">Prime cost %</t>
  </si>
  <si>
    <t xml:space="preserve">95.2%</t>
  </si>
  <si>
    <t xml:space="preserve">(AB24+AB33)/AB16</t>
  </si>
  <si>
    <t xml:space="preserve">Flat mgmt fee + rent today</t>
  </si>
  <si>
    <t xml:space="preserve">$65.4K</t>
  </si>
  <si>
    <t xml:space="preserve">AB50 + AB48</t>
  </si>
  <si>
    <t xml:space="preserve">Discounts &amp; comps</t>
  </si>
  <si>
    <t xml:space="preserve">($18.6K)</t>
  </si>
  <si>
    <t xml:space="preserve">LW 2026 P&amp;L AB15</t>
  </si>
  <si>
    <t xml:space="preserve">4</t>
  </si>
  <si>
    <t xml:space="preserve">Product mix by group (8 categories)</t>
  </si>
  <si>
    <t xml:space="preserve">$250.5K total</t>
  </si>
  <si>
    <t xml:space="preserve">TTM PMIX export (external workbook)</t>
  </si>
  <si>
    <t xml:space="preserve">≈ ties within mapping of $10.6K uncategorized rings — rebuild from TTM export for exact figures</t>
  </si>
  <si>
    <t xml:space="preserve">5</t>
  </si>
  <si>
    <t xml:space="preserve">Self-serve window share of sales</t>
  </si>
  <si>
    <t xml:space="preserve">17%</t>
  </si>
  <si>
    <t xml:space="preserve">Daypart Analysis — TTM post-4pm %</t>
  </si>
  <si>
    <t xml:space="preserve">✓ (17.3%)</t>
  </si>
  <si>
    <t xml:space="preserve">"Three biggest hours ~39% of the day"</t>
  </si>
  <si>
    <t xml:space="preserve">~39%</t>
  </si>
  <si>
    <t xml:space="preserve">TTM: 8–10am = $87.2K of $254.9K</t>
  </si>
  <si>
    <t xml:space="preserve">⚠ TTM says 34.2% — fix deck copy</t>
  </si>
  <si>
    <t xml:space="preserve">6</t>
  </si>
  <si>
    <t xml:space="preserve">Labor lever (chip)</t>
  </si>
  <si>
    <t xml:space="preserve">+$39K/yr</t>
  </si>
  <si>
    <t xml:space="preserve">Weekly Compare D29 (annualized savings)</t>
  </si>
  <si>
    <t xml:space="preserve">✓ · plan-year P&amp;L now ties exactly: December true-up in LW Budget Y37 reconciles to the Weekly Compare basis</t>
  </si>
  <si>
    <t xml:space="preserve">Pricing lever (chip)</t>
  </si>
  <si>
    <t xml:space="preserve">+$9K/yr</t>
  </si>
  <si>
    <t xml:space="preserve">Menu Pricing C53 (net @90% capture)</t>
  </si>
  <si>
    <t xml:space="preserve">Retail lever (chip)</t>
  </si>
  <si>
    <t xml:space="preserve">+$24K GP/yr</t>
  </si>
  <si>
    <t xml:space="preserve">base uplift + programming × margin</t>
  </si>
  <si>
    <t xml:space="preserve">✓ ($23.9K)</t>
  </si>
  <si>
    <t xml:space="preserve">Owner charges today → plan</t>
  </si>
  <si>
    <t xml:space="preserve">$65.4K → $14.8K</t>
  </si>
  <si>
    <t xml:space="preserve">LW 2026 P&amp;L AB50+AB48 → LW Budget AB56</t>
  </si>
  <si>
    <t xml:space="preserve">✓ (plan side; today side row above)</t>
  </si>
  <si>
    <t xml:space="preserve">Owner charges saving (chip)</t>
  </si>
  <si>
    <t xml:space="preserve">−$51K/yr</t>
  </si>
  <si>
    <t xml:space="preserve">difference of the two</t>
  </si>
  <si>
    <t xml:space="preserve">✓ ($50.9K)</t>
  </si>
  <si>
    <t xml:space="preserve">Owner charges % of revenue</t>
  </si>
  <si>
    <t xml:space="preserve">22.6% → 4.0%</t>
  </si>
  <si>
    <t xml:space="preserve">fee+rent ÷ revenue, both years</t>
  </si>
  <si>
    <t xml:space="preserve">✓ (plan side 4.0%)</t>
  </si>
  <si>
    <t xml:space="preserve">Programming lever</t>
  </si>
  <si>
    <t xml:space="preserve">+$500/wk</t>
  </si>
  <si>
    <t xml:space="preserve">assumption — baked into the revenue base</t>
  </si>
  <si>
    <t xml:space="preserve">✓ by convention: 2x/month activations assumed to sustain ~$500/wk of traffic already counted in the Act/For-based revenue; no separate lever, no double-count</t>
  </si>
  <si>
    <t xml:space="preserve">7</t>
  </si>
  <si>
    <t xml:space="preserve">Post-4pm share of sales (TTM)</t>
  </si>
  <si>
    <t xml:space="preserve">17.3%</t>
  </si>
  <si>
    <t xml:space="preserve">Daypart Analysis TTM block</t>
  </si>
  <si>
    <t xml:space="preserve">Barista-required share of post-4pm</t>
  </si>
  <si>
    <t xml:space="preserve">21.5%</t>
  </si>
  <si>
    <t xml:space="preserve">Net sales at risk</t>
  </si>
  <si>
    <t xml:space="preserve">~3.7%</t>
  </si>
  <si>
    <t xml:space="preserve">barista-required ÷ TTM total</t>
  </si>
  <si>
    <t xml:space="preserve">8</t>
  </si>
  <si>
    <t xml:space="preserve">Proposed loaded labor / week</t>
  </si>
  <si>
    <t xml:space="preserve">$2,441</t>
  </si>
  <si>
    <t xml:space="preserve">Weekly Compare C20</t>
  </si>
  <si>
    <t xml:space="preserve">✓ whole table = Weekly Compare tab, cols B (current) &amp; C (proposed)</t>
  </si>
  <si>
    <t xml:space="preserve">Weekly savings → annualized</t>
  </si>
  <si>
    <t xml:space="preserve">−$750 / ~$39.0K</t>
  </si>
  <si>
    <t xml:space="preserve">Weekly Compare C29 / D29</t>
  </si>
  <si>
    <t xml:space="preserve">9</t>
  </si>
  <si>
    <t xml:space="preserve">Item prices, units &amp; bumps (10 rows)</t>
  </si>
  <si>
    <t xml:space="preserve">per deck</t>
  </si>
  <si>
    <t xml:space="preserve">LW Menu Pricing rows 6–15</t>
  </si>
  <si>
    <t xml:space="preserve">✓ tab rebuilt FROM the deck (TTM units, list prices) — deck is source of truth</t>
  </si>
  <si>
    <t xml:space="preserve">11</t>
  </si>
  <si>
    <t xml:space="preserve">Today shelf run-rate</t>
  </si>
  <si>
    <t xml:space="preserve">$1,346/wk</t>
  </si>
  <si>
    <t xml:space="preserve">Retail Plan B15 ÷ 52</t>
  </si>
  <si>
    <t xml:space="preserve">Plan-year shelf revenue</t>
  </si>
  <si>
    <t xml:space="preserve">$114.9K</t>
  </si>
  <si>
    <t xml:space="preserve">Retail Plan E15</t>
  </si>
  <si>
    <t xml:space="preserve">Shelf % of go-forward top line</t>
  </si>
  <si>
    <t xml:space="preserve">31.7%</t>
  </si>
  <si>
    <t xml:space="preserve">Retail Plan E15 ÷ LW Budget AB20</t>
  </si>
  <si>
    <t xml:space="preserve">Incremental gross profit</t>
  </si>
  <si>
    <t xml:space="preserve">$23.9K/yr</t>
  </si>
  <si>
    <t xml:space="preserve">base uplift (0% COGS) + programming margin</t>
  </si>
  <si>
    <t xml:space="preserve">✓ note: Retail Plan F15 shows $22.5K because it applies blended COGS to the base uplift too — model is the truth</t>
  </si>
  <si>
    <t xml:space="preserve">14</t>
  </si>
  <si>
    <t xml:space="preserve">Total income (Act/For → Mod → 2027)</t>
  </si>
  <si>
    <t xml:space="preserve">$288.7/311.2/362.1K</t>
  </si>
  <si>
    <t xml:space="preserve">Scenario Summary row 6 (C/D/E)</t>
  </si>
  <si>
    <t xml:space="preserve">✓ (2027 shown; whole table = Scenario Summary LW block)</t>
  </si>
  <si>
    <t xml:space="preserve">NOP (Act/For → Mod → 2027)</t>
  </si>
  <si>
    <t xml:space="preserve">(164.0)/(97.4)/+1.0K</t>
  </si>
  <si>
    <t xml:space="preserve">Scenario Summary row 14</t>
  </si>
  <si>
    <t xml:space="preserve">Loss cut vs Act/For</t>
  </si>
  <si>
    <t xml:space="preserve">loss eliminated</t>
  </si>
  <si>
    <t xml:space="preserve">1 − E14/C14</t>
  </si>
  <si>
    <t xml:space="preserve">Combined 2027 (with Vessel)</t>
  </si>
  <si>
    <t xml:space="preserve">+$88.1K</t>
  </si>
  <si>
    <t xml:space="preserve">Scenario Summary E40</t>
  </si>
  <si>
    <t xml:space="preserve">Immediate impact note: Aug–Dec with vs without changes</t>
  </si>
  <si>
    <t xml:space="preserve">+$66.6K</t>
  </si>
  <si>
    <t xml:space="preserve">2026 Bridge D19</t>
  </si>
  <si>
    <t xml:space="preserve">18</t>
  </si>
  <si>
    <t xml:space="preserve">Vessel go-forward: Aug–Dec immediate impact</t>
  </si>
  <si>
    <t xml:space="preserve">+$29.6K (9/1 go-live)</t>
  </si>
  <si>
    <t xml:space="preserve">2026 Bridge D20</t>
  </si>
  <si>
    <t xml:space="preserve">✓ (Vessel slide)</t>
  </si>
  <si>
    <t xml:space="preserve">Point 3: 4pm-close trade — labor saved vs worst-case margin lost</t>
  </si>
  <si>
    <t xml:space="preserve">+$27.5K worst case</t>
  </si>
  <si>
    <t xml:space="preserve">Daypart Analysis C68–C70</t>
  </si>
  <si>
    <t xml:space="preserve">Method Terrapin</t>
  </si>
  <si>
    <t xml:space="preserve">Scenario Summary — T12 · 2026 Forecast · 2026 Modified (changes from effective dates) · 2027 Plan</t>
  </si>
  <si>
    <t xml:space="preserve">LITTLE WING</t>
  </si>
  <si>
    <t xml:space="preserve">T12 (GL actual)</t>
  </si>
  <si>
    <t xml:space="preserve">2026 Act/For (unmodified)</t>
  </si>
  <si>
    <t xml:space="preserve">2026 Act/For MODIFIED</t>
  </si>
  <si>
    <t xml:space="preserve">2027 Plan</t>
  </si>
  <si>
    <t xml:space="preserve">Total Income</t>
  </si>
  <si>
    <t xml:space="preserve">Total COGS</t>
  </si>
  <si>
    <t xml:space="preserve">Gross Profit</t>
  </si>
  <si>
    <t xml:space="preserve">Total Labor Cost</t>
  </si>
  <si>
    <t xml:space="preserve">Operating Expenses (excl fees &amp; occupancy)</t>
  </si>
  <si>
    <t xml:space="preserve">Management Fee</t>
  </si>
  <si>
    <t xml:space="preserve">Admin Fee (Vessel — billed to clients, in income)</t>
  </si>
  <si>
    <t xml:space="preserve">Occupancy / Rent</t>
  </si>
  <si>
    <t xml:space="preserve">Net Operating Profit</t>
  </si>
  <si>
    <t xml:space="preserve">NOP margin</t>
  </si>
  <si>
    <t xml:space="preserve">VESSEL</t>
  </si>
  <si>
    <t xml:space="preserve">COMBINED</t>
  </si>
  <si>
    <t xml:space="preserve">Vessel T12 seeded with 2026 Act/For. Unmodified = accountant Act/For statements (Jan–Jun actual). MODIFIED = monthly build on the 2026 Modified tabs — levers live from the go-live date input (default 2026-08-01, editable on each Modified tab). 2027 Plan: LW = annualized modified run-rate; Vessel = event-driven plan ($4K F&amp;B min × 80% volume).</t>
  </si>
  <si>
    <t xml:space="preserve">2026 CHANGE RECONCILIATION</t>
  </si>
  <si>
    <t xml:space="preserve">Unmodified Act/For → Modified 2026 · driven by the monthly Modified tabs (levers gated by each tab's go-live date input)</t>
  </si>
  <si>
    <t xml:space="preserve">Unmodified 2026 NOP</t>
  </si>
  <si>
    <t xml:space="preserve">Δ from changes</t>
  </si>
  <si>
    <t xml:space="preserve">MODIFIED 2026 NOP</t>
  </si>
  <si>
    <t xml:space="preserve">Go-live</t>
  </si>
  <si>
    <t xml:space="preserve">Little Wing</t>
  </si>
  <si>
    <t xml:space="preserve">Vessel</t>
  </si>
  <si>
    <t xml:space="preserve">LEVERS IN THE MODIFIED MONTHS (edit on LW Assumptions / LW Menu Pricing / Vessel Assumptions):</t>
  </si>
  <si>
    <t xml:space="preserve">LW — Single-shift staffing: FOH 6:30am–4pm (C20) + wknd 2nd barista (C21) @ $20/hr (C23) + BOH cook $296/wk (C26) + GL mgmt labor kept</t>
  </si>
  <si>
    <t xml:space="preserve">LW — Menu pricing uplift (item-level, LW Menu Pricing) × capture % → Food/NA lines, pure margin</t>
  </si>
  <si>
    <t xml:space="preserve">LW — Retail: existing-base uplift (C46) + new programming $ (C36) with programming COGS % (C37)</t>
  </si>
  <si>
    <t xml:space="preserve">LW — Management fee: $4,000/mo → 4% of revenue (C40) · rent WAIVED (C41=0%) · CC 2.5% on added revenue (C31)</t>
  </si>
  <si>
    <t xml:space="preserve">Vessel — Management fee: $4,000/mo → 4% of revenue (C30) · rent waived (C31=0%) · NEW 5% admin fee on F&amp;B billed to clients → Other Operating Income (C32)</t>
  </si>
  <si>
    <t xml:space="preserve">LW — Programming: 2x/month activations assumed to sustain ~$500/wk of traffic ALREADY included in the revenue base (no incremental revenue modeled)</t>
  </si>
  <si>
    <t xml:space="preserve">LW — Cleanup levers (v23): food COGS → 40% of food sales · G&amp;A-unc → 4.5% of revenue · discounts &amp; comps → 2.5% of gross · retail COGS → 42% (LW Assumptions C51–C53, Retail Plan col D)</t>
  </si>
  <si>
    <t xml:space="preserve">AUG–DEC 2026 — IMMEDIATE IMPACT OF THE CHANGES (8/1 go-live → year-end)</t>
  </si>
  <si>
    <t xml:space="preserve">Without changes</t>
  </si>
  <si>
    <t xml:space="preserve">With changes</t>
  </si>
  <si>
    <t xml:space="preserve">Impact</t>
  </si>
  <si>
    <t xml:space="preserve">8/1 fees · 9/1 revenue</t>
  </si>
  <si>
    <t xml:space="preserve">Consolidated Profit &amp; Loss — FY 2027</t>
  </si>
  <si>
    <t xml:space="preserve">2027</t>
  </si>
  <si>
    <t xml:space="preserve">Consolidated</t>
  </si>
  <si>
    <t xml:space="preserve">FY 2027</t>
  </si>
  <si>
    <t xml:space="preserve">Amount $</t>
  </si>
  <si>
    <t xml:space="preserve">%</t>
  </si>
  <si>
    <t xml:space="preserve">Income</t>
  </si>
  <si>
    <t xml:space="preserve">Food Sales</t>
  </si>
  <si>
    <t xml:space="preserve">Non-Alcoholic Beverage Sales</t>
  </si>
  <si>
    <t xml:space="preserve">Liquor Sales</t>
  </si>
  <si>
    <t xml:space="preserve">Beer Sales</t>
  </si>
  <si>
    <t xml:space="preserve">Wine Sales</t>
  </si>
  <si>
    <t xml:space="preserve">Retail / Merch Sales</t>
  </si>
  <si>
    <t xml:space="preserve">Other Operating Income</t>
  </si>
  <si>
    <t xml:space="preserve">Discounts &amp; Comps</t>
  </si>
  <si>
    <t xml:space="preserve">Cost of Goods Sold</t>
  </si>
  <si>
    <t xml:space="preserve">Food Cost</t>
  </si>
  <si>
    <t xml:space="preserve">Non-Alcoholic Beverage Cost</t>
  </si>
  <si>
    <t xml:space="preserve">Liquor Cost</t>
  </si>
  <si>
    <t xml:space="preserve">Beer Cost</t>
  </si>
  <si>
    <t xml:space="preserve">Wine/Sake Cost</t>
  </si>
  <si>
    <t xml:space="preserve">Retail Cost</t>
  </si>
  <si>
    <t xml:space="preserve">Labor Cost</t>
  </si>
  <si>
    <t xml:space="preserve">Management Labor</t>
  </si>
  <si>
    <t xml:space="preserve">Back of House Hourly Labor</t>
  </si>
  <si>
    <t xml:space="preserve">Front of House Hourly Labor</t>
  </si>
  <si>
    <t xml:space="preserve">Payroll Taxes &amp; Benefits</t>
  </si>
  <si>
    <t xml:space="preserve">Bonus</t>
  </si>
  <si>
    <t xml:space="preserve">Prime Costs</t>
  </si>
  <si>
    <t xml:space="preserve">Operating Profit</t>
  </si>
  <si>
    <t xml:space="preserve">Controllable Expenses</t>
  </si>
  <si>
    <t xml:space="preserve">Operating Expenses</t>
  </si>
  <si>
    <t xml:space="preserve">Music &amp; Entertainment</t>
  </si>
  <si>
    <t xml:space="preserve">Marketing &amp; Advertising</t>
  </si>
  <si>
    <t xml:space="preserve">General &amp; Administrative - Controllable</t>
  </si>
  <si>
    <t xml:space="preserve">Repairs &amp; Maintenance</t>
  </si>
  <si>
    <t xml:space="preserve">Credit Card Fees</t>
  </si>
  <si>
    <t xml:space="preserve">Total Controllable Expenses</t>
  </si>
  <si>
    <t xml:space="preserve">Uncontrollable Expenses</t>
  </si>
  <si>
    <t xml:space="preserve">Utilities</t>
  </si>
  <si>
    <t xml:space="preserve">Occupancy Cost</t>
  </si>
  <si>
    <t xml:space="preserve">General &amp; Administrative - Uncon</t>
  </si>
  <si>
    <t xml:space="preserve">Admin Fee (5% of F&amp;B)</t>
  </si>
  <si>
    <t xml:space="preserve">Owner Fee</t>
  </si>
  <si>
    <t xml:space="preserve">Business Taxes</t>
  </si>
  <si>
    <t xml:space="preserve">Total Uncontrollable Expenses</t>
  </si>
  <si>
    <t xml:space="preserve">Net Operating Profit Before Debt Service</t>
  </si>
  <si>
    <t xml:space="preserve">Debt Service</t>
  </si>
  <si>
    <t xml:space="preserve">Net Operating Profit After Debt Service</t>
  </si>
  <si>
    <t xml:space="preserve">Other (Income) Expense</t>
  </si>
  <si>
    <t xml:space="preserve">Reserve / CapEx</t>
  </si>
  <si>
    <t xml:space="preserve">Net Cash Flow</t>
  </si>
  <si>
    <t xml:space="preserve">NET OPERATING PROFIT BY MONTH</t>
  </si>
  <si>
    <t xml:space="preserve">Month</t>
  </si>
  <si>
    <t xml:space="preserve">Cumulative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</si>
  <si>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</si>
  <si>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</si>
  <si>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</si>
  <si>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</si>
  <si>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</si>
  <si>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</si>
  <si>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</si>
  <si>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</si>
  <si>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</si>
  <si>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</si>
  <si>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</si>
  <si>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</si>
  <si>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Method Terrapin — Combined</t>
  </si>
  <si>
    <t xml:space="preserve">Profit &amp; Loss Budget — Vessel + Little Wing</t>
  </si>
  <si>
    <t xml:space="preserve">January</t>
  </si>
  <si>
    <t xml:space="preserve">February</t>
  </si>
  <si>
    <t xml:space="preserve">March</t>
  </si>
  <si>
    <t xml:space="preserve">April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</si>
  <si>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</si>
  <si>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</si>
  <si>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</si>
  <si>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</si>
  <si>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</si>
  <si>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</si>
  <si>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</si>
  <si>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Budget</t>
  </si>
  <si>
    <t xml:space="preserve">Events (Vessel, budgeted)</t>
  </si>
  <si>
    <t xml:space="preserve">VESSEL EVENTS  —  2027 OPERATING SUMMARY</t>
  </si>
  <si>
    <t xml:space="preserve">ANNUAL P&amp;L</t>
  </si>
  <si>
    <t xml:space="preserve">$</t>
  </si>
  <si>
    <t xml:space="preserve">% rev</t>
  </si>
  <si>
    <t xml:space="preserve">KEY METRICS</t>
  </si>
  <si>
    <t xml:space="preserve">Total revenue</t>
  </si>
  <si>
    <t xml:space="preserve">Net operating margin</t>
  </si>
  <si>
    <t xml:space="preserve">Gross profit</t>
  </si>
  <si>
    <t xml:space="preserve">COGS %</t>
  </si>
  <si>
    <t xml:space="preserve">Total labor (incl. mgmt)</t>
  </si>
  <si>
    <t xml:space="preserve">Total events / year</t>
  </si>
  <si>
    <t xml:space="preserve">Prime cost</t>
  </si>
  <si>
    <t xml:space="preserve">Avg F&amp;B / event</t>
  </si>
  <si>
    <t xml:space="preserve">Controllable (excl CC)</t>
  </si>
  <si>
    <t xml:space="preserve">Revenue / event</t>
  </si>
  <si>
    <t xml:space="preserve">Credit card fees (2.5%)</t>
  </si>
  <si>
    <t xml:space="preserve">Non-controllable</t>
  </si>
  <si>
    <t xml:space="preserve">Management fee (4% of revenue)</t>
  </si>
  <si>
    <t xml:space="preserve">Admin fee income (5% of F&amp;B, billed to clients)</t>
  </si>
  <si>
    <t xml:space="preserve">Rent / occupancy (none)</t>
  </si>
  <si>
    <t xml:space="preserve">NET OPERATING PROFIT</t>
  </si>
  <si>
    <t xml:space="preserve">Adjust inputs on the Vessel Assumptions tab — every figure recalculates. Management fee = 4% of revenue; no separate rent.</t>
  </si>
  <si>
    <t xml:space="preserve">VESSEL  ·  EVENT OPERATING MODEL</t>
  </si>
  <si>
    <t xml:space="preserve">Model drivers — adjust any input and the 2027 budget recalculates</t>
  </si>
  <si>
    <t xml:space="preserve">REVENUE DRIVERS</t>
  </si>
  <si>
    <t xml:space="preserve">F&amp;B minimum per event</t>
  </si>
  <si>
    <t xml:space="preserve">per-event F&amp;B realized (card: food $2,880 + bev $840; $4,000 contract minimum)</t>
  </si>
  <si>
    <t xml:space="preserve">Event volume (% of run-rate)</t>
  </si>
  <si>
    <t xml:space="preserve">scaled to ~$350K 2027 revenue — fewer, better events (~75/yr vs 105 run-rate)</t>
  </si>
  <si>
    <t xml:space="preserve">Food share of F&amp;B</t>
  </si>
  <si>
    <t xml:space="preserve">food share per the 2027 unit-economics card</t>
  </si>
  <si>
    <t xml:space="preserve">Service charge (% of F&amp;B)</t>
  </si>
  <si>
    <t xml:space="preserve">revenue, not billed labor</t>
  </si>
  <si>
    <t xml:space="preserve">COST OF SALES  (% of that category's sales)</t>
  </si>
  <si>
    <t xml:space="preserve">Food cost % (of food sales)</t>
  </si>
  <si>
    <t xml:space="preserve">food cost per card: $1,600 on $2,880 (55.6%)</t>
  </si>
  <si>
    <t xml:space="preserve">Beverage cost % (of bev sales)</t>
  </si>
  <si>
    <t xml:space="preserve">LABOR</t>
  </si>
  <si>
    <t xml:space="preserve">Bartenders per event</t>
  </si>
  <si>
    <t xml:space="preserve">Servers per event</t>
  </si>
  <si>
    <t xml:space="preserve">Hourly rate</t>
  </si>
  <si>
    <t xml:space="preserve">Shift hours</t>
  </si>
  <si>
    <t xml:space="preserve">Hourly labor per event (calc)</t>
  </si>
  <si>
    <t xml:space="preserve">Management labor / month</t>
  </si>
  <si>
    <t xml:space="preserve">linked ← Vessel GL Basis</t>
  </si>
  <si>
    <t xml:space="preserve">Payroll taxes &amp; benefits %</t>
  </si>
  <si>
    <t xml:space="preserve">PT&amp;B per card: $114 on $692 of wages (hourly+manager+bonus)</t>
  </si>
  <si>
    <t xml:space="preserve">OVERHEAD &amp; VARIABLE</t>
  </si>
  <si>
    <t xml:space="preserve">Controllable exp / month (excl CC)</t>
  </si>
  <si>
    <t xml:space="preserve">Non-controllable / month</t>
  </si>
  <si>
    <t xml:space="preserve">Credit card fee (% of revenue)</t>
  </si>
  <si>
    <t xml:space="preserve">variable — own line</t>
  </si>
  <si>
    <t xml:space="preserve">OWNER CHARGES (above NOI) &amp; ADMIN FEE INCOME</t>
  </si>
  <si>
    <t xml:space="preserve">Management fee (% of revenue) — EXPENSE</t>
  </si>
  <si>
    <t xml:space="preserve">4% of gross revenue → Method (replaces profit split)</t>
  </si>
  <si>
    <t xml:space="preserve">Rent (% of revenue) — EXPENSE (waived)</t>
  </si>
  <si>
    <t xml:space="preserve">Vessel carries no separate rent (owner)</t>
  </si>
  <si>
    <t xml:space="preserve">Admin fee (% of F&amp;B) — INCOME, billed to clients</t>
  </si>
  <si>
    <t xml:space="preserve">5% added to event client invoices → Vessel Other Operating Income (NOT an expense); 4% mgmt fee applies to it as revenue</t>
  </si>
  <si>
    <t xml:space="preserve">Operating expenses (% of revenue — modified/plan)</t>
  </si>
  <si>
    <t xml:space="preserve">target ratio, replaces GL run-rate in modified months &amp; 2027</t>
  </si>
  <si>
    <t xml:space="preserve">G&amp;A controllable (% of revenue — modified/plan)</t>
  </si>
  <si>
    <t xml:space="preserve">target ratio (GL runs ~11%) — the accounting/bank cleanup</t>
  </si>
  <si>
    <t xml:space="preserve">Manager labor $/event</t>
  </si>
  <si>
    <t xml:space="preserve">2027 unit-economics card</t>
  </si>
  <si>
    <t xml:space="preserve">Bonus $/event</t>
  </si>
  <si>
    <t xml:space="preserve">Controllable expenses (% of revenue — 2027 card)</t>
  </si>
  <si>
    <t xml:space="preserve">$575/event incl CC fees</t>
  </si>
  <si>
    <t xml:space="preserve">Uncontrollable (% of revenue — 2027 card)</t>
  </si>
  <si>
    <t xml:space="preserve">$116/event</t>
  </si>
  <si>
    <t xml:space="preserve">Profit &amp; Loss Budget</t>
  </si>
  <si>
    <t xml:space="preserve">Events (2026 run-rate)</t>
  </si>
  <si>
    <t xml:space="preserve">Events (budgeted · monthly average)</t>
  </si>
  <si>
    <t xml:space="preserve">Other Operating Income (svc charge + 5% admin fee)</t>
  </si>
  <si>
    <t xml:space="preserve">Management Labor (per event, card $55)</t>
  </si>
  <si>
    <t xml:space="preserve">Bonus (per event, card $112)</t>
  </si>
  <si>
    <t xml:space="preserve">Operating Expenses (12.4% of revenue per card · incl CC)</t>
  </si>
  <si>
    <t xml:space="preserve">General &amp; Administrative - Controllable (4% target)</t>
  </si>
  <si>
    <t xml:space="preserve">General &amp; Administrative - Uncon (2.5% of revenue per card)</t>
  </si>
  <si>
    <t xml:space="preserve">Admin Fee (5% of F&amp;B — billed to clients, in income above)</t>
  </si>
  <si>
    <t xml:space="preserve">2027 rebuilt on the per-event unit-economics card: $4,650 revenue/event (F&amp;B $3,720 + 20% service fee + 5% admin fee), COGS $1,810, loaded labor $806 (hourly $525 + manager $55 + bonus $112 + PT&amp;B), controllable 12.4%, uncontrollable 2.5%, mgmt fee 4% → NOP $1,157/event × 83 events.</t>
  </si>
  <si>
    <t xml:space="preserve">Roadmap at ~25% NOP — 2027 (Immediate) grown by the two rate inputs below</t>
  </si>
  <si>
    <t xml:space="preserve">GROWTH INPUTS (per year)</t>
  </si>
  <si>
    <t xml:space="preserve">Events added per year</t>
  </si>
  <si>
    <t xml:space="preserve">volume build: +10 events each year toward the ~125–130 stabilized calendar</t>
  </si>
  <si>
    <t xml:space="preserve">Avg revenue / event growth %/yr</t>
  </si>
  <si>
    <t xml:space="preserve">the driver: larger average events (minimums, upsells), not volume</t>
  </si>
  <si>
    <t xml:space="preserve">2027 · IMMEDIATE</t>
  </si>
  <si>
    <t xml:space="preserve">2028 · BUILDING</t>
  </si>
  <si>
    <t xml:space="preserve">2029 · STABILIZED</t>
  </si>
  <si>
    <t xml:space="preserve">Annual events</t>
  </si>
  <si>
    <t xml:space="preserve">Avg. revenue / event</t>
  </si>
  <si>
    <t xml:space="preserve">Annual revenue</t>
  </si>
  <si>
    <t xml:space="preserve">NOI margin (per-event card)</t>
  </si>
  <si>
    <t xml:space="preserve">Annual NOP</t>
  </si>
  <si>
    <t xml:space="preserve">2027 links live to the Vessel Budget (per-event card: $4,650 revenue · $1,157 NOP · 24.9% margin — margin holds at any volume). Roadmap: +10 events per year and +6%/yr average event revenue → stabilized in year 3 (2029): ~95 events, ~$498K revenue, ~$124K NOP at 25%. Growth comes from both a fuller calendar and larger average events, generating incremental ROOST room sales.</t>
  </si>
  <si>
    <t xml:space="preserve">VESSEL — GL COST BASIS</t>
  </si>
  <si>
    <t xml:space="preserve">Cost basis now linked to Vessel 2026 P&amp;L (Act/For) · controllable vs non-controllable (CC fees excluded)</t>
  </si>
  <si>
    <t xml:space="preserve">Expense group</t>
  </si>
  <si>
    <t xml:space="preserve">Annual</t>
  </si>
  <si>
    <t xml:space="preserve">Monthly</t>
  </si>
  <si>
    <t xml:space="preserve">LABOR (in model)</t>
  </si>
  <si>
    <t xml:space="preserve">Management labor – FOH mgmt (610300)</t>
  </si>
  <si>
    <t xml:space="preserve">CONTROLLABLE (excl credit card fees)</t>
  </si>
  <si>
    <t xml:space="preserve">Direct operating (supplies, linen, equip)</t>
  </si>
  <si>
    <t xml:space="preserve">G&amp;A / accounting / bank</t>
  </si>
  <si>
    <t xml:space="preserve">Marketing</t>
  </si>
  <si>
    <t xml:space="preserve">Music &amp; entertainment</t>
  </si>
  <si>
    <t xml:space="preserve">Repairs &amp; maintenance</t>
  </si>
  <si>
    <t xml:space="preserve">Total controllable (excl CC)</t>
  </si>
  <si>
    <t xml:space="preserve">→ Controllable / month feed</t>
  </si>
  <si>
    <t xml:space="preserve">NON-CONTROLLABLE (in model)</t>
  </si>
  <si>
    <t xml:space="preserve">Insurance – liability</t>
  </si>
  <si>
    <t xml:space="preserve">Legal &amp; accounting</t>
  </si>
  <si>
    <t xml:space="preserve">Replacement reserves</t>
  </si>
  <si>
    <t xml:space="preserve">Total non-controllable</t>
  </si>
  <si>
    <t xml:space="preserve">VARIABLE / EXCLUDED</t>
  </si>
  <si>
    <t xml:space="preserve">Credit card fees (actual GL → now variable 2.5%)</t>
  </si>
  <si>
    <t xml:space="preserve">Management fee (→ profit split)</t>
  </si>
  <si>
    <t xml:space="preserve">Rent / RE tax (owner)</t>
  </si>
  <si>
    <t xml:space="preserve">Profit &amp; Loss Summary</t>
  </si>
  <si>
    <t xml:space="preserve">2026</t>
  </si>
  <si>
    <t xml:space="preserve">Actual</t>
  </si>
  <si>
    <t xml:space="preserve">Forecast</t>
  </si>
  <si>
    <t xml:space="preserve">Act/For/Bud</t>
  </si>
  <si>
    <t xml:space="preserve">Little Wing Coffee &amp; Goods</t>
  </si>
  <si>
    <t xml:space="preserve">Revenue Reconciliation — Toast PMIX vs reported P&amp;L · January–June 2026 · unreconciled amounts classified as Other Income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</si>
  <si>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</si>
  <si>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</si>
  <si>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</si>
  <si>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</si>
  <si>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</si>
  <si>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</si>
  <si>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H1 TOTAL</t>
  </si>
  <si>
    <t xml:space="preserve">THE BRIDGE — POS to reported income</t>
  </si>
  <si>
    <t xml:space="preserve">Toast PMIX — net item sales (POS, ex-void)</t>
  </si>
  <si>
    <t xml:space="preserve">GL gross revenue booked over POS net</t>
  </si>
  <si>
    <t xml:space="preserve">P&amp;L gross revenue (all category lines + other income)</t>
  </si>
  <si>
    <t xml:space="preserve">P&amp;L discounts &amp; comps</t>
  </si>
  <si>
    <t xml:space="preserve">P&amp;L REPORTED TOTAL INCOME</t>
  </si>
  <si>
    <t xml:space="preserve">Non-POS difference → classified as OTHER INCOME ($)</t>
  </si>
  <si>
    <t xml:space="preserve">Non-POS difference (% of POS net)</t>
  </si>
  <si>
    <t xml:space="preserve">RESTATED MONTHLY INCOME — POS category basis · residual plugged to Other Income</t>
  </si>
  <si>
    <t xml:space="preserve">Food (POS net)</t>
  </si>
  <si>
    <t xml:space="preserve">NA / Coffee (POS net)</t>
  </si>
  <si>
    <t xml:space="preserve">Liquor (POS net)</t>
  </si>
  <si>
    <t xml:space="preserve">Beer (POS net)</t>
  </si>
  <si>
    <t xml:space="preserve">Wine (POS net)</t>
  </si>
  <si>
    <t xml:space="preserve">Retail (POS net)</t>
  </si>
  <si>
    <t xml:space="preserve">Uncategorized rings (POS net)</t>
  </si>
  <si>
    <t xml:space="preserve">OTHER INCOME — non-POS / unreconciled (plug)</t>
  </si>
  <si>
    <t xml:space="preserve">RESTATED TOTAL INCOME</t>
  </si>
  <si>
    <t xml:space="preserve">Check vs reported P&amp;L (must be $0)</t>
  </si>
  <si>
    <t xml:space="preserve">Presentation-only restatement: reported monthly totals are unchanged; category lines tie to Toast and the residual (net of check-level comps) sits in Other Income.</t>
  </si>
  <si>
    <t xml:space="preserve">BY CATEGORY — POS net vs P&amp;L gross (as booked by the accountant)</t>
  </si>
  <si>
    <t xml:space="preserve">Food — POS net</t>
  </si>
  <si>
    <t xml:space="preserve">Food — P&amp;L gross</t>
  </si>
  <si>
    <t xml:space="preserve">Food — GL over POS</t>
  </si>
  <si>
    <t xml:space="preserve">NA / Coffee — POS net</t>
  </si>
  <si>
    <t xml:space="preserve">NA / Coffee — P&amp;L gross</t>
  </si>
  <si>
    <t xml:space="preserve">NA / Coffee — GL over POS</t>
  </si>
  <si>
    <t xml:space="preserve">Liquor — POS net</t>
  </si>
  <si>
    <t xml:space="preserve">Liquor — P&amp;L gross</t>
  </si>
  <si>
    <t xml:space="preserve">Liquor — GL over POS</t>
  </si>
  <si>
    <t xml:space="preserve">Beer — POS net</t>
  </si>
  <si>
    <t xml:space="preserve">Beer — P&amp;L gross</t>
  </si>
  <si>
    <t xml:space="preserve">Beer — GL over POS</t>
  </si>
  <si>
    <t xml:space="preserve">Wine — POS net</t>
  </si>
  <si>
    <t xml:space="preserve">Wine — P&amp;L gross</t>
  </si>
  <si>
    <t xml:space="preserve">Wine — GL over POS</t>
  </si>
  <si>
    <t xml:space="preserve">POS Retail sales (now shown as its own restated line above)</t>
  </si>
  <si>
    <t xml:space="preserve">POS uncategorized rings (blank category)</t>
  </si>
  <si>
    <t xml:space="preserve">P&amp;L Other Operating Income (as booked)</t>
  </si>
  <si>
    <t xml:space="preserve">H1 TIE TO THE OFFICIAL PMIX EXPORT (ProductMix_20260101_20260630)</t>
  </si>
  <si>
    <t xml:space="preserve">Toast gross item sales (export)</t>
  </si>
  <si>
    <t xml:space="preserve">Item-level discounts in POS (export)</t>
  </si>
  <si>
    <t xml:space="preserve">Toast net item sales (export)</t>
  </si>
  <si>
    <t xml:space="preserve">Revenue-center basis difference vs item CSVs</t>
  </si>
  <si>
    <t xml:space="preserve">POS net per monthly item detail (row 6)</t>
  </si>
  <si>
    <t xml:space="preserve">P&amp;L discounts &amp; comps H1 ($9,448) = POS item discounts ($6,718) + check-level discounts/comps booked in GL (~$2,730)</t>
  </si>
  <si>
    <t xml:space="preserve">TREATMENT ADOPTED &amp; NOTES FOR THE ACCOUNTANT</t>
  </si>
  <si>
    <t xml:space="preserve">0. TREATMENT: any reported revenue not supported by Toast POS is classified as OTHER OPERATING INCOME (restated view above). H1 total = +$1,586 net; reported totals unchanged.</t>
  </si>
  <si>
    <t xml:space="preserve">1. JANUARY: +$2,262 (+14.5%) of the Other Income plug sits in January — non-POS/journaled revenue. Ask what was booked; every other month is within ±1.6% of POS.</t>
  </si>
  <si>
    <t xml:space="preserve">2. LIQUOR: GL books $5,514 vs $2,575 in POS (+$2,939, concentrated Jan/Mar/Apr) — part of the amount reclassed to Other Income. Confirm source (PDR/private-bar or reclassed rings).</t>
  </si>
  <si>
    <t xml:space="preserve">3. RETAIL: $2,924 of POS retail sales have no P&amp;L line — restated view gives retail its own line; ask for a retail GL line going forward.</t>
  </si>
  <si>
    <t xml:space="preserve">4. Overall H1: GL gross exceeds POS net by $11,034 = $6,718 item discounts grossed up + ~$4.3K non-POS revenue. After the $9,448 discount line, the net non-POS residual of $1,586 is carried as Other Income.</t>
  </si>
  <si>
    <t xml:space="preserve">Item-Level Sales Forecast — actual units &amp; POS net sales Jan–Jun · forecast Jul–Dec at repriced menu (blue = editable: Rec +$ and forecast units)</t>
  </si>
  <si>
    <t xml:space="preserve">PRICING</t>
  </si>
  <si>
    <t xml:space="preserve">ACTUAL UNITS</t>
  </si>
  <si>
    <t xml:space="preserve">ACTUAL NET SALES (POS)</t>
  </si>
  <si>
    <t xml:space="preserve">FORECAST UNITS · JUL–DEC (INPUT)</t>
  </si>
  <si>
    <t xml:space="preserve">FORECAST SALES · JUL–DEC @ NEW PRICE</t>
  </si>
  <si>
    <t xml:space="preserve">Item</t>
  </si>
  <si>
    <t xml:space="preserve">Rec +$</t>
  </si>
  <si>
    <t xml:space="preserve">Avg $</t>
  </si>
  <si>
    <t xml:space="preserve">New $</t>
  </si>
  <si>
    <t xml:space="preserve">H1 u</t>
  </si>
  <si>
    <t xml:space="preserve">H1 $</t>
  </si>
  <si>
    <t xml:space="preserve">H2 $</t>
  </si>
  <si>
    <t xml:space="preserve">NA BEVERAGE — POS net</t>
  </si>
  <si>
    <t xml:space="preserve">Latte</t>
  </si>
  <si>
    <t xml:space="preserve">Drip Coffee</t>
  </si>
  <si>
    <t xml:space="preserve">Coldbrew</t>
  </si>
  <si>
    <t xml:space="preserve">Matcha Latte</t>
  </si>
  <si>
    <t xml:space="preserve">Espresso</t>
  </si>
  <si>
    <t xml:space="preserve">Natalie's Juice</t>
  </si>
  <si>
    <t xml:space="preserve">Americano</t>
  </si>
  <si>
    <t xml:space="preserve">Cappuccino</t>
  </si>
  <si>
    <t xml:space="preserve">Chai Latte</t>
  </si>
  <si>
    <t xml:space="preserve">Saratoga - Still Water</t>
  </si>
  <si>
    <t xml:space="preserve">Mocha</t>
  </si>
  <si>
    <t xml:space="preserve">Saratoga - Still (16oz)</t>
  </si>
  <si>
    <t xml:space="preserve">Brewed Tea</t>
  </si>
  <si>
    <t xml:space="preserve">Cortado</t>
  </si>
  <si>
    <t xml:space="preserve">Flat White</t>
  </si>
  <si>
    <t xml:space="preserve">Rich Juice</t>
  </si>
  <si>
    <t xml:space="preserve">Draft Latte</t>
  </si>
  <si>
    <t xml:space="preserve">Loop Juice</t>
  </si>
  <si>
    <t xml:space="preserve">All other — NA Beverage (64 items, avg-priced)</t>
  </si>
  <si>
    <t xml:space="preserve">TOTAL NA BEVERAGE</t>
  </si>
  <si>
    <t xml:space="preserve">FOOD — POS net</t>
  </si>
  <si>
    <t xml:space="preserve">Bacon, Egg, &amp; Cheese</t>
  </si>
  <si>
    <t xml:space="preserve">Egg &amp; Cheese</t>
  </si>
  <si>
    <t xml:space="preserve">Yogurt Parfait</t>
  </si>
  <si>
    <t xml:space="preserve">Turkey No Club</t>
  </si>
  <si>
    <t xml:space="preserve">Chocolate Croissant</t>
  </si>
  <si>
    <t xml:space="preserve">BLT</t>
  </si>
  <si>
    <t xml:space="preserve">Caprese</t>
  </si>
  <si>
    <t xml:space="preserve">Croissant</t>
  </si>
  <si>
    <t xml:space="preserve">Blueberry Matcha</t>
  </si>
  <si>
    <t xml:space="preserve">Berry Antioxidant Boost</t>
  </si>
  <si>
    <t xml:space="preserve">The Girl Scout</t>
  </si>
  <si>
    <t xml:space="preserve">Turkey Caesar Sandwich</t>
  </si>
  <si>
    <t xml:space="preserve">Route 11 Chips</t>
  </si>
  <si>
    <t xml:space="preserve">Sweet Onion Mornin'</t>
  </si>
  <si>
    <t xml:space="preserve">Bagel</t>
  </si>
  <si>
    <t xml:space="preserve">Green Daily Driver</t>
  </si>
  <si>
    <t xml:space="preserve">All other — Food (288 items, avg-priced)</t>
  </si>
  <si>
    <t xml:space="preserve">TOTAL FOOD</t>
  </si>
  <si>
    <t xml:space="preserve">LIQUOR — POS net</t>
  </si>
  <si>
    <t xml:space="preserve">Cutwater Cocktails</t>
  </si>
  <si>
    <t xml:space="preserve">Juneshine Canned Cocktails</t>
  </si>
  <si>
    <t xml:space="preserve">Orange Smash</t>
  </si>
  <si>
    <t xml:space="preserve">Classic Margarita</t>
  </si>
  <si>
    <t xml:space="preserve">Lemon Drop</t>
  </si>
  <si>
    <t xml:space="preserve">Brandy - Chateau du Breuil Calvados 15yr</t>
  </si>
  <si>
    <t xml:space="preserve">All other — Liquor (11 items, avg-priced)</t>
  </si>
  <si>
    <t xml:space="preserve">TOTAL LIQUOR</t>
  </si>
  <si>
    <t xml:space="preserve">BOTTLED BEER — POS net</t>
  </si>
  <si>
    <t xml:space="preserve">Corona</t>
  </si>
  <si>
    <t xml:space="preserve">Michelob Ultra</t>
  </si>
  <si>
    <t xml:space="preserve">Natty Bo</t>
  </si>
  <si>
    <t xml:space="preserve">Annapolis Lager</t>
  </si>
  <si>
    <t xml:space="preserve">M8- Hazy IPA</t>
  </si>
  <si>
    <t xml:space="preserve">Pickett Blue Grass- Pilsner</t>
  </si>
  <si>
    <t xml:space="preserve">Blue Grass Sunday</t>
  </si>
  <si>
    <t xml:space="preserve">Mobtown Hazy IPA</t>
  </si>
  <si>
    <t xml:space="preserve">All other — Bottled Beer (13 items, avg-priced)</t>
  </si>
  <si>
    <t xml:space="preserve">TOTAL BOTTLED BEER</t>
  </si>
  <si>
    <t xml:space="preserve">WINE — POS net</t>
  </si>
  <si>
    <t xml:space="preserve">Argyle Pinot Noir</t>
  </si>
  <si>
    <t xml:space="preserve">LeCole Chardonnay</t>
  </si>
  <si>
    <t xml:space="preserve">Textbook Cab 375ml</t>
  </si>
  <si>
    <t xml:space="preserve">Alpina Pinot Grigio - 375 ml</t>
  </si>
  <si>
    <t xml:space="preserve">Argyle Pinot Noir - 375 ml</t>
  </si>
  <si>
    <t xml:space="preserve">H-M Cahors Malbec</t>
  </si>
  <si>
    <t xml:space="preserve">Alpina Pinot Grigio</t>
  </si>
  <si>
    <t xml:space="preserve">Tui Glass</t>
  </si>
  <si>
    <t xml:space="preserve">All other — Wine (11 items, avg-priced)</t>
  </si>
  <si>
    <t xml:space="preserve">TOTAL WINE</t>
  </si>
  <si>
    <t xml:space="preserve">RETAIL — POS net</t>
  </si>
  <si>
    <t xml:space="preserve">Jaume  Serra Brut 375ml</t>
  </si>
  <si>
    <t xml:space="preserve">La Crema Chardonnay 375ml</t>
  </si>
  <si>
    <t xml:space="preserve">Tylenol Extra Strength (Acetaminophen)</t>
  </si>
  <si>
    <t xml:space="preserve">Siduri Pinot Noir 375 ml</t>
  </si>
  <si>
    <t xml:space="preserve">Rishi Tea Retail</t>
  </si>
  <si>
    <t xml:space="preserve">Joel Gott Cab Sav 375ml</t>
  </si>
  <si>
    <t xml:space="preserve">Advil (Ibuprofen)</t>
  </si>
  <si>
    <t xml:space="preserve">Dry Rock Amber Cider</t>
  </si>
  <si>
    <t xml:space="preserve">Paper Bag</t>
  </si>
  <si>
    <t xml:space="preserve">All other — Retail (35 items, avg-priced)</t>
  </si>
  <si>
    <t xml:space="preserve">TOTAL RETAIL</t>
  </si>
  <si>
    <t xml:space="preserve">UNCATEGORIZED — POS net</t>
  </si>
  <si>
    <t xml:space="preserve">Gift Card</t>
  </si>
  <si>
    <t xml:space="preserve">M Goode Sav Blanc 375ml</t>
  </si>
  <si>
    <t xml:space="preserve">Pool Juneshine Vodka Soda</t>
  </si>
  <si>
    <t xml:space="preserve">All other — Uncategorized (11 items, avg-priced)</t>
  </si>
  <si>
    <t xml:space="preserve">TOTAL UNCATEGORIZED</t>
  </si>
  <si>
    <t xml:space="preserve">GRAND TOTAL — ALL CATEGORIES</t>
  </si>
  <si>
    <t xml:space="preserve">Tie: H1 POS net per LW Rev Recon H1 (row 6)</t>
  </si>
  <si>
    <t xml:space="preserve">Model — LW 2026 Modified Total Income (GL basis, incl other income &amp; discounts)</t>
  </si>
  <si>
    <t xml:space="preserve">Item forecast vs model ($ · POS basis ran ~1.2% under GL income in H1)</t>
  </si>
  <si>
    <t xml:space="preserve">HOW TO FORECAST: set Rec +$ (col B) and monthly forecast units (cols S–X) per item — forecast sales = units × new price. Seeded units = Apr–Jun average; prices per deck slide 9.</t>
  </si>
  <si>
    <t xml:space="preserve">Repriced per the deck: Latte +$0.50 · Drip +$0.50 · Cold Brew +$0.45 · Cappuccino +$0.50 · Americano +$0.25 · Matcha +$0.50 · Egg &amp; Cheese sandwiches +$1.00 · Smoothies +$1.00. All other items held at $0 (editable).</t>
  </si>
  <si>
    <t xml:space="preserve">Actuals are Toast POS net (ex-void, ex-item-discount) and tie to LW Rev Recon H1 to the dollar. The model comparison row is GL-basis income (adds non-POS other income, nets all discounts).</t>
  </si>
  <si>
    <t xml:space="preserve">Profit &amp; Loss — 2026 Act/For MODIFIED · Jan–Jun actual, levers live from go-live date (staffing · pricing · retail · 4% fee)</t>
  </si>
  <si>
    <t xml:space="preserve">2026 Modified</t>
  </si>
  <si>
    <t xml:space="preserve">Changes go-live date (INPUT):</t>
  </si>
  <si>
    <t xml:space="preserve">months on/after this date apply the levers; earlier months = unmodified Act/For</t>
  </si>
  <si>
    <t xml:space="preserve">Fcst mod.</t>
  </si>
  <si>
    <t xml:space="preserve">Modified</t>
  </si>
  <si>
    <t xml:space="preserve">Retail / Merch Sales (new programming)</t>
  </si>
  <si>
    <t xml:space="preserve">Discounts &amp; Comps (2.5% target when live)</t>
  </si>
  <si>
    <t xml:space="preserve">Food Cost (40% target when live)</t>
  </si>
  <si>
    <t xml:space="preserve">Operating Expenses (12.5% target when live · incl CC)</t>
  </si>
  <si>
    <t xml:space="preserve">G&amp;A - Uncon (4.5% target when live)</t>
  </si>
  <si>
    <t xml:space="preserve">Modified months: single-shift staffing (FOH 6:30am–4pm + wknd 2nd barista, BOH cook $296/wk, GL mgmt labor kept), menu pricing uplift on Food/NA, retail uplift + programming on the Retail line (own COGS %), CC 2.5% on added revenue in OpEx, mgmt fee $4,000/mo → 4% of revenue, rent WAIVED (occupancy → 0%). All inputs on LW Assumptions / LW Menu Pricing.</t>
  </si>
  <si>
    <t xml:space="preserve">Profit &amp; Loss — 2026 Act/For MODIFIED · Jan–Jun actual, levers live from go-live date (4% mgmt fee · rent waived · 5% admin fee)</t>
  </si>
  <si>
    <t xml:space="preserve">Fees &amp; expense levers go-live (INPUT):</t>
  </si>
  <si>
    <t xml:space="preserve">4% fee · rent waiver · expense targets</t>
  </si>
  <si>
    <t xml:space="preserve">Revenue adjustments go-live (INPUT):</t>
  </si>
  <si>
    <t xml:space="preserve">client-billed 5% admin fee — Aug events contracted at old terms</t>
  </si>
  <si>
    <t xml:space="preserve">Other Operating Income (svc charge + 5% admin fee when live)</t>
  </si>
  <si>
    <t xml:space="preserve">Operating Expenses (incl CC on added rev)</t>
  </si>
  <si>
    <t xml:space="preserve">Modified months: management fee $4,000/mo → 4% of revenue, occupancy → 0% (waived), NEW 5% admin fee on F&amp;B billed to event clients — added to Other Operating Income (revenue), so the 4% mgmt fee also applies to it. Inputs on Vessel Assumptions C30–C32.</t>
  </si>
  <si>
    <t xml:space="preserve">LITTLE WING  ·  COFFEE SHOP MODEL</t>
  </si>
  <si>
    <t xml:space="preserve">Single-shift efficiency model — shift 6am–4pm, doors 6:30am–4pm (2nd barista Sat/Sun) + BOH cook kept, self-serve/retail after 4pm</t>
  </si>
  <si>
    <t xml:space="preserve">REVENUE  (Toast H1 2026 actuals ×2 — Jan–Jun item detail, reconciled to Sales Summary)</t>
  </si>
  <si>
    <t xml:space="preserve">Food</t>
  </si>
  <si>
    <t xml:space="preserve">NA / Coffee</t>
  </si>
  <si>
    <t xml:space="preserve">the margin engine — 22.2% cost</t>
  </si>
  <si>
    <t xml:space="preserve">Alcohol</t>
  </si>
  <si>
    <t xml:space="preserve">Retail / merch</t>
  </si>
  <si>
    <t xml:space="preserve">Other</t>
  </si>
  <si>
    <t xml:space="preserve">gift cards, open items, uncategorized rings</t>
  </si>
  <si>
    <t xml:space="preserve">TOTAL REVENUE</t>
  </si>
  <si>
    <t xml:space="preserve">COST OF SALES  (% of each category · GL actual)</t>
  </si>
  <si>
    <t xml:space="preserve">Food cost %</t>
  </si>
  <si>
    <t xml:space="preserve">GL cost ÷ net sales</t>
  </si>
  <si>
    <t xml:space="preserve">NA / Coffee cost %</t>
  </si>
  <si>
    <t xml:space="preserve">Alcohol cost %</t>
  </si>
  <si>
    <t xml:space="preserve">Retail cost %</t>
  </si>
  <si>
    <t xml:space="preserve">no COGS booked in GL for retail</t>
  </si>
  <si>
    <t xml:space="preserve">Other cost %</t>
  </si>
  <si>
    <t xml:space="preserve">no COGS booked in GL for other</t>
  </si>
  <si>
    <t xml:space="preserve">ADJUSTED LABOR  (single 6am–4pm shift · doors 6:30am + 2nd barista peak days)</t>
  </si>
  <si>
    <t xml:space="preserve">Opener/supervisor hours/day</t>
  </si>
  <si>
    <t xml:space="preserve">shift 6:00am–4:00pm (10h) · doors open 6:30am</t>
  </si>
  <si>
    <t xml:space="preserve">2nd barista avg hrs/day</t>
  </si>
  <si>
    <t xml:space="preserve">Sat &amp; Sun opener/closer overlap, 4 hrs/day ×2 days ÷7 — covers the 8–11a weekend rush</t>
  </si>
  <si>
    <t xml:space="preserve">Days per week</t>
  </si>
  <si>
    <t xml:space="preserve">Blended wage $/hr</t>
  </si>
  <si>
    <t xml:space="preserve">Dolce actual blended FOH rate ~$20/hr</t>
  </si>
  <si>
    <t xml:space="preserve">Adjusted labor / year</t>
  </si>
  <si>
    <t xml:space="preserve">servers eliminated (self-serve); BOH cook KEPT at $296/wk</t>
  </si>
  <si>
    <t xml:space="preserve">BOH cook labor — kept ($/wk base)</t>
  </si>
  <si>
    <t xml:space="preserve">current cook schedule held (~13.3 hrs/wk) — food program stays in-house</t>
  </si>
  <si>
    <t xml:space="preserve">CURRENT LABOR  (GL actual, for comparison)</t>
  </si>
  <si>
    <t xml:space="preserve">Current labor / year (incl burden)</t>
  </si>
  <si>
    <t xml:space="preserve">GL T12 actual: wages+taxes+benefits</t>
  </si>
  <si>
    <t xml:space="preserve">VARIABLE &amp; OVERHEAD  (annual)</t>
  </si>
  <si>
    <t xml:space="preserve">go-forward target (Current column uses GL actual → C42)</t>
  </si>
  <si>
    <t xml:space="preserve">Controllable exp (excl CC)</t>
  </si>
  <si>
    <t xml:space="preserve">paper/plastics, accounting, linen…</t>
  </si>
  <si>
    <t xml:space="preserve">insurance, legal, reserves</t>
  </si>
  <si>
    <t xml:space="preserve">RETAIL PROGRAMMING  (expanded merch/goods — new lever)</t>
  </si>
  <si>
    <t xml:space="preserve">Retail programming — incremental revenue ($/yr)</t>
  </si>
  <si>
    <t xml:space="preserve">fed by the LW Retail Plan category build-up (edit there)</t>
  </si>
  <si>
    <t xml:space="preserve">Retail programming COGS %</t>
  </si>
  <si>
    <t xml:space="preserve">blended product COGS % from the LW Retail Plan tab</t>
  </si>
  <si>
    <t xml:space="preserve">BELOW NOI  (owner / occupancy)</t>
  </si>
  <si>
    <t xml:space="preserve">Management fee (% of revenue)</t>
  </si>
  <si>
    <t xml:space="preserve">4% of gross revenue → Method (replaces $48K flat fee)</t>
  </si>
  <si>
    <t xml:space="preserve">Rent (% of revenue)</t>
  </si>
  <si>
    <t xml:space="preserve">rent WAIVED (was 6% of revenue) — same treatment as Vessel; actuals keep booked occupancy</t>
  </si>
  <si>
    <t xml:space="preserve">Credit card fee — GL actual (T12 $)</t>
  </si>
  <si>
    <t xml:space="preserve">3.9% of rev — used for Current column; go-forward uses 2.5% target</t>
  </si>
  <si>
    <t xml:space="preserve">Menu price uplift ($/yr, pure margin)</t>
  </si>
  <si>
    <t xml:space="preserve">from LW Menu Pricing tab · held volume</t>
  </si>
  <si>
    <t xml:space="preserve">Apply price increase? (1=yes,0=no)</t>
  </si>
  <si>
    <t xml:space="preserve">toggle the 2027 pricing scenario on/off</t>
  </si>
  <si>
    <t xml:space="preserve">Management labor — GL 610300 ($/yr)</t>
  </si>
  <si>
    <t xml:space="preserve">FOH Management wage, annualized ×12/5 — separate from hourly schedule</t>
  </si>
  <si>
    <t xml:space="preserve">Retail improvement uplift %  (INPUT)</t>
  </si>
  <si>
    <t xml:space="preserve">incremental retail rev from expanded inventory — % of current retail base</t>
  </si>
  <si>
    <t xml:space="preserve">  → incremental retail $ / yr</t>
  </si>
  <si>
    <t xml:space="preserve">target ratios replace the GL run-rate lines in modified months &amp; 2027 (incl CC fees)</t>
  </si>
  <si>
    <t xml:space="preserve">Marketing (% of revenue — modified/plan)</t>
  </si>
  <si>
    <t xml:space="preserve">Food COGS % target (of food sales — modified/plan)</t>
  </si>
  <si>
    <t xml:space="preserve">was booking 52–58% in the forecast; POS math says ~44 — waste/coding cleanup to 40%</t>
  </si>
  <si>
    <t xml:space="preserve">G&amp;A uncontrollable (% of revenue — modified/plan)</t>
  </si>
  <si>
    <t xml:space="preserve">was ~5.4% of revenue in the forecast</t>
  </si>
  <si>
    <t xml:space="preserve">Discounts &amp; comps (% of gross sales — modified/plan)</t>
  </si>
  <si>
    <t xml:space="preserve">was ~5% — Peninsula Perks / employee comp discipline</t>
  </si>
  <si>
    <t xml:space="preserve">Profit &amp; Loss — Current staffing vs adjusted single-shift (annual · base revenue · go-forward owner terms)</t>
  </si>
  <si>
    <t xml:space="preserve">Current</t>
  </si>
  <si>
    <t xml:space="preserve">Adjusted</t>
  </si>
  <si>
    <t xml:space="preserve">Change</t>
  </si>
  <si>
    <t xml:space="preserve">Occupancy Cost  (Current: GL ~6% · Adjusted: waived)</t>
  </si>
  <si>
    <t xml:space="preserve">Both columns at base revenue (no pricing/retail uplift). Current column carries GL-style terms (6% occupancy, GL CC); Adjusted column carries go-forward terms (4% fee, rent waived, 2.5% CC) plus the single-shift labor model with BOH cook kept.</t>
  </si>
  <si>
    <t xml:space="preserve">Profit &amp; Loss Budget — annualized 2026 Modified run-rate (shift 6am–4pm, doors 6:30am · BOH cook kept)</t>
  </si>
  <si>
    <t xml:space="preserve">Discounts &amp; Comps (2.5% of gross sales target)</t>
  </si>
  <si>
    <t xml:space="preserve">Food Cost (40% target of base food sales)</t>
  </si>
  <si>
    <t xml:space="preserve">Bonus / labor true-up (Dec — ties plan-year saving to the $39.0K deck basis)</t>
  </si>
  <si>
    <t xml:space="preserve">Operating Expenses (12.5% of revenue target · incl CC)</t>
  </si>
  <si>
    <t xml:space="preserve">General &amp; Administrative - Uncon (4.5% target)</t>
  </si>
  <si>
    <t xml:space="preserve">2027 = the 2026 Modified state annualized: December-2026 unmodified forecast as the monthly base (the accounting forecast is flat), with every lever in effect all 12 months. Same formulas as the LW 2026 Modified active months.</t>
  </si>
  <si>
    <t xml:space="preserve">STAFFING SENSITIVITY — annual NOP by FOH coverage (BOH &amp; all else held)</t>
  </si>
  <si>
    <t xml:space="preserve">Scenario</t>
  </si>
  <si>
    <t xml:space="preserve">Hrs/day</t>
  </si>
  <si>
    <t xml:space="preserve">Base: 9.5h (6:30a–4p) + wknd overlap</t>
  </si>
  <si>
    <t xml:space="preserve">8h single barista</t>
  </si>
  <si>
    <t xml:space="preserve">11.5h (+2h afternoon)</t>
  </si>
  <si>
    <t xml:space="preserve">Two full shifts (16h)</t>
  </si>
  <si>
    <t xml:space="preserve">LITTLE WING — LABOR MODEL</t>
  </si>
  <si>
    <t xml:space="preserve">Current roles (GL) vs adjusted single-shift schedule (6am–4pm) · sales-by-hour basis</t>
  </si>
  <si>
    <t xml:space="preserve">CURRENT LABOR (GL annualized)</t>
  </si>
  <si>
    <t xml:space="preserve">SALES BY DAYPART (Jan–May)</t>
  </si>
  <si>
    <t xml:space="preserve">Role</t>
  </si>
  <si>
    <t xml:space="preserve">% of rev</t>
  </si>
  <si>
    <t xml:space="preserve">Window</t>
  </si>
  <si>
    <t xml:space="preserve">Net sales</t>
  </si>
  <si>
    <t xml:space="preserve">% of day</t>
  </si>
  <si>
    <t xml:space="preserve">Baristas</t>
  </si>
  <si>
    <t xml:space="preserve">Before 2pm  (2pm data split)</t>
  </si>
  <si>
    <t xml:space="preserve">Servers  (eliminated → counter/self-serve)</t>
  </si>
  <si>
    <t xml:space="preserve">After 2pm</t>
  </si>
  <si>
    <t xml:space="preserve">Line cooks  (cook KEPT at $296/wk — see below)</t>
  </si>
  <si>
    <t xml:space="preserve">Total day</t>
  </si>
  <si>
    <t xml:space="preserve">FOH management  (into supervisor)</t>
  </si>
  <si>
    <t xml:space="preserve">Bartenders</t>
  </si>
  <si>
    <t xml:space="preserve">→ 69% of sales land before 2pm; staffed</t>
  </si>
  <si>
    <t xml:space="preserve">Payroll taxes &amp; benefits</t>
  </si>
  <si>
    <t xml:space="preserve">   window is now 6:30am–4pm — post-4pm</t>
  </si>
  <si>
    <t xml:space="preserve">Total current labor</t>
  </si>
  <si>
    <t xml:space="preserve">   detail is on LW Daypart Analysis (21%).</t>
  </si>
  <si>
    <t xml:space="preserve">ADJUSTED LABOR (single 6am–4pm shift, doors 6:30am + wknd 2nd barista)</t>
  </si>
  <si>
    <t xml:space="preserve">Staff-hours / day</t>
  </si>
  <si>
    <t xml:space="preserve">Staff-hours / year</t>
  </si>
  <si>
    <t xml:space="preserve">FOH wages / year</t>
  </si>
  <si>
    <t xml:space="preserve">BOH cook wages / year  (kept · $296/wk)</t>
  </si>
  <si>
    <t xml:space="preserve">+ payroll taxes &amp; benefits</t>
  </si>
  <si>
    <t xml:space="preserve">Total adjusted labor</t>
  </si>
  <si>
    <t xml:space="preserve">LABOR SAVINGS / YEAR</t>
  </si>
  <si>
    <t xml:space="preserve">Dolce Teamwork (131 pg, Jan-May): FOH blended ~$20/hr, BOH cook ~$25/hr. Current = 2 staggered FOH shifts (opener 6am-2pm + afternoon 12-8pm, ~15 hrs/day). Adjusted model collapses FOH to ONE 6am-4pm shift (+wknd 2nd barista) and KEEPS the BOH cook at the current schedule (~13.3 hrs/wk, $296/wk base — in-house food program retained). Sensitivity on FOH: 1 barista (8h) =&gt; NOI +$5.8K; 1+peak (10h) =&gt; -$11K; 1.5 avg (12h) =&gt; -$28K.</t>
  </si>
  <si>
    <t xml:space="preserve">LITTLE WING — WEEKLY LABOR: ACTUAL vs PROPOSED</t>
  </si>
  <si>
    <t xml:space="preserve">Week of Jun 1–7, 2026 · actual Dolce clock-ins + Toast sales vs the single-shift model (BOH cook kept) · incl. management labor &amp; PT&amp;B</t>
  </si>
  <si>
    <t xml:space="preserve">Current (actual wk)</t>
  </si>
  <si>
    <t xml:space="preserve">Proposed</t>
  </si>
  <si>
    <t xml:space="preserve">Δ</t>
  </si>
  <si>
    <t xml:space="preserve">SCHEDULE / COVERAGE</t>
  </si>
  <si>
    <t xml:space="preserve">FOH coverage hours/day  (proposed shift 6:00a–4:00p · doors 6:30a)</t>
  </si>
  <si>
    <t xml:space="preserve">~16 (2 staggered shifts)</t>
  </si>
  <si>
    <t xml:space="preserve">Days open / week</t>
  </si>
  <si>
    <t xml:space="preserve">STAFF-HOURS  (week · all hourly, incl. supervisor)</t>
  </si>
  <si>
    <t xml:space="preserve">FOH counter + supervisor</t>
  </si>
  <si>
    <t xml:space="preserve">BOH cook</t>
  </si>
  <si>
    <t xml:space="preserve">Total hourly staff-hours</t>
  </si>
  <si>
    <t xml:space="preserve">LABOR COST  (week)</t>
  </si>
  <si>
    <t xml:space="preserve">FOH hourly (counter + supervisor)</t>
  </si>
  <si>
    <t xml:space="preserve">BOH hourly (cook)</t>
  </si>
  <si>
    <t xml:space="preserve">Hourly labor subtotal</t>
  </si>
  <si>
    <t xml:space="preserve">Management labor  (GL 610300 actual)</t>
  </si>
  <si>
    <t xml:space="preserve">Payroll taxes &amp; benefits (16%)</t>
  </si>
  <si>
    <t xml:space="preserve">TOTAL LOADED LABOR</t>
  </si>
  <si>
    <t xml:space="preserve">Annualized (×52)</t>
  </si>
  <si>
    <t xml:space="preserve">vs SALES  (actual week)</t>
  </si>
  <si>
    <t xml:space="preserve">Net sales (Toast)</t>
  </si>
  <si>
    <t xml:space="preserve">Labor % of sales</t>
  </si>
  <si>
    <t xml:space="preserve">WEEKLY SAVINGS  =  hourly reduction only (management held equal)</t>
  </si>
  <si>
    <t xml:space="preserve">Weekly savings  |  annualized →</t>
  </si>
  <si>
    <t xml:space="preserve">Supervisor = hourly</t>
  </si>
  <si>
    <t xml:space="preserve">The shift-manager/supervisor hours (Brennan, Marnie) are clock-in labor and sit in the FOH hourly line. Current week: 111.8 FOH hourly hrs — two supervisors on staggered shifts. Proposal: one supervisor/barista, shift 6:00a–4:00p (10h, doors open 6:30a), pulled live from LW Assumptions C20.</t>
  </si>
  <si>
    <t xml:space="preserve">Management labor = GL actual</t>
  </si>
  <si>
    <t xml:space="preserve">Separate salaried FOH management (GL acct 610300) = $5,366.59 over Jan–May → $12,880/yr → ~$248/wk. Held equal in both columns (management overhead persists). Hourly + this + 16% PT&amp;B annualizes to ~$165K, tying to the GL run-rate.</t>
  </si>
  <si>
    <t xml:space="preserve">⚠ After-4pm exposure</t>
  </si>
  <si>
    <t xml:space="preserve">Under the proposed 6:30am–4pm hours the exposure window is after 4pm: 21% of Jan–Jun sales ($27.9K), of which only 16.4% ($4.6K) is barista-required (made-to-order drinks / prepared food) — see LW Daypart Analysis. The proposal assumes the front desk captures the packaged 84% at no cafe labor cost.</t>
  </si>
  <si>
    <t xml:space="preserve">Daypart Analysis — Toast item detail, Jan–Jun 2026 (ex-void) · proposed hours 6:30am–4pm</t>
  </si>
  <si>
    <t xml:space="preserve">DAYPART SPLIT  (Jan–Jun 2026 · net sales $133,092)</t>
  </si>
  <si>
    <t xml:space="preserve">% of sales</t>
  </si>
  <si>
    <t xml:space="preserve">Before 6:30am (forfeited by later open)</t>
  </si>
  <si>
    <t xml:space="preserve">6:30am – 2pm</t>
  </si>
  <si>
    <t xml:space="preserve">2pm – 4pm (now staffed)</t>
  </si>
  <si>
    <t xml:space="preserve">After 4pm (self-serve window)</t>
  </si>
  <si>
    <t xml:space="preserve">Total</t>
  </si>
  <si>
    <t xml:space="preserve">Reconciliation: post-2pm = 30.9% — ties to the 31% "after 2pm" split on LW Labor Model (Jan–May).</t>
  </si>
  <si>
    <t xml:space="preserve">POST-4PM BY MONTH</t>
  </si>
  <si>
    <t xml:space="preserve">Month net sales</t>
  </si>
  <si>
    <t xml:space="preserve">Post-4pm $</t>
  </si>
  <si>
    <t xml:space="preserve">Post-4pm %</t>
  </si>
  <si>
    <t xml:space="preserve">Trend: 10.6% (Jan) → ~24–27% (May/Jun) as weather/pool season builds — use the summer rate for risk sizing.</t>
  </si>
  <si>
    <t xml:space="preserve">POST-4PM COMPOSITION  ($27,886)</t>
  </si>
  <si>
    <t xml:space="preserve">% of post-4pm</t>
  </si>
  <si>
    <t xml:space="preserve">Service model</t>
  </si>
  <si>
    <t xml:space="preserve">LW Beverage - NA (bottled juices)</t>
  </si>
  <si>
    <t xml:space="preserve">front desk</t>
  </si>
  <si>
    <t xml:space="preserve">LW Alcohol (bottles)</t>
  </si>
  <si>
    <t xml:space="preserve">Snacks</t>
  </si>
  <si>
    <t xml:space="preserve">Coffee &amp; Tea Drinks (made-to-order)</t>
  </si>
  <si>
    <t xml:space="preserve">BARISTA</t>
  </si>
  <si>
    <t xml:space="preserve">Uncategorized rings</t>
  </si>
  <si>
    <t xml:space="preserve">Grab &amp; Go</t>
  </si>
  <si>
    <t xml:space="preserve">LW Wine - Bottled</t>
  </si>
  <si>
    <t xml:space="preserve">LW Cocktail - Canned</t>
  </si>
  <si>
    <t xml:space="preserve">LW Beer - Canned/Bottled</t>
  </si>
  <si>
    <t xml:space="preserve">Canned NA</t>
  </si>
  <si>
    <t xml:space="preserve">LW After Dark</t>
  </si>
  <si>
    <t xml:space="preserve">Specials Menu (prepared)</t>
  </si>
  <si>
    <t xml:space="preserve">Sandwiches (prepared)</t>
  </si>
  <si>
    <t xml:space="preserve">NA Beverages</t>
  </si>
  <si>
    <t xml:space="preserve">Pool Menu (prepared)</t>
  </si>
  <si>
    <t xml:space="preserve">Smoothies (made-to-order)</t>
  </si>
  <si>
    <t xml:space="preserve">Pastries (case)</t>
  </si>
  <si>
    <t xml:space="preserve">All other made-to-order (pasta, toasts, drip)</t>
  </si>
  <si>
    <t xml:space="preserve">All other packaged/retail</t>
  </si>
  <si>
    <t xml:space="preserve">BARISTA-REQUIRED subtotal (made-to-order drinks + prepared food)</t>
  </si>
  <si>
    <t xml:space="preserve">Front-desk sellable subtotal (packaged / bottled / retail)</t>
  </si>
  <si>
    <t xml:space="preserve">REVENUE-AT-RISK SENSITIVITY  (annualized H1 ×2 · not wired into the plan)</t>
  </si>
  <si>
    <t xml:space="preserve">Barista-required post-4pm revenue / yr</t>
  </si>
  <si>
    <t xml:space="preserve">Assumed % lost with no barista after 4pm  (INPUT)</t>
  </si>
  <si>
    <t xml:space="preserve">Lost revenue / yr</t>
  </si>
  <si>
    <t xml:space="preserve">NOP impact / yr  (× 68.5¢ keep-rate: ~25% COGS · 2.5% CC · 4% fee · rent waived)</t>
  </si>
  <si>
    <t xml:space="preserve">Grid — NOP impact at 25% / 50% / 75% / 100% loss:</t>
  </si>
  <si>
    <t xml:space="preserve">EARLY OPEN — 6:30am vs 6:00am</t>
  </si>
  <si>
    <t xml:space="preserve">Sales before 6:30am (H1 actual)</t>
  </si>
  <si>
    <t xml:space="preserve">Annualized forfeit ceiling (×2 · much of it likely shifts to after 6:30)</t>
  </si>
  <si>
    <t xml:space="preserve">Assumptions: after 4pm the ROOST front desk rings packaged items at no LW labor cost (incl. alcohol — ID check at desk); made-to-order drinks and prepared food are unavailable. Source: Toast item detail Jan 1 – Jun 30, 2026, voids excluded, net price.</t>
  </si>
  <si>
    <t xml:space="preserve">TTM VALIDATION — Jul 2025–Jun 2026 hourly PMIX (full trailing year · item-level net $244,323)</t>
  </si>
  <si>
    <t xml:space="preserve">Post-4pm sales (TTM)</t>
  </si>
  <si>
    <t xml:space="preserve">vs 21.0% in H1-2026 — H1 runs hotter (pool season building)</t>
  </si>
  <si>
    <t xml:space="preserve">  Barista-required (made-to-order + prepared)</t>
  </si>
  <si>
    <t xml:space="preserve">vs $9,120/yr annualized from H1 — CONFIRMS the risk sizing</t>
  </si>
  <si>
    <t xml:space="preserve">  Front-desk sellable (packaged/bottled/retail)</t>
  </si>
  <si>
    <t xml:space="preserve">incl. bottled water/beer top sellers late</t>
  </si>
  <si>
    <t xml:space="preserve">Post-8pm sales (largely room-charge / catering)</t>
  </si>
  <si>
    <t xml:space="preserve">already rings without cafe labor today</t>
  </si>
  <si>
    <t xml:space="preserve">Pre-6:30am sales (5AM + ½ of 6AM hour)</t>
  </si>
  <si>
    <t xml:space="preserve">later open forfeits even less than the H1 estimate ($4.8K ceiling)</t>
  </si>
  <si>
    <t xml:space="preserve">Pricing-lever quantity check: TTM Coffee &amp; Tea 20,069 units vs 20,731 assumed on LW Menu Pricing (−3%); Sandwiches 3,550 vs 3,386 (+5%) — the ×12/5 annualization holds within ±5%, no rebase needed. Peak hours 7–10am carry ~44% of all sales, supporting the morning-weighted 6:30am–4pm staffing.</t>
  </si>
  <si>
    <t xml:space="preserve">THE 4PM TRADE — labor saved vs sales exposed</t>
  </si>
  <si>
    <t xml:space="preserve">Labor to keep FOH staffed 4pm–8pm (4h/day · 7d · blended wage · 16% burden)</t>
  </si>
  <si>
    <t xml:space="preserve">Worst case: ALL barista-required post-4pm margin lost (TTM $9,118 × 68.5¢ keep-rate)</t>
  </si>
  <si>
    <t xml:space="preserve">NET BENEFIT of the 4pm close — even in the worst case</t>
  </si>
  <si>
    <t xml:space="preserve">LITTLE WING — SHIFT DETAIL (Week of Jun 1–7, 2026)</t>
  </si>
  <si>
    <t xml:space="preserve">By employee · by day · by shift — actual scheduled roster vs proposed single-shift</t>
  </si>
  <si>
    <t xml:space="preserve">Rates ($/hr):</t>
  </si>
  <si>
    <t xml:space="preserve">FOH</t>
  </si>
  <si>
    <t xml:space="preserve">BOH</t>
  </si>
  <si>
    <t xml:space="preserve">DAILY LABOR COST BY EMPLOYEE  (actual effective rates, derived from schedule $)</t>
  </si>
  <si>
    <t xml:space="preserve">Employee</t>
  </si>
  <si>
    <t xml:space="preserve">Rate/hr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</si>
  <si>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</si>
  <si>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</si>
  <si>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</si>
  <si>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</si>
  <si>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</si>
  <si>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</si>
  <si>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</si>
  <si>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Wk hrs</t>
  </si>
  <si>
    <t xml:space="preserve">Wk $</t>
  </si>
  <si>
    <t xml:space="preserve">Donte Johnson</t>
  </si>
  <si>
    <t xml:space="preserve">Barista</t>
  </si>
  <si>
    <t xml:space="preserve">Cook (BOH)</t>
  </si>
  <si>
    <t xml:space="preserve">Mon no-show</t>
  </si>
  <si>
    <t xml:space="preserve">Santo Starkey Jr</t>
  </si>
  <si>
    <t xml:space="preserve">Brennan Stark</t>
  </si>
  <si>
    <t xml:space="preserve">Shift Manager</t>
  </si>
  <si>
    <t xml:space="preserve">Sun unscheduled</t>
  </si>
  <si>
    <t xml:space="preserve">Marnie Van Den Berg</t>
  </si>
  <si>
    <t xml:space="preserve">Tyesha Tucker</t>
  </si>
  <si>
    <t xml:space="preserve">Chef (BOH)</t>
  </si>
  <si>
    <t xml:space="preserve">Thu left early · Fri no-show</t>
  </si>
  <si>
    <t xml:space="preserve">Daily total (base)</t>
  </si>
  <si>
    <t xml:space="preserve">scheduled; actual ~$2,503</t>
  </si>
  <si>
    <t xml:space="preserve">SHIFT STRUCTURE — CURRENT vs PROPOSED  (hourly basis)</t>
  </si>
  <si>
    <t xml:space="preserve">Shift</t>
  </si>
  <si>
    <t xml:space="preserve">Hours</t>
  </si>
  <si>
    <t xml:space="preserve">Staff</t>
  </si>
  <si>
    <t xml:space="preserve">Daily hrs</t>
  </si>
  <si>
    <t xml:space="preserve">Daily $ (base)</t>
  </si>
  <si>
    <t xml:space="preserve">×7 week</t>
  </si>
  <si>
    <t xml:space="preserve">CURRENT</t>
  </si>
  <si>
    <t xml:space="preserve">Opening</t>
  </si>
  <si>
    <t xml:space="preserve"> 5:45a–1:45p</t>
  </si>
  <si>
    <t xml:space="preserve">8h · 1 FOH</t>
  </si>
  <si>
    <t xml:space="preserve">Closing</t>
  </si>
  <si>
    <t xml:space="preserve"> 12:00p–8:00p</t>
  </si>
  <si>
    <t xml:space="preserve">BOH (avg)</t>
  </si>
  <si>
    <t xml:space="preserve"> varies</t>
  </si>
  <si>
    <t xml:space="preserve">~4h · cook</t>
  </si>
  <si>
    <t xml:space="preserve">Current total / day</t>
  </si>
  <si>
    <t xml:space="preserve">PROPOSED</t>
  </si>
  <si>
    <t xml:space="preserve">Single shift</t>
  </si>
  <si>
    <t xml:space="preserve"> 6:00a–4:00p</t>
  </si>
  <si>
    <t xml:space="preserve">10h · 1 barista</t>
  </si>
  <si>
    <t xml:space="preserve">After 4:00p</t>
  </si>
  <si>
    <t xml:space="preserve"> self-serve</t>
  </si>
  <si>
    <t xml:space="preserve">front desk · 0</t>
  </si>
  <si>
    <t xml:space="preserve">Proposed total / day</t>
  </si>
  <si>
    <t xml:space="preserve">Note: base labor only (before management labor &amp; PT&amp;B). Proposed = one 6am–4pm barista shift (10h, doors 6:30am) + BOH cook kept (~13.3 hrs/wk, $296/wk); after 4pm FOH moves to self-serve / front desk. Rates: FOH $20 (C4), BOH $25 (E4).</t>
  </si>
  <si>
    <t xml:space="preserve">LITTLE WING — GL COST BASIS (T12)</t>
  </si>
  <si>
    <t xml:space="preserve">Jan–May GL actuals → annualized run-rate (×12/5) · source for the Current column</t>
  </si>
  <si>
    <t xml:space="preserve">Line</t>
  </si>
  <si>
    <t xml:space="preserve">% net rev</t>
  </si>
  <si>
    <t xml:space="preserve">REVENUE  (gross by category)</t>
  </si>
  <si>
    <t xml:space="preserve">  Food</t>
  </si>
  <si>
    <t xml:space="preserve">  NA / Coffee</t>
  </si>
  <si>
    <t xml:space="preserve">  Alcohol (liquor+beer+wine)</t>
  </si>
  <si>
    <t xml:space="preserve">  Retail / merch</t>
  </si>
  <si>
    <t xml:space="preserve">  Less: discounts &amp; comps</t>
  </si>
  <si>
    <t xml:space="preserve">  Other income (net PDR/catering)</t>
  </si>
  <si>
    <t xml:space="preserve">NET REVENUE</t>
  </si>
  <si>
    <t xml:space="preserve">COST OF SALES</t>
  </si>
  <si>
    <t xml:space="preserve">  Food  (44.1% of net food)</t>
  </si>
  <si>
    <t xml:space="preserve">  NA / Coffee  (22.2%)</t>
  </si>
  <si>
    <t xml:space="preserve">  Alcohol  (33.3%)</t>
  </si>
  <si>
    <t xml:space="preserve">  Retail / other  (none booked in GL)</t>
  </si>
  <si>
    <t xml:space="preserve">TOTAL COGS</t>
  </si>
  <si>
    <t xml:space="preserve">GROSS PROFIT</t>
  </si>
  <si>
    <t xml:space="preserve">  Wages (all roles)</t>
  </si>
  <si>
    <t xml:space="preserve">  Payroll taxes</t>
  </si>
  <si>
    <t xml:space="preserve">  Benefits &amp; insurance</t>
  </si>
  <si>
    <t xml:space="preserve">TOTAL LABOR</t>
  </si>
  <si>
    <t xml:space="preserve">CONTROLLABLE  (excl CC)</t>
  </si>
  <si>
    <t xml:space="preserve">  Operating supplies / paper / linen / equip</t>
  </si>
  <si>
    <t xml:space="preserve">  Marketing</t>
  </si>
  <si>
    <t xml:space="preserve">  Utilities</t>
  </si>
  <si>
    <t xml:space="preserve">  G&amp;A / acct / bank / computer / R&amp;M</t>
  </si>
  <si>
    <t xml:space="preserve">TOTAL CONTROLLABLE</t>
  </si>
  <si>
    <t xml:space="preserve">Credit card fees  (GL actual 3.9%)</t>
  </si>
  <si>
    <t xml:space="preserve">NON-CONTROLLABLE  (insurance, legal, reserves)</t>
  </si>
  <si>
    <t xml:space="preserve">NET OPERATING INCOME</t>
  </si>
  <si>
    <t xml:space="preserve">  Less: management fee</t>
  </si>
  <si>
    <t xml:space="preserve">  Less: rent</t>
  </si>
  <si>
    <t xml:space="preserve">NET INCOME</t>
  </si>
  <si>
    <t xml:space="preserve">Note: State income tax accrual ($157K annualized) excluded — below-the-line entity tax, not operating. Retail/other show no COGS because none is booked in the GL (true merch cost likely sits in food/supplies).</t>
  </si>
  <si>
    <t xml:space="preserve">LITTLE WING — MENU PRICING &amp; REVENUE STRATEGY</t>
  </si>
  <si>
    <t xml:space="preserve">Item-level pricing — raise price on the inelastic core (coffee, breakfast), hold the elastic · per-item Rec +$ inputs (blue) · pure margin</t>
  </si>
  <si>
    <t xml:space="preserve">Menu item</t>
  </si>
  <si>
    <t xml:space="preserve">Cat</t>
  </si>
  <si>
    <t xml:space="preserve">Annual qty</t>
  </si>
  <si>
    <t xml:space="preserve">Cur avg $</t>
  </si>
  <si>
    <t xml:space="preserve">Cur revenue</t>
  </si>
  <si>
    <t xml:space="preserve">New avg $</t>
  </si>
  <si>
    <t xml:space="preserve">New revenue</t>
  </si>
  <si>
    <t xml:space="preserve">Uplift $</t>
  </si>
  <si>
    <t xml:space="preserve">REPRICED ITEMS  ·  deck slide 9 — TTM units (Jul 2025–Jun 2026), list prices</t>
  </si>
  <si>
    <t xml:space="preserve">Latte  (top seller)</t>
  </si>
  <si>
    <t xml:space="preserve">NA</t>
  </si>
  <si>
    <t xml:space="preserve">Cold Brew</t>
  </si>
  <si>
    <t xml:space="preserve">Egg &amp; Cheese sandwiches</t>
  </si>
  <si>
    <t xml:space="preserve">Smoothies</t>
  </si>
  <si>
    <t xml:space="preserve">Daily Specials</t>
  </si>
  <si>
    <t xml:space="preserve">HELD  ·  no price change (price-marked / market-referenced)</t>
  </si>
  <si>
    <t xml:space="preserve">All other coffee &amp; tea drinks</t>
  </si>
  <si>
    <t xml:space="preserve">All other sandwiches</t>
  </si>
  <si>
    <t xml:space="preserve">Pastries</t>
  </si>
  <si>
    <t xml:space="preserve">Juices &amp; bottled NA</t>
  </si>
  <si>
    <t xml:space="preserve">Alcohol / wine / beer (packaged)</t>
  </si>
  <si>
    <t xml:space="preserve">Alc</t>
  </si>
  <si>
    <t xml:space="preserve">Retail / merch / other</t>
  </si>
  <si>
    <t xml:space="preserve">TOTAL</t>
  </si>
  <si>
    <t xml:space="preserve">Item qty &amp; revenue = Toast Jan–May item detail ×12/5 (annualized). 'All other' rows = category total (H1 ×2) − listed items, so every group still ties to the LW Assumptions revenue base.</t>
  </si>
  <si>
    <t xml:space="preserve">REVENUE UPLIFT (held volume · pure margin)</t>
  </si>
  <si>
    <t xml:space="preserve">NA / Coffee uplift</t>
  </si>
  <si>
    <t xml:space="preserve">Food uplift</t>
  </si>
  <si>
    <t xml:space="preserve">TOTAL ANNUAL UPLIFT</t>
  </si>
  <si>
    <t xml:space="preserve">as % of current revenue</t>
  </si>
  <si>
    <t xml:space="preserve">Elasticity check — net uplift if some volume attrites:</t>
  </si>
  <si>
    <t xml:space="preserve">   100% capture (coffee is sticky)</t>
  </si>
  <si>
    <t xml:space="preserve">   90% capture</t>
  </si>
  <si>
    <t xml:space="preserve">   80% capture</t>
  </si>
  <si>
    <t xml:space="preserve">RECOMMENDATIONS</t>
  </si>
  <si>
    <t xml:space="preserve">1. Reprice top sellers to deck list prices: Latte $4.50→$5.00 (+$0.50, still below Starbucks $5.45), Drip $3.00→$3.50, Cold Brew $4.50→$4.95, Cappuccino $4.75→$5.25, Americano $4.00→$4.25, Matcha $6.00→$6.50, Draft Latte $5.25→$5.50.</t>
  </si>
  <si>
    <t xml:space="preserve">2. Food &amp; blended: Egg &amp; Cheese sandwiches $10.00→$11.00 (+$1.00), Smoothies $8.00→$9.00 (+$1.00), Daily Specials $6.00→$6.50.</t>
  </si>
  <si>
    <t xml:space="preserve">3. Premium is justified: 60% internal/hotel customer base, no nearby alternative; La Colombe-matched pricing where branded.</t>
  </si>
  <si>
    <t xml:space="preserve">4. HOLD everything price-marked or market-referenced: packaged retail, alcohol, snacks, pastries, grab &amp; go.</t>
  </si>
  <si>
    <t xml:space="preserve">Capture % below discounts the gross for volume attrition; coffee demand is sticky (elasticity ~ -0.3).</t>
  </si>
  <si>
    <t xml:space="preserve">PRICING UPLIFT → MODEL  (feeds LW Assumptions C43)</t>
  </si>
  <si>
    <t xml:space="preserve">Gross annual uplift (held volume)</t>
  </si>
  <si>
    <t xml:space="preserve">Capture %  (INPUT — coffee demand is sticky)</t>
  </si>
  <si>
    <t xml:space="preserve">NET UPLIFT applied in 2027 budget</t>
  </si>
  <si>
    <t xml:space="preserve">Retail / Shelf Plan — category build-up (feeds the retail lever in LW Assumptions C36/C37)</t>
  </si>
  <si>
    <t xml:space="preserve">Category</t>
  </si>
  <si>
    <t xml:space="preserve">Today (TTM actual)</t>
  </si>
  <si>
    <t xml:space="preserve">Plan increment $/yr (INPUT)</t>
  </si>
  <si>
    <t xml:space="preserve">Product COGS % (INPUT)</t>
  </si>
  <si>
    <t xml:space="preserve">Plan total</t>
  </si>
  <si>
    <t xml:space="preserve">Incremental GP</t>
  </si>
  <si>
    <t xml:space="preserve">Grab-and-go cold case (incl bottled/canned NA)</t>
  </si>
  <si>
    <t xml:space="preserve">Beer, wine &amp; RTD</t>
  </si>
  <si>
    <t xml:space="preserve">Pantry &amp; fridge</t>
  </si>
  <si>
    <t xml:space="preserve">Local goods &amp; gifts</t>
  </si>
  <si>
    <t xml:space="preserve">Coffee at home (beans, tea, gear)</t>
  </si>
  <si>
    <t xml:space="preserve">Picnic &amp; waterfront</t>
  </si>
  <si>
    <t xml:space="preserve">Toiletries &amp; OTC essentials</t>
  </si>
  <si>
    <t xml:space="preserve">LW &amp; ROOST merch</t>
  </si>
  <si>
    <t xml:space="preserve">Dog</t>
  </si>
  <si>
    <t xml:space="preserve">Office &amp; greeting</t>
  </si>
  <si>
    <t xml:space="preserve">(F15 applies blended COGS to the whole increment; the model credits the $2.9K existing-base uplift at 0% COGS → effective GP $23.9K)</t>
  </si>
  <si>
    <t xml:space="preserve">FEED → MODEL</t>
  </si>
  <si>
    <t xml:space="preserve">Existing-base uplift already in the model (LW Assumptions C47)</t>
  </si>
  <si>
    <t xml:space="preserve">New programming revenue → LW Assumptions C36  (= total increment − base uplift)</t>
  </si>
  <si>
    <t xml:space="preserve">Blended COGS % on new programming → LW Assumptions C37</t>
  </si>
  <si>
    <t xml:space="preserve">Today column = TTM Toast item detail (Jul 2025–Jun 2026), 404 shelf SKUs. Edit the blue inputs per category as the buy plan firms up — distributor cost sheets set the COGS %, target weekly sales × 52 set the increment. The increment includes the 50% uplift on today’s base; the feed nets it out so the model never double-counts.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</si>
</sst>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\$#,##0;&quot;($&quot;#,##0\)"/>
    <numFmt numFmtId="166" formatCode="0.0%;\-0.0%"/>
    <numFmt numFmtId="167" formatCode="#,##0"/>
    <numFmt numFmtId="168" formatCode="0.0%"/>
    <numFmt numFmtId="169" formatCode="yyyy\-mm\-dd"/>
    <numFmt numFmtId="170" formatCode="0.00"/>
    <numFmt numFmtId="171" formatCode="0"/>
    <numFmt numFmtId="172" formatCode="\$#,##0"/>
    <numFmt numFmtId="173" formatCode="0.00%"/>
    <numFmt numFmtId="174" formatCode="0.0"/>
    <numFmt numFmtId="175" formatCode="\$#,##0.00"/>
    <numFmt numFmtId="176" formatCode="\$#,##0;&quot;($&quot;#,##0\)"/>
    <numFmt numFmtId="177" formatCode="0%"/>
    <numFmt numFmtId="178" formatCode="@"/>
    <numFmt numFmtId="179" formatCode="\$#,##0;;\–"/>
  </numFmts>
  <fonts count="5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8"/>
      <color rgb="FF80808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name val="Calibri"/>
      <family val="0"/>
      <charset val="1"/>
    </font>
    <font>
      <b val="true"/>
      <sz val="9"/>
      <name val="Calibri"/>
      <family val="0"/>
      <charset val="1"/>
    </font>
    <font>
      <b val="true"/>
      <sz val="9"/>
      <color rgb="FFC0392B"/>
      <name val="Calibri"/>
      <family val="0"/>
      <charset val="1"/>
    </font>
    <font>
      <b val="true"/>
      <sz val="14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name val="Cambria"/>
      <family val="0"/>
      <charset val="1"/>
    </font>
    <font>
      <sz val="9"/>
      <color rgb="FFFFFFFF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i val="true"/>
      <sz val="11"/>
      <color rgb="FFDDEBF7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b val="true"/>
      <i val="true"/>
      <sz val="9"/>
      <color rgb="FF1F3864"/>
      <name val="Calibri"/>
      <family val="0"/>
      <charset val="1"/>
    </font>
    <font>
      <sz val="10"/>
      <color rgb="FF1A1A1A"/>
      <name val="Calibri"/>
      <family val="0"/>
      <charset val="1"/>
    </font>
    <font>
      <i val="true"/>
      <sz val="9"/>
      <color rgb="FF6B6459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b val="true"/>
      <sz val="9"/>
      <color rgb="FF0000FF"/>
      <name val="Calibri"/>
      <family val="0"/>
      <charset val="1"/>
    </font>
    <font>
      <b val="true"/>
      <sz val="14"/>
      <color rgb="FF1F3864"/>
      <name val="Cambria"/>
      <family val="0"/>
      <charset val="1"/>
    </font>
    <font>
      <i val="true"/>
      <sz val="10"/>
      <color rgb="FF666666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sz val="10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b val="true"/>
      <sz val="9"/>
      <color rgb="FF1F3864"/>
      <name val="Cambria"/>
      <family val="0"/>
      <charset val="1"/>
    </font>
    <font>
      <b val="true"/>
      <sz val="10"/>
      <color rgb="FF0000FF"/>
      <name val="Cambria"/>
      <family val="0"/>
      <charset val="1"/>
    </font>
    <font>
      <sz val="11"/>
      <color rgb="FF0000FF"/>
      <name val="Calibri"/>
      <family val="0"/>
      <charset val="1"/>
    </font>
    <font>
      <b val="true"/>
      <sz val="11"/>
      <color rgb="FF215C43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i val="true"/>
      <sz val="10"/>
      <color rgb="FFDDEBF7"/>
      <name val="Calibri"/>
      <family val="0"/>
      <charset val="1"/>
    </font>
    <font>
      <sz val="10"/>
      <color rgb="FF1F386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1F3864"/>
      <name val="Calibri"/>
      <family val="0"/>
      <charset val="1"/>
    </font>
    <font>
      <sz val="9"/>
      <color rgb="FF1F3864"/>
      <name val="Calibri"/>
      <family val="0"/>
      <charset val="1"/>
    </font>
    <font>
      <b val="true"/>
      <sz val="9"/>
      <color rgb="FF9B2D2D"/>
      <name val="Calibri"/>
      <family val="0"/>
      <charset val="1"/>
    </font>
    <font>
      <b val="true"/>
      <sz val="17"/>
      <color rgb="FFFFFFFF"/>
      <name val="Calibri"/>
      <family val="0"/>
      <charset val="1"/>
    </font>
    <font>
      <sz val="9"/>
      <color rgb="FF6B6459"/>
      <name val="Calibri"/>
      <family val="0"/>
      <charset val="1"/>
    </font>
    <font>
      <i val="true"/>
      <sz val="8"/>
      <color rgb="FF6B6459"/>
      <name val="Calibri"/>
      <family val="0"/>
      <charset val="1"/>
    </font>
    <font>
      <i val="true"/>
      <sz val="8"/>
      <color rgb="FF9B2D2D"/>
      <name val="Calibri"/>
      <family val="0"/>
      <charset val="1"/>
    </font>
    <font>
      <i val="true"/>
      <sz val="9"/>
      <color rgb="FF1F3864"/>
      <name val="Calibri"/>
      <family val="0"/>
      <charset val="1"/>
    </font>
    <font>
      <sz val="11"/>
      <color rgb="FF1F3864"/>
      <name val="Calibri"/>
      <family val="0"/>
      <charset val="1"/>
    </font>
    <font>
      <i val="true"/>
      <sz val="8"/>
      <color rgb="FF1F3864"/>
      <name val="Calibri"/>
      <family val="0"/>
      <charset val="1"/>
    </font>
    <font>
      <b val="true"/>
      <sz val="9"/>
      <color rgb="FF2F5496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1F3864"/>
      </patternFill>
    </fill>
    <fill>
      <patternFill patternType="solid">
        <fgColor rgb="FFDDEBF7"/>
        <bgColor rgb="FFCCFFFF"/>
      </patternFill>
    </fill>
    <fill>
      <patternFill patternType="solid">
        <fgColor rgb="FFFBF9F4"/>
        <bgColor rgb="FFFFFFFF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medium">
        <color rgb="FFB08D3C"/>
      </left>
      <right style="medium">
        <color rgb="FFB08D3C"/>
      </right>
      <top style="medium">
        <color rgb="FFB08D3C"/>
      </top>
      <bottom style="medium">
        <color rgb="FFB08D3C"/>
      </bottom>
      <diagonal/>
    </border>
    <border diagonalUp="false" diagonalDown="false">
      <left style="thin">
        <color rgb="FFD8CDB4"/>
      </left>
      <right style="thin">
        <color rgb="FFD8CDB4"/>
      </right>
      <top style="thin">
        <color rgb="FFD8CDB4"/>
      </top>
      <bottom style="thin">
        <color rgb="FFD8CDB4"/>
      </bottom>
      <diagonal/>
    </border>
    <border diagonalUp="false" diagonalDown="false">
      <left/>
      <right/>
      <top style="thin">
        <color rgb="FFB0B0B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2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9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2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2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5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5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5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5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9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2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2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6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8" fontId="3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3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3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4" fontId="2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4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2" fontId="1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2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0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4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4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4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9" fontId="4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4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4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4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4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4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4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4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5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2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42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9" fontId="42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4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6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8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4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4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4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0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3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3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2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2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0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B6459"/>
      <rgbColor rgb="FF800080"/>
      <rgbColor rgb="FF215C43"/>
      <rgbColor rgb="FFB0B0B0"/>
      <rgbColor rgb="FF808080"/>
      <rgbColor rgb="FF9999FF"/>
      <rgbColor rgb="FFC0392B"/>
      <rgbColor rgb="FFFBF9F4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D8CDB4"/>
      <rgbColor rgb="FF3366FF"/>
      <rgbColor rgb="FF33CCCC"/>
      <rgbColor rgb="FF99CC00"/>
      <rgbColor rgb="FFFFCC00"/>
      <rgbColor rgb="FFFF9900"/>
      <rgbColor rgb="FFFF6600"/>
      <rgbColor rgb="FF666666"/>
      <rgbColor rgb="FFB08D3C"/>
      <rgbColor rgb="FF1F3864"/>
      <rgbColor rgb="FF339966"/>
      <rgbColor rgb="FF003300"/>
      <rgbColor rgb="FF333300"/>
      <rgbColor rgb="FF9B2D2D"/>
      <rgbColor rgb="FF993366"/>
      <rgbColor rgb="FF2F5496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F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0"/>
    <col collapsed="false" customWidth="true" hidden="false" outlineLevel="0" max="3" min="3" style="1" width="18"/>
    <col collapsed="false" customWidth="true" hidden="false" outlineLevel="0" max="4" min="4" style="1" width="38"/>
    <col collapsed="false" customWidth="true" hidden="false" outlineLevel="0" max="5" min="5" style="1" width="16"/>
    <col collapsed="false" customWidth="true" hidden="false" outlineLevel="0" max="6" min="6" style="1" width="58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true" outlineLevel="0" collapsed="false">
      <c r="A5" s="5" t="s">
        <v>8</v>
      </c>
      <c r="B5" s="5" t="s">
        <v>9</v>
      </c>
      <c r="C5" s="6" t="s">
        <v>10</v>
      </c>
      <c r="D5" s="3" t="s">
        <v>11</v>
      </c>
      <c r="E5" s="7" t="n">
        <f aca="false">'LW 2026 P&amp;L'!$AB$16</f>
        <v>288692</v>
      </c>
      <c r="F5" s="5" t="s">
        <v>12</v>
      </c>
    </row>
    <row r="6" customFormat="false" ht="15" hidden="false" customHeight="true" outlineLevel="0" collapsed="false">
      <c r="A6" s="5" t="s">
        <v>8</v>
      </c>
      <c r="B6" s="5" t="s">
        <v>13</v>
      </c>
      <c r="C6" s="6" t="s">
        <v>14</v>
      </c>
      <c r="D6" s="3" t="s">
        <v>15</v>
      </c>
      <c r="E6" s="7" t="n">
        <f aca="false">'LW 2026 P&amp;L'!$AB$55</f>
        <v>-164007</v>
      </c>
      <c r="F6" s="5" t="s">
        <v>12</v>
      </c>
    </row>
    <row r="7" customFormat="false" ht="15" hidden="false" customHeight="true" outlineLevel="0" collapsed="false">
      <c r="A7" s="5" t="s">
        <v>8</v>
      </c>
      <c r="B7" s="5" t="s">
        <v>16</v>
      </c>
      <c r="C7" s="6" t="s">
        <v>17</v>
      </c>
      <c r="D7" s="3" t="s">
        <v>18</v>
      </c>
      <c r="E7" s="8" t="n">
        <f aca="false">'LW 2026 P&amp;L'!$AB$33/'LW 2026 P&amp;L'!$AB$16</f>
        <v>0.589798123952171</v>
      </c>
      <c r="F7" s="5" t="s">
        <v>12</v>
      </c>
    </row>
    <row r="8" customFormat="false" ht="15" hidden="false" customHeight="true" outlineLevel="0" collapsed="false">
      <c r="A8" s="5" t="s">
        <v>8</v>
      </c>
      <c r="B8" s="5" t="s">
        <v>19</v>
      </c>
      <c r="C8" s="6" t="s">
        <v>20</v>
      </c>
      <c r="D8" s="3" t="s">
        <v>21</v>
      </c>
      <c r="E8" s="8" t="n">
        <f aca="false">('LW 2026 P&amp;L'!$AB$24+'LW 2026 P&amp;L'!$AB$33)/'LW 2026 P&amp;L'!$AB$16</f>
        <v>0.952225901652973</v>
      </c>
      <c r="F8" s="5" t="s">
        <v>12</v>
      </c>
    </row>
    <row r="9" customFormat="false" ht="15" hidden="false" customHeight="true" outlineLevel="0" collapsed="false">
      <c r="A9" s="5" t="s">
        <v>8</v>
      </c>
      <c r="B9" s="5" t="s">
        <v>22</v>
      </c>
      <c r="C9" s="6" t="s">
        <v>23</v>
      </c>
      <c r="D9" s="3" t="s">
        <v>24</v>
      </c>
      <c r="E9" s="7" t="n">
        <f aca="false">'LW 2026 P&amp;L'!$AB$50+'LW 2026 P&amp;L'!$AB$48</f>
        <v>65381</v>
      </c>
      <c r="F9" s="5" t="s">
        <v>12</v>
      </c>
    </row>
    <row r="10" customFormat="false" ht="15" hidden="false" customHeight="true" outlineLevel="0" collapsed="false">
      <c r="A10" s="5" t="s">
        <v>8</v>
      </c>
      <c r="B10" s="5" t="s">
        <v>25</v>
      </c>
      <c r="C10" s="6" t="s">
        <v>26</v>
      </c>
      <c r="D10" s="3" t="s">
        <v>27</v>
      </c>
      <c r="E10" s="7" t="n">
        <f aca="false">'LW 2026 P&amp;L'!$AB$15</f>
        <v>-18574</v>
      </c>
      <c r="F10" s="5" t="s">
        <v>12</v>
      </c>
    </row>
    <row r="11" customFormat="false" ht="15" hidden="false" customHeight="true" outlineLevel="0" collapsed="false">
      <c r="A11" s="5" t="s">
        <v>28</v>
      </c>
      <c r="B11" s="5" t="s">
        <v>29</v>
      </c>
      <c r="C11" s="6" t="s">
        <v>30</v>
      </c>
      <c r="D11" s="3" t="s">
        <v>31</v>
      </c>
      <c r="F11" s="5" t="s">
        <v>32</v>
      </c>
    </row>
    <row r="12" customFormat="false" ht="15" hidden="false" customHeight="true" outlineLevel="0" collapsed="false">
      <c r="A12" s="5" t="s">
        <v>33</v>
      </c>
      <c r="B12" s="5" t="s">
        <v>34</v>
      </c>
      <c r="C12" s="6" t="s">
        <v>35</v>
      </c>
      <c r="D12" s="3" t="s">
        <v>36</v>
      </c>
      <c r="E12" s="8" t="n">
        <f aca="false">'LW Daypart Analysis'!$D$59</f>
        <v>0.173</v>
      </c>
      <c r="F12" s="5" t="s">
        <v>37</v>
      </c>
    </row>
    <row r="13" customFormat="false" ht="15" hidden="false" customHeight="true" outlineLevel="0" collapsed="false">
      <c r="A13" s="5" t="s">
        <v>33</v>
      </c>
      <c r="B13" s="5" t="s">
        <v>38</v>
      </c>
      <c r="C13" s="6" t="s">
        <v>39</v>
      </c>
      <c r="D13" s="3" t="s">
        <v>40</v>
      </c>
      <c r="E13" s="8" t="n">
        <f aca="false">87226/254946</f>
        <v>0.342135197257458</v>
      </c>
      <c r="F13" s="9" t="s">
        <v>41</v>
      </c>
    </row>
    <row r="14" customFormat="false" ht="15" hidden="false" customHeight="true" outlineLevel="0" collapsed="false">
      <c r="A14" s="5" t="s">
        <v>42</v>
      </c>
      <c r="B14" s="5" t="s">
        <v>43</v>
      </c>
      <c r="C14" s="6" t="s">
        <v>44</v>
      </c>
      <c r="D14" s="3" t="s">
        <v>45</v>
      </c>
      <c r="E14" s="7" t="n">
        <f aca="false">-'LW Weekly Compare'!$D$29</f>
        <v>39027.04</v>
      </c>
      <c r="F14" s="5" t="s">
        <v>46</v>
      </c>
    </row>
    <row r="15" customFormat="false" ht="15" hidden="false" customHeight="true" outlineLevel="0" collapsed="false">
      <c r="A15" s="5" t="s">
        <v>42</v>
      </c>
      <c r="B15" s="5" t="s">
        <v>47</v>
      </c>
      <c r="C15" s="6" t="s">
        <v>48</v>
      </c>
      <c r="D15" s="3" t="s">
        <v>49</v>
      </c>
      <c r="E15" s="7" t="n">
        <f aca="false">'LW Menu Pricing'!$C$53</f>
        <v>9160.92</v>
      </c>
      <c r="F15" s="5" t="s">
        <v>12</v>
      </c>
    </row>
    <row r="16" customFormat="false" ht="15" hidden="false" customHeight="true" outlineLevel="0" collapsed="false">
      <c r="A16" s="5" t="s">
        <v>42</v>
      </c>
      <c r="B16" s="5" t="s">
        <v>50</v>
      </c>
      <c r="C16" s="6" t="s">
        <v>51</v>
      </c>
      <c r="D16" s="3" t="s">
        <v>52</v>
      </c>
      <c r="E16" s="7" t="n">
        <f aca="false">'LW Assumptions'!$C$47+'LW Assumptions'!$C$36*(1-'LW Assumptions'!$C$37)</f>
        <v>27283.9076</v>
      </c>
      <c r="F16" s="5" t="s">
        <v>53</v>
      </c>
    </row>
    <row r="17" customFormat="false" ht="15" hidden="false" customHeight="true" outlineLevel="0" collapsed="false">
      <c r="A17" s="5" t="s">
        <v>42</v>
      </c>
      <c r="B17" s="5" t="s">
        <v>54</v>
      </c>
      <c r="C17" s="6" t="s">
        <v>55</v>
      </c>
      <c r="D17" s="3" t="s">
        <v>56</v>
      </c>
      <c r="E17" s="7" t="n">
        <f aca="false">'LW Budget'!$AB$56</f>
        <v>14834.23188</v>
      </c>
      <c r="F17" s="5" t="s">
        <v>57</v>
      </c>
    </row>
    <row r="18" customFormat="false" ht="15" hidden="false" customHeight="true" outlineLevel="0" collapsed="false">
      <c r="A18" s="5" t="s">
        <v>42</v>
      </c>
      <c r="B18" s="5" t="s">
        <v>58</v>
      </c>
      <c r="C18" s="6" t="s">
        <v>59</v>
      </c>
      <c r="D18" s="3" t="s">
        <v>60</v>
      </c>
      <c r="E18" s="7" t="n">
        <f aca="false">('LW 2026 P&amp;L'!$AB$50+'LW 2026 P&amp;L'!$AB$48)-'LW Budget'!$AB$56</f>
        <v>50546.76812</v>
      </c>
      <c r="F18" s="5" t="s">
        <v>61</v>
      </c>
    </row>
    <row r="19" customFormat="false" ht="15" hidden="false" customHeight="true" outlineLevel="0" collapsed="false">
      <c r="A19" s="5" t="s">
        <v>42</v>
      </c>
      <c r="B19" s="5" t="s">
        <v>62</v>
      </c>
      <c r="C19" s="6" t="s">
        <v>63</v>
      </c>
      <c r="D19" s="3" t="s">
        <v>64</v>
      </c>
      <c r="E19" s="8" t="n">
        <f aca="false">'LW Budget'!$AB$56/'LW Budget'!$AB$20</f>
        <v>0.04</v>
      </c>
      <c r="F19" s="5" t="s">
        <v>65</v>
      </c>
    </row>
    <row r="20" customFormat="false" ht="15" hidden="false" customHeight="true" outlineLevel="0" collapsed="false">
      <c r="A20" s="5" t="s">
        <v>42</v>
      </c>
      <c r="B20" s="5" t="s">
        <v>66</v>
      </c>
      <c r="C20" s="6" t="s">
        <v>67</v>
      </c>
      <c r="D20" s="3" t="s">
        <v>68</v>
      </c>
      <c r="F20" s="5" t="s">
        <v>69</v>
      </c>
    </row>
    <row r="21" customFormat="false" ht="15" hidden="false" customHeight="true" outlineLevel="0" collapsed="false">
      <c r="A21" s="5" t="s">
        <v>70</v>
      </c>
      <c r="B21" s="5" t="s">
        <v>71</v>
      </c>
      <c r="C21" s="6" t="s">
        <v>72</v>
      </c>
      <c r="D21" s="3" t="s">
        <v>73</v>
      </c>
      <c r="E21" s="8" t="n">
        <f aca="false">'LW Daypart Analysis'!$D$59</f>
        <v>0.173</v>
      </c>
      <c r="F21" s="5" t="s">
        <v>12</v>
      </c>
    </row>
    <row r="22" customFormat="false" ht="15" hidden="false" customHeight="true" outlineLevel="0" collapsed="false">
      <c r="A22" s="5" t="s">
        <v>70</v>
      </c>
      <c r="B22" s="5" t="s">
        <v>74</v>
      </c>
      <c r="C22" s="6" t="s">
        <v>75</v>
      </c>
      <c r="D22" s="3" t="s">
        <v>73</v>
      </c>
      <c r="E22" s="8" t="n">
        <f aca="false">'LW Daypart Analysis'!$D$60</f>
        <v>0.215</v>
      </c>
      <c r="F22" s="5" t="s">
        <v>12</v>
      </c>
    </row>
    <row r="23" customFormat="false" ht="15" hidden="false" customHeight="true" outlineLevel="0" collapsed="false">
      <c r="A23" s="5" t="s">
        <v>70</v>
      </c>
      <c r="B23" s="5" t="s">
        <v>76</v>
      </c>
      <c r="C23" s="6" t="s">
        <v>77</v>
      </c>
      <c r="D23" s="3" t="s">
        <v>78</v>
      </c>
      <c r="E23" s="8" t="n">
        <f aca="false">'LW Daypart Analysis'!$C$60/244323</f>
        <v>0.0373194500722404</v>
      </c>
      <c r="F23" s="5" t="s">
        <v>12</v>
      </c>
    </row>
    <row r="24" customFormat="false" ht="15" hidden="false" customHeight="true" outlineLevel="0" collapsed="false">
      <c r="A24" s="5" t="s">
        <v>79</v>
      </c>
      <c r="B24" s="5" t="s">
        <v>80</v>
      </c>
      <c r="C24" s="6" t="s">
        <v>81</v>
      </c>
      <c r="D24" s="3" t="s">
        <v>82</v>
      </c>
      <c r="E24" s="7" t="n">
        <f aca="false">'LW Weekly Compare'!$C$20</f>
        <v>2440.28307692308</v>
      </c>
      <c r="F24" s="5" t="s">
        <v>83</v>
      </c>
    </row>
    <row r="25" customFormat="false" ht="15" hidden="false" customHeight="true" outlineLevel="0" collapsed="false">
      <c r="A25" s="5" t="s">
        <v>79</v>
      </c>
      <c r="B25" s="5" t="s">
        <v>84</v>
      </c>
      <c r="C25" s="6" t="s">
        <v>85</v>
      </c>
      <c r="D25" s="3" t="s">
        <v>86</v>
      </c>
      <c r="E25" s="7" t="n">
        <f aca="false">'LW Weekly Compare'!$C$29</f>
        <v>750.52</v>
      </c>
      <c r="F25" s="5" t="s">
        <v>12</v>
      </c>
    </row>
    <row r="26" customFormat="false" ht="15" hidden="false" customHeight="true" outlineLevel="0" collapsed="false">
      <c r="A26" s="5" t="s">
        <v>87</v>
      </c>
      <c r="B26" s="5" t="s">
        <v>88</v>
      </c>
      <c r="C26" s="6" t="s">
        <v>89</v>
      </c>
      <c r="D26" s="3" t="s">
        <v>90</v>
      </c>
      <c r="F26" s="5" t="s">
        <v>91</v>
      </c>
    </row>
    <row r="27" customFormat="false" ht="15" hidden="false" customHeight="true" outlineLevel="0" collapsed="false">
      <c r="A27" s="5" t="s">
        <v>92</v>
      </c>
      <c r="B27" s="5" t="s">
        <v>93</v>
      </c>
      <c r="C27" s="6" t="s">
        <v>94</v>
      </c>
      <c r="D27" s="3" t="s">
        <v>95</v>
      </c>
      <c r="E27" s="7" t="n">
        <f aca="false">'LW Retail Plan'!$B$15/52</f>
        <v>1346.07692307692</v>
      </c>
      <c r="F27" s="5" t="s">
        <v>12</v>
      </c>
    </row>
    <row r="28" customFormat="false" ht="15" hidden="false" customHeight="true" outlineLevel="0" collapsed="false">
      <c r="A28" s="5" t="s">
        <v>92</v>
      </c>
      <c r="B28" s="5" t="s">
        <v>96</v>
      </c>
      <c r="C28" s="6" t="s">
        <v>97</v>
      </c>
      <c r="D28" s="3" t="s">
        <v>98</v>
      </c>
      <c r="E28" s="7" t="n">
        <f aca="false">'LW Retail Plan'!$E$15</f>
        <v>114920</v>
      </c>
      <c r="F28" s="5" t="s">
        <v>12</v>
      </c>
    </row>
    <row r="29" customFormat="false" ht="15" hidden="false" customHeight="true" outlineLevel="0" collapsed="false">
      <c r="A29" s="5" t="s">
        <v>92</v>
      </c>
      <c r="B29" s="5" t="s">
        <v>99</v>
      </c>
      <c r="C29" s="6" t="s">
        <v>100</v>
      </c>
      <c r="D29" s="3" t="s">
        <v>101</v>
      </c>
      <c r="E29" s="8" t="n">
        <f aca="false">'LW Retail Plan'!$E$15/'LW Budget'!$AB$20</f>
        <v>0.309877857996649</v>
      </c>
      <c r="F29" s="5" t="s">
        <v>12</v>
      </c>
    </row>
    <row r="30" customFormat="false" ht="15" hidden="false" customHeight="true" outlineLevel="0" collapsed="false">
      <c r="A30" s="5" t="s">
        <v>92</v>
      </c>
      <c r="B30" s="5" t="s">
        <v>102</v>
      </c>
      <c r="C30" s="6" t="s">
        <v>103</v>
      </c>
      <c r="D30" s="3" t="s">
        <v>104</v>
      </c>
      <c r="E30" s="7" t="n">
        <f aca="false">'LW Assumptions'!$C$47+'LW Assumptions'!$C$36*(1-'LW Assumptions'!$C$37)</f>
        <v>27283.9076</v>
      </c>
      <c r="F30" s="5" t="s">
        <v>105</v>
      </c>
    </row>
    <row r="31" customFormat="false" ht="15" hidden="false" customHeight="true" outlineLevel="0" collapsed="false">
      <c r="A31" s="5" t="s">
        <v>106</v>
      </c>
      <c r="B31" s="5" t="s">
        <v>107</v>
      </c>
      <c r="C31" s="6" t="s">
        <v>108</v>
      </c>
      <c r="D31" s="3" t="s">
        <v>109</v>
      </c>
      <c r="E31" s="7" t="n">
        <f aca="false">'Scenario Summary'!$E$6</f>
        <v>370855.797</v>
      </c>
      <c r="F31" s="5" t="s">
        <v>110</v>
      </c>
    </row>
    <row r="32" customFormat="false" ht="15" hidden="false" customHeight="true" outlineLevel="0" collapsed="false">
      <c r="A32" s="5" t="s">
        <v>106</v>
      </c>
      <c r="B32" s="5" t="s">
        <v>111</v>
      </c>
      <c r="C32" s="6" t="s">
        <v>112</v>
      </c>
      <c r="D32" s="3" t="s">
        <v>113</v>
      </c>
      <c r="E32" s="7" t="n">
        <f aca="false">'Scenario Summary'!$E$14</f>
        <v>1034.33158999994</v>
      </c>
      <c r="F32" s="5" t="s">
        <v>12</v>
      </c>
    </row>
    <row r="33" customFormat="false" ht="15" hidden="false" customHeight="true" outlineLevel="0" collapsed="false">
      <c r="A33" s="5" t="s">
        <v>106</v>
      </c>
      <c r="B33" s="5" t="s">
        <v>114</v>
      </c>
      <c r="C33" s="6" t="s">
        <v>115</v>
      </c>
      <c r="D33" s="3" t="s">
        <v>116</v>
      </c>
      <c r="E33" s="8" t="n">
        <f aca="false">1-'Scenario Summary'!$E$14/'Scenario Summary'!$C$14</f>
        <v>1.00630663075357</v>
      </c>
      <c r="F33" s="5" t="s">
        <v>12</v>
      </c>
    </row>
    <row r="34" customFormat="false" ht="15" hidden="false" customHeight="true" outlineLevel="0" collapsed="false">
      <c r="A34" s="5" t="s">
        <v>106</v>
      </c>
      <c r="B34" s="5" t="s">
        <v>117</v>
      </c>
      <c r="C34" s="6" t="s">
        <v>118</v>
      </c>
      <c r="D34" s="3" t="s">
        <v>119</v>
      </c>
      <c r="E34" s="7" t="n">
        <f aca="false">'Scenario Summary'!$E$40</f>
        <v>88148.10119</v>
      </c>
      <c r="F34" s="5" t="s">
        <v>12</v>
      </c>
    </row>
    <row r="35" customFormat="false" ht="15" hidden="false" customHeight="true" outlineLevel="0" collapsed="false">
      <c r="A35" s="5" t="s">
        <v>106</v>
      </c>
      <c r="B35" s="5" t="s">
        <v>120</v>
      </c>
      <c r="C35" s="6" t="s">
        <v>121</v>
      </c>
      <c r="D35" s="3" t="s">
        <v>122</v>
      </c>
      <c r="E35" s="7" t="n">
        <f aca="false">'2026 Bridge'!$D$19</f>
        <v>66646.4714958334</v>
      </c>
      <c r="F35" s="5" t="s">
        <v>12</v>
      </c>
    </row>
    <row r="36" customFormat="false" ht="15" hidden="false" customHeight="true" outlineLevel="0" collapsed="false">
      <c r="A36" s="5" t="s">
        <v>123</v>
      </c>
      <c r="B36" s="5" t="s">
        <v>124</v>
      </c>
      <c r="C36" s="6" t="s">
        <v>125</v>
      </c>
      <c r="D36" s="3" t="s">
        <v>126</v>
      </c>
      <c r="E36" s="7" t="n">
        <f aca="false">'2026 Bridge'!$D$20</f>
        <v>36552.702</v>
      </c>
      <c r="F36" s="5" t="s">
        <v>127</v>
      </c>
    </row>
    <row r="37" customFormat="false" ht="15" hidden="false" customHeight="true" outlineLevel="0" collapsed="false">
      <c r="A37" s="5" t="s">
        <v>70</v>
      </c>
      <c r="B37" s="5" t="s">
        <v>128</v>
      </c>
      <c r="C37" s="6" t="s">
        <v>129</v>
      </c>
      <c r="D37" s="3" t="s">
        <v>130</v>
      </c>
      <c r="E37" s="7" t="n">
        <f aca="false">'LW Daypart Analysis'!$C$70</f>
        <v>27533.37</v>
      </c>
      <c r="F37" s="5" t="s">
        <v>12</v>
      </c>
    </row>
    <row r="38" customFormat="false" ht="15" hidden="false" customHeight="true" outlineLevel="0" collapsed="false">
      <c r="A38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E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" min="2" style="1" width="15"/>
  </cols>
  <sheetData>
    <row r="1" customFormat="false" ht="17.25" hidden="false" customHeight="true" outlineLevel="0" collapsed="false">
      <c r="A1" s="10" t="s">
        <v>131</v>
      </c>
    </row>
    <row r="2" customFormat="false" ht="15" hidden="false" customHeight="true" outlineLevel="0" collapsed="false">
      <c r="A2" s="11" t="s">
        <v>132</v>
      </c>
    </row>
    <row r="4" customFormat="false" ht="15" hidden="false" customHeight="true" outlineLevel="0" collapsed="false">
      <c r="A4" s="12" t="s">
        <v>133</v>
      </c>
    </row>
    <row r="5" customFormat="false" ht="15" hidden="false" customHeight="true" outlineLevel="0" collapsed="false">
      <c r="B5" s="13" t="s">
        <v>134</v>
      </c>
      <c r="C5" s="13" t="s">
        <v>135</v>
      </c>
      <c r="D5" s="13" t="s">
        <v>136</v>
      </c>
      <c r="E5" s="13" t="s">
        <v>137</v>
      </c>
    </row>
    <row r="6" customFormat="false" ht="15" hidden="false" customHeight="true" outlineLevel="0" collapsed="false">
      <c r="A6" s="1" t="s">
        <v>138</v>
      </c>
      <c r="B6" s="14" t="n">
        <v>258287</v>
      </c>
      <c r="C6" s="14" t="n">
        <f aca="false">'LW 2026 P&amp;L'!$AB$16</f>
        <v>288692</v>
      </c>
      <c r="D6" s="15" t="n">
        <f aca="false">'LW 2026 Modified'!$AB$20</f>
        <v>314870.24875</v>
      </c>
      <c r="E6" s="15" t="n">
        <f aca="false">'LW Budget'!$AB$20</f>
        <v>370855.797</v>
      </c>
    </row>
    <row r="7" customFormat="false" ht="15" hidden="false" customHeight="true" outlineLevel="0" collapsed="false">
      <c r="A7" s="1" t="s">
        <v>139</v>
      </c>
      <c r="B7" s="14" t="n">
        <v>81599</v>
      </c>
      <c r="C7" s="14" t="n">
        <f aca="false">'LW 2026 P&amp;L'!$AB$24</f>
        <v>104630</v>
      </c>
      <c r="D7" s="15" t="n">
        <f aca="false">'LW 2026 Modified'!$AB$29</f>
        <v>103761.0385</v>
      </c>
      <c r="E7" s="15" t="n">
        <f aca="false">'LW Budget'!$AB$29</f>
        <v>112332.0924</v>
      </c>
    </row>
    <row r="8" customFormat="false" ht="15" hidden="false" customHeight="true" outlineLevel="0" collapsed="false">
      <c r="A8" s="16" t="s">
        <v>140</v>
      </c>
      <c r="B8" s="17" t="n">
        <f aca="false">B6-B7</f>
        <v>176688</v>
      </c>
      <c r="C8" s="17" t="n">
        <f aca="false">C6-C7</f>
        <v>184062</v>
      </c>
      <c r="D8" s="17" t="n">
        <f aca="false">D6-D7</f>
        <v>211109.21025</v>
      </c>
      <c r="E8" s="17" t="n">
        <f aca="false">E6-E7</f>
        <v>258523.7046</v>
      </c>
    </row>
    <row r="9" customFormat="false" ht="15" hidden="false" customHeight="true" outlineLevel="0" collapsed="false">
      <c r="A9" s="1" t="s">
        <v>141</v>
      </c>
      <c r="B9" s="14" t="n">
        <v>164857</v>
      </c>
      <c r="C9" s="14" t="n">
        <f aca="false">'LW 2026 P&amp;L'!$AB$33</f>
        <v>170270</v>
      </c>
      <c r="D9" s="15" t="n">
        <f aca="false">'LW 2026 Modified'!$AB$38</f>
        <v>155478.066666667</v>
      </c>
      <c r="E9" s="15" t="n">
        <f aca="false">'LW Budget'!$AB$38</f>
        <v>131242.96</v>
      </c>
    </row>
    <row r="10" customFormat="false" ht="15" hidden="false" customHeight="true" outlineLevel="0" collapsed="false">
      <c r="A10" s="1" t="s">
        <v>142</v>
      </c>
      <c r="B10" s="14" t="n">
        <v>105344</v>
      </c>
      <c r="C10" s="14" t="n">
        <f aca="false">'LW 2026 P&amp;L'!$AB$44+'LW 2026 P&amp;L'!$AB$53-'LW 2026 P&amp;L'!$AB$50-'LW 2026 P&amp;L'!$AB$48</f>
        <v>112418</v>
      </c>
      <c r="D10" s="15" t="n">
        <f aca="false">'LW 2026 Modified'!$AB$50+'LW 2026 Modified'!$AB$60-'LW 2026 Modified'!$AB$54-'LW 2026 Modified'!$AB$56-'LW 2026 Modified'!$AB$57</f>
        <v>109129.7421375</v>
      </c>
      <c r="E10" s="15" t="n">
        <f aca="false">'LW Budget'!$AB$50+'LW Budget'!$AB$60-'LW Budget'!$AB$54-'LW Budget'!$AB$56-'LW Budget'!$AB$57</f>
        <v>111412.18113</v>
      </c>
    </row>
    <row r="11" customFormat="false" ht="15" hidden="false" customHeight="true" outlineLevel="0" collapsed="false">
      <c r="A11" s="1" t="s">
        <v>143</v>
      </c>
      <c r="B11" s="14" t="n">
        <v>48000</v>
      </c>
      <c r="C11" s="14" t="n">
        <f aca="false">'LW 2026 P&amp;L'!$AB$50</f>
        <v>48000</v>
      </c>
      <c r="D11" s="15" t="n">
        <f aca="false">'LW 2026 Modified'!$AB$56</f>
        <v>34180.92995</v>
      </c>
      <c r="E11" s="15" t="n">
        <f aca="false">'LW Budget'!$AB$56</f>
        <v>14834.23188</v>
      </c>
    </row>
    <row r="12" customFormat="false" ht="15" hidden="false" customHeight="true" outlineLevel="0" collapsed="false">
      <c r="A12" s="1" t="s">
        <v>144</v>
      </c>
      <c r="B12" s="14" t="n">
        <v>0</v>
      </c>
      <c r="C12" s="14" t="n">
        <v>0</v>
      </c>
      <c r="D12" s="15" t="n">
        <f aca="false">'LW 2026 Modified'!$AB$57</f>
        <v>0</v>
      </c>
      <c r="E12" s="15" t="n">
        <f aca="false">0</f>
        <v>0</v>
      </c>
    </row>
    <row r="13" customFormat="false" ht="15" hidden="false" customHeight="true" outlineLevel="0" collapsed="false">
      <c r="A13" s="1" t="s">
        <v>145</v>
      </c>
      <c r="B13" s="14" t="n">
        <v>15642</v>
      </c>
      <c r="C13" s="14" t="n">
        <f aca="false">'LW 2026 P&amp;L'!$AB$48</f>
        <v>17381</v>
      </c>
      <c r="D13" s="15" t="n">
        <f aca="false">'LW 2026 Modified'!$AB$54</f>
        <v>9681</v>
      </c>
      <c r="E13" s="15" t="n">
        <f aca="false">'LW Budget'!$AB$54</f>
        <v>0</v>
      </c>
    </row>
    <row r="14" customFormat="false" ht="15" hidden="false" customHeight="true" outlineLevel="0" collapsed="false">
      <c r="A14" s="16" t="s">
        <v>146</v>
      </c>
      <c r="B14" s="17" t="n">
        <f aca="false">B6-B7-B9-B10-B11-B12-B13</f>
        <v>-157155</v>
      </c>
      <c r="C14" s="17" t="n">
        <f aca="false">C6-C7-C9-C10-C11-C12-C13</f>
        <v>-164007</v>
      </c>
      <c r="D14" s="17" t="n">
        <f aca="false">D6-D7-D9-D10-D11-D12-D13</f>
        <v>-97360.5285041667</v>
      </c>
      <c r="E14" s="17" t="n">
        <f aca="false">E6-E7-E9-E10-E11-E12-E13</f>
        <v>1034.33158999994</v>
      </c>
    </row>
    <row r="15" customFormat="false" ht="15" hidden="false" customHeight="true" outlineLevel="0" collapsed="false">
      <c r="A15" s="1" t="s">
        <v>147</v>
      </c>
      <c r="B15" s="18" t="n">
        <f aca="false">B14/B6</f>
        <v>-0.60845106412634</v>
      </c>
      <c r="C15" s="18" t="n">
        <f aca="false">C14/C6</f>
        <v>-0.568103722998905</v>
      </c>
      <c r="D15" s="18" t="n">
        <f aca="false">D14/D6</f>
        <v>-0.309208408513276</v>
      </c>
      <c r="E15" s="18" t="n">
        <f aca="false">E14/E6</f>
        <v>0.002789039832644</v>
      </c>
    </row>
    <row r="17" customFormat="false" ht="15" hidden="false" customHeight="true" outlineLevel="0" collapsed="false">
      <c r="A17" s="12" t="s">
        <v>148</v>
      </c>
    </row>
    <row r="18" customFormat="false" ht="15" hidden="false" customHeight="true" outlineLevel="0" collapsed="false">
      <c r="B18" s="13" t="s">
        <v>134</v>
      </c>
      <c r="C18" s="13" t="s">
        <v>135</v>
      </c>
      <c r="D18" s="13" t="s">
        <v>136</v>
      </c>
      <c r="E18" s="13" t="s">
        <v>137</v>
      </c>
    </row>
    <row r="19" customFormat="false" ht="15" hidden="false" customHeight="true" outlineLevel="0" collapsed="false">
      <c r="A19" s="1" t="s">
        <v>138</v>
      </c>
      <c r="B19" s="14" t="n">
        <f aca="false">'Vessel 2026 P&amp;L'!$AB$16</f>
        <v>351975</v>
      </c>
      <c r="C19" s="14" t="n">
        <f aca="false">'Vessel 2026 P&amp;L'!$AB$16</f>
        <v>351975</v>
      </c>
      <c r="D19" s="15" t="n">
        <f aca="false">'Vessel 2026 Modified'!$AB$20</f>
        <v>354765.8</v>
      </c>
      <c r="E19" s="15" t="n">
        <f aca="false">'Vessel Budget'!$AB$20</f>
        <v>350111.52</v>
      </c>
    </row>
    <row r="20" customFormat="false" ht="15" hidden="false" customHeight="true" outlineLevel="0" collapsed="false">
      <c r="A20" s="1" t="s">
        <v>139</v>
      </c>
      <c r="B20" s="14" t="n">
        <f aca="false">'Vessel 2026 P&amp;L'!$AB$24</f>
        <v>122932</v>
      </c>
      <c r="C20" s="14" t="n">
        <f aca="false">'Vessel 2026 P&amp;L'!$AB$24</f>
        <v>122932</v>
      </c>
      <c r="D20" s="15" t="n">
        <f aca="false">'Vessel 2026 Modified'!$AB$29</f>
        <v>122932</v>
      </c>
      <c r="E20" s="15" t="n">
        <f aca="false">'Vessel Budget'!$AB$29</f>
        <v>136279.968</v>
      </c>
    </row>
    <row r="21" customFormat="false" ht="15" hidden="false" customHeight="true" outlineLevel="0" collapsed="false">
      <c r="A21" s="16" t="s">
        <v>140</v>
      </c>
      <c r="B21" s="17" t="n">
        <f aca="false">B19-B20</f>
        <v>229043</v>
      </c>
      <c r="C21" s="17" t="n">
        <f aca="false">C19-C20</f>
        <v>229043</v>
      </c>
      <c r="D21" s="17" t="n">
        <f aca="false">D19-D20</f>
        <v>231833.8</v>
      </c>
      <c r="E21" s="17" t="n">
        <f aca="false">E19-E20</f>
        <v>213831.552</v>
      </c>
    </row>
    <row r="22" customFormat="false" ht="15" hidden="false" customHeight="true" outlineLevel="0" collapsed="false">
      <c r="A22" s="1" t="s">
        <v>141</v>
      </c>
      <c r="B22" s="14" t="n">
        <f aca="false">'Vessel 2026 P&amp;L'!$AB$33</f>
        <v>80034</v>
      </c>
      <c r="C22" s="14" t="n">
        <f aca="false">'Vessel 2026 P&amp;L'!$AB$33</f>
        <v>80034</v>
      </c>
      <c r="D22" s="15" t="n">
        <f aca="false">'Vessel 2026 Modified'!$AB$38</f>
        <v>80034</v>
      </c>
      <c r="E22" s="15" t="n">
        <f aca="false">'Vessel Budget'!$AB$38</f>
        <v>60685.9968</v>
      </c>
    </row>
    <row r="23" customFormat="false" ht="15" hidden="false" customHeight="true" outlineLevel="0" collapsed="false">
      <c r="A23" s="1" t="s">
        <v>142</v>
      </c>
      <c r="B23" s="14" t="n">
        <f aca="false">'Vessel 2026 P&amp;L'!$AB$44+'Vessel 2026 P&amp;L'!$AB$53-'Vessel 2026 P&amp;L'!$AB$50-'Vessel 2026 P&amp;L'!$AB$48</f>
        <v>93169</v>
      </c>
      <c r="C23" s="14" t="n">
        <f aca="false">'Vessel 2026 P&amp;L'!$AB$44+'Vessel 2026 P&amp;L'!$AB$53-'Vessel 2026 P&amp;L'!$AB$50-'Vessel 2026 P&amp;L'!$AB$48</f>
        <v>93169</v>
      </c>
      <c r="D23" s="15" t="n">
        <f aca="false">'Vessel 2026 Modified'!$AB$50+'Vessel 2026 Modified'!$AB$60-'Vessel 2026 Modified'!$AB$54-'Vessel 2026 Modified'!$AB$56-'Vessel 2026 Modified'!$AB$57</f>
        <v>81795.426</v>
      </c>
      <c r="E23" s="15" t="n">
        <f aca="false">'Vessel Budget'!$AB$50+'Vessel Budget'!$AB$60-'Vessel Budget'!$AB$54-'Vessel Budget'!$AB$56-'Vessel Budget'!$AB$57</f>
        <v>52027.3248</v>
      </c>
    </row>
    <row r="24" customFormat="false" ht="15" hidden="false" customHeight="true" outlineLevel="0" collapsed="false">
      <c r="A24" s="1" t="s">
        <v>143</v>
      </c>
      <c r="B24" s="14" t="n">
        <f aca="false">'Vessel 2026 P&amp;L'!$AB$50</f>
        <v>48000</v>
      </c>
      <c r="C24" s="14" t="n">
        <f aca="false">'Vessel 2026 P&amp;L'!$AB$50</f>
        <v>48000</v>
      </c>
      <c r="D24" s="15" t="n">
        <f aca="false">'Vessel 2026 Modified'!$AB$56</f>
        <v>33111.672</v>
      </c>
      <c r="E24" s="15" t="n">
        <f aca="false">'Vessel Budget'!$AB$56</f>
        <v>14004.4608</v>
      </c>
    </row>
    <row r="25" customFormat="false" ht="15" hidden="false" customHeight="true" outlineLevel="0" collapsed="false">
      <c r="A25" s="1" t="s">
        <v>144</v>
      </c>
      <c r="B25" s="14" t="n">
        <v>0</v>
      </c>
      <c r="C25" s="14" t="n">
        <v>0</v>
      </c>
      <c r="D25" s="15" t="n">
        <f aca="false">'Vessel 2026 Modified'!$AB$57</f>
        <v>0</v>
      </c>
      <c r="E25" s="15" t="n">
        <f aca="false">'Vessel Budget'!$AB$57</f>
        <v>0</v>
      </c>
    </row>
    <row r="26" customFormat="false" ht="15" hidden="false" customHeight="true" outlineLevel="0" collapsed="false">
      <c r="A26" s="1" t="s">
        <v>145</v>
      </c>
      <c r="B26" s="14" t="n">
        <f aca="false">'Vessel 2026 P&amp;L'!$AB$48</f>
        <v>21341</v>
      </c>
      <c r="C26" s="14" t="n">
        <f aca="false">'Vessel 2026 P&amp;L'!$AB$48</f>
        <v>21341</v>
      </c>
      <c r="D26" s="15" t="n">
        <f aca="false">'Vessel 2026 Modified'!$AB$54</f>
        <v>13841</v>
      </c>
      <c r="E26" s="15" t="n">
        <f aca="false">'Vessel Budget'!$AB$54</f>
        <v>0</v>
      </c>
    </row>
    <row r="27" customFormat="false" ht="15" hidden="false" customHeight="true" outlineLevel="0" collapsed="false">
      <c r="A27" s="16" t="s">
        <v>146</v>
      </c>
      <c r="B27" s="17" t="n">
        <f aca="false">B19-B20-B22-B23-B24-B25-B26</f>
        <v>-13501</v>
      </c>
      <c r="C27" s="17" t="n">
        <f aca="false">C19-C20-C22-C23-C24-C25-C26</f>
        <v>-13501</v>
      </c>
      <c r="D27" s="17" t="n">
        <f aca="false">D19-D20-D22-D23-D24-D25-D26</f>
        <v>23051.702</v>
      </c>
      <c r="E27" s="17" t="n">
        <f aca="false">E19-E20-E22-E23-E24-E25-E26</f>
        <v>87113.7696</v>
      </c>
    </row>
    <row r="28" customFormat="false" ht="15" hidden="false" customHeight="true" outlineLevel="0" collapsed="false">
      <c r="A28" s="1" t="s">
        <v>147</v>
      </c>
      <c r="B28" s="18" t="n">
        <f aca="false">B27/B19</f>
        <v>-0.0383578379146246</v>
      </c>
      <c r="C28" s="18" t="n">
        <f aca="false">C27/C19</f>
        <v>-0.0383578379146246</v>
      </c>
      <c r="D28" s="18" t="n">
        <f aca="false">D27/D19</f>
        <v>0.0649772385049517</v>
      </c>
      <c r="E28" s="18" t="n">
        <f aca="false">E27/E19</f>
        <v>0.248817204301075</v>
      </c>
    </row>
    <row r="30" customFormat="false" ht="15" hidden="false" customHeight="true" outlineLevel="0" collapsed="false">
      <c r="A30" s="12" t="s">
        <v>149</v>
      </c>
    </row>
    <row r="31" customFormat="false" ht="15" hidden="false" customHeight="true" outlineLevel="0" collapsed="false">
      <c r="B31" s="13" t="s">
        <v>134</v>
      </c>
      <c r="C31" s="13" t="s">
        <v>135</v>
      </c>
      <c r="D31" s="13" t="s">
        <v>136</v>
      </c>
      <c r="E31" s="13" t="s">
        <v>137</v>
      </c>
    </row>
    <row r="32" customFormat="false" ht="15" hidden="false" customHeight="true" outlineLevel="0" collapsed="false">
      <c r="A32" s="1" t="s">
        <v>138</v>
      </c>
      <c r="B32" s="15" t="n">
        <f aca="false">B6+B19</f>
        <v>610262</v>
      </c>
      <c r="C32" s="15" t="n">
        <f aca="false">C6+C19</f>
        <v>640667</v>
      </c>
      <c r="D32" s="15" t="n">
        <f aca="false">D6+D19</f>
        <v>669636.04875</v>
      </c>
      <c r="E32" s="15" t="n">
        <f aca="false">E6+E19</f>
        <v>720967.317</v>
      </c>
    </row>
    <row r="33" customFormat="false" ht="15" hidden="false" customHeight="true" outlineLevel="0" collapsed="false">
      <c r="A33" s="1" t="s">
        <v>139</v>
      </c>
      <c r="B33" s="15" t="n">
        <f aca="false">B7+B20</f>
        <v>204531</v>
      </c>
      <c r="C33" s="15" t="n">
        <f aca="false">C7+C20</f>
        <v>227562</v>
      </c>
      <c r="D33" s="15" t="n">
        <f aca="false">D7+D20</f>
        <v>226693.0385</v>
      </c>
      <c r="E33" s="15" t="n">
        <f aca="false">E7+E20</f>
        <v>248612.0604</v>
      </c>
    </row>
    <row r="34" customFormat="false" ht="15" hidden="false" customHeight="true" outlineLevel="0" collapsed="false">
      <c r="A34" s="16" t="s">
        <v>140</v>
      </c>
      <c r="B34" s="17" t="n">
        <f aca="false">B32-B33</f>
        <v>405731</v>
      </c>
      <c r="C34" s="17" t="n">
        <f aca="false">C32-C33</f>
        <v>413105</v>
      </c>
      <c r="D34" s="17" t="n">
        <f aca="false">D32-D33</f>
        <v>442943.01025</v>
      </c>
      <c r="E34" s="17" t="n">
        <f aca="false">E32-E33</f>
        <v>472355.2566</v>
      </c>
    </row>
    <row r="35" customFormat="false" ht="15" hidden="false" customHeight="true" outlineLevel="0" collapsed="false">
      <c r="A35" s="1" t="s">
        <v>141</v>
      </c>
      <c r="B35" s="15" t="n">
        <f aca="false">B9+B22</f>
        <v>244891</v>
      </c>
      <c r="C35" s="15" t="n">
        <f aca="false">C9+C22</f>
        <v>250304</v>
      </c>
      <c r="D35" s="15" t="n">
        <f aca="false">D9+D22</f>
        <v>235512.066666667</v>
      </c>
      <c r="E35" s="15" t="n">
        <f aca="false">E9+E22</f>
        <v>191928.9568</v>
      </c>
    </row>
    <row r="36" customFormat="false" ht="15" hidden="false" customHeight="true" outlineLevel="0" collapsed="false">
      <c r="A36" s="1" t="s">
        <v>142</v>
      </c>
      <c r="B36" s="15" t="n">
        <f aca="false">B10+B23</f>
        <v>198513</v>
      </c>
      <c r="C36" s="15" t="n">
        <f aca="false">C10+C23</f>
        <v>205587</v>
      </c>
      <c r="D36" s="15" t="n">
        <f aca="false">D10+D23</f>
        <v>190925.1681375</v>
      </c>
      <c r="E36" s="15" t="n">
        <f aca="false">E10+E23</f>
        <v>163439.50593</v>
      </c>
    </row>
    <row r="37" customFormat="false" ht="15" hidden="false" customHeight="true" outlineLevel="0" collapsed="false">
      <c r="A37" s="1" t="s">
        <v>143</v>
      </c>
      <c r="B37" s="15" t="n">
        <f aca="false">B11+B24</f>
        <v>96000</v>
      </c>
      <c r="C37" s="15" t="n">
        <f aca="false">C11+C24</f>
        <v>96000</v>
      </c>
      <c r="D37" s="15" t="n">
        <f aca="false">D11+D24</f>
        <v>67292.60195</v>
      </c>
      <c r="E37" s="15" t="n">
        <f aca="false">E11+E24</f>
        <v>28838.69268</v>
      </c>
    </row>
    <row r="38" customFormat="false" ht="15" hidden="false" customHeight="true" outlineLevel="0" collapsed="false">
      <c r="A38" s="1" t="s">
        <v>144</v>
      </c>
      <c r="B38" s="15" t="n">
        <f aca="false">B12+B25</f>
        <v>0</v>
      </c>
      <c r="C38" s="15" t="n">
        <f aca="false">C12+C25</f>
        <v>0</v>
      </c>
      <c r="D38" s="15" t="n">
        <f aca="false">D12+D25</f>
        <v>0</v>
      </c>
      <c r="E38" s="15" t="n">
        <f aca="false">E12+E25</f>
        <v>0</v>
      </c>
    </row>
    <row r="39" customFormat="false" ht="15" hidden="false" customHeight="true" outlineLevel="0" collapsed="false">
      <c r="A39" s="1" t="s">
        <v>145</v>
      </c>
      <c r="B39" s="15" t="n">
        <f aca="false">B13+B26</f>
        <v>36983</v>
      </c>
      <c r="C39" s="15" t="n">
        <f aca="false">C13+C26</f>
        <v>38722</v>
      </c>
      <c r="D39" s="15" t="n">
        <f aca="false">D13+D26</f>
        <v>23522</v>
      </c>
      <c r="E39" s="15" t="n">
        <f aca="false">E13+E26</f>
        <v>0</v>
      </c>
    </row>
    <row r="40" customFormat="false" ht="15" hidden="false" customHeight="true" outlineLevel="0" collapsed="false">
      <c r="A40" s="16" t="s">
        <v>146</v>
      </c>
      <c r="B40" s="17" t="n">
        <f aca="false">B32-B33-B35-B36-B37-B38-B39</f>
        <v>-170656</v>
      </c>
      <c r="C40" s="17" t="n">
        <f aca="false">C32-C33-C35-C36-C37-C38-C39</f>
        <v>-177508</v>
      </c>
      <c r="D40" s="17" t="n">
        <f aca="false">D32-D33-D35-D36-D37-D38-D39</f>
        <v>-74308.8265041668</v>
      </c>
      <c r="E40" s="17" t="n">
        <f aca="false">E32-E33-E35-E36-E37-E38-E39</f>
        <v>88148.10119</v>
      </c>
    </row>
    <row r="41" customFormat="false" ht="15" hidden="false" customHeight="true" outlineLevel="0" collapsed="false">
      <c r="A41" s="1" t="s">
        <v>147</v>
      </c>
      <c r="B41" s="18" t="n">
        <f aca="false">B40/B32</f>
        <v>-0.279643825111182</v>
      </c>
      <c r="C41" s="18" t="n">
        <f aca="false">C40/C32</f>
        <v>-0.277067493721387</v>
      </c>
      <c r="D41" s="18" t="n">
        <f aca="false">D40/D32</f>
        <v>-0.110968975823327</v>
      </c>
      <c r="E41" s="18" t="n">
        <f aca="false">E40/E32</f>
        <v>0.122263657604884</v>
      </c>
    </row>
    <row r="43" customFormat="false" ht="15" hidden="false" customHeight="true" outlineLevel="0" collapsed="false">
      <c r="A43" s="11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5"/>
    <col collapsed="false" customWidth="true" hidden="false" outlineLevel="0" max="6" min="2" style="1" width="16"/>
  </cols>
  <sheetData>
    <row r="1" customFormat="false" ht="17.25" hidden="false" customHeight="true" outlineLevel="0" collapsed="false">
      <c r="A1" s="2" t="s">
        <v>151</v>
      </c>
      <c r="B1" s="19"/>
      <c r="C1" s="19"/>
      <c r="D1" s="19"/>
      <c r="E1" s="19"/>
      <c r="F1" s="19"/>
      <c r="G1" s="19"/>
      <c r="H1" s="19"/>
    </row>
    <row r="2" customFormat="false" ht="15" hidden="false" customHeight="true" outlineLevel="0" collapsed="false">
      <c r="A2" s="3" t="s">
        <v>152</v>
      </c>
      <c r="B2" s="19"/>
      <c r="C2" s="19"/>
      <c r="D2" s="19"/>
      <c r="E2" s="19"/>
      <c r="F2" s="19"/>
      <c r="G2" s="19"/>
      <c r="H2" s="19"/>
    </row>
    <row r="3" customFormat="false" ht="15" hidden="false" customHeight="true" outlineLevel="0" collapsed="false">
      <c r="A3" s="19"/>
      <c r="B3" s="19"/>
      <c r="C3" s="19"/>
      <c r="D3" s="19"/>
      <c r="E3" s="19"/>
      <c r="F3" s="19"/>
      <c r="G3" s="19"/>
      <c r="H3" s="19"/>
    </row>
    <row r="4" customFormat="false" ht="15" hidden="false" customHeight="true" outlineLevel="0" collapsed="false">
      <c r="A4" s="4"/>
      <c r="B4" s="4" t="s">
        <v>153</v>
      </c>
      <c r="C4" s="4" t="s">
        <v>154</v>
      </c>
      <c r="D4" s="4" t="s">
        <v>155</v>
      </c>
      <c r="E4" s="4" t="s">
        <v>156</v>
      </c>
      <c r="F4" s="19"/>
      <c r="G4" s="19"/>
      <c r="H4" s="19"/>
    </row>
    <row r="5" customFormat="false" ht="15" hidden="false" customHeight="true" outlineLevel="0" collapsed="false">
      <c r="A5" s="20" t="s">
        <v>157</v>
      </c>
      <c r="B5" s="21" t="n">
        <f aca="false">'LW 2026 P&amp;L'!$AB$55</f>
        <v>-164007</v>
      </c>
      <c r="C5" s="21" t="n">
        <f aca="false">'LW 2026 Modified'!$AB$62-'LW 2026 P&amp;L'!$AB$55</f>
        <v>66646.4714958333</v>
      </c>
      <c r="D5" s="21" t="n">
        <f aca="false">'LW 2026 Modified'!$AB$62</f>
        <v>-97360.5285041667</v>
      </c>
      <c r="E5" s="22" t="n">
        <f aca="false">'LW 2026 Modified'!$C$4</f>
        <v>46235</v>
      </c>
      <c r="F5" s="23"/>
      <c r="G5" s="19"/>
      <c r="H5" s="19"/>
    </row>
    <row r="6" customFormat="false" ht="15" hidden="false" customHeight="true" outlineLevel="0" collapsed="false">
      <c r="A6" s="5" t="s">
        <v>158</v>
      </c>
      <c r="B6" s="24" t="n">
        <f aca="false">'Vessel 2026 P&amp;L'!$AB$55</f>
        <v>-13501</v>
      </c>
      <c r="C6" s="24" t="n">
        <f aca="false">'Vessel 2026 Modified'!$AB$62-'Vessel 2026 P&amp;L'!$AB$55</f>
        <v>36552.702</v>
      </c>
      <c r="D6" s="24" t="n">
        <f aca="false">'Vessel 2026 Modified'!$AB$62</f>
        <v>23051.702</v>
      </c>
      <c r="E6" s="25" t="n">
        <f aca="false">'Vessel 2026 Modified'!$C$4</f>
        <v>46235</v>
      </c>
      <c r="F6" s="26"/>
      <c r="G6" s="19"/>
      <c r="H6" s="19"/>
    </row>
    <row r="7" customFormat="false" ht="15" hidden="false" customHeight="true" outlineLevel="0" collapsed="false">
      <c r="A7" s="6" t="s">
        <v>149</v>
      </c>
      <c r="B7" s="27" t="n">
        <f aca="false">B5+B6</f>
        <v>-177508</v>
      </c>
      <c r="C7" s="27" t="n">
        <f aca="false">C5+C6</f>
        <v>103199.173495833</v>
      </c>
      <c r="D7" s="27" t="n">
        <f aca="false">D5+D6</f>
        <v>-74308.8265041667</v>
      </c>
      <c r="E7" s="26"/>
      <c r="F7" s="26"/>
      <c r="G7" s="19"/>
      <c r="H7" s="19"/>
    </row>
    <row r="8" customFormat="false" ht="15" hidden="false" customHeight="true" outlineLevel="0" collapsed="false">
      <c r="A8" s="19"/>
      <c r="B8" s="28"/>
      <c r="C8" s="19"/>
      <c r="D8" s="29"/>
      <c r="E8" s="26"/>
      <c r="F8" s="26"/>
      <c r="G8" s="19"/>
      <c r="H8" s="19"/>
    </row>
    <row r="9" customFormat="false" ht="15" hidden="false" customHeight="true" outlineLevel="0" collapsed="false">
      <c r="A9" s="6" t="s">
        <v>159</v>
      </c>
      <c r="B9" s="28"/>
      <c r="C9" s="19"/>
      <c r="D9" s="29"/>
      <c r="E9" s="26"/>
      <c r="F9" s="26"/>
      <c r="G9" s="19"/>
      <c r="H9" s="19"/>
    </row>
    <row r="10" customFormat="false" ht="15" hidden="false" customHeight="true" outlineLevel="0" collapsed="false">
      <c r="A10" s="5" t="s">
        <v>160</v>
      </c>
      <c r="B10" s="28"/>
      <c r="C10" s="19"/>
      <c r="D10" s="29"/>
      <c r="E10" s="26"/>
      <c r="F10" s="26"/>
      <c r="G10" s="19"/>
      <c r="H10" s="19"/>
    </row>
    <row r="11" customFormat="false" ht="15" hidden="false" customHeight="true" outlineLevel="0" collapsed="false">
      <c r="A11" s="5" t="s">
        <v>161</v>
      </c>
      <c r="B11" s="28"/>
      <c r="C11" s="19"/>
      <c r="D11" s="29"/>
      <c r="E11" s="26"/>
      <c r="F11" s="26"/>
      <c r="G11" s="19"/>
      <c r="H11" s="19"/>
    </row>
    <row r="12" customFormat="false" ht="15" hidden="false" customHeight="true" outlineLevel="0" collapsed="false">
      <c r="A12" s="5" t="s">
        <v>162</v>
      </c>
      <c r="B12" s="28"/>
      <c r="C12" s="19"/>
      <c r="D12" s="29"/>
      <c r="E12" s="26"/>
      <c r="F12" s="26"/>
      <c r="G12" s="19"/>
      <c r="H12" s="19"/>
    </row>
    <row r="13" customFormat="false" ht="15" hidden="false" customHeight="true" outlineLevel="0" collapsed="false">
      <c r="A13" s="5" t="s">
        <v>163</v>
      </c>
      <c r="B13" s="28"/>
      <c r="C13" s="19"/>
      <c r="D13" s="29"/>
      <c r="E13" s="26"/>
      <c r="F13" s="26"/>
      <c r="G13" s="19"/>
      <c r="H13" s="19"/>
    </row>
    <row r="14" customFormat="false" ht="15" hidden="false" customHeight="true" outlineLevel="0" collapsed="false">
      <c r="A14" s="5" t="s">
        <v>164</v>
      </c>
      <c r="B14" s="19"/>
      <c r="C14" s="19"/>
      <c r="D14" s="19"/>
      <c r="E14" s="19"/>
      <c r="F14" s="26"/>
      <c r="G14" s="19"/>
      <c r="H14" s="19"/>
    </row>
    <row r="15" customFormat="false" ht="15" hidden="false" customHeight="true" outlineLevel="0" collapsed="false">
      <c r="A15" s="5" t="s">
        <v>165</v>
      </c>
      <c r="B15" s="19"/>
      <c r="C15" s="19"/>
      <c r="D15" s="19"/>
      <c r="E15" s="19"/>
      <c r="F15" s="19"/>
      <c r="G15" s="19"/>
      <c r="H15" s="19"/>
    </row>
    <row r="16" customFormat="false" ht="15" hidden="false" customHeight="true" outlineLevel="0" collapsed="false">
      <c r="A16" s="5" t="s">
        <v>166</v>
      </c>
      <c r="B16" s="19"/>
      <c r="C16" s="19"/>
      <c r="D16" s="19"/>
      <c r="E16" s="19"/>
      <c r="F16" s="19"/>
      <c r="G16" s="19"/>
      <c r="H16" s="19"/>
    </row>
    <row r="17" customFormat="false" ht="15" hidden="false" customHeight="true" outlineLevel="0" collapsed="false">
      <c r="A17" s="19"/>
      <c r="B17" s="19"/>
      <c r="C17" s="19"/>
      <c r="D17" s="19"/>
      <c r="E17" s="19"/>
      <c r="F17" s="19"/>
      <c r="G17" s="19"/>
      <c r="H17" s="19"/>
    </row>
    <row r="18" customFormat="false" ht="15" hidden="false" customHeight="true" outlineLevel="0" collapsed="false">
      <c r="A18" s="4" t="s">
        <v>167</v>
      </c>
      <c r="B18" s="4" t="s">
        <v>168</v>
      </c>
      <c r="C18" s="4" t="s">
        <v>169</v>
      </c>
      <c r="D18" s="4" t="s">
        <v>170</v>
      </c>
      <c r="E18" s="19"/>
      <c r="F18" s="26"/>
      <c r="G18" s="19"/>
      <c r="H18" s="19"/>
    </row>
    <row r="19" customFormat="false" ht="15" hidden="false" customHeight="true" outlineLevel="0" collapsed="false">
      <c r="A19" s="5" t="s">
        <v>157</v>
      </c>
      <c r="B19" s="24" t="n">
        <f aca="false">'LW 2026 P&amp;L'!Q55+'LW 2026 P&amp;L'!S55+'LW 2026 P&amp;L'!U55+'LW 2026 P&amp;L'!W55+'LW 2026 P&amp;L'!Y55</f>
        <v>-67807</v>
      </c>
      <c r="C19" s="24" t="n">
        <f aca="false">'LW 2026 Modified'!Q62+'LW 2026 Modified'!S62+'LW 2026 Modified'!U62+'LW 2026 Modified'!W62+'LW 2026 Modified'!Y62</f>
        <v>-1160.52850416665</v>
      </c>
      <c r="D19" s="24" t="n">
        <f aca="false">C19-B19</f>
        <v>66646.4714958334</v>
      </c>
      <c r="E19" s="19"/>
      <c r="F19" s="26"/>
      <c r="G19" s="19"/>
      <c r="H19" s="19"/>
    </row>
    <row r="20" customFormat="false" ht="15" hidden="false" customHeight="true" outlineLevel="0" collapsed="false">
      <c r="A20" s="5" t="s">
        <v>158</v>
      </c>
      <c r="B20" s="24" t="n">
        <f aca="false">'Vessel 2026 P&amp;L'!Q55+'Vessel 2026 P&amp;L'!S55+'Vessel 2026 P&amp;L'!U55+'Vessel 2026 P&amp;L'!W55+'Vessel 2026 P&amp;L'!Y55</f>
        <v>8977</v>
      </c>
      <c r="C20" s="24" t="n">
        <f aca="false">'Vessel 2026 Modified'!Q62+'Vessel 2026 Modified'!S62+'Vessel 2026 Modified'!U62+'Vessel 2026 Modified'!W62+'Vessel 2026 Modified'!Y62</f>
        <v>45529.702</v>
      </c>
      <c r="D20" s="24" t="n">
        <f aca="false">C20-B20</f>
        <v>36552.702</v>
      </c>
      <c r="E20" s="19" t="s">
        <v>171</v>
      </c>
      <c r="F20" s="26"/>
      <c r="G20" s="19"/>
      <c r="H20" s="19"/>
    </row>
    <row r="21" customFormat="false" ht="15" hidden="false" customHeight="true" outlineLevel="0" collapsed="false">
      <c r="A21" s="6" t="s">
        <v>149</v>
      </c>
      <c r="B21" s="27" t="n">
        <f aca="false">B19+B20</f>
        <v>-58830</v>
      </c>
      <c r="C21" s="27" t="n">
        <f aca="false">C19+C20</f>
        <v>44369.1734958334</v>
      </c>
      <c r="D21" s="27" t="n">
        <f aca="false">C21-B21</f>
        <v>103199.173495833</v>
      </c>
      <c r="E21" s="19"/>
      <c r="F21" s="19"/>
      <c r="G21" s="19"/>
      <c r="H21" s="19"/>
    </row>
    <row r="22" customFormat="false" ht="15" hidden="false" customHeight="true" outlineLevel="0" collapsed="false">
      <c r="A22" s="19"/>
      <c r="B22" s="19"/>
      <c r="C22" s="19"/>
      <c r="D22" s="19"/>
      <c r="E22" s="19"/>
      <c r="F22" s="26"/>
      <c r="G22" s="19"/>
      <c r="H22" s="19"/>
    </row>
    <row r="23" customFormat="false" ht="15" hidden="false" customHeight="true" outlineLevel="0" collapsed="false">
      <c r="A23" s="19"/>
      <c r="B23" s="19"/>
      <c r="C23" s="19"/>
      <c r="D23" s="19"/>
      <c r="E23" s="19"/>
      <c r="F23" s="26"/>
      <c r="G23" s="19"/>
      <c r="H23" s="19"/>
    </row>
    <row r="24" customFormat="false" ht="15" hidden="false" customHeight="true" outlineLevel="0" collapsed="false">
      <c r="A24" s="19"/>
      <c r="B24" s="19"/>
      <c r="C24" s="19"/>
      <c r="D24" s="19"/>
      <c r="E24" s="19"/>
      <c r="F24" s="26"/>
      <c r="G24" s="19"/>
      <c r="H24" s="19"/>
    </row>
    <row r="25" customFormat="false" ht="15" hidden="false" customHeight="true" outlineLevel="0" collapsed="false">
      <c r="A25" s="19"/>
      <c r="B25" s="19"/>
      <c r="C25" s="19"/>
      <c r="D25" s="19"/>
      <c r="E25" s="19"/>
      <c r="F25" s="19"/>
      <c r="G25" s="19"/>
      <c r="H25" s="19"/>
    </row>
    <row r="26" customFormat="false" ht="15" hidden="false" customHeight="true" outlineLevel="0" collapsed="false">
      <c r="A26" s="19"/>
      <c r="B26" s="19"/>
      <c r="C26" s="19"/>
      <c r="D26" s="19"/>
      <c r="E26" s="19"/>
      <c r="F26" s="26"/>
      <c r="G26" s="19"/>
      <c r="H26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1"/>
    <col collapsed="false" customWidth="true" hidden="false" outlineLevel="0" max="5" min="4" style="1" width="7"/>
    <col collapsed="false" customWidth="true" hidden="false" outlineLevel="0" max="6" min="6" style="1" width="11"/>
    <col collapsed="false" customWidth="true" hidden="false" outlineLevel="0" max="8" min="7" style="1" width="7"/>
    <col collapsed="false" customWidth="true" hidden="false" outlineLevel="0" max="9" min="9" style="1" width="11"/>
    <col collapsed="false" customWidth="true" hidden="false" outlineLevel="0" max="10" min="10" style="1" width="7"/>
  </cols>
  <sheetData>
    <row r="1" customFormat="false" ht="15" hidden="false" customHeight="true" outlineLevel="0" collapsed="false">
      <c r="A1" s="2" t="s">
        <v>131</v>
      </c>
    </row>
    <row r="2" customFormat="false" ht="15" hidden="false" customHeight="true" outlineLevel="0" collapsed="false">
      <c r="A2" s="2" t="s">
        <v>172</v>
      </c>
    </row>
    <row r="3" customFormat="false" ht="15" hidden="false" customHeight="true" outlineLevel="0" collapsed="false">
      <c r="A3" s="2" t="s">
        <v>173</v>
      </c>
    </row>
    <row r="5" customFormat="false" ht="15" hidden="false" customHeight="true" outlineLevel="0" collapsed="false">
      <c r="C5" s="30" t="s">
        <v>158</v>
      </c>
      <c r="D5" s="30"/>
      <c r="E5" s="31"/>
      <c r="F5" s="30" t="s">
        <v>157</v>
      </c>
      <c r="G5" s="30"/>
      <c r="H5" s="31"/>
      <c r="I5" s="30" t="s">
        <v>174</v>
      </c>
      <c r="J5" s="30"/>
    </row>
    <row r="6" customFormat="false" ht="15" hidden="false" customHeight="true" outlineLevel="0" collapsed="false">
      <c r="C6" s="32" t="s">
        <v>175</v>
      </c>
      <c r="D6" s="32"/>
      <c r="E6" s="33"/>
      <c r="F6" s="32" t="s">
        <v>175</v>
      </c>
      <c r="G6" s="32"/>
      <c r="H6" s="33"/>
      <c r="I6" s="32" t="s">
        <v>175</v>
      </c>
      <c r="J6" s="32"/>
    </row>
    <row r="7" customFormat="false" ht="15" hidden="false" customHeight="true" outlineLevel="0" collapsed="false">
      <c r="C7" s="31" t="s">
        <v>176</v>
      </c>
      <c r="D7" s="31" t="s">
        <v>177</v>
      </c>
      <c r="E7" s="31"/>
      <c r="F7" s="31" t="s">
        <v>176</v>
      </c>
      <c r="G7" s="31" t="s">
        <v>177</v>
      </c>
      <c r="H7" s="31"/>
      <c r="I7" s="31" t="s">
        <v>176</v>
      </c>
      <c r="J7" s="31" t="s">
        <v>177</v>
      </c>
    </row>
    <row r="11" customFormat="false" ht="15" hidden="false" customHeight="true" outlineLevel="0" collapsed="false">
      <c r="A11" s="6" t="s">
        <v>178</v>
      </c>
    </row>
    <row r="12" customFormat="false" ht="15" hidden="false" customHeight="true" outlineLevel="0" collapsed="false">
      <c r="A12" s="5" t="s">
        <v>179</v>
      </c>
      <c r="C12" s="24" t="n">
        <f aca="false">'Vessel Budget'!$AB$12</f>
        <v>216843.264</v>
      </c>
      <c r="D12" s="34" t="n">
        <f aca="false">IFERROR(C12/C$20,0)</f>
        <v>0.619354838709677</v>
      </c>
      <c r="F12" s="24" t="n">
        <f aca="false">'LW Budget'!$AB$12</f>
        <v>135366.3</v>
      </c>
      <c r="G12" s="34" t="n">
        <f aca="false">IFERROR(F12/F$20,0)</f>
        <v>0.365010608152904</v>
      </c>
      <c r="I12" s="24" t="n">
        <f aca="false">C12+F12</f>
        <v>352209.564</v>
      </c>
      <c r="J12" s="34" t="n">
        <f aca="false">IFERROR(I12/I$20,0)</f>
        <v>0.488523620551304</v>
      </c>
    </row>
    <row r="13" customFormat="false" ht="15" hidden="false" customHeight="true" outlineLevel="0" collapsed="false">
      <c r="A13" s="5" t="s">
        <v>180</v>
      </c>
      <c r="C13" s="24" t="n">
        <f aca="false">'Vessel Budget'!$AB$13</f>
        <v>21224.7341541804</v>
      </c>
      <c r="D13" s="34" t="n">
        <f aca="false">IFERROR(C13/C$20,0)</f>
        <v>0.0606227814331285</v>
      </c>
      <c r="F13" s="24" t="n">
        <f aca="false">'LW Budget'!$AB$13</f>
        <v>168766.62</v>
      </c>
      <c r="G13" s="34" t="n">
        <f aca="false">IFERROR(F13/F$20,0)</f>
        <v>0.455073431142833</v>
      </c>
      <c r="I13" s="24" t="n">
        <f aca="false">C13+F13</f>
        <v>189991.35415418</v>
      </c>
      <c r="J13" s="34" t="n">
        <f aca="false">IFERROR(I13/I$20,0)</f>
        <v>0.2635228389336</v>
      </c>
    </row>
    <row r="14" customFormat="false" ht="15" hidden="false" customHeight="true" outlineLevel="0" collapsed="false">
      <c r="A14" s="5" t="s">
        <v>181</v>
      </c>
      <c r="C14" s="24" t="n">
        <f aca="false">'Vessel Budget'!$AB$14</f>
        <v>35697.4623526089</v>
      </c>
      <c r="D14" s="34" t="n">
        <f aca="false">IFERROR(C14/C$20,0)</f>
        <v>0.101960262126219</v>
      </c>
      <c r="F14" s="24" t="n">
        <f aca="false">'LW Budget'!$AB$14</f>
        <v>7308</v>
      </c>
      <c r="G14" s="34" t="n">
        <f aca="false">IFERROR(F14/F$20,0)</f>
        <v>0.0197057725917117</v>
      </c>
      <c r="I14" s="24" t="n">
        <f aca="false">C14+F14</f>
        <v>43005.4623526089</v>
      </c>
      <c r="J14" s="34" t="n">
        <f aca="false">IFERROR(I14/I$20,0)</f>
        <v>0.0596496697403121</v>
      </c>
    </row>
    <row r="15" customFormat="false" ht="15" hidden="false" customHeight="true" outlineLevel="0" collapsed="false">
      <c r="A15" s="5" t="s">
        <v>182</v>
      </c>
      <c r="C15" s="24" t="n">
        <f aca="false">'Vessel Budget'!$AB$15</f>
        <v>1316.04954977007</v>
      </c>
      <c r="D15" s="34" t="n">
        <f aca="false">IFERROR(C15/C$20,0)</f>
        <v>0.00375894386385821</v>
      </c>
      <c r="F15" s="24" t="n">
        <f aca="false">'LW Budget'!$AB$15</f>
        <v>7380</v>
      </c>
      <c r="G15" s="34" t="n">
        <f aca="false">IFERROR(F15/F$20,0)</f>
        <v>0.0198999181344872</v>
      </c>
      <c r="I15" s="24" t="n">
        <f aca="false">C15+F15</f>
        <v>8696.04954977007</v>
      </c>
      <c r="J15" s="34" t="n">
        <f aca="false">IFERROR(I15/I$20,0)</f>
        <v>0.0120616418313593</v>
      </c>
    </row>
    <row r="16" customFormat="false" ht="15" hidden="false" customHeight="true" outlineLevel="0" collapsed="false">
      <c r="A16" s="5" t="s">
        <v>183</v>
      </c>
      <c r="C16" s="24" t="n">
        <f aca="false">'Vessel Budget'!$AB$16</f>
        <v>5007.70594344064</v>
      </c>
      <c r="D16" s="34" t="n">
        <f aca="false">IFERROR(C16/C$20,0)</f>
        <v>0.0143031738671171</v>
      </c>
      <c r="F16" s="24" t="n">
        <f aca="false">'LW Budget'!$AB$16</f>
        <v>12540</v>
      </c>
      <c r="G16" s="34" t="n">
        <f aca="false">IFERROR(F16/F$20,0)</f>
        <v>0.0338136820333969</v>
      </c>
      <c r="I16" s="24" t="n">
        <f aca="false">C16+F16</f>
        <v>17547.7059434406</v>
      </c>
      <c r="J16" s="34" t="n">
        <f aca="false">IFERROR(I16/I$20,0)</f>
        <v>0.0243391143116695</v>
      </c>
    </row>
    <row r="17" customFormat="false" ht="15" hidden="false" customHeight="true" outlineLevel="0" collapsed="false">
      <c r="A17" s="5" t="s">
        <v>184</v>
      </c>
      <c r="C17" s="24" t="n">
        <f aca="false">'Vessel Budget'!$AB$17</f>
        <v>0</v>
      </c>
      <c r="D17" s="34" t="n">
        <f aca="false">IFERROR(C17/C$20,0)</f>
        <v>0</v>
      </c>
      <c r="F17" s="24" t="n">
        <f aca="false">'LW Budget'!$AB$17</f>
        <v>44924</v>
      </c>
      <c r="G17" s="34" t="n">
        <f aca="false">IFERROR(F17/F$20,0)</f>
        <v>0.121136032828415</v>
      </c>
      <c r="I17" s="24" t="n">
        <f aca="false">C17+F17</f>
        <v>44924</v>
      </c>
      <c r="J17" s="34" t="n">
        <f aca="false">IFERROR(I17/I$20,0)</f>
        <v>0.0623107302379977</v>
      </c>
    </row>
    <row r="18" customFormat="false" ht="15" hidden="false" customHeight="true" outlineLevel="0" collapsed="false">
      <c r="A18" s="5" t="s">
        <v>185</v>
      </c>
      <c r="C18" s="24" t="n">
        <f aca="false">'Vessel Budget'!$AB$18</f>
        <v>70022.304</v>
      </c>
      <c r="D18" s="34" t="n">
        <f aca="false">IFERROR(C18/C$20,0)</f>
        <v>0.2</v>
      </c>
      <c r="F18" s="24" t="n">
        <f aca="false">'LW Budget'!$AB$18</f>
        <v>4080</v>
      </c>
      <c r="G18" s="34" t="n">
        <f aca="false">IFERROR(F18/F$20,0)</f>
        <v>0.0110015807572775</v>
      </c>
      <c r="I18" s="24" t="n">
        <f aca="false">C18+F18</f>
        <v>74102.304</v>
      </c>
      <c r="J18" s="34" t="n">
        <f aca="false">IFERROR(I18/I$20,0)</f>
        <v>0.102781779773798</v>
      </c>
    </row>
    <row r="19" customFormat="false" ht="15" hidden="false" customHeight="true" outlineLevel="0" collapsed="false">
      <c r="A19" s="5" t="s">
        <v>186</v>
      </c>
      <c r="C19" s="24" t="n">
        <f aca="false">'Vessel Budget'!$AB$19</f>
        <v>0</v>
      </c>
      <c r="D19" s="34" t="n">
        <f aca="false">IFERROR(C19/C$20,0)</f>
        <v>0</v>
      </c>
      <c r="F19" s="24" t="n">
        <f aca="false">'LW Budget'!$AB$19</f>
        <v>-9509.123</v>
      </c>
      <c r="G19" s="34" t="n">
        <f aca="false">IFERROR(F19/F$20,0)</f>
        <v>-0.0256410256410256</v>
      </c>
      <c r="I19" s="24" t="n">
        <f aca="false">C19+F19</f>
        <v>-9509.123</v>
      </c>
      <c r="J19" s="34" t="n">
        <f aca="false">IFERROR(I19/I$20,0)</f>
        <v>-0.0131893953800405</v>
      </c>
    </row>
    <row r="20" customFormat="false" ht="15" hidden="false" customHeight="true" outlineLevel="0" collapsed="false">
      <c r="A20" s="6" t="s">
        <v>138</v>
      </c>
      <c r="C20" s="27" t="n">
        <f aca="false">'Vessel Budget'!$AB$20</f>
        <v>350111.52</v>
      </c>
      <c r="D20" s="35" t="n">
        <f aca="false">IFERROR(C20/C$20,0)</f>
        <v>1</v>
      </c>
      <c r="F20" s="27" t="n">
        <f aca="false">'LW Budget'!$AB$20</f>
        <v>370855.797</v>
      </c>
      <c r="G20" s="35" t="n">
        <f aca="false">IFERROR(F20/F$20,0)</f>
        <v>1</v>
      </c>
      <c r="I20" s="27" t="n">
        <f aca="false">C20+F20</f>
        <v>720967.317</v>
      </c>
      <c r="J20" s="35" t="n">
        <f aca="false">IFERROR(I20/I$20,0)</f>
        <v>1</v>
      </c>
    </row>
    <row r="22" customFormat="false" ht="15" hidden="false" customHeight="true" outlineLevel="0" collapsed="false">
      <c r="A22" s="6" t="s">
        <v>187</v>
      </c>
    </row>
    <row r="23" customFormat="false" ht="15" hidden="false" customHeight="true" outlineLevel="0" collapsed="false">
      <c r="A23" s="5" t="s">
        <v>188</v>
      </c>
      <c r="C23" s="24" t="n">
        <f aca="false">'Vessel Budget'!$AB$23</f>
        <v>120468.48</v>
      </c>
      <c r="D23" s="34" t="n">
        <f aca="false">IFERROR(C23/C$12,0)</f>
        <v>0.555555555555556</v>
      </c>
      <c r="F23" s="24" t="n">
        <f aca="false">'LW Budget'!$AB$23</f>
        <v>53208</v>
      </c>
      <c r="G23" s="34" t="n">
        <f aca="false">IFERROR(F23/F$12,0)</f>
        <v>0.393066812049971</v>
      </c>
      <c r="I23" s="24" t="n">
        <f aca="false">C23+F23</f>
        <v>173676.48</v>
      </c>
      <c r="J23" s="34" t="n">
        <f aca="false">IFERROR(I23/I$12,0)</f>
        <v>0.493105519417411</v>
      </c>
    </row>
    <row r="24" customFormat="false" ht="15" hidden="false" customHeight="true" outlineLevel="0" collapsed="false">
      <c r="A24" s="5" t="s">
        <v>189</v>
      </c>
      <c r="C24" s="24" t="n">
        <f aca="false">'Vessel Budget'!$AB$24</f>
        <v>5306.1835385451</v>
      </c>
      <c r="D24" s="34" t="n">
        <f aca="false">IFERROR(C24/C$13,0)</f>
        <v>0.25</v>
      </c>
      <c r="F24" s="24" t="n">
        <f aca="false">'LW Budget'!$AB$24</f>
        <v>33996</v>
      </c>
      <c r="G24" s="34" t="n">
        <f aca="false">IFERROR(F24/F$13,0)</f>
        <v>0.201437938379047</v>
      </c>
      <c r="I24" s="24" t="n">
        <f aca="false">C24+F24</f>
        <v>39302.1835385451</v>
      </c>
      <c r="J24" s="34" t="n">
        <f aca="false">IFERROR(I24/I$13,0)</f>
        <v>0.206863010759168</v>
      </c>
    </row>
    <row r="25" customFormat="false" ht="15" hidden="false" customHeight="true" outlineLevel="0" collapsed="false">
      <c r="A25" s="5" t="s">
        <v>190</v>
      </c>
      <c r="C25" s="24" t="n">
        <f aca="false">'Vessel Budget'!$AB$25</f>
        <v>8924.36558815223</v>
      </c>
      <c r="D25" s="34" t="n">
        <f aca="false">IFERROR(C25/C$14,0)</f>
        <v>0.25</v>
      </c>
      <c r="F25" s="24" t="n">
        <f aca="false">'LW Budget'!$AB$25</f>
        <v>948</v>
      </c>
      <c r="G25" s="34" t="n">
        <f aca="false">IFERROR(F25/F$14,0)</f>
        <v>0.129720853858785</v>
      </c>
      <c r="I25" s="24" t="n">
        <f aca="false">C25+F25</f>
        <v>9872.36558815223</v>
      </c>
      <c r="J25" s="34" t="n">
        <f aca="false">IFERROR(I25/I$14,0)</f>
        <v>0.229560735964354</v>
      </c>
    </row>
    <row r="26" customFormat="false" ht="15" hidden="false" customHeight="true" outlineLevel="0" collapsed="false">
      <c r="A26" s="5" t="s">
        <v>191</v>
      </c>
      <c r="C26" s="24" t="n">
        <f aca="false">'Vessel Budget'!$AB$26</f>
        <v>329.012387442517</v>
      </c>
      <c r="D26" s="34" t="n">
        <f aca="false">IFERROR(C26/C$15,0)</f>
        <v>0.25</v>
      </c>
      <c r="F26" s="24" t="n">
        <f aca="false">'LW Budget'!$AB$26</f>
        <v>2064</v>
      </c>
      <c r="G26" s="34" t="n">
        <f aca="false">IFERROR(F26/F$15,0)</f>
        <v>0.279674796747967</v>
      </c>
      <c r="I26" s="24" t="n">
        <f aca="false">C26+F26</f>
        <v>2393.01238744252</v>
      </c>
      <c r="J26" s="34" t="n">
        <f aca="false">IFERROR(I26/I$15,0)</f>
        <v>0.275183849142832</v>
      </c>
    </row>
    <row r="27" customFormat="false" ht="15" hidden="false" customHeight="true" outlineLevel="0" collapsed="false">
      <c r="A27" s="5" t="s">
        <v>192</v>
      </c>
      <c r="C27" s="24" t="n">
        <f aca="false">'Vessel Budget'!$AB$27</f>
        <v>1251.92648586016</v>
      </c>
      <c r="D27" s="34" t="n">
        <f aca="false">IFERROR(C27/C$16,0)</f>
        <v>0.25</v>
      </c>
      <c r="F27" s="24" t="n">
        <f aca="false">'LW Budget'!$AB$27</f>
        <v>4476</v>
      </c>
      <c r="G27" s="34" t="n">
        <f aca="false">IFERROR(F27/F$16,0)</f>
        <v>0.356937799043062</v>
      </c>
      <c r="I27" s="24" t="n">
        <f aca="false">C27+F27</f>
        <v>5727.92648586016</v>
      </c>
      <c r="J27" s="34" t="n">
        <f aca="false">IFERROR(I27/I$16,0)</f>
        <v>0.326420245718858</v>
      </c>
    </row>
    <row r="28" customFormat="false" ht="15" hidden="false" customHeight="true" outlineLevel="0" collapsed="false">
      <c r="A28" s="5" t="s">
        <v>193</v>
      </c>
      <c r="C28" s="24" t="n">
        <f aca="false">'Vessel Budget'!$AB$28</f>
        <v>0</v>
      </c>
      <c r="D28" s="34" t="n">
        <f aca="false">IFERROR(C28/C$17,0)</f>
        <v>0</v>
      </c>
      <c r="F28" s="24" t="n">
        <f aca="false">'LW Budget'!$AB$28</f>
        <v>17640.0924</v>
      </c>
      <c r="G28" s="34" t="n">
        <f aca="false">IFERROR(F28/F$17,0)</f>
        <v>0.392665221262577</v>
      </c>
      <c r="I28" s="24" t="n">
        <f aca="false">C28+F28</f>
        <v>17640.0924</v>
      </c>
      <c r="J28" s="34" t="n">
        <f aca="false">IFERROR(I28/I$17,0)</f>
        <v>0.392665221262577</v>
      </c>
    </row>
    <row r="29" customFormat="false" ht="15" hidden="false" customHeight="true" outlineLevel="0" collapsed="false">
      <c r="A29" s="6" t="s">
        <v>139</v>
      </c>
      <c r="C29" s="27" t="n">
        <f aca="false">'Vessel Budget'!$AB$29</f>
        <v>136279.968</v>
      </c>
      <c r="D29" s="35" t="n">
        <f aca="false">IFERROR(C29/C$20,0)</f>
        <v>0.389247311827957</v>
      </c>
      <c r="F29" s="27" t="n">
        <f aca="false">'LW Budget'!$AB$29</f>
        <v>112332.0924</v>
      </c>
      <c r="G29" s="35" t="n">
        <f aca="false">IFERROR(F29/F$20,0)</f>
        <v>0.302899653473665</v>
      </c>
      <c r="I29" s="27" t="n">
        <f aca="false">C29+F29</f>
        <v>248612.0604</v>
      </c>
      <c r="J29" s="35" t="n">
        <f aca="false">IFERROR(I29/I$20,0)</f>
        <v>0.344831248987116</v>
      </c>
    </row>
    <row r="30" customFormat="false" ht="15" hidden="false" customHeight="true" outlineLevel="0" collapsed="false">
      <c r="A30" s="6" t="s">
        <v>140</v>
      </c>
      <c r="C30" s="7" t="n">
        <f aca="false">'Vessel Budget'!$AB$30</f>
        <v>213831.552</v>
      </c>
      <c r="D30" s="8" t="n">
        <f aca="false">IFERROR(C30/C$20,0)</f>
        <v>0.610752688172043</v>
      </c>
      <c r="F30" s="7" t="n">
        <f aca="false">'LW Budget'!$AB$30</f>
        <v>258523.7046</v>
      </c>
      <c r="G30" s="8" t="n">
        <f aca="false">IFERROR(F30/F$20,0)</f>
        <v>0.697100346526335</v>
      </c>
      <c r="I30" s="7" t="n">
        <f aca="false">C30+F30</f>
        <v>472355.2566</v>
      </c>
      <c r="J30" s="8" t="n">
        <f aca="false">IFERROR(I30/I$20,0)</f>
        <v>0.655168751012884</v>
      </c>
    </row>
    <row r="32" customFormat="false" ht="15" hidden="false" customHeight="true" outlineLevel="0" collapsed="false">
      <c r="A32" s="6" t="s">
        <v>194</v>
      </c>
    </row>
    <row r="33" customFormat="false" ht="15" hidden="false" customHeight="true" outlineLevel="0" collapsed="false">
      <c r="A33" s="5" t="s">
        <v>195</v>
      </c>
      <c r="C33" s="24" t="n">
        <f aca="false">'Vessel Budget'!$AB$33</f>
        <v>4141.104</v>
      </c>
      <c r="D33" s="34" t="n">
        <f aca="false">IFERROR(C33/C$20,0)</f>
        <v>0.0118279569892473</v>
      </c>
      <c r="F33" s="24" t="n">
        <f aca="false">'LW Budget'!$AB$33</f>
        <v>19884</v>
      </c>
      <c r="G33" s="34" t="n">
        <f aca="false">IFERROR(F33/F$20,0)</f>
        <v>0.0536165273964964</v>
      </c>
      <c r="I33" s="24" t="n">
        <f aca="false">C33+F33</f>
        <v>24025.104</v>
      </c>
      <c r="J33" s="34" t="n">
        <f aca="false">IFERROR(I33/I$20,0)</f>
        <v>0.0333234301104942</v>
      </c>
    </row>
    <row r="34" customFormat="false" ht="15" hidden="false" customHeight="true" outlineLevel="0" collapsed="false">
      <c r="A34" s="5" t="s">
        <v>196</v>
      </c>
      <c r="C34" s="24" t="n">
        <f aca="false">'Vessel Budget'!$AB$34</f>
        <v>0</v>
      </c>
      <c r="D34" s="34" t="n">
        <f aca="false">IFERROR(C34/C$20,0)</f>
        <v>0</v>
      </c>
      <c r="F34" s="24" t="n">
        <f aca="false">'LW Budget'!$AB$34</f>
        <v>15392</v>
      </c>
      <c r="G34" s="34" t="n">
        <f aca="false">IFERROR(F34/F$20,0)</f>
        <v>0.0415040027000036</v>
      </c>
      <c r="I34" s="24" t="n">
        <f aca="false">C34+F34</f>
        <v>15392</v>
      </c>
      <c r="J34" s="34" t="n">
        <f aca="false">IFERROR(I34/I$20,0)</f>
        <v>0.0213490953571201</v>
      </c>
    </row>
    <row r="35" customFormat="false" ht="15" hidden="false" customHeight="true" outlineLevel="0" collapsed="false">
      <c r="A35" s="5" t="s">
        <v>197</v>
      </c>
      <c r="C35" s="24" t="n">
        <f aca="false">'Vessel Budget'!$AB$35</f>
        <v>39528.72</v>
      </c>
      <c r="D35" s="34" t="n">
        <f aca="false">IFERROR(C35/C$20,0)</f>
        <v>0.112903225806452</v>
      </c>
      <c r="F35" s="24" t="n">
        <f aca="false">'LW Budget'!$AB$35</f>
        <v>81120</v>
      </c>
      <c r="G35" s="34" t="n">
        <f aca="false">IFERROR(F35/F$20,0)</f>
        <v>0.218737311527046</v>
      </c>
      <c r="I35" s="24" t="n">
        <f aca="false">C35+F35</f>
        <v>120648.72</v>
      </c>
      <c r="J35" s="34" t="n">
        <f aca="false">IFERROR(I35/I$20,0)</f>
        <v>0.167342842255358</v>
      </c>
    </row>
    <row r="36" customFormat="false" ht="15" hidden="false" customHeight="true" outlineLevel="0" collapsed="false">
      <c r="A36" s="5" t="s">
        <v>198</v>
      </c>
      <c r="C36" s="24" t="n">
        <f aca="false">'Vessel Budget'!$AB$36</f>
        <v>8583.3792</v>
      </c>
      <c r="D36" s="34" t="n">
        <f aca="false">IFERROR(C36/C$20,0)</f>
        <v>0.0245161290322581</v>
      </c>
      <c r="F36" s="24" t="n">
        <f aca="false">'LW Budget'!$AB$36</f>
        <v>18623.36</v>
      </c>
      <c r="G36" s="34" t="n">
        <f aca="false">IFERROR(F36/F$20,0)</f>
        <v>0.0502172546597674</v>
      </c>
      <c r="I36" s="24" t="n">
        <f aca="false">C36+F36</f>
        <v>27206.7392</v>
      </c>
      <c r="J36" s="34" t="n">
        <f aca="false">IFERROR(I36/I$20,0)</f>
        <v>0.0377364390291772</v>
      </c>
    </row>
    <row r="37" customFormat="false" ht="15" hidden="false" customHeight="true" outlineLevel="0" collapsed="false">
      <c r="A37" s="5" t="s">
        <v>199</v>
      </c>
      <c r="C37" s="24" t="n">
        <f aca="false">'Vessel Budget'!$AB$37</f>
        <v>8432.7936</v>
      </c>
      <c r="D37" s="34" t="n">
        <f aca="false">IFERROR(C37/C$20,0)</f>
        <v>0.0240860215053763</v>
      </c>
      <c r="F37" s="24" t="n">
        <f aca="false">'LW Budget'!$AB$37</f>
        <v>-3776.39999999999</v>
      </c>
      <c r="G37" s="34" t="n">
        <f aca="false">IFERROR(F37/F$20,0)</f>
        <v>-0.0101829337185742</v>
      </c>
      <c r="I37" s="24" t="n">
        <f aca="false">C37+F37</f>
        <v>4656.39360000001</v>
      </c>
      <c r="J37" s="34" t="n">
        <f aca="false">IFERROR(I37/I$20,0)</f>
        <v>0.00645853631670242</v>
      </c>
    </row>
    <row r="38" customFormat="false" ht="15" hidden="false" customHeight="true" outlineLevel="0" collapsed="false">
      <c r="A38" s="6" t="s">
        <v>141</v>
      </c>
      <c r="C38" s="27" t="n">
        <f aca="false">'Vessel Budget'!$AB$38</f>
        <v>60685.9968</v>
      </c>
      <c r="D38" s="35" t="n">
        <f aca="false">IFERROR(C38/C$20,0)</f>
        <v>0.173333333333333</v>
      </c>
      <c r="F38" s="27" t="n">
        <f aca="false">'LW Budget'!$AB$38</f>
        <v>131242.96</v>
      </c>
      <c r="G38" s="35" t="n">
        <f aca="false">IFERROR(F38/F$20,0)</f>
        <v>0.35389216256474</v>
      </c>
      <c r="I38" s="27" t="n">
        <f aca="false">C38+F38</f>
        <v>191928.9568</v>
      </c>
      <c r="J38" s="35" t="n">
        <f aca="false">IFERROR(I38/I$20,0)</f>
        <v>0.266210343068852</v>
      </c>
    </row>
    <row r="40" customFormat="false" ht="15" hidden="false" customHeight="true" outlineLevel="0" collapsed="false">
      <c r="A40" s="6" t="s">
        <v>200</v>
      </c>
      <c r="C40" s="7" t="n">
        <f aca="false">'Vessel Budget'!$AB$40</f>
        <v>196965.9648</v>
      </c>
      <c r="D40" s="8" t="n">
        <f aca="false">IFERROR(C40/C$20,0)</f>
        <v>0.56258064516129</v>
      </c>
      <c r="F40" s="7" t="n">
        <f aca="false">'LW Budget'!$AB$40</f>
        <v>243575.0524</v>
      </c>
      <c r="G40" s="8" t="n">
        <f aca="false">IFERROR(F40/F$20,0)</f>
        <v>0.656791816038405</v>
      </c>
      <c r="I40" s="7" t="n">
        <f aca="false">C40+F40</f>
        <v>440541.0172</v>
      </c>
      <c r="J40" s="8" t="n">
        <f aca="false">IFERROR(I40/I$20,0)</f>
        <v>0.611041592055968</v>
      </c>
    </row>
    <row r="41" customFormat="false" ht="15" hidden="false" customHeight="true" outlineLevel="0" collapsed="false">
      <c r="A41" s="6" t="s">
        <v>201</v>
      </c>
      <c r="C41" s="7" t="n">
        <f aca="false">'Vessel Budget'!$AB$41</f>
        <v>153145.5552</v>
      </c>
      <c r="D41" s="8" t="n">
        <f aca="false">IFERROR(C41/C$20,0)</f>
        <v>0.43741935483871</v>
      </c>
      <c r="F41" s="7" t="n">
        <f aca="false">'LW Budget'!$AB$41</f>
        <v>127280.7446</v>
      </c>
      <c r="G41" s="8" t="n">
        <f aca="false">IFERROR(F41/F$20,0)</f>
        <v>0.343208183961595</v>
      </c>
      <c r="I41" s="7" t="n">
        <f aca="false">C41+F41</f>
        <v>280426.2998</v>
      </c>
      <c r="J41" s="8" t="n">
        <f aca="false">IFERROR(I41/I$20,0)</f>
        <v>0.388958407944032</v>
      </c>
    </row>
    <row r="43" customFormat="false" ht="15" hidden="false" customHeight="true" outlineLevel="0" collapsed="false">
      <c r="A43" s="6" t="s">
        <v>202</v>
      </c>
    </row>
    <row r="44" customFormat="false" ht="15" hidden="false" customHeight="true" outlineLevel="0" collapsed="false">
      <c r="A44" s="5" t="s">
        <v>203</v>
      </c>
      <c r="C44" s="24" t="n">
        <f aca="false">'Vessel Budget'!$AB$44</f>
        <v>43293.36</v>
      </c>
      <c r="D44" s="34" t="n">
        <f aca="false">IFERROR(C44/C$20,0)</f>
        <v>0.123655913978495</v>
      </c>
      <c r="F44" s="24" t="n">
        <f aca="false">'LW Budget'!$AB$44</f>
        <v>46356.974625</v>
      </c>
      <c r="G44" s="34" t="n">
        <f aca="false">IFERROR(F44/F$20,0)</f>
        <v>0.125</v>
      </c>
      <c r="I44" s="24" t="n">
        <f aca="false">C44+F44</f>
        <v>89650.334625</v>
      </c>
      <c r="J44" s="34" t="n">
        <f aca="false">IFERROR(I44/I$20,0)</f>
        <v>0.124347293575029</v>
      </c>
    </row>
    <row r="45" customFormat="false" ht="15" hidden="false" customHeight="true" outlineLevel="0" collapsed="false">
      <c r="A45" s="5" t="s">
        <v>204</v>
      </c>
      <c r="C45" s="24" t="n">
        <f aca="false">'Vessel Budget'!$AB$45</f>
        <v>0</v>
      </c>
      <c r="D45" s="34" t="n">
        <f aca="false">IFERROR(C45/C$20,0)</f>
        <v>0</v>
      </c>
      <c r="F45" s="24" t="n">
        <f aca="false">'LW Budget'!$AB$45</f>
        <v>0</v>
      </c>
      <c r="G45" s="34" t="n">
        <f aca="false">IFERROR(F45/F$20,0)</f>
        <v>0</v>
      </c>
      <c r="I45" s="24" t="n">
        <f aca="false">C45+F45</f>
        <v>0</v>
      </c>
      <c r="J45" s="34" t="n">
        <f aca="false">IFERROR(I45/I$20,0)</f>
        <v>0</v>
      </c>
    </row>
    <row r="46" customFormat="false" ht="15" hidden="false" customHeight="true" outlineLevel="0" collapsed="false">
      <c r="A46" s="5" t="s">
        <v>205</v>
      </c>
      <c r="C46" s="24" t="n">
        <f aca="false">'Vessel Budget'!$AB$46</f>
        <v>0</v>
      </c>
      <c r="D46" s="34" t="n">
        <f aca="false">IFERROR(C46/C$20,0)</f>
        <v>0</v>
      </c>
      <c r="F46" s="24" t="n">
        <f aca="false">'LW Budget'!$AB$46</f>
        <v>12979.952895</v>
      </c>
      <c r="G46" s="34" t="n">
        <f aca="false">IFERROR(F46/F$20,0)</f>
        <v>0.035</v>
      </c>
      <c r="I46" s="24" t="n">
        <f aca="false">C46+F46</f>
        <v>12979.952895</v>
      </c>
      <c r="J46" s="34" t="n">
        <f aca="false">IFERROR(I46/I$20,0)</f>
        <v>0.0180035246937553</v>
      </c>
    </row>
    <row r="47" customFormat="false" ht="15" hidden="false" customHeight="true" outlineLevel="0" collapsed="false">
      <c r="A47" s="5" t="s">
        <v>206</v>
      </c>
      <c r="C47" s="24" t="n">
        <f aca="false">'Vessel Budget'!$AB$47</f>
        <v>0</v>
      </c>
      <c r="D47" s="34" t="n">
        <f aca="false">IFERROR(C47/C$20,0)</f>
        <v>0</v>
      </c>
      <c r="F47" s="24" t="n">
        <f aca="false">'LW Budget'!$AB$47</f>
        <v>31522.742745</v>
      </c>
      <c r="G47" s="34" t="n">
        <f aca="false">IFERROR(F47/F$20,0)</f>
        <v>0.085</v>
      </c>
      <c r="I47" s="24" t="n">
        <f aca="false">C47+F47</f>
        <v>31522.742745</v>
      </c>
      <c r="J47" s="34" t="n">
        <f aca="false">IFERROR(I47/I$20,0)</f>
        <v>0.0437228456848343</v>
      </c>
    </row>
    <row r="48" customFormat="false" ht="15" hidden="false" customHeight="true" outlineLevel="0" collapsed="false">
      <c r="A48" s="5" t="s">
        <v>207</v>
      </c>
      <c r="C48" s="24" t="n">
        <f aca="false">'Vessel Budget'!$AB$48</f>
        <v>0</v>
      </c>
      <c r="D48" s="34" t="n">
        <f aca="false">IFERROR(C48/C$20,0)</f>
        <v>0</v>
      </c>
      <c r="F48" s="24" t="n">
        <f aca="false">'LW Budget'!$AB$48</f>
        <v>876</v>
      </c>
      <c r="G48" s="34" t="n">
        <f aca="false">IFERROR(F48/F$20,0)</f>
        <v>0.0023621041037684</v>
      </c>
      <c r="I48" s="24" t="n">
        <f aca="false">C48+F48</f>
        <v>876</v>
      </c>
      <c r="J48" s="34" t="n">
        <f aca="false">IFERROR(I48/I$20,0)</f>
        <v>0.00121503427318329</v>
      </c>
    </row>
    <row r="49" customFormat="false" ht="15" hidden="false" customHeight="true" outlineLevel="0" collapsed="false">
      <c r="A49" s="5" t="s">
        <v>208</v>
      </c>
      <c r="C49" s="24" t="n">
        <f aca="false">'Vessel Budget'!$AB$49</f>
        <v>0</v>
      </c>
      <c r="D49" s="34" t="n">
        <f aca="false">IFERROR(C49/C$20,0)</f>
        <v>0</v>
      </c>
      <c r="F49" s="24" t="n">
        <f aca="false">'LW Budget'!$AB$49</f>
        <v>0</v>
      </c>
      <c r="G49" s="34" t="n">
        <f aca="false">IFERROR(F49/F$20,0)</f>
        <v>0</v>
      </c>
      <c r="I49" s="24" t="n">
        <f aca="false">C49+F49</f>
        <v>0</v>
      </c>
      <c r="J49" s="34" t="n">
        <f aca="false">IFERROR(I49/I$20,0)</f>
        <v>0</v>
      </c>
    </row>
    <row r="50" customFormat="false" ht="15" hidden="false" customHeight="true" outlineLevel="0" collapsed="false">
      <c r="A50" s="6" t="s">
        <v>209</v>
      </c>
      <c r="C50" s="27" t="n">
        <f aca="false">'Vessel Budget'!$AB$50</f>
        <v>43293.36</v>
      </c>
      <c r="D50" s="35" t="n">
        <f aca="false">IFERROR(C50/C$20,0)</f>
        <v>0.123655913978495</v>
      </c>
      <c r="F50" s="27" t="n">
        <f aca="false">'LW Budget'!$AB$50</f>
        <v>91735.670265</v>
      </c>
      <c r="G50" s="35" t="n">
        <f aca="false">IFERROR(F50/F$20,0)</f>
        <v>0.247362104103768</v>
      </c>
      <c r="I50" s="27" t="n">
        <f aca="false">C50+F50</f>
        <v>135029.030265</v>
      </c>
      <c r="J50" s="35" t="n">
        <f aca="false">IFERROR(I50/I$20,0)</f>
        <v>0.187288698226802</v>
      </c>
    </row>
    <row r="52" customFormat="false" ht="15" hidden="false" customHeight="true" outlineLevel="0" collapsed="false">
      <c r="A52" s="6" t="s">
        <v>210</v>
      </c>
    </row>
    <row r="53" customFormat="false" ht="15" hidden="false" customHeight="true" outlineLevel="0" collapsed="false">
      <c r="A53" s="5" t="s">
        <v>211</v>
      </c>
      <c r="C53" s="24" t="n">
        <f aca="false">'Vessel Budget'!$AB$53</f>
        <v>0</v>
      </c>
      <c r="D53" s="34" t="n">
        <f aca="false">IFERROR(C53/C$20,0)</f>
        <v>0</v>
      </c>
      <c r="F53" s="24" t="n">
        <f aca="false">'LW Budget'!$AB$53</f>
        <v>2988</v>
      </c>
      <c r="G53" s="34" t="n">
        <f aca="false">IFERROR(F53/F$20,0)</f>
        <v>0.00805704002518262</v>
      </c>
      <c r="I53" s="24" t="n">
        <f aca="false">C53+F53</f>
        <v>2988</v>
      </c>
      <c r="J53" s="34" t="n">
        <f aca="false">IFERROR(I53/I$20,0)</f>
        <v>0.00414443197291286</v>
      </c>
    </row>
    <row r="54" customFormat="false" ht="15" hidden="false" customHeight="true" outlineLevel="0" collapsed="false">
      <c r="A54" s="5" t="s">
        <v>212</v>
      </c>
      <c r="C54" s="24" t="n">
        <f aca="false">'Vessel Budget'!$AB$54</f>
        <v>0</v>
      </c>
      <c r="D54" s="34" t="n">
        <f aca="false">IFERROR(C54/C$20,0)</f>
        <v>0</v>
      </c>
      <c r="F54" s="24" t="n">
        <f aca="false">'LW Budget'!$AB$54</f>
        <v>0</v>
      </c>
      <c r="G54" s="34" t="n">
        <f aca="false">IFERROR(F54/F$20,0)</f>
        <v>0</v>
      </c>
      <c r="I54" s="24" t="n">
        <f aca="false">C54+F54</f>
        <v>0</v>
      </c>
      <c r="J54" s="34" t="n">
        <f aca="false">IFERROR(I54/I$20,0)</f>
        <v>0</v>
      </c>
    </row>
    <row r="55" customFormat="false" ht="15" hidden="false" customHeight="true" outlineLevel="0" collapsed="false">
      <c r="A55" s="5" t="s">
        <v>213</v>
      </c>
      <c r="C55" s="24" t="n">
        <f aca="false">'Vessel Budget'!$AB$55</f>
        <v>8733.9648</v>
      </c>
      <c r="D55" s="34" t="n">
        <f aca="false">IFERROR(C55/C$20,0)</f>
        <v>0.0249462365591398</v>
      </c>
      <c r="F55" s="24" t="n">
        <f aca="false">'LW Budget'!$AB$55</f>
        <v>16688.510865</v>
      </c>
      <c r="G55" s="34" t="n">
        <f aca="false">IFERROR(F55/F$20,0)</f>
        <v>0.045</v>
      </c>
      <c r="I55" s="24" t="n">
        <f aca="false">C55+F55</f>
        <v>25422.475665</v>
      </c>
      <c r="J55" s="34" t="n">
        <f aca="false">IFERROR(I55/I$20,0)</f>
        <v>0.0352616201394328</v>
      </c>
    </row>
    <row r="56" customFormat="false" ht="15" hidden="false" customHeight="true" outlineLevel="0" collapsed="false">
      <c r="A56" s="5" t="s">
        <v>143</v>
      </c>
      <c r="C56" s="24" t="n">
        <f aca="false">'Vessel Budget'!$AB$56</f>
        <v>14004.4608</v>
      </c>
      <c r="D56" s="34" t="n">
        <f aca="false">IFERROR(C56/C$20,0)</f>
        <v>0.04</v>
      </c>
      <c r="F56" s="24" t="n">
        <f aca="false">'LW Budget'!$AB$56</f>
        <v>14834.23188</v>
      </c>
      <c r="G56" s="34" t="n">
        <f aca="false">IFERROR(F56/F$20,0)</f>
        <v>0.04</v>
      </c>
      <c r="I56" s="24" t="n">
        <f aca="false">C56+F56</f>
        <v>28838.69268</v>
      </c>
      <c r="J56" s="34" t="n">
        <f aca="false">IFERROR(I56/I$20,0)</f>
        <v>0.04</v>
      </c>
    </row>
    <row r="57" customFormat="false" ht="15" hidden="false" customHeight="true" outlineLevel="0" collapsed="false">
      <c r="A57" s="5" t="s">
        <v>214</v>
      </c>
      <c r="C57" s="24" t="n">
        <f aca="false">'Vessel Budget'!$AB$57</f>
        <v>0</v>
      </c>
      <c r="D57" s="34" t="n">
        <f aca="false">IFERROR(C57/C$20,0)</f>
        <v>0</v>
      </c>
      <c r="F57" s="24" t="n">
        <f aca="false">'LW Budget'!$AB$57</f>
        <v>0</v>
      </c>
      <c r="G57" s="34" t="n">
        <f aca="false">IFERROR(F57/F$20,0)</f>
        <v>0</v>
      </c>
      <c r="I57" s="24" t="n">
        <f aca="false">C57+F57</f>
        <v>0</v>
      </c>
      <c r="J57" s="34" t="n">
        <f aca="false">IFERROR(I57/I$20,0)</f>
        <v>0</v>
      </c>
    </row>
    <row r="58" customFormat="false" ht="15" hidden="false" customHeight="true" outlineLevel="0" collapsed="false">
      <c r="A58" s="5" t="s">
        <v>215</v>
      </c>
      <c r="C58" s="24" t="n">
        <f aca="false">'Vessel Budget'!$AB$58</f>
        <v>0</v>
      </c>
      <c r="D58" s="34" t="n">
        <f aca="false">IFERROR(C58/C$20,0)</f>
        <v>0</v>
      </c>
      <c r="F58" s="24" t="n">
        <f aca="false">'LW Budget'!$AB$58</f>
        <v>0</v>
      </c>
      <c r="G58" s="34" t="n">
        <f aca="false">IFERROR(F58/F$20,0)</f>
        <v>0</v>
      </c>
      <c r="I58" s="24" t="n">
        <f aca="false">C58+F58</f>
        <v>0</v>
      </c>
      <c r="J58" s="34" t="n">
        <f aca="false">IFERROR(I58/I$20,0)</f>
        <v>0</v>
      </c>
    </row>
    <row r="59" customFormat="false" ht="15" hidden="false" customHeight="true" outlineLevel="0" collapsed="false">
      <c r="A59" s="5" t="s">
        <v>216</v>
      </c>
      <c r="C59" s="24" t="n">
        <f aca="false">'Vessel Budget'!$AB$59</f>
        <v>0</v>
      </c>
      <c r="D59" s="34" t="n">
        <f aca="false">IFERROR(C59/C$20,0)</f>
        <v>0</v>
      </c>
      <c r="F59" s="24" t="n">
        <f aca="false">'LW Budget'!$AB$59</f>
        <v>0</v>
      </c>
      <c r="G59" s="34" t="n">
        <f aca="false">IFERROR(F59/F$20,0)</f>
        <v>0</v>
      </c>
      <c r="I59" s="24" t="n">
        <f aca="false">C59+F59</f>
        <v>0</v>
      </c>
      <c r="J59" s="34" t="n">
        <f aca="false">IFERROR(I59/I$20,0)</f>
        <v>0</v>
      </c>
    </row>
    <row r="60" customFormat="false" ht="15" hidden="false" customHeight="true" outlineLevel="0" collapsed="false">
      <c r="A60" s="6" t="s">
        <v>217</v>
      </c>
      <c r="C60" s="27" t="n">
        <f aca="false">'Vessel Budget'!$AB$60</f>
        <v>22738.4256</v>
      </c>
      <c r="D60" s="35" t="n">
        <f aca="false">IFERROR(C60/C$20,0)</f>
        <v>0.0649462365591398</v>
      </c>
      <c r="F60" s="27" t="n">
        <f aca="false">'LW Budget'!$AB$60</f>
        <v>34510.742745</v>
      </c>
      <c r="G60" s="35" t="n">
        <f aca="false">IFERROR(F60/F$20,0)</f>
        <v>0.0930570400251826</v>
      </c>
      <c r="I60" s="27" t="n">
        <f aca="false">C60+F60</f>
        <v>57249.168345</v>
      </c>
      <c r="J60" s="35" t="n">
        <f aca="false">IFERROR(I60/I$20,0)</f>
        <v>0.0794060521123456</v>
      </c>
    </row>
    <row r="62" customFormat="false" ht="15" hidden="false" customHeight="true" outlineLevel="0" collapsed="false">
      <c r="A62" s="6" t="s">
        <v>218</v>
      </c>
      <c r="C62" s="27" t="n">
        <f aca="false">'Vessel Budget'!$AB$62</f>
        <v>87113.7696</v>
      </c>
      <c r="D62" s="35" t="n">
        <f aca="false">IFERROR(C62/C$20,0)</f>
        <v>0.248817204301075</v>
      </c>
      <c r="F62" s="27" t="n">
        <f aca="false">'LW Budget'!$AB$62</f>
        <v>1034.33158999994</v>
      </c>
      <c r="G62" s="35" t="n">
        <f aca="false">IFERROR(F62/F$20,0)</f>
        <v>0.00278903983264402</v>
      </c>
      <c r="I62" s="27" t="n">
        <f aca="false">C62+F62</f>
        <v>88148.1011899999</v>
      </c>
      <c r="J62" s="35" t="n">
        <f aca="false">IFERROR(I62/I$20,0)</f>
        <v>0.122263657604884</v>
      </c>
    </row>
    <row r="64" customFormat="false" ht="15" hidden="false" customHeight="true" outlineLevel="0" collapsed="false">
      <c r="A64" s="5" t="s">
        <v>219</v>
      </c>
      <c r="C64" s="24" t="n">
        <f aca="false">'Vessel Budget'!$AB$64</f>
        <v>0</v>
      </c>
      <c r="D64" s="34" t="n">
        <f aca="false">IFERROR(C64/C$20,0)</f>
        <v>0</v>
      </c>
      <c r="F64" s="24" t="n">
        <f aca="false">'LW Budget'!$AB$64</f>
        <v>0</v>
      </c>
      <c r="G64" s="34" t="n">
        <f aca="false">IFERROR(F64/F$20,0)</f>
        <v>0</v>
      </c>
      <c r="I64" s="24" t="n">
        <f aca="false">C64+F64</f>
        <v>0</v>
      </c>
      <c r="J64" s="34" t="n">
        <f aca="false">IFERROR(I64/I$20,0)</f>
        <v>0</v>
      </c>
    </row>
    <row r="66" customFormat="false" ht="15" hidden="false" customHeight="true" outlineLevel="0" collapsed="false">
      <c r="A66" s="6" t="s">
        <v>220</v>
      </c>
      <c r="C66" s="7" t="n">
        <f aca="false">'Vessel Budget'!$AB$66</f>
        <v>87113.7696</v>
      </c>
      <c r="D66" s="8" t="n">
        <f aca="false">IFERROR(C66/C$20,0)</f>
        <v>0.248817204301075</v>
      </c>
      <c r="F66" s="7" t="n">
        <f aca="false">'LW Budget'!$AB$66</f>
        <v>1034.33158999994</v>
      </c>
      <c r="G66" s="8" t="n">
        <f aca="false">IFERROR(F66/F$20,0)</f>
        <v>0.00278903983264402</v>
      </c>
      <c r="I66" s="7" t="n">
        <f aca="false">C66+F66</f>
        <v>88148.1011899999</v>
      </c>
      <c r="J66" s="8" t="n">
        <f aca="false">IFERROR(I66/I$20,0)</f>
        <v>0.122263657604884</v>
      </c>
    </row>
    <row r="68" customFormat="false" ht="15" hidden="false" customHeight="true" outlineLevel="0" collapsed="false">
      <c r="A68" s="5" t="s">
        <v>221</v>
      </c>
      <c r="C68" s="24" t="n">
        <f aca="false">'Vessel Budget'!$AB$68</f>
        <v>0</v>
      </c>
      <c r="D68" s="34" t="n">
        <f aca="false">IFERROR(C68/C$20,0)</f>
        <v>0</v>
      </c>
      <c r="F68" s="24" t="n">
        <f aca="false">'LW Budget'!$AB$68</f>
        <v>0</v>
      </c>
      <c r="G68" s="34" t="n">
        <f aca="false">IFERROR(F68/F$20,0)</f>
        <v>0</v>
      </c>
      <c r="I68" s="24" t="n">
        <f aca="false">C68+F68</f>
        <v>0</v>
      </c>
      <c r="J68" s="34" t="n">
        <f aca="false">IFERROR(I68/I$20,0)</f>
        <v>0</v>
      </c>
    </row>
    <row r="69" customFormat="false" ht="15" hidden="false" customHeight="true" outlineLevel="0" collapsed="false">
      <c r="A69" s="5" t="s">
        <v>222</v>
      </c>
      <c r="C69" s="24" t="n">
        <f aca="false">'Vessel Budget'!$AB$69</f>
        <v>0</v>
      </c>
      <c r="D69" s="34" t="n">
        <f aca="false">IFERROR(C69/C$20,0)</f>
        <v>0</v>
      </c>
      <c r="F69" s="24" t="n">
        <f aca="false">'LW Budget'!$AB$69</f>
        <v>2988</v>
      </c>
      <c r="G69" s="34" t="n">
        <f aca="false">IFERROR(F69/F$20,0)</f>
        <v>0.00805704002518262</v>
      </c>
      <c r="I69" s="24" t="n">
        <f aca="false">C69+F69</f>
        <v>2988</v>
      </c>
      <c r="J69" s="34" t="n">
        <f aca="false">IFERROR(I69/I$20,0)</f>
        <v>0.00414443197291286</v>
      </c>
    </row>
    <row r="70" customFormat="false" ht="15" hidden="false" customHeight="true" outlineLevel="0" collapsed="false">
      <c r="A70" s="6" t="s">
        <v>223</v>
      </c>
      <c r="C70" s="36" t="n">
        <f aca="false">'Vessel Budget'!$AB$70</f>
        <v>87113.7696</v>
      </c>
      <c r="D70" s="37" t="n">
        <f aca="false">IFERROR(C70/C$20,0)</f>
        <v>0.248817204301075</v>
      </c>
      <c r="F70" s="36" t="n">
        <f aca="false">'LW Budget'!$AB$70</f>
        <v>-1953.66841000006</v>
      </c>
      <c r="G70" s="37" t="n">
        <f aca="false">IFERROR(F70/F$20,0)</f>
        <v>-0.0052680001925386</v>
      </c>
      <c r="I70" s="36" t="n">
        <f aca="false">C70+F70</f>
        <v>85160.1011899999</v>
      </c>
      <c r="J70" s="37" t="n">
        <f aca="false">IFERROR(I70/I$20,0)</f>
        <v>0.118119225631971</v>
      </c>
    </row>
    <row r="74" customFormat="false" ht="15" hidden="false" customHeight="true" outlineLevel="0" collapsed="false">
      <c r="A74" s="4" t="s">
        <v>224</v>
      </c>
      <c r="B74" s="38"/>
      <c r="C74" s="38"/>
      <c r="D74" s="38"/>
      <c r="E74" s="38"/>
      <c r="F74" s="38"/>
    </row>
    <row r="75" customFormat="false" ht="15" hidden="false" customHeight="true" outlineLevel="0" collapsed="false">
      <c r="A75" s="6" t="s">
        <v>225</v>
      </c>
      <c r="B75" s="6" t="s">
        <v>158</v>
      </c>
      <c r="C75" s="6" t="s">
        <v>157</v>
      </c>
      <c r="D75" s="6" t="s">
        <v>174</v>
      </c>
      <c r="E75" s="6" t="s">
        <v>226</v>
      </c>
    </row>
    <row r="76" customFormat="false" ht="15" hidden="false" customHeight="true" outlineLevel="0" collapsed="false">
      <c r="A76" s="5" t="s">
        <v>227</v>
      </c>
      <c r="B76" s="24" t="n">
        <f aca="false">'Vessel Budget'!C62</f>
        <v>10724.233</v>
      </c>
      <c r="C76" s="24" t="n">
        <f aca="false">'LW Budget'!C62</f>
        <v>-228.505700833331</v>
      </c>
      <c r="D76" s="24" t="n">
        <f aca="false">B76+C76</f>
        <v>10495.7272991667</v>
      </c>
      <c r="E76" s="24" t="n">
        <f aca="false">SUM($D$76:D76)</f>
        <v>10495.7272991667</v>
      </c>
    </row>
    <row r="77" customFormat="false" ht="15" hidden="false" customHeight="true" outlineLevel="0" collapsed="false">
      <c r="A77" s="5" t="s">
        <v>228</v>
      </c>
      <c r="B77" s="24" t="n">
        <f aca="false">'Vessel Budget'!E62</f>
        <v>3299.764</v>
      </c>
      <c r="C77" s="24" t="n">
        <f aca="false">'LW Budget'!E62</f>
        <v>-228.505700833331</v>
      </c>
      <c r="D77" s="24" t="n">
        <f aca="false">B77+C77</f>
        <v>3071.25829916667</v>
      </c>
      <c r="E77" s="24" t="n">
        <f aca="false">SUM($D$76:D77)</f>
        <v>13566.9855983333</v>
      </c>
    </row>
    <row r="78" customFormat="false" ht="15" hidden="false" customHeight="true" outlineLevel="0" collapsed="false">
      <c r="A78" s="5" t="s">
        <v>229</v>
      </c>
      <c r="B78" s="24" t="n">
        <f aca="false">'Vessel Budget'!G62</f>
        <v>10724.233</v>
      </c>
      <c r="C78" s="24" t="n">
        <f aca="false">'LW Budget'!G62</f>
        <v>-228.505700833331</v>
      </c>
      <c r="D78" s="24" t="n">
        <f aca="false">B78+C78</f>
        <v>10495.7272991667</v>
      </c>
      <c r="E78" s="24" t="n">
        <f aca="false">SUM($D$76:D78)</f>
        <v>24062.7128975</v>
      </c>
    </row>
    <row r="79" customFormat="false" ht="15" hidden="false" customHeight="true" outlineLevel="0" collapsed="false">
      <c r="A79" s="5" t="s">
        <v>230</v>
      </c>
      <c r="B79" s="24" t="n">
        <f aca="false">'Vessel Budget'!I62</f>
        <v>3299.764</v>
      </c>
      <c r="C79" s="24" t="n">
        <f aca="false">'LW Budget'!I62</f>
        <v>-228.505700833331</v>
      </c>
      <c r="D79" s="24" t="n">
        <f aca="false">B79+C79</f>
        <v>3071.25829916667</v>
      </c>
      <c r="E79" s="24" t="n">
        <f aca="false">SUM($D$76:D79)</f>
        <v>27133.9711966667</v>
      </c>
    </row>
    <row r="80" customFormat="false" ht="15" hidden="false" customHeight="true" outlineLevel="0" collapsed="false">
      <c r="A80" s="5" t="s">
        <v>231</v>
      </c>
      <c r="B80" s="24" t="n">
        <f aca="false">'Vessel Budget'!K62</f>
        <v>8249.41</v>
      </c>
      <c r="C80" s="24" t="n">
        <f aca="false">'LW Budget'!K62</f>
        <v>-228.505700833331</v>
      </c>
      <c r="D80" s="24" t="n">
        <f aca="false">B80+C80</f>
        <v>8020.90429916667</v>
      </c>
      <c r="E80" s="24" t="n">
        <f aca="false">SUM($D$76:D80)</f>
        <v>35154.8754958333</v>
      </c>
    </row>
    <row r="81" customFormat="false" ht="15" hidden="false" customHeight="true" outlineLevel="0" collapsed="false">
      <c r="A81" s="5" t="s">
        <v>232</v>
      </c>
      <c r="B81" s="24" t="n">
        <f aca="false">'Vessel Budget'!M62</f>
        <v>7259.4808</v>
      </c>
      <c r="C81" s="24" t="n">
        <f aca="false">'LW Budget'!M62</f>
        <v>-228.505700833331</v>
      </c>
      <c r="D81" s="24" t="n">
        <f aca="false">B81+C81</f>
        <v>7030.97509916667</v>
      </c>
      <c r="E81" s="24" t="n">
        <f aca="false">SUM($D$76:D81)</f>
        <v>42185.850595</v>
      </c>
    </row>
    <row r="82" customFormat="false" ht="15" hidden="false" customHeight="true" outlineLevel="0" collapsed="false">
      <c r="A82" s="5" t="s">
        <v>233</v>
      </c>
      <c r="B82" s="24" t="n">
        <f aca="false">'Vessel Budget'!O62</f>
        <v>7259.4808</v>
      </c>
      <c r="C82" s="24" t="n">
        <f aca="false">'LW Budget'!O62</f>
        <v>-228.505700833331</v>
      </c>
      <c r="D82" s="24" t="n">
        <f aca="false">B82+C82</f>
        <v>7030.97509916667</v>
      </c>
      <c r="E82" s="24" t="n">
        <f aca="false">SUM($D$76:D82)</f>
        <v>49216.8256941667</v>
      </c>
    </row>
    <row r="83" customFormat="false" ht="15" hidden="false" customHeight="true" outlineLevel="0" collapsed="false">
      <c r="A83" s="5" t="s">
        <v>234</v>
      </c>
      <c r="B83" s="24" t="n">
        <f aca="false">'Vessel Budget'!Q62</f>
        <v>7259.4808</v>
      </c>
      <c r="C83" s="24" t="n">
        <f aca="false">'LW Budget'!Q62</f>
        <v>-228.505700833331</v>
      </c>
      <c r="D83" s="24" t="n">
        <f aca="false">B83+C83</f>
        <v>7030.97509916667</v>
      </c>
      <c r="E83" s="24" t="n">
        <f aca="false">SUM($D$76:D83)</f>
        <v>56247.8007933333</v>
      </c>
    </row>
    <row r="84" customFormat="false" ht="15" hidden="false" customHeight="true" outlineLevel="0" collapsed="false">
      <c r="A84" s="5" t="s">
        <v>235</v>
      </c>
      <c r="B84" s="24" t="n">
        <f aca="false">'Vessel Budget'!S62</f>
        <v>7259.4808</v>
      </c>
      <c r="C84" s="24" t="n">
        <f aca="false">'LW Budget'!S62</f>
        <v>-228.505700833331</v>
      </c>
      <c r="D84" s="24" t="n">
        <f aca="false">B84+C84</f>
        <v>7030.97509916667</v>
      </c>
      <c r="E84" s="24" t="n">
        <f aca="false">SUM($D$76:D84)</f>
        <v>63278.7758925</v>
      </c>
    </row>
    <row r="85" customFormat="false" ht="15" hidden="false" customHeight="true" outlineLevel="0" collapsed="false">
      <c r="A85" s="5" t="s">
        <v>236</v>
      </c>
      <c r="B85" s="24" t="n">
        <f aca="false">'Vessel Budget'!U62</f>
        <v>7259.4808</v>
      </c>
      <c r="C85" s="24" t="n">
        <f aca="false">'LW Budget'!U62</f>
        <v>-228.505700833331</v>
      </c>
      <c r="D85" s="24" t="n">
        <f aca="false">B85+C85</f>
        <v>7030.97509916667</v>
      </c>
      <c r="E85" s="24" t="n">
        <f aca="false">SUM($D$76:D85)</f>
        <v>70309.7509916667</v>
      </c>
    </row>
    <row r="86" customFormat="false" ht="15" hidden="false" customHeight="true" outlineLevel="0" collapsed="false">
      <c r="A86" s="5" t="s">
        <v>237</v>
      </c>
      <c r="B86" s="24" t="n">
        <f aca="false">'Vessel Budget'!W62</f>
        <v>7259.4808</v>
      </c>
      <c r="C86" s="24" t="n">
        <f aca="false">'LW Budget'!W62</f>
        <v>-228.505700833331</v>
      </c>
      <c r="D86" s="24" t="n">
        <f aca="false">B86+C86</f>
        <v>7030.97509916667</v>
      </c>
      <c r="E86" s="24" t="n">
        <f aca="false">SUM($D$76:D86)</f>
        <v>77340.7260908333</v>
      </c>
    </row>
    <row r="87" customFormat="false" ht="15" hidden="false" customHeight="true" outlineLevel="0" collapsed="false">
      <c r="A87" s="5" t="s">
        <v>238</v>
      </c>
      <c r="B87" s="24" t="n">
        <f aca="false">'Vessel Budget'!Y62</f>
        <v>7259.4808</v>
      </c>
      <c r="C87" s="24" t="n">
        <f aca="false">'LW Budget'!Y62</f>
        <v>3547.89429916666</v>
      </c>
      <c r="D87" s="24" t="n">
        <f aca="false">B87+C87</f>
        <v>10807.3750991667</v>
      </c>
      <c r="E87" s="24" t="n">
        <f aca="false">SUM($D$76:D87)</f>
        <v>88148.10119</v>
      </c>
    </row>
    <row r="88" customFormat="false" ht="15" hidden="false" customHeight="true" outlineLevel="0" collapsed="false">
      <c r="A88" s="6" t="s">
        <v>175</v>
      </c>
      <c r="B88" s="27" t="n">
        <f aca="false">SUM(B76:B87)</f>
        <v>87113.7696</v>
      </c>
      <c r="C88" s="27" t="n">
        <f aca="false">SUM(C76:C87)</f>
        <v>1034.33159000003</v>
      </c>
      <c r="D88" s="27" t="n">
        <f aca="false">SUM(D76:D87)</f>
        <v>88148.10119</v>
      </c>
    </row>
  </sheetData>
  <mergeCells count="6">
    <mergeCell ref="C5:D5"/>
    <mergeCell ref="F5:G5"/>
    <mergeCell ref="I5:J5"/>
    <mergeCell ref="C6:D6"/>
    <mergeCell ref="F6:G6"/>
    <mergeCell ref="I6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239</v>
      </c>
    </row>
    <row r="2" customFormat="false" ht="15" hidden="false" customHeight="true" outlineLevel="0" collapsed="false">
      <c r="A2" s="2" t="s">
        <v>240</v>
      </c>
    </row>
    <row r="3" customFormat="false" ht="15" hidden="false" customHeight="true" outlineLevel="0" collapsed="false">
      <c r="A3" s="2" t="s">
        <v>173</v>
      </c>
    </row>
    <row r="5" customFormat="false" ht="15" hidden="false" customHeight="true" outlineLevel="0" collapsed="false">
      <c r="C5" s="30" t="s">
        <v>241</v>
      </c>
      <c r="D5" s="30"/>
      <c r="E5" s="30" t="s">
        <v>242</v>
      </c>
      <c r="F5" s="30"/>
      <c r="G5" s="30" t="s">
        <v>243</v>
      </c>
      <c r="H5" s="30"/>
      <c r="I5" s="30" t="s">
        <v>244</v>
      </c>
      <c r="J5" s="30"/>
      <c r="K5" s="30" t="s">
        <v>231</v>
      </c>
      <c r="L5" s="30"/>
      <c r="M5" s="30" t="s">
        <v>245</v>
      </c>
      <c r="N5" s="30"/>
      <c r="O5" s="30" t="s">
        <v>246</v>
      </c>
      <c r="P5" s="30"/>
      <c r="Q5" s="30" t="s">
        <v>247</v>
      </c>
      <c r="R5" s="30"/>
      <c r="S5" s="30" t="s">
        <v>248</v>
      </c>
      <c r="T5" s="30"/>
      <c r="U5" s="30" t="s">
        <v>249</v>
      </c>
      <c r="V5" s="30"/>
      <c r="W5" s="30" t="s">
        <v>250</v>
      </c>
      <c r="X5" s="30"/>
      <c r="Y5" s="30" t="s">
        <v>251</v>
      </c>
      <c r="Z5" s="30"/>
      <c r="AB5" s="30" t="s">
        <v>173</v>
      </c>
      <c r="AC5" s="30"/>
    </row>
    <row r="6" customFormat="false" ht="15" hidden="false" customHeight="true" outlineLevel="0" collapsed="false">
      <c r="C6" s="32" t="s">
        <v>252</v>
      </c>
      <c r="D6" s="32"/>
      <c r="E6" s="32" t="s">
        <v>252</v>
      </c>
      <c r="F6" s="32"/>
      <c r="G6" s="32" t="s">
        <v>252</v>
      </c>
      <c r="H6" s="32"/>
      <c r="I6" s="32" t="s">
        <v>252</v>
      </c>
      <c r="J6" s="32"/>
      <c r="K6" s="32" t="s">
        <v>252</v>
      </c>
      <c r="L6" s="32"/>
      <c r="M6" s="32" t="s">
        <v>252</v>
      </c>
      <c r="N6" s="32"/>
      <c r="O6" s="32" t="s">
        <v>252</v>
      </c>
      <c r="P6" s="32"/>
      <c r="Q6" s="32" t="s">
        <v>252</v>
      </c>
      <c r="R6" s="32"/>
      <c r="S6" s="32" t="s">
        <v>252</v>
      </c>
      <c r="T6" s="32"/>
      <c r="U6" s="32" t="s">
        <v>252</v>
      </c>
      <c r="V6" s="32"/>
      <c r="W6" s="32" t="s">
        <v>252</v>
      </c>
      <c r="X6" s="32"/>
      <c r="Y6" s="32" t="s">
        <v>252</v>
      </c>
      <c r="Z6" s="32"/>
      <c r="AB6" s="32" t="s">
        <v>175</v>
      </c>
      <c r="AC6" s="32"/>
    </row>
    <row r="7" customFormat="false" ht="15" hidden="false" customHeight="true" outlineLevel="0" collapsed="false">
      <c r="C7" s="31" t="s">
        <v>176</v>
      </c>
      <c r="D7" s="31" t="s">
        <v>177</v>
      </c>
      <c r="E7" s="31" t="s">
        <v>176</v>
      </c>
      <c r="F7" s="31" t="s">
        <v>177</v>
      </c>
      <c r="G7" s="31" t="s">
        <v>176</v>
      </c>
      <c r="H7" s="31" t="s">
        <v>177</v>
      </c>
      <c r="I7" s="31" t="s">
        <v>176</v>
      </c>
      <c r="J7" s="31" t="s">
        <v>177</v>
      </c>
      <c r="K7" s="31" t="s">
        <v>176</v>
      </c>
      <c r="L7" s="31" t="s">
        <v>177</v>
      </c>
      <c r="M7" s="31" t="s">
        <v>176</v>
      </c>
      <c r="N7" s="31" t="s">
        <v>177</v>
      </c>
      <c r="O7" s="31" t="s">
        <v>176</v>
      </c>
      <c r="P7" s="31" t="s">
        <v>177</v>
      </c>
      <c r="Q7" s="31" t="s">
        <v>176</v>
      </c>
      <c r="R7" s="31" t="s">
        <v>177</v>
      </c>
      <c r="S7" s="31" t="s">
        <v>176</v>
      </c>
      <c r="T7" s="31" t="s">
        <v>177</v>
      </c>
      <c r="U7" s="31" t="s">
        <v>176</v>
      </c>
      <c r="V7" s="31" t="s">
        <v>177</v>
      </c>
      <c r="W7" s="31" t="s">
        <v>176</v>
      </c>
      <c r="X7" s="31" t="s">
        <v>177</v>
      </c>
      <c r="Y7" s="31" t="s">
        <v>176</v>
      </c>
      <c r="Z7" s="31" t="s">
        <v>177</v>
      </c>
      <c r="AB7" s="31" t="s">
        <v>176</v>
      </c>
      <c r="AC7" s="31" t="s">
        <v>177</v>
      </c>
    </row>
    <row r="8" customFormat="false" ht="15" hidden="false" customHeight="true" outlineLevel="0" collapsed="false">
      <c r="A8" s="5" t="s">
        <v>253</v>
      </c>
      <c r="C8" s="39" t="n">
        <f aca="false">'Vessel Budget'!C9</f>
        <v>9.269</v>
      </c>
      <c r="E8" s="39" t="n">
        <f aca="false">'Vessel Budget'!E9</f>
        <v>2.852</v>
      </c>
      <c r="G8" s="39" t="n">
        <f aca="false">'Vessel Budget'!G9</f>
        <v>9.269</v>
      </c>
      <c r="I8" s="39" t="n">
        <f aca="false">'Vessel Budget'!I9</f>
        <v>2.852</v>
      </c>
      <c r="K8" s="39" t="n">
        <f aca="false">'Vessel Budget'!K9</f>
        <v>7.13</v>
      </c>
      <c r="M8" s="39" t="n">
        <f aca="false">'Vessel Budget'!M9</f>
        <v>6.2744</v>
      </c>
      <c r="O8" s="39" t="n">
        <f aca="false">'Vessel Budget'!O9</f>
        <v>6.2744</v>
      </c>
      <c r="Q8" s="39" t="n">
        <f aca="false">'Vessel Budget'!Q9</f>
        <v>6.2744</v>
      </c>
      <c r="S8" s="39" t="n">
        <f aca="false">'Vessel Budget'!S9</f>
        <v>6.2744</v>
      </c>
      <c r="U8" s="39" t="n">
        <f aca="false">'Vessel Budget'!U9</f>
        <v>6.2744</v>
      </c>
      <c r="W8" s="39" t="n">
        <f aca="false">'Vessel Budget'!W9</f>
        <v>6.2744</v>
      </c>
      <c r="Y8" s="39" t="n">
        <f aca="false">'Vessel Budget'!Y9</f>
        <v>6.2744</v>
      </c>
    </row>
    <row r="11" customFormat="false" ht="15" hidden="false" customHeight="true" outlineLevel="0" collapsed="false">
      <c r="A11" s="6" t="s">
        <v>178</v>
      </c>
    </row>
    <row r="12" customFormat="false" ht="15" hidden="false" customHeight="true" outlineLevel="0" collapsed="false">
      <c r="A12" s="5" t="s">
        <v>179</v>
      </c>
      <c r="C12" s="24" t="n">
        <f aca="false">'Vessel Budget'!C12+'LW Budget'!C12</f>
        <v>37975.245</v>
      </c>
      <c r="D12" s="34" t="n">
        <f aca="false">IFERROR(C12/C$20,0)</f>
        <v>0.513140849373158</v>
      </c>
      <c r="E12" s="24" t="n">
        <f aca="false">'Vessel Budget'!E12+'LW Budget'!E12</f>
        <v>19494.285</v>
      </c>
      <c r="F12" s="34" t="n">
        <f aca="false">IFERROR(E12/E$20,0)</f>
        <v>0.441382205505436</v>
      </c>
      <c r="G12" s="24" t="n">
        <f aca="false">'Vessel Budget'!G12+'LW Budget'!G12</f>
        <v>37975.245</v>
      </c>
      <c r="H12" s="34" t="n">
        <f aca="false">IFERROR(G12/G$20,0)</f>
        <v>0.513140849373158</v>
      </c>
      <c r="I12" s="24" t="n">
        <f aca="false">'Vessel Budget'!I12+'LW Budget'!I12</f>
        <v>19494.285</v>
      </c>
      <c r="J12" s="34" t="n">
        <f aca="false">IFERROR(I12/I$20,0)</f>
        <v>0.441382205505436</v>
      </c>
      <c r="K12" s="24" t="n">
        <f aca="false">'Vessel Budget'!K12+'LW Budget'!K12</f>
        <v>31814.925</v>
      </c>
      <c r="L12" s="34" t="n">
        <f aca="false">IFERROR(K12/K$20,0)</f>
        <v>0.496649192569091</v>
      </c>
      <c r="M12" s="24" t="n">
        <f aca="false">'Vessel Budget'!M12+'LW Budget'!M12</f>
        <v>29350.797</v>
      </c>
      <c r="N12" s="34" t="n">
        <f aca="false">IFERROR(M12/M$20,0)</f>
        <v>0.488523620551304</v>
      </c>
      <c r="O12" s="24" t="n">
        <f aca="false">'Vessel Budget'!O12+'LW Budget'!O12</f>
        <v>29350.797</v>
      </c>
      <c r="P12" s="34" t="n">
        <f aca="false">IFERROR(O12/O$20,0)</f>
        <v>0.488523620551304</v>
      </c>
      <c r="Q12" s="24" t="n">
        <f aca="false">'Vessel Budget'!Q12+'LW Budget'!Q12</f>
        <v>29350.797</v>
      </c>
      <c r="R12" s="34" t="n">
        <f aca="false">IFERROR(Q12/Q$20,0)</f>
        <v>0.488523620551304</v>
      </c>
      <c r="S12" s="24" t="n">
        <f aca="false">'Vessel Budget'!S12+'LW Budget'!S12</f>
        <v>29350.797</v>
      </c>
      <c r="T12" s="34" t="n">
        <f aca="false">IFERROR(S12/S$20,0)</f>
        <v>0.488523620551304</v>
      </c>
      <c r="U12" s="24" t="n">
        <f aca="false">'Vessel Budget'!U12+'LW Budget'!U12</f>
        <v>29350.797</v>
      </c>
      <c r="V12" s="34" t="n">
        <f aca="false">IFERROR(U12/U$20,0)</f>
        <v>0.488523620551304</v>
      </c>
      <c r="W12" s="24" t="n">
        <f aca="false">'Vessel Budget'!W12+'LW Budget'!W12</f>
        <v>29350.797</v>
      </c>
      <c r="X12" s="34" t="n">
        <f aca="false">IFERROR(W12/W$20,0)</f>
        <v>0.488523620551304</v>
      </c>
      <c r="Y12" s="24" t="n">
        <f aca="false">'Vessel Budget'!Y12+'LW Budget'!Y12</f>
        <v>29350.797</v>
      </c>
      <c r="Z12" s="34" t="n">
        <f aca="false">IFERROR(Y12/Y$20,0)</f>
        <v>0.488523620551304</v>
      </c>
      <c r="AB12" s="24" t="n">
        <f aca="false">SUM(C12,E12,G12,I12,K12,M12,O12,Q12,S12,U12,W12,Y12)</f>
        <v>352209.564</v>
      </c>
      <c r="AC12" s="34" t="n">
        <f aca="false">IFERROR(AB12/AB$20,0)</f>
        <v>0.488523620551304</v>
      </c>
    </row>
    <row r="13" customFormat="false" ht="15" hidden="false" customHeight="true" outlineLevel="0" collapsed="false">
      <c r="A13" s="5" t="s">
        <v>180</v>
      </c>
      <c r="C13" s="24" t="n">
        <f aca="false">'Vessel Budget'!C13+'LW Budget'!C13</f>
        <v>16676.7784091321</v>
      </c>
      <c r="D13" s="34" t="n">
        <f aca="false">IFERROR(C13/C$20,0)</f>
        <v>0.225345122531006</v>
      </c>
      <c r="E13" s="24" t="n">
        <f aca="false">'Vessel Budget'!E13+'LW Budget'!E13</f>
        <v>14867.8522028099</v>
      </c>
      <c r="F13" s="34" t="n">
        <f aca="false">IFERROR(E13/E$20,0)</f>
        <v>0.336632269221727</v>
      </c>
      <c r="G13" s="24" t="n">
        <f aca="false">'Vessel Budget'!G13+'LW Budget'!G13</f>
        <v>16676.7784091321</v>
      </c>
      <c r="H13" s="34" t="n">
        <f aca="false">IFERROR(G13/G$20,0)</f>
        <v>0.225345122531006</v>
      </c>
      <c r="I13" s="24" t="n">
        <f aca="false">'Vessel Budget'!I13+'LW Budget'!I13</f>
        <v>14867.8522028099</v>
      </c>
      <c r="J13" s="34" t="n">
        <f aca="false">IFERROR(I13/I$20,0)</f>
        <v>0.336632269221727</v>
      </c>
      <c r="K13" s="24" t="n">
        <f aca="false">'Vessel Budget'!K13+'LW Budget'!K13</f>
        <v>16073.8030070247</v>
      </c>
      <c r="L13" s="34" t="n">
        <f aca="false">IFERROR(K13/K$20,0)</f>
        <v>0.250921266825348</v>
      </c>
      <c r="M13" s="24" t="n">
        <f aca="false">'Vessel Budget'!M13+'LW Budget'!M13</f>
        <v>15832.6128461817</v>
      </c>
      <c r="N13" s="34" t="n">
        <f aca="false">IFERROR(M13/M$20,0)</f>
        <v>0.2635228389336</v>
      </c>
      <c r="O13" s="24" t="n">
        <f aca="false">'Vessel Budget'!O13+'LW Budget'!O13</f>
        <v>15832.6128461817</v>
      </c>
      <c r="P13" s="34" t="n">
        <f aca="false">IFERROR(O13/O$20,0)</f>
        <v>0.2635228389336</v>
      </c>
      <c r="Q13" s="24" t="n">
        <f aca="false">'Vessel Budget'!Q13+'LW Budget'!Q13</f>
        <v>15832.6128461817</v>
      </c>
      <c r="R13" s="34" t="n">
        <f aca="false">IFERROR(Q13/Q$20,0)</f>
        <v>0.2635228389336</v>
      </c>
      <c r="S13" s="24" t="n">
        <f aca="false">'Vessel Budget'!S13+'LW Budget'!S13</f>
        <v>15832.6128461817</v>
      </c>
      <c r="T13" s="34" t="n">
        <f aca="false">IFERROR(S13/S$20,0)</f>
        <v>0.2635228389336</v>
      </c>
      <c r="U13" s="24" t="n">
        <f aca="false">'Vessel Budget'!U13+'LW Budget'!U13</f>
        <v>15832.6128461817</v>
      </c>
      <c r="V13" s="34" t="n">
        <f aca="false">IFERROR(U13/U$20,0)</f>
        <v>0.2635228389336</v>
      </c>
      <c r="W13" s="24" t="n">
        <f aca="false">'Vessel Budget'!W13+'LW Budget'!W13</f>
        <v>15832.6128461817</v>
      </c>
      <c r="X13" s="34" t="n">
        <f aca="false">IFERROR(W13/W$20,0)</f>
        <v>0.2635228389336</v>
      </c>
      <c r="Y13" s="24" t="n">
        <f aca="false">'Vessel Budget'!Y13+'LW Budget'!Y13</f>
        <v>15832.6128461817</v>
      </c>
      <c r="Z13" s="34" t="n">
        <f aca="false">IFERROR(Y13/Y$20,0)</f>
        <v>0.2635228389336</v>
      </c>
      <c r="AB13" s="24" t="n">
        <f aca="false">SUM(C13,E13,G13,I13,K13,M13,O13,Q13,S13,U13,W13,Y13)</f>
        <v>189991.35415418</v>
      </c>
      <c r="AC13" s="34" t="n">
        <f aca="false">IFERROR(AB13/AB$20,0)</f>
        <v>0.2635228389336</v>
      </c>
    </row>
    <row r="14" customFormat="false" ht="15" hidden="false" customHeight="true" outlineLevel="0" collapsed="false">
      <c r="A14" s="5" t="s">
        <v>181</v>
      </c>
      <c r="C14" s="24" t="n">
        <f aca="false">'Vessel Budget'!C14+'LW Budget'!C14</f>
        <v>5003.57396386284</v>
      </c>
      <c r="D14" s="34" t="n">
        <f aca="false">IFERROR(C14/C$20,0)</f>
        <v>0.0676108394749789</v>
      </c>
      <c r="E14" s="24" t="n">
        <f aca="false">'Vessel Budget'!E14+'LW Budget'!E14</f>
        <v>1961.17660426549</v>
      </c>
      <c r="F14" s="34" t="n">
        <f aca="false">IFERROR(E14/E$20,0)</f>
        <v>0.0444042166704941</v>
      </c>
      <c r="G14" s="24" t="n">
        <f aca="false">'Vessel Budget'!G14+'LW Budget'!G14</f>
        <v>5003.57396386284</v>
      </c>
      <c r="H14" s="34" t="n">
        <f aca="false">IFERROR(G14/G$20,0)</f>
        <v>0.0676108394749789</v>
      </c>
      <c r="I14" s="24" t="n">
        <f aca="false">'Vessel Budget'!I14+'LW Budget'!I14</f>
        <v>1961.17660426549</v>
      </c>
      <c r="J14" s="34" t="n">
        <f aca="false">IFERROR(I14/I$20,0)</f>
        <v>0.0444042166704941</v>
      </c>
      <c r="K14" s="24" t="n">
        <f aca="false">'Vessel Budget'!K14+'LW Budget'!K14</f>
        <v>3989.44151066372</v>
      </c>
      <c r="L14" s="34" t="n">
        <f aca="false">IFERROR(K14/K$20,0)</f>
        <v>0.0622774658457549</v>
      </c>
      <c r="M14" s="24" t="n">
        <f aca="false">'Vessel Budget'!M14+'LW Budget'!M14</f>
        <v>3583.78852938408</v>
      </c>
      <c r="N14" s="34" t="n">
        <f aca="false">IFERROR(M14/M$20,0)</f>
        <v>0.0596496697403121</v>
      </c>
      <c r="O14" s="24" t="n">
        <f aca="false">'Vessel Budget'!O14+'LW Budget'!O14</f>
        <v>3583.78852938408</v>
      </c>
      <c r="P14" s="34" t="n">
        <f aca="false">IFERROR(O14/O$20,0)</f>
        <v>0.0596496697403121</v>
      </c>
      <c r="Q14" s="24" t="n">
        <f aca="false">'Vessel Budget'!Q14+'LW Budget'!Q14</f>
        <v>3583.78852938408</v>
      </c>
      <c r="R14" s="34" t="n">
        <f aca="false">IFERROR(Q14/Q$20,0)</f>
        <v>0.0596496697403121</v>
      </c>
      <c r="S14" s="24" t="n">
        <f aca="false">'Vessel Budget'!S14+'LW Budget'!S14</f>
        <v>3583.78852938408</v>
      </c>
      <c r="T14" s="34" t="n">
        <f aca="false">IFERROR(S14/S$20,0)</f>
        <v>0.0596496697403121</v>
      </c>
      <c r="U14" s="24" t="n">
        <f aca="false">'Vessel Budget'!U14+'LW Budget'!U14</f>
        <v>3583.78852938408</v>
      </c>
      <c r="V14" s="34" t="n">
        <f aca="false">IFERROR(U14/U$20,0)</f>
        <v>0.0596496697403121</v>
      </c>
      <c r="W14" s="24" t="n">
        <f aca="false">'Vessel Budget'!W14+'LW Budget'!W14</f>
        <v>3583.78852938408</v>
      </c>
      <c r="X14" s="34" t="n">
        <f aca="false">IFERROR(W14/W$20,0)</f>
        <v>0.0596496697403121</v>
      </c>
      <c r="Y14" s="24" t="n">
        <f aca="false">'Vessel Budget'!Y14+'LW Budget'!Y14</f>
        <v>3583.78852938408</v>
      </c>
      <c r="Z14" s="34" t="n">
        <f aca="false">IFERROR(Y14/Y$20,0)</f>
        <v>0.0596496697403121</v>
      </c>
      <c r="AB14" s="24" t="n">
        <f aca="false">SUM(C14,E14,G14,I14,K14,M14,O14,Q14,S14,U14,W14,Y14)</f>
        <v>43005.4623526089</v>
      </c>
      <c r="AC14" s="34" t="n">
        <f aca="false">IFERROR(AB14/AB$20,0)</f>
        <v>0.0596496697403121</v>
      </c>
    </row>
    <row r="15" customFormat="false" ht="15" hidden="false" customHeight="true" outlineLevel="0" collapsed="false">
      <c r="A15" s="5" t="s">
        <v>182</v>
      </c>
      <c r="C15" s="24" t="n">
        <f aca="false">'Vessel Budget'!C15+'LW Budget'!C15</f>
        <v>777.013675634573</v>
      </c>
      <c r="D15" s="34" t="n">
        <f aca="false">IFERROR(C15/C$20,0)</f>
        <v>0.0104994044801998</v>
      </c>
      <c r="E15" s="24" t="n">
        <f aca="false">'Vessel Budget'!E15+'LW Budget'!E15</f>
        <v>664.850361733715</v>
      </c>
      <c r="F15" s="34" t="n">
        <f aca="false">IFERROR(E15/E$20,0)</f>
        <v>0.0150532896689011</v>
      </c>
      <c r="G15" s="24" t="n">
        <f aca="false">'Vessel Budget'!G15+'LW Budget'!G15</f>
        <v>777.013675634573</v>
      </c>
      <c r="H15" s="34" t="n">
        <f aca="false">IFERROR(G15/G$20,0)</f>
        <v>0.0104994044801998</v>
      </c>
      <c r="I15" s="24" t="n">
        <f aca="false">'Vessel Budget'!I15+'LW Budget'!I15</f>
        <v>664.850361733715</v>
      </c>
      <c r="J15" s="34" t="n">
        <f aca="false">IFERROR(I15/I$20,0)</f>
        <v>0.0150532896689011</v>
      </c>
      <c r="K15" s="24" t="n">
        <f aca="false">'Vessel Budget'!K15+'LW Budget'!K15</f>
        <v>739.625904334287</v>
      </c>
      <c r="L15" s="34" t="n">
        <f aca="false">IFERROR(K15/K$20,0)</f>
        <v>0.0115459837856229</v>
      </c>
      <c r="M15" s="24" t="n">
        <f aca="false">'Vessel Budget'!M15+'LW Budget'!M15</f>
        <v>724.670795814172</v>
      </c>
      <c r="N15" s="34" t="n">
        <f aca="false">IFERROR(M15/M$20,0)</f>
        <v>0.0120616418313593</v>
      </c>
      <c r="O15" s="24" t="n">
        <f aca="false">'Vessel Budget'!O15+'LW Budget'!O15</f>
        <v>724.670795814172</v>
      </c>
      <c r="P15" s="34" t="n">
        <f aca="false">IFERROR(O15/O$20,0)</f>
        <v>0.0120616418313593</v>
      </c>
      <c r="Q15" s="24" t="n">
        <f aca="false">'Vessel Budget'!Q15+'LW Budget'!Q15</f>
        <v>724.670795814172</v>
      </c>
      <c r="R15" s="34" t="n">
        <f aca="false">IFERROR(Q15/Q$20,0)</f>
        <v>0.0120616418313593</v>
      </c>
      <c r="S15" s="24" t="n">
        <f aca="false">'Vessel Budget'!S15+'LW Budget'!S15</f>
        <v>724.670795814172</v>
      </c>
      <c r="T15" s="34" t="n">
        <f aca="false">IFERROR(S15/S$20,0)</f>
        <v>0.0120616418313593</v>
      </c>
      <c r="U15" s="24" t="n">
        <f aca="false">'Vessel Budget'!U15+'LW Budget'!U15</f>
        <v>724.670795814172</v>
      </c>
      <c r="V15" s="34" t="n">
        <f aca="false">IFERROR(U15/U$20,0)</f>
        <v>0.0120616418313593</v>
      </c>
      <c r="W15" s="24" t="n">
        <f aca="false">'Vessel Budget'!W15+'LW Budget'!W15</f>
        <v>724.670795814172</v>
      </c>
      <c r="X15" s="34" t="n">
        <f aca="false">IFERROR(W15/W$20,0)</f>
        <v>0.0120616418313593</v>
      </c>
      <c r="Y15" s="24" t="n">
        <f aca="false">'Vessel Budget'!Y15+'LW Budget'!Y15</f>
        <v>724.670795814172</v>
      </c>
      <c r="Z15" s="34" t="n">
        <f aca="false">IFERROR(Y15/Y$20,0)</f>
        <v>0.0120616418313593</v>
      </c>
      <c r="AB15" s="24" t="n">
        <f aca="false">SUM(C15,E15,G15,I15,K15,M15,O15,Q15,S15,U15,W15,Y15)</f>
        <v>8696.04954977007</v>
      </c>
      <c r="AC15" s="34" t="n">
        <f aca="false">IFERROR(AB15/AB$20,0)</f>
        <v>0.0120616418313593</v>
      </c>
    </row>
    <row r="16" customFormat="false" ht="15" hidden="false" customHeight="true" outlineLevel="0" collapsed="false">
      <c r="A16" s="5" t="s">
        <v>183</v>
      </c>
      <c r="C16" s="24" t="n">
        <f aca="false">'Vessel Budget'!C16+'LW Budget'!C16</f>
        <v>1661.47895137053</v>
      </c>
      <c r="D16" s="34" t="n">
        <f aca="false">IFERROR(C16/C$20,0)</f>
        <v>0.022450749700809</v>
      </c>
      <c r="E16" s="24" t="n">
        <f aca="false">'Vessel Budget'!E16+'LW Budget'!E16</f>
        <v>1234.68583119093</v>
      </c>
      <c r="F16" s="34" t="n">
        <f aca="false">IFERROR(E16/E$20,0)</f>
        <v>0.0279552881922762</v>
      </c>
      <c r="G16" s="24" t="n">
        <f aca="false">'Vessel Budget'!G16+'LW Budget'!G16</f>
        <v>1661.47895137053</v>
      </c>
      <c r="H16" s="34" t="n">
        <f aca="false">IFERROR(G16/G$20,0)</f>
        <v>0.022450749700809</v>
      </c>
      <c r="I16" s="24" t="n">
        <f aca="false">'Vessel Budget'!I16+'LW Budget'!I16</f>
        <v>1234.68583119093</v>
      </c>
      <c r="J16" s="34" t="n">
        <f aca="false">IFERROR(I16/I$20,0)</f>
        <v>0.0279552881922762</v>
      </c>
      <c r="K16" s="24" t="n">
        <f aca="false">'Vessel Budget'!K16+'LW Budget'!K16</f>
        <v>1519.21457797733</v>
      </c>
      <c r="L16" s="34" t="n">
        <f aca="false">IFERROR(K16/K$20,0)</f>
        <v>0.0237158092779296</v>
      </c>
      <c r="M16" s="24" t="n">
        <f aca="false">'Vessel Budget'!M16+'LW Budget'!M16</f>
        <v>1462.30882862005</v>
      </c>
      <c r="N16" s="34" t="n">
        <f aca="false">IFERROR(M16/M$20,0)</f>
        <v>0.0243391143116695</v>
      </c>
      <c r="O16" s="24" t="n">
        <f aca="false">'Vessel Budget'!O16+'LW Budget'!O16</f>
        <v>1462.30882862005</v>
      </c>
      <c r="P16" s="34" t="n">
        <f aca="false">IFERROR(O16/O$20,0)</f>
        <v>0.0243391143116695</v>
      </c>
      <c r="Q16" s="24" t="n">
        <f aca="false">'Vessel Budget'!Q16+'LW Budget'!Q16</f>
        <v>1462.30882862005</v>
      </c>
      <c r="R16" s="34" t="n">
        <f aca="false">IFERROR(Q16/Q$20,0)</f>
        <v>0.0243391143116695</v>
      </c>
      <c r="S16" s="24" t="n">
        <f aca="false">'Vessel Budget'!S16+'LW Budget'!S16</f>
        <v>1462.30882862005</v>
      </c>
      <c r="T16" s="34" t="n">
        <f aca="false">IFERROR(S16/S$20,0)</f>
        <v>0.0243391143116695</v>
      </c>
      <c r="U16" s="24" t="n">
        <f aca="false">'Vessel Budget'!U16+'LW Budget'!U16</f>
        <v>1462.30882862005</v>
      </c>
      <c r="V16" s="34" t="n">
        <f aca="false">IFERROR(U16/U$20,0)</f>
        <v>0.0243391143116695</v>
      </c>
      <c r="W16" s="24" t="n">
        <f aca="false">'Vessel Budget'!W16+'LW Budget'!W16</f>
        <v>1462.30882862005</v>
      </c>
      <c r="X16" s="34" t="n">
        <f aca="false">IFERROR(W16/W$20,0)</f>
        <v>0.0243391143116695</v>
      </c>
      <c r="Y16" s="24" t="n">
        <f aca="false">'Vessel Budget'!Y16+'LW Budget'!Y16</f>
        <v>1462.30882862005</v>
      </c>
      <c r="Z16" s="34" t="n">
        <f aca="false">IFERROR(Y16/Y$20,0)</f>
        <v>0.0243391143116695</v>
      </c>
      <c r="AB16" s="24" t="n">
        <f aca="false">SUM(C16,E16,G16,I16,K16,M16,O16,Q16,S16,U16,W16,Y16)</f>
        <v>17547.7059434406</v>
      </c>
      <c r="AC16" s="34" t="n">
        <f aca="false">IFERROR(AB16/AB$20,0)</f>
        <v>0.0243391143116695</v>
      </c>
    </row>
    <row r="17" customFormat="false" ht="15" hidden="false" customHeight="true" outlineLevel="0" collapsed="false">
      <c r="A17" s="5" t="s">
        <v>184</v>
      </c>
      <c r="C17" s="24" t="n">
        <f aca="false">'Vessel Budget'!C17+'LW Budget'!C17</f>
        <v>3743.66666666667</v>
      </c>
      <c r="D17" s="34" t="n">
        <f aca="false">IFERROR(C17/C$20,0)</f>
        <v>0.0505863304661579</v>
      </c>
      <c r="E17" s="24" t="n">
        <f aca="false">'Vessel Budget'!E17+'LW Budget'!E17</f>
        <v>3743.66666666667</v>
      </c>
      <c r="F17" s="34" t="n">
        <f aca="false">IFERROR(E17/E$20,0)</f>
        <v>0.0847626804476551</v>
      </c>
      <c r="G17" s="24" t="n">
        <f aca="false">'Vessel Budget'!G17+'LW Budget'!G17</f>
        <v>3743.66666666667</v>
      </c>
      <c r="H17" s="34" t="n">
        <f aca="false">IFERROR(G17/G$20,0)</f>
        <v>0.0505863304661579</v>
      </c>
      <c r="I17" s="24" t="n">
        <f aca="false">'Vessel Budget'!I17+'LW Budget'!I17</f>
        <v>3743.66666666667</v>
      </c>
      <c r="J17" s="34" t="n">
        <f aca="false">IFERROR(I17/I$20,0)</f>
        <v>0.0847626804476551</v>
      </c>
      <c r="K17" s="24" t="n">
        <f aca="false">'Vessel Budget'!K17+'LW Budget'!K17</f>
        <v>3743.66666666667</v>
      </c>
      <c r="L17" s="34" t="n">
        <f aca="false">IFERROR(K17/K$20,0)</f>
        <v>0.058440779830467</v>
      </c>
      <c r="M17" s="24" t="n">
        <f aca="false">'Vessel Budget'!M17+'LW Budget'!M17</f>
        <v>3743.66666666667</v>
      </c>
      <c r="N17" s="34" t="n">
        <f aca="false">IFERROR(M17/M$20,0)</f>
        <v>0.0623107302379977</v>
      </c>
      <c r="O17" s="24" t="n">
        <f aca="false">'Vessel Budget'!O17+'LW Budget'!O17</f>
        <v>3743.66666666667</v>
      </c>
      <c r="P17" s="34" t="n">
        <f aca="false">IFERROR(O17/O$20,0)</f>
        <v>0.0623107302379977</v>
      </c>
      <c r="Q17" s="24" t="n">
        <f aca="false">'Vessel Budget'!Q17+'LW Budget'!Q17</f>
        <v>3743.66666666667</v>
      </c>
      <c r="R17" s="34" t="n">
        <f aca="false">IFERROR(Q17/Q$20,0)</f>
        <v>0.0623107302379977</v>
      </c>
      <c r="S17" s="24" t="n">
        <f aca="false">'Vessel Budget'!S17+'LW Budget'!S17</f>
        <v>3743.66666666667</v>
      </c>
      <c r="T17" s="34" t="n">
        <f aca="false">IFERROR(S17/S$20,0)</f>
        <v>0.0623107302379977</v>
      </c>
      <c r="U17" s="24" t="n">
        <f aca="false">'Vessel Budget'!U17+'LW Budget'!U17</f>
        <v>3743.66666666667</v>
      </c>
      <c r="V17" s="34" t="n">
        <f aca="false">IFERROR(U17/U$20,0)</f>
        <v>0.0623107302379977</v>
      </c>
      <c r="W17" s="24" t="n">
        <f aca="false">'Vessel Budget'!W17+'LW Budget'!W17</f>
        <v>3743.66666666667</v>
      </c>
      <c r="X17" s="34" t="n">
        <f aca="false">IFERROR(W17/W$20,0)</f>
        <v>0.0623107302379977</v>
      </c>
      <c r="Y17" s="24" t="n">
        <f aca="false">'Vessel Budget'!Y17+'LW Budget'!Y17</f>
        <v>3743.66666666667</v>
      </c>
      <c r="Z17" s="34" t="n">
        <f aca="false">IFERROR(Y17/Y$20,0)</f>
        <v>0.0623107302379977</v>
      </c>
      <c r="AB17" s="24" t="n">
        <f aca="false">SUM(C17,E17,G17,I17,K17,M17,O17,Q17,S17,U17,W17,Y17)</f>
        <v>44924</v>
      </c>
      <c r="AC17" s="34" t="n">
        <f aca="false">IFERROR(AB17/AB$20,0)</f>
        <v>0.0623107302379977</v>
      </c>
    </row>
    <row r="18" customFormat="false" ht="15" hidden="false" customHeight="true" outlineLevel="0" collapsed="false">
      <c r="A18" s="5" t="s">
        <v>185</v>
      </c>
      <c r="C18" s="24" t="n">
        <f aca="false">'Vessel Budget'!C18+'LW Budget'!C18</f>
        <v>8960.17</v>
      </c>
      <c r="D18" s="34" t="n">
        <f aca="false">IFERROR(C18/C$20,0)</f>
        <v>0.121074380015926</v>
      </c>
      <c r="E18" s="24" t="n">
        <f aca="false">'Vessel Budget'!E18+'LW Budget'!E18</f>
        <v>2992.36</v>
      </c>
      <c r="F18" s="34" t="n">
        <f aca="false">IFERROR(E18/E$20,0)</f>
        <v>0.0677518799210253</v>
      </c>
      <c r="G18" s="24" t="n">
        <f aca="false">'Vessel Budget'!G18+'LW Budget'!G18</f>
        <v>8960.17</v>
      </c>
      <c r="H18" s="34" t="n">
        <f aca="false">IFERROR(G18/G$20,0)</f>
        <v>0.121074380015926</v>
      </c>
      <c r="I18" s="24" t="n">
        <f aca="false">'Vessel Budget'!I18+'LW Budget'!I18</f>
        <v>2992.36</v>
      </c>
      <c r="J18" s="34" t="n">
        <f aca="false">IFERROR(I18/I$20,0)</f>
        <v>0.0677518799210253</v>
      </c>
      <c r="K18" s="24" t="n">
        <f aca="false">'Vessel Budget'!K18+'LW Budget'!K18</f>
        <v>6970.9</v>
      </c>
      <c r="L18" s="34" t="n">
        <f aca="false">IFERROR(K18/K$20,0)</f>
        <v>0.108819739681294</v>
      </c>
      <c r="M18" s="24" t="n">
        <f aca="false">'Vessel Budget'!M18+'LW Budget'!M18</f>
        <v>6175.192</v>
      </c>
      <c r="N18" s="34" t="n">
        <f aca="false">IFERROR(M18/M$20,0)</f>
        <v>0.102781779773798</v>
      </c>
      <c r="O18" s="24" t="n">
        <f aca="false">'Vessel Budget'!O18+'LW Budget'!O18</f>
        <v>6175.192</v>
      </c>
      <c r="P18" s="34" t="n">
        <f aca="false">IFERROR(O18/O$20,0)</f>
        <v>0.102781779773798</v>
      </c>
      <c r="Q18" s="24" t="n">
        <f aca="false">'Vessel Budget'!Q18+'LW Budget'!Q18</f>
        <v>6175.192</v>
      </c>
      <c r="R18" s="34" t="n">
        <f aca="false">IFERROR(Q18/Q$20,0)</f>
        <v>0.102781779773798</v>
      </c>
      <c r="S18" s="24" t="n">
        <f aca="false">'Vessel Budget'!S18+'LW Budget'!S18</f>
        <v>6175.192</v>
      </c>
      <c r="T18" s="34" t="n">
        <f aca="false">IFERROR(S18/S$20,0)</f>
        <v>0.102781779773798</v>
      </c>
      <c r="U18" s="24" t="n">
        <f aca="false">'Vessel Budget'!U18+'LW Budget'!U18</f>
        <v>6175.192</v>
      </c>
      <c r="V18" s="34" t="n">
        <f aca="false">IFERROR(U18/U$20,0)</f>
        <v>0.102781779773798</v>
      </c>
      <c r="W18" s="24" t="n">
        <f aca="false">'Vessel Budget'!W18+'LW Budget'!W18</f>
        <v>6175.192</v>
      </c>
      <c r="X18" s="34" t="n">
        <f aca="false">IFERROR(W18/W$20,0)</f>
        <v>0.102781779773798</v>
      </c>
      <c r="Y18" s="24" t="n">
        <f aca="false">'Vessel Budget'!Y18+'LW Budget'!Y18</f>
        <v>6175.192</v>
      </c>
      <c r="Z18" s="34" t="n">
        <f aca="false">IFERROR(Y18/Y$20,0)</f>
        <v>0.102781779773798</v>
      </c>
      <c r="AB18" s="24" t="n">
        <f aca="false">SUM(C18,E18,G18,I18,K18,M18,O18,Q18,S18,U18,W18,Y18)</f>
        <v>74102.304</v>
      </c>
      <c r="AC18" s="34" t="n">
        <f aca="false">IFERROR(AB18/AB$20,0)</f>
        <v>0.102781779773798</v>
      </c>
    </row>
    <row r="19" customFormat="false" ht="15" hidden="false" customHeight="true" outlineLevel="0" collapsed="false">
      <c r="A19" s="5" t="s">
        <v>186</v>
      </c>
      <c r="C19" s="24" t="n">
        <f aca="false">'Vessel Budget'!C19+'LW Budget'!C19</f>
        <v>-792.426916666667</v>
      </c>
      <c r="D19" s="34" t="n">
        <f aca="false">IFERROR(C19/C$20,0)</f>
        <v>-0.0107076760422345</v>
      </c>
      <c r="E19" s="24" t="n">
        <f aca="false">'Vessel Budget'!E19+'LW Budget'!E19</f>
        <v>-792.426916666667</v>
      </c>
      <c r="F19" s="34" t="n">
        <f aca="false">IFERROR(E19/E$20,0)</f>
        <v>-0.0179418296275142</v>
      </c>
      <c r="G19" s="24" t="n">
        <f aca="false">'Vessel Budget'!G19+'LW Budget'!G19</f>
        <v>-792.426916666667</v>
      </c>
      <c r="H19" s="34" t="n">
        <f aca="false">IFERROR(G19/G$20,0)</f>
        <v>-0.0107076760422345</v>
      </c>
      <c r="I19" s="24" t="n">
        <f aca="false">'Vessel Budget'!I19+'LW Budget'!I19</f>
        <v>-792.426916666667</v>
      </c>
      <c r="J19" s="34" t="n">
        <f aca="false">IFERROR(I19/I$20,0)</f>
        <v>-0.0179418296275142</v>
      </c>
      <c r="K19" s="24" t="n">
        <f aca="false">'Vessel Budget'!K19+'LW Budget'!K19</f>
        <v>-792.426916666667</v>
      </c>
      <c r="L19" s="34" t="n">
        <f aca="false">IFERROR(K19/K$20,0)</f>
        <v>-0.0123702378155069</v>
      </c>
      <c r="M19" s="24" t="n">
        <f aca="false">'Vessel Budget'!M19+'LW Budget'!M19</f>
        <v>-792.426916666667</v>
      </c>
      <c r="N19" s="34" t="n">
        <f aca="false">IFERROR(M19/M$20,0)</f>
        <v>-0.0131893953800405</v>
      </c>
      <c r="O19" s="24" t="n">
        <f aca="false">'Vessel Budget'!O19+'LW Budget'!O19</f>
        <v>-792.426916666667</v>
      </c>
      <c r="P19" s="34" t="n">
        <f aca="false">IFERROR(O19/O$20,0)</f>
        <v>-0.0131893953800405</v>
      </c>
      <c r="Q19" s="24" t="n">
        <f aca="false">'Vessel Budget'!Q19+'LW Budget'!Q19</f>
        <v>-792.426916666667</v>
      </c>
      <c r="R19" s="34" t="n">
        <f aca="false">IFERROR(Q19/Q$20,0)</f>
        <v>-0.0131893953800405</v>
      </c>
      <c r="S19" s="24" t="n">
        <f aca="false">'Vessel Budget'!S19+'LW Budget'!S19</f>
        <v>-792.426916666667</v>
      </c>
      <c r="T19" s="34" t="n">
        <f aca="false">IFERROR(S19/S$20,0)</f>
        <v>-0.0131893953800405</v>
      </c>
      <c r="U19" s="24" t="n">
        <f aca="false">'Vessel Budget'!U19+'LW Budget'!U19</f>
        <v>-792.426916666667</v>
      </c>
      <c r="V19" s="34" t="n">
        <f aca="false">IFERROR(U19/U$20,0)</f>
        <v>-0.0131893953800405</v>
      </c>
      <c r="W19" s="24" t="n">
        <f aca="false">'Vessel Budget'!W19+'LW Budget'!W19</f>
        <v>-792.426916666667</v>
      </c>
      <c r="X19" s="34" t="n">
        <f aca="false">IFERROR(W19/W$20,0)</f>
        <v>-0.0131893953800405</v>
      </c>
      <c r="Y19" s="24" t="n">
        <f aca="false">'Vessel Budget'!Y19+'LW Budget'!Y19</f>
        <v>-792.426916666667</v>
      </c>
      <c r="Z19" s="34" t="n">
        <f aca="false">IFERROR(Y19/Y$20,0)</f>
        <v>-0.0131893953800405</v>
      </c>
      <c r="AB19" s="24" t="n">
        <f aca="false">SUM(C19,E19,G19,I19,K19,M19,O19,Q19,S19,U19,W19,Y19)</f>
        <v>-9509.123</v>
      </c>
      <c r="AC19" s="34" t="n">
        <f aca="false">IFERROR(AB19/AB$20,0)</f>
        <v>-0.0131893953800405</v>
      </c>
    </row>
    <row r="20" customFormat="false" ht="15" hidden="false" customHeight="true" outlineLevel="0" collapsed="false">
      <c r="A20" s="6" t="s">
        <v>138</v>
      </c>
      <c r="C20" s="27" t="n">
        <f aca="false">SUM(C12:C19)</f>
        <v>74005.49975</v>
      </c>
      <c r="D20" s="35" t="n">
        <f aca="false">IFERROR(C20/C$20,0)</f>
        <v>1</v>
      </c>
      <c r="E20" s="27" t="n">
        <f aca="false">SUM(E12:E19)</f>
        <v>44166.44975</v>
      </c>
      <c r="F20" s="35" t="n">
        <f aca="false">IFERROR(E20/E$20,0)</f>
        <v>1</v>
      </c>
      <c r="G20" s="27" t="n">
        <f aca="false">SUM(G12:G19)</f>
        <v>74005.49975</v>
      </c>
      <c r="H20" s="35" t="n">
        <f aca="false">IFERROR(G20/G$20,0)</f>
        <v>1</v>
      </c>
      <c r="I20" s="27" t="n">
        <f aca="false">SUM(I12:I19)</f>
        <v>44166.44975</v>
      </c>
      <c r="J20" s="35" t="n">
        <f aca="false">IFERROR(I20/I$20,0)</f>
        <v>1</v>
      </c>
      <c r="K20" s="27" t="n">
        <f aca="false">SUM(K12:K19)</f>
        <v>64059.14975</v>
      </c>
      <c r="L20" s="35" t="n">
        <f aca="false">IFERROR(K20/K$20,0)</f>
        <v>1</v>
      </c>
      <c r="M20" s="27" t="n">
        <f aca="false">SUM(M12:M19)</f>
        <v>60080.60975</v>
      </c>
      <c r="N20" s="35" t="n">
        <f aca="false">IFERROR(M20/M$20,0)</f>
        <v>1</v>
      </c>
      <c r="O20" s="27" t="n">
        <f aca="false">SUM(O12:O19)</f>
        <v>60080.60975</v>
      </c>
      <c r="P20" s="35" t="n">
        <f aca="false">IFERROR(O20/O$20,0)</f>
        <v>1</v>
      </c>
      <c r="Q20" s="27" t="n">
        <f aca="false">SUM(Q12:Q19)</f>
        <v>60080.60975</v>
      </c>
      <c r="R20" s="35" t="n">
        <f aca="false">IFERROR(Q20/Q$20,0)</f>
        <v>1</v>
      </c>
      <c r="S20" s="27" t="n">
        <f aca="false">SUM(S12:S19)</f>
        <v>60080.60975</v>
      </c>
      <c r="T20" s="35" t="n">
        <f aca="false">IFERROR(S20/S$20,0)</f>
        <v>1</v>
      </c>
      <c r="U20" s="27" t="n">
        <f aca="false">SUM(U12:U19)</f>
        <v>60080.60975</v>
      </c>
      <c r="V20" s="35" t="n">
        <f aca="false">IFERROR(U20/U$20,0)</f>
        <v>1</v>
      </c>
      <c r="W20" s="27" t="n">
        <f aca="false">SUM(W12:W19)</f>
        <v>60080.60975</v>
      </c>
      <c r="X20" s="35" t="n">
        <f aca="false">IFERROR(W20/W$20,0)</f>
        <v>1</v>
      </c>
      <c r="Y20" s="27" t="n">
        <f aca="false">SUM(Y12:Y19)</f>
        <v>60080.60975</v>
      </c>
      <c r="Z20" s="35" t="n">
        <f aca="false">IFERROR(Y20/Y$20,0)</f>
        <v>1</v>
      </c>
      <c r="AB20" s="27" t="n">
        <f aca="false">SUM(AB12:AB19)</f>
        <v>720967.317</v>
      </c>
      <c r="AC20" s="35" t="n">
        <f aca="false">IFERROR(AB20/AB$20,0)</f>
        <v>1</v>
      </c>
    </row>
    <row r="22" customFormat="false" ht="15" hidden="false" customHeight="true" outlineLevel="0" collapsed="false">
      <c r="A22" s="6" t="s">
        <v>187</v>
      </c>
    </row>
    <row r="23" customFormat="false" ht="15" hidden="false" customHeight="true" outlineLevel="0" collapsed="false">
      <c r="A23" s="5" t="s">
        <v>188</v>
      </c>
      <c r="C23" s="24" t="n">
        <f aca="false">'Vessel Budget'!C23+'LW Budget'!C23</f>
        <v>19264.4</v>
      </c>
      <c r="D23" s="34" t="n">
        <f aca="false">IFERROR(C23/C$12,0)</f>
        <v>0.507288366408169</v>
      </c>
      <c r="E23" s="24" t="n">
        <f aca="false">'Vessel Budget'!E23+'LW Budget'!E23</f>
        <v>8997.2</v>
      </c>
      <c r="F23" s="34" t="n">
        <f aca="false">IFERROR(E23/E$12,0)</f>
        <v>0.461530135626929</v>
      </c>
      <c r="G23" s="24" t="n">
        <f aca="false">'Vessel Budget'!G23+'LW Budget'!G23</f>
        <v>19264.4</v>
      </c>
      <c r="H23" s="34" t="n">
        <f aca="false">IFERROR(G23/G$12,0)</f>
        <v>0.507288366408169</v>
      </c>
      <c r="I23" s="24" t="n">
        <f aca="false">'Vessel Budget'!I23+'LW Budget'!I23</f>
        <v>8997.2</v>
      </c>
      <c r="J23" s="34" t="n">
        <f aca="false">IFERROR(I23/I$12,0)</f>
        <v>0.461530135626929</v>
      </c>
      <c r="K23" s="24" t="n">
        <f aca="false">'Vessel Budget'!K23+'LW Budget'!K23</f>
        <v>15842</v>
      </c>
      <c r="L23" s="34" t="n">
        <f aca="false">IFERROR(K23/K$12,0)</f>
        <v>0.497942396532445</v>
      </c>
      <c r="M23" s="24" t="n">
        <f aca="false">'Vessel Budget'!M23+'LW Budget'!M23</f>
        <v>14473.04</v>
      </c>
      <c r="N23" s="34" t="n">
        <f aca="false">IFERROR(M23/M$12,0)</f>
        <v>0.493105519417411</v>
      </c>
      <c r="O23" s="24" t="n">
        <f aca="false">'Vessel Budget'!O23+'LW Budget'!O23</f>
        <v>14473.04</v>
      </c>
      <c r="P23" s="34" t="n">
        <f aca="false">IFERROR(O23/O$12,0)</f>
        <v>0.493105519417411</v>
      </c>
      <c r="Q23" s="24" t="n">
        <f aca="false">'Vessel Budget'!Q23+'LW Budget'!Q23</f>
        <v>14473.04</v>
      </c>
      <c r="R23" s="34" t="n">
        <f aca="false">IFERROR(Q23/Q$12,0)</f>
        <v>0.493105519417411</v>
      </c>
      <c r="S23" s="24" t="n">
        <f aca="false">'Vessel Budget'!S23+'LW Budget'!S23</f>
        <v>14473.04</v>
      </c>
      <c r="T23" s="34" t="n">
        <f aca="false">IFERROR(S23/S$12,0)</f>
        <v>0.493105519417411</v>
      </c>
      <c r="U23" s="24" t="n">
        <f aca="false">'Vessel Budget'!U23+'LW Budget'!U23</f>
        <v>14473.04</v>
      </c>
      <c r="V23" s="34" t="n">
        <f aca="false">IFERROR(U23/U$12,0)</f>
        <v>0.493105519417411</v>
      </c>
      <c r="W23" s="24" t="n">
        <f aca="false">'Vessel Budget'!W23+'LW Budget'!W23</f>
        <v>14473.04</v>
      </c>
      <c r="X23" s="34" t="n">
        <f aca="false">IFERROR(W23/W$12,0)</f>
        <v>0.493105519417411</v>
      </c>
      <c r="Y23" s="24" t="n">
        <f aca="false">'Vessel Budget'!Y23+'LW Budget'!Y23</f>
        <v>14473.04</v>
      </c>
      <c r="Z23" s="34" t="n">
        <f aca="false">IFERROR(Y23/Y$12,0)</f>
        <v>0.493105519417411</v>
      </c>
      <c r="AB23" s="24" t="n">
        <f aca="false">SUM(C23,E23,G23,I23,K23,M23,O23,Q23,S23,U23,W23,Y23)</f>
        <v>173676.48</v>
      </c>
      <c r="AC23" s="34" t="n">
        <f aca="false">IFERROR(AB23/AB$12,0)</f>
        <v>0.493105519417411</v>
      </c>
    </row>
    <row r="24" customFormat="false" ht="15" hidden="false" customHeight="true" outlineLevel="0" collapsed="false">
      <c r="A24" s="5" t="s">
        <v>189</v>
      </c>
      <c r="C24" s="24" t="n">
        <f aca="false">'Vessel Budget'!C24+'LW Budget'!C24</f>
        <v>3486.22335228301</v>
      </c>
      <c r="D24" s="34" t="n">
        <f aca="false">IFERROR(C24/C$13,0)</f>
        <v>0.209046571631244</v>
      </c>
      <c r="E24" s="24" t="n">
        <f aca="false">'Vessel Budget'!E24+'LW Budget'!E24</f>
        <v>3033.99180070247</v>
      </c>
      <c r="F24" s="34" t="n">
        <f aca="false">IFERROR(E24/E$13,0)</f>
        <v>0.204063892976356</v>
      </c>
      <c r="G24" s="24" t="n">
        <f aca="false">'Vessel Budget'!G24+'LW Budget'!G24</f>
        <v>3486.22335228301</v>
      </c>
      <c r="H24" s="34" t="n">
        <f aca="false">IFERROR(G24/G$13,0)</f>
        <v>0.209046571631244</v>
      </c>
      <c r="I24" s="24" t="n">
        <f aca="false">'Vessel Budget'!I24+'LW Budget'!I24</f>
        <v>3033.99180070247</v>
      </c>
      <c r="J24" s="34" t="n">
        <f aca="false">IFERROR(I24/I$13,0)</f>
        <v>0.204063892976356</v>
      </c>
      <c r="K24" s="24" t="n">
        <f aca="false">'Vessel Budget'!K24+'LW Budget'!K24</f>
        <v>3335.47950175616</v>
      </c>
      <c r="L24" s="34" t="n">
        <f aca="false">IFERROR(K24/K$13,0)</f>
        <v>0.207510288654059</v>
      </c>
      <c r="M24" s="24" t="n">
        <f aca="false">'Vessel Budget'!M24+'LW Budget'!M24</f>
        <v>3275.18196154543</v>
      </c>
      <c r="N24" s="34" t="n">
        <f aca="false">IFERROR(M24/M$13,0)</f>
        <v>0.206863010759168</v>
      </c>
      <c r="O24" s="24" t="n">
        <f aca="false">'Vessel Budget'!O24+'LW Budget'!O24</f>
        <v>3275.18196154543</v>
      </c>
      <c r="P24" s="34" t="n">
        <f aca="false">IFERROR(O24/O$13,0)</f>
        <v>0.206863010759168</v>
      </c>
      <c r="Q24" s="24" t="n">
        <f aca="false">'Vessel Budget'!Q24+'LW Budget'!Q24</f>
        <v>3275.18196154543</v>
      </c>
      <c r="R24" s="34" t="n">
        <f aca="false">IFERROR(Q24/Q$13,0)</f>
        <v>0.206863010759168</v>
      </c>
      <c r="S24" s="24" t="n">
        <f aca="false">'Vessel Budget'!S24+'LW Budget'!S24</f>
        <v>3275.18196154543</v>
      </c>
      <c r="T24" s="34" t="n">
        <f aca="false">IFERROR(S24/S$13,0)</f>
        <v>0.206863010759168</v>
      </c>
      <c r="U24" s="24" t="n">
        <f aca="false">'Vessel Budget'!U24+'LW Budget'!U24</f>
        <v>3275.18196154543</v>
      </c>
      <c r="V24" s="34" t="n">
        <f aca="false">IFERROR(U24/U$13,0)</f>
        <v>0.206863010759168</v>
      </c>
      <c r="W24" s="24" t="n">
        <f aca="false">'Vessel Budget'!W24+'LW Budget'!W24</f>
        <v>3275.18196154543</v>
      </c>
      <c r="X24" s="34" t="n">
        <f aca="false">IFERROR(W24/W$13,0)</f>
        <v>0.206863010759168</v>
      </c>
      <c r="Y24" s="24" t="n">
        <f aca="false">'Vessel Budget'!Y24+'LW Budget'!Y24</f>
        <v>3275.18196154543</v>
      </c>
      <c r="Z24" s="34" t="n">
        <f aca="false">IFERROR(Y24/Y$13,0)</f>
        <v>0.206863010759168</v>
      </c>
      <c r="AB24" s="24" t="n">
        <f aca="false">SUM(C24,E24,G24,I24,K24,M24,O24,Q24,S24,U24,W24,Y24)</f>
        <v>39302.1835385451</v>
      </c>
      <c r="AC24" s="34" t="n">
        <f aca="false">IFERROR(AB24/AB$13,0)</f>
        <v>0.206863010759168</v>
      </c>
    </row>
    <row r="25" customFormat="false" ht="15" hidden="false" customHeight="true" outlineLevel="0" collapsed="false">
      <c r="A25" s="5" t="s">
        <v>190</v>
      </c>
      <c r="C25" s="24" t="n">
        <f aca="false">'Vessel Budget'!C25+'LW Budget'!C25</f>
        <v>1177.64349096571</v>
      </c>
      <c r="D25" s="34" t="n">
        <f aca="false">IFERROR(C25/C$14,0)</f>
        <v>0.235360464234359</v>
      </c>
      <c r="E25" s="24" t="n">
        <f aca="false">'Vessel Budget'!E25+'LW Budget'!E25</f>
        <v>417.044151066372</v>
      </c>
      <c r="F25" s="34" t="n">
        <f aca="false">IFERROR(E25/E$14,0)</f>
        <v>0.212649972551843</v>
      </c>
      <c r="G25" s="24" t="n">
        <f aca="false">'Vessel Budget'!G25+'LW Budget'!G25</f>
        <v>1177.64349096571</v>
      </c>
      <c r="H25" s="34" t="n">
        <f aca="false">IFERROR(G25/G$14,0)</f>
        <v>0.235360464234359</v>
      </c>
      <c r="I25" s="24" t="n">
        <f aca="false">'Vessel Budget'!I25+'LW Budget'!I25</f>
        <v>417.044151066372</v>
      </c>
      <c r="J25" s="34" t="n">
        <f aca="false">IFERROR(I25/I$14,0)</f>
        <v>0.212649972551843</v>
      </c>
      <c r="K25" s="24" t="n">
        <f aca="false">'Vessel Budget'!K25+'LW Budget'!K25</f>
        <v>924.11037766593</v>
      </c>
      <c r="L25" s="34" t="n">
        <f aca="false">IFERROR(K25/K$14,0)</f>
        <v>0.231639033984029</v>
      </c>
      <c r="M25" s="24" t="n">
        <f aca="false">'Vessel Budget'!M25+'LW Budget'!M25</f>
        <v>822.697132346019</v>
      </c>
      <c r="N25" s="34" t="n">
        <f aca="false">IFERROR(M25/M$14,0)</f>
        <v>0.229560735964354</v>
      </c>
      <c r="O25" s="24" t="n">
        <f aca="false">'Vessel Budget'!O25+'LW Budget'!O25</f>
        <v>822.697132346019</v>
      </c>
      <c r="P25" s="34" t="n">
        <f aca="false">IFERROR(O25/O$14,0)</f>
        <v>0.229560735964354</v>
      </c>
      <c r="Q25" s="24" t="n">
        <f aca="false">'Vessel Budget'!Q25+'LW Budget'!Q25</f>
        <v>822.697132346019</v>
      </c>
      <c r="R25" s="34" t="n">
        <f aca="false">IFERROR(Q25/Q$14,0)</f>
        <v>0.229560735964354</v>
      </c>
      <c r="S25" s="24" t="n">
        <f aca="false">'Vessel Budget'!S25+'LW Budget'!S25</f>
        <v>822.697132346019</v>
      </c>
      <c r="T25" s="34" t="n">
        <f aca="false">IFERROR(S25/S$14,0)</f>
        <v>0.229560735964354</v>
      </c>
      <c r="U25" s="24" t="n">
        <f aca="false">'Vessel Budget'!U25+'LW Budget'!U25</f>
        <v>822.697132346019</v>
      </c>
      <c r="V25" s="34" t="n">
        <f aca="false">IFERROR(U25/U$14,0)</f>
        <v>0.229560735964354</v>
      </c>
      <c r="W25" s="24" t="n">
        <f aca="false">'Vessel Budget'!W25+'LW Budget'!W25</f>
        <v>822.697132346019</v>
      </c>
      <c r="X25" s="34" t="n">
        <f aca="false">IFERROR(W25/W$14,0)</f>
        <v>0.229560735964354</v>
      </c>
      <c r="Y25" s="24" t="n">
        <f aca="false">'Vessel Budget'!Y25+'LW Budget'!Y25</f>
        <v>822.697132346019</v>
      </c>
      <c r="Z25" s="34" t="n">
        <f aca="false">IFERROR(Y25/Y$14,0)</f>
        <v>0.229560735964354</v>
      </c>
      <c r="AB25" s="24" t="n">
        <f aca="false">SUM(C25,E25,G25,I25,K25,M25,O25,Q25,S25,U25,W25,Y25)</f>
        <v>9872.36558815223</v>
      </c>
      <c r="AC25" s="34" t="n">
        <f aca="false">IFERROR(AB25/AB$14,0)</f>
        <v>0.229560735964354</v>
      </c>
    </row>
    <row r="26" customFormat="false" ht="15" hidden="false" customHeight="true" outlineLevel="0" collapsed="false">
      <c r="A26" s="5" t="s">
        <v>191</v>
      </c>
      <c r="C26" s="24" t="n">
        <f aca="false">'Vessel Budget'!C26+'LW Budget'!C26</f>
        <v>212.503418908643</v>
      </c>
      <c r="D26" s="34" t="n">
        <f aca="false">IFERROR(C26/C$15,0)</f>
        <v>0.273487360097099</v>
      </c>
      <c r="E26" s="24" t="n">
        <f aca="false">'Vessel Budget'!E26+'LW Budget'!E26</f>
        <v>184.462590433429</v>
      </c>
      <c r="F26" s="34" t="n">
        <f aca="false">IFERROR(E26/E$15,0)</f>
        <v>0.277449785771959</v>
      </c>
      <c r="G26" s="24" t="n">
        <f aca="false">'Vessel Budget'!G26+'LW Budget'!G26</f>
        <v>212.503418908643</v>
      </c>
      <c r="H26" s="34" t="n">
        <f aca="false">IFERROR(G26/G$15,0)</f>
        <v>0.273487360097099</v>
      </c>
      <c r="I26" s="24" t="n">
        <f aca="false">'Vessel Budget'!I26+'LW Budget'!I26</f>
        <v>184.462590433429</v>
      </c>
      <c r="J26" s="34" t="n">
        <f aca="false">IFERROR(I26/I$15,0)</f>
        <v>0.277449785771959</v>
      </c>
      <c r="K26" s="24" t="n">
        <f aca="false">'Vessel Budget'!K26+'LW Budget'!K26</f>
        <v>203.156476083572</v>
      </c>
      <c r="L26" s="34" t="n">
        <f aca="false">IFERROR(K26/K$15,0)</f>
        <v>0.274674636046484</v>
      </c>
      <c r="M26" s="24" t="n">
        <f aca="false">'Vessel Budget'!M26+'LW Budget'!M26</f>
        <v>199.417698953543</v>
      </c>
      <c r="N26" s="34" t="n">
        <f aca="false">IFERROR(M26/M$15,0)</f>
        <v>0.275183849142832</v>
      </c>
      <c r="O26" s="24" t="n">
        <f aca="false">'Vessel Budget'!O26+'LW Budget'!O26</f>
        <v>199.417698953543</v>
      </c>
      <c r="P26" s="34" t="n">
        <f aca="false">IFERROR(O26/O$15,0)</f>
        <v>0.275183849142832</v>
      </c>
      <c r="Q26" s="24" t="n">
        <f aca="false">'Vessel Budget'!Q26+'LW Budget'!Q26</f>
        <v>199.417698953543</v>
      </c>
      <c r="R26" s="34" t="n">
        <f aca="false">IFERROR(Q26/Q$15,0)</f>
        <v>0.275183849142832</v>
      </c>
      <c r="S26" s="24" t="n">
        <f aca="false">'Vessel Budget'!S26+'LW Budget'!S26</f>
        <v>199.417698953543</v>
      </c>
      <c r="T26" s="34" t="n">
        <f aca="false">IFERROR(S26/S$15,0)</f>
        <v>0.275183849142832</v>
      </c>
      <c r="U26" s="24" t="n">
        <f aca="false">'Vessel Budget'!U26+'LW Budget'!U26</f>
        <v>199.417698953543</v>
      </c>
      <c r="V26" s="34" t="n">
        <f aca="false">IFERROR(U26/U$15,0)</f>
        <v>0.275183849142832</v>
      </c>
      <c r="W26" s="24" t="n">
        <f aca="false">'Vessel Budget'!W26+'LW Budget'!W26</f>
        <v>199.417698953543</v>
      </c>
      <c r="X26" s="34" t="n">
        <f aca="false">IFERROR(W26/W$15,0)</f>
        <v>0.275183849142832</v>
      </c>
      <c r="Y26" s="24" t="n">
        <f aca="false">'Vessel Budget'!Y26+'LW Budget'!Y26</f>
        <v>199.417698953543</v>
      </c>
      <c r="Z26" s="34" t="n">
        <f aca="false">IFERROR(Y26/Y$15,0)</f>
        <v>0.275183849142832</v>
      </c>
      <c r="AB26" s="24" t="n">
        <f aca="false">SUM(C26,E26,G26,I26,K26,M26,O26,Q26,S26,U26,W26,Y26)</f>
        <v>2393.01238744252</v>
      </c>
      <c r="AC26" s="34" t="n">
        <f aca="false">IFERROR(AB26/AB$15,0)</f>
        <v>0.275183849142832</v>
      </c>
    </row>
    <row r="27" customFormat="false" ht="15" hidden="false" customHeight="true" outlineLevel="0" collapsed="false">
      <c r="A27" s="5" t="s">
        <v>192</v>
      </c>
      <c r="C27" s="24" t="n">
        <f aca="false">'Vessel Budget'!C27+'LW Budget'!C27</f>
        <v>527.119737842633</v>
      </c>
      <c r="D27" s="34" t="n">
        <f aca="false">IFERROR(C27/C$16,0)</f>
        <v>0.317259353425946</v>
      </c>
      <c r="E27" s="24" t="n">
        <f aca="false">'Vessel Budget'!E27+'LW Budget'!E27</f>
        <v>420.421457797733</v>
      </c>
      <c r="F27" s="34" t="n">
        <f aca="false">IFERROR(E27/E$16,0)</f>
        <v>0.340508854298757</v>
      </c>
      <c r="G27" s="24" t="n">
        <f aca="false">'Vessel Budget'!G27+'LW Budget'!G27</f>
        <v>527.119737842633</v>
      </c>
      <c r="H27" s="34" t="n">
        <f aca="false">IFERROR(G27/G$16,0)</f>
        <v>0.317259353425946</v>
      </c>
      <c r="I27" s="24" t="n">
        <f aca="false">'Vessel Budget'!I27+'LW Budget'!I27</f>
        <v>420.421457797733</v>
      </c>
      <c r="J27" s="34" t="n">
        <f aca="false">IFERROR(I27/I$16,0)</f>
        <v>0.340508854298757</v>
      </c>
      <c r="K27" s="24" t="n">
        <f aca="false">'Vessel Budget'!K27+'LW Budget'!K27</f>
        <v>491.553644494333</v>
      </c>
      <c r="L27" s="34" t="n">
        <f aca="false">IFERROR(K27/K$16,0)</f>
        <v>0.323557745969488</v>
      </c>
      <c r="M27" s="24" t="n">
        <f aca="false">'Vessel Budget'!M27+'LW Budget'!M27</f>
        <v>477.327207155013</v>
      </c>
      <c r="N27" s="34" t="n">
        <f aca="false">IFERROR(M27/M$16,0)</f>
        <v>0.326420245718858</v>
      </c>
      <c r="O27" s="24" t="n">
        <f aca="false">'Vessel Budget'!O27+'LW Budget'!O27</f>
        <v>477.327207155013</v>
      </c>
      <c r="P27" s="34" t="n">
        <f aca="false">IFERROR(O27/O$16,0)</f>
        <v>0.326420245718858</v>
      </c>
      <c r="Q27" s="24" t="n">
        <f aca="false">'Vessel Budget'!Q27+'LW Budget'!Q27</f>
        <v>477.327207155013</v>
      </c>
      <c r="R27" s="34" t="n">
        <f aca="false">IFERROR(Q27/Q$16,0)</f>
        <v>0.326420245718858</v>
      </c>
      <c r="S27" s="24" t="n">
        <f aca="false">'Vessel Budget'!S27+'LW Budget'!S27</f>
        <v>477.327207155013</v>
      </c>
      <c r="T27" s="34" t="n">
        <f aca="false">IFERROR(S27/S$16,0)</f>
        <v>0.326420245718858</v>
      </c>
      <c r="U27" s="24" t="n">
        <f aca="false">'Vessel Budget'!U27+'LW Budget'!U27</f>
        <v>477.327207155013</v>
      </c>
      <c r="V27" s="34" t="n">
        <f aca="false">IFERROR(U27/U$16,0)</f>
        <v>0.326420245718858</v>
      </c>
      <c r="W27" s="24" t="n">
        <f aca="false">'Vessel Budget'!W27+'LW Budget'!W27</f>
        <v>477.327207155013</v>
      </c>
      <c r="X27" s="34" t="n">
        <f aca="false">IFERROR(W27/W$16,0)</f>
        <v>0.326420245718858</v>
      </c>
      <c r="Y27" s="24" t="n">
        <f aca="false">'Vessel Budget'!Y27+'LW Budget'!Y27</f>
        <v>477.327207155013</v>
      </c>
      <c r="Z27" s="34" t="n">
        <f aca="false">IFERROR(Y27/Y$16,0)</f>
        <v>0.326420245718858</v>
      </c>
      <c r="AB27" s="24" t="n">
        <f aca="false">SUM(C27,E27,G27,I27,K27,M27,O27,Q27,S27,U27,W27,Y27)</f>
        <v>5727.92648586016</v>
      </c>
      <c r="AC27" s="34" t="n">
        <f aca="false">IFERROR(AB27/AB$16,0)</f>
        <v>0.326420245718858</v>
      </c>
    </row>
    <row r="28" customFormat="false" ht="15" hidden="false" customHeight="true" outlineLevel="0" collapsed="false">
      <c r="A28" s="5" t="s">
        <v>193</v>
      </c>
      <c r="C28" s="24" t="n">
        <f aca="false">'Vessel Budget'!C28+'LW Budget'!C28</f>
        <v>1470.0077</v>
      </c>
      <c r="D28" s="34" t="n">
        <f aca="false">IFERROR(C28/C$17,0)</f>
        <v>0.392665221262577</v>
      </c>
      <c r="E28" s="24" t="n">
        <f aca="false">'Vessel Budget'!E28+'LW Budget'!E28</f>
        <v>1470.0077</v>
      </c>
      <c r="F28" s="34" t="n">
        <f aca="false">IFERROR(E28/E$17,0)</f>
        <v>0.392665221262577</v>
      </c>
      <c r="G28" s="24" t="n">
        <f aca="false">'Vessel Budget'!G28+'LW Budget'!G28</f>
        <v>1470.0077</v>
      </c>
      <c r="H28" s="34" t="n">
        <f aca="false">IFERROR(G28/G$17,0)</f>
        <v>0.392665221262577</v>
      </c>
      <c r="I28" s="24" t="n">
        <f aca="false">'Vessel Budget'!I28+'LW Budget'!I28</f>
        <v>1470.0077</v>
      </c>
      <c r="J28" s="34" t="n">
        <f aca="false">IFERROR(I28/I$17,0)</f>
        <v>0.392665221262577</v>
      </c>
      <c r="K28" s="24" t="n">
        <f aca="false">'Vessel Budget'!K28+'LW Budget'!K28</f>
        <v>1470.0077</v>
      </c>
      <c r="L28" s="34" t="n">
        <f aca="false">IFERROR(K28/K$17,0)</f>
        <v>0.392665221262577</v>
      </c>
      <c r="M28" s="24" t="n">
        <f aca="false">'Vessel Budget'!M28+'LW Budget'!M28</f>
        <v>1470.0077</v>
      </c>
      <c r="N28" s="34" t="n">
        <f aca="false">IFERROR(M28/M$17,0)</f>
        <v>0.392665221262577</v>
      </c>
      <c r="O28" s="24" t="n">
        <f aca="false">'Vessel Budget'!O28+'LW Budget'!O28</f>
        <v>1470.0077</v>
      </c>
      <c r="P28" s="34" t="n">
        <f aca="false">IFERROR(O28/O$17,0)</f>
        <v>0.392665221262577</v>
      </c>
      <c r="Q28" s="24" t="n">
        <f aca="false">'Vessel Budget'!Q28+'LW Budget'!Q28</f>
        <v>1470.0077</v>
      </c>
      <c r="R28" s="34" t="n">
        <f aca="false">IFERROR(Q28/Q$17,0)</f>
        <v>0.392665221262577</v>
      </c>
      <c r="S28" s="24" t="n">
        <f aca="false">'Vessel Budget'!S28+'LW Budget'!S28</f>
        <v>1470.0077</v>
      </c>
      <c r="T28" s="34" t="n">
        <f aca="false">IFERROR(S28/S$17,0)</f>
        <v>0.392665221262577</v>
      </c>
      <c r="U28" s="24" t="n">
        <f aca="false">'Vessel Budget'!U28+'LW Budget'!U28</f>
        <v>1470.0077</v>
      </c>
      <c r="V28" s="34" t="n">
        <f aca="false">IFERROR(U28/U$17,0)</f>
        <v>0.392665221262577</v>
      </c>
      <c r="W28" s="24" t="n">
        <f aca="false">'Vessel Budget'!W28+'LW Budget'!W28</f>
        <v>1470.0077</v>
      </c>
      <c r="X28" s="34" t="n">
        <f aca="false">IFERROR(W28/W$17,0)</f>
        <v>0.392665221262577</v>
      </c>
      <c r="Y28" s="24" t="n">
        <f aca="false">'Vessel Budget'!Y28+'LW Budget'!Y28</f>
        <v>1470.0077</v>
      </c>
      <c r="Z28" s="34" t="n">
        <f aca="false">IFERROR(Y28/Y$17,0)</f>
        <v>0.392665221262577</v>
      </c>
      <c r="AB28" s="24" t="n">
        <f aca="false">SUM(C28,E28,G28,I28,K28,M28,O28,Q28,S28,U28,W28,Y28)</f>
        <v>17640.0924</v>
      </c>
      <c r="AC28" s="34" t="n">
        <f aca="false">IFERROR(AB28/AB$17,0)</f>
        <v>0.392665221262577</v>
      </c>
    </row>
    <row r="29" customFormat="false" ht="15" hidden="false" customHeight="true" outlineLevel="0" collapsed="false">
      <c r="A29" s="6" t="s">
        <v>139</v>
      </c>
      <c r="C29" s="27" t="n">
        <f aca="false">SUM(C23:C28)</f>
        <v>26137.8977</v>
      </c>
      <c r="D29" s="35" t="n">
        <f aca="false">IFERROR(C29/C$20,0)</f>
        <v>0.353188584474088</v>
      </c>
      <c r="E29" s="27" t="n">
        <f aca="false">SUM(E23:E28)</f>
        <v>14523.1277</v>
      </c>
      <c r="F29" s="35" t="n">
        <f aca="false">IFERROR(E29/E$20,0)</f>
        <v>0.328827147805784</v>
      </c>
      <c r="G29" s="27" t="n">
        <f aca="false">SUM(G23:G28)</f>
        <v>26137.8977</v>
      </c>
      <c r="H29" s="35" t="n">
        <f aca="false">IFERROR(G29/G$20,0)</f>
        <v>0.353188584474088</v>
      </c>
      <c r="I29" s="27" t="n">
        <f aca="false">SUM(I23:I28)</f>
        <v>14523.1277</v>
      </c>
      <c r="J29" s="35" t="n">
        <f aca="false">IFERROR(I29/I$20,0)</f>
        <v>0.328827147805784</v>
      </c>
      <c r="K29" s="27" t="n">
        <f aca="false">SUM(K23:K28)</f>
        <v>22266.3077</v>
      </c>
      <c r="L29" s="35" t="n">
        <f aca="false">IFERROR(K29/K$20,0)</f>
        <v>0.347589810150423</v>
      </c>
      <c r="M29" s="27" t="n">
        <f aca="false">SUM(M23:M28)</f>
        <v>20717.6717</v>
      </c>
      <c r="N29" s="35" t="n">
        <f aca="false">IFERROR(M29/M$20,0)</f>
        <v>0.344831248987116</v>
      </c>
      <c r="O29" s="27" t="n">
        <f aca="false">SUM(O23:O28)</f>
        <v>20717.6717</v>
      </c>
      <c r="P29" s="35" t="n">
        <f aca="false">IFERROR(O29/O$20,0)</f>
        <v>0.344831248987116</v>
      </c>
      <c r="Q29" s="27" t="n">
        <f aca="false">SUM(Q23:Q28)</f>
        <v>20717.6717</v>
      </c>
      <c r="R29" s="35" t="n">
        <f aca="false">IFERROR(Q29/Q$20,0)</f>
        <v>0.344831248987116</v>
      </c>
      <c r="S29" s="27" t="n">
        <f aca="false">SUM(S23:S28)</f>
        <v>20717.6717</v>
      </c>
      <c r="T29" s="35" t="n">
        <f aca="false">IFERROR(S29/S$20,0)</f>
        <v>0.344831248987116</v>
      </c>
      <c r="U29" s="27" t="n">
        <f aca="false">SUM(U23:U28)</f>
        <v>20717.6717</v>
      </c>
      <c r="V29" s="35" t="n">
        <f aca="false">IFERROR(U29/U$20,0)</f>
        <v>0.344831248987116</v>
      </c>
      <c r="W29" s="27" t="n">
        <f aca="false">SUM(W23:W28)</f>
        <v>20717.6717</v>
      </c>
      <c r="X29" s="35" t="n">
        <f aca="false">IFERROR(W29/W$20,0)</f>
        <v>0.344831248987116</v>
      </c>
      <c r="Y29" s="27" t="n">
        <f aca="false">SUM(Y23:Y28)</f>
        <v>20717.6717</v>
      </c>
      <c r="Z29" s="35" t="n">
        <f aca="false">IFERROR(Y29/Y$20,0)</f>
        <v>0.344831248987116</v>
      </c>
      <c r="AB29" s="27" t="n">
        <f aca="false">SUM(AB23:AB28)</f>
        <v>248612.0604</v>
      </c>
      <c r="AC29" s="35" t="n">
        <f aca="false">IFERROR(AB29/AB$20,0)</f>
        <v>0.344831248987116</v>
      </c>
    </row>
    <row r="30" customFormat="false" ht="15" hidden="false" customHeight="true" outlineLevel="0" collapsed="false">
      <c r="A30" s="6" t="s">
        <v>140</v>
      </c>
      <c r="C30" s="7" t="n">
        <f aca="false">C20-C29</f>
        <v>47867.60205</v>
      </c>
      <c r="D30" s="8" t="n">
        <f aca="false">IFERROR(C30/C$20,0)</f>
        <v>0.646811415525912</v>
      </c>
      <c r="E30" s="7" t="n">
        <f aca="false">E20-E29</f>
        <v>29643.32205</v>
      </c>
      <c r="F30" s="8" t="n">
        <f aca="false">IFERROR(E30/E$20,0)</f>
        <v>0.671172852194216</v>
      </c>
      <c r="G30" s="7" t="n">
        <f aca="false">G20-G29</f>
        <v>47867.60205</v>
      </c>
      <c r="H30" s="8" t="n">
        <f aca="false">IFERROR(G30/G$20,0)</f>
        <v>0.646811415525912</v>
      </c>
      <c r="I30" s="7" t="n">
        <f aca="false">I20-I29</f>
        <v>29643.32205</v>
      </c>
      <c r="J30" s="8" t="n">
        <f aca="false">IFERROR(I30/I$20,0)</f>
        <v>0.671172852194216</v>
      </c>
      <c r="K30" s="7" t="n">
        <f aca="false">K20-K29</f>
        <v>41792.84205</v>
      </c>
      <c r="L30" s="8" t="n">
        <f aca="false">IFERROR(K30/K$20,0)</f>
        <v>0.652410189849577</v>
      </c>
      <c r="M30" s="7" t="n">
        <f aca="false">M20-M29</f>
        <v>39362.93805</v>
      </c>
      <c r="N30" s="8" t="n">
        <f aca="false">IFERROR(M30/M$20,0)</f>
        <v>0.655168751012884</v>
      </c>
      <c r="O30" s="7" t="n">
        <f aca="false">O20-O29</f>
        <v>39362.93805</v>
      </c>
      <c r="P30" s="8" t="n">
        <f aca="false">IFERROR(O30/O$20,0)</f>
        <v>0.655168751012884</v>
      </c>
      <c r="Q30" s="7" t="n">
        <f aca="false">Q20-Q29</f>
        <v>39362.93805</v>
      </c>
      <c r="R30" s="8" t="n">
        <f aca="false">IFERROR(Q30/Q$20,0)</f>
        <v>0.655168751012884</v>
      </c>
      <c r="S30" s="7" t="n">
        <f aca="false">S20-S29</f>
        <v>39362.93805</v>
      </c>
      <c r="T30" s="8" t="n">
        <f aca="false">IFERROR(S30/S$20,0)</f>
        <v>0.655168751012884</v>
      </c>
      <c r="U30" s="7" t="n">
        <f aca="false">U20-U29</f>
        <v>39362.93805</v>
      </c>
      <c r="V30" s="8" t="n">
        <f aca="false">IFERROR(U30/U$20,0)</f>
        <v>0.655168751012884</v>
      </c>
      <c r="W30" s="7" t="n">
        <f aca="false">W20-W29</f>
        <v>39362.93805</v>
      </c>
      <c r="X30" s="8" t="n">
        <f aca="false">IFERROR(W30/W$20,0)</f>
        <v>0.655168751012884</v>
      </c>
      <c r="Y30" s="7" t="n">
        <f aca="false">Y20-Y29</f>
        <v>39362.93805</v>
      </c>
      <c r="Z30" s="8" t="n">
        <f aca="false">IFERROR(Y30/Y$20,0)</f>
        <v>0.655168751012884</v>
      </c>
      <c r="AB30" s="7" t="n">
        <f aca="false">AB20-AB29</f>
        <v>472355.2566</v>
      </c>
      <c r="AC30" s="8" t="n">
        <f aca="false">IFERROR(AB30/AB$20,0)</f>
        <v>0.655168751012884</v>
      </c>
    </row>
    <row r="32" customFormat="false" ht="15" hidden="false" customHeight="true" outlineLevel="0" collapsed="false">
      <c r="A32" s="6" t="s">
        <v>194</v>
      </c>
    </row>
    <row r="33" customFormat="false" ht="15" hidden="false" customHeight="true" outlineLevel="0" collapsed="false">
      <c r="A33" s="5" t="s">
        <v>195</v>
      </c>
      <c r="C33" s="24" t="n">
        <f aca="false">'Vessel Budget'!C33+'LW Budget'!C33</f>
        <v>2166.795</v>
      </c>
      <c r="D33" s="34" t="n">
        <f aca="false">IFERROR(C33/C$20,0)</f>
        <v>0.0292788374826156</v>
      </c>
      <c r="E33" s="24" t="n">
        <f aca="false">'Vessel Budget'!E33+'LW Budget'!E33</f>
        <v>1813.86</v>
      </c>
      <c r="F33" s="34" t="n">
        <f aca="false">IFERROR(E33/E$20,0)</f>
        <v>0.0410687300035928</v>
      </c>
      <c r="G33" s="24" t="n">
        <f aca="false">'Vessel Budget'!G33+'LW Budget'!G33</f>
        <v>2166.795</v>
      </c>
      <c r="H33" s="34" t="n">
        <f aca="false">IFERROR(G33/G$20,0)</f>
        <v>0.0292788374826156</v>
      </c>
      <c r="I33" s="24" t="n">
        <f aca="false">'Vessel Budget'!I33+'LW Budget'!I33</f>
        <v>1813.86</v>
      </c>
      <c r="J33" s="34" t="n">
        <f aca="false">IFERROR(I33/I$20,0)</f>
        <v>0.0410687300035928</v>
      </c>
      <c r="K33" s="24" t="n">
        <f aca="false">'Vessel Budget'!K33+'LW Budget'!K33</f>
        <v>2049.15</v>
      </c>
      <c r="L33" s="34" t="n">
        <f aca="false">IFERROR(K33/K$20,0)</f>
        <v>0.0319884045916485</v>
      </c>
      <c r="M33" s="24" t="n">
        <f aca="false">'Vessel Budget'!M33+'LW Budget'!M33</f>
        <v>2002.092</v>
      </c>
      <c r="N33" s="34" t="n">
        <f aca="false">IFERROR(M33/M$20,0)</f>
        <v>0.0333234301104942</v>
      </c>
      <c r="O33" s="24" t="n">
        <f aca="false">'Vessel Budget'!O33+'LW Budget'!O33</f>
        <v>2002.092</v>
      </c>
      <c r="P33" s="34" t="n">
        <f aca="false">IFERROR(O33/O$20,0)</f>
        <v>0.0333234301104942</v>
      </c>
      <c r="Q33" s="24" t="n">
        <f aca="false">'Vessel Budget'!Q33+'LW Budget'!Q33</f>
        <v>2002.092</v>
      </c>
      <c r="R33" s="34" t="n">
        <f aca="false">IFERROR(Q33/Q$20,0)</f>
        <v>0.0333234301104942</v>
      </c>
      <c r="S33" s="24" t="n">
        <f aca="false">'Vessel Budget'!S33+'LW Budget'!S33</f>
        <v>2002.092</v>
      </c>
      <c r="T33" s="34" t="n">
        <f aca="false">IFERROR(S33/S$20,0)</f>
        <v>0.0333234301104942</v>
      </c>
      <c r="U33" s="24" t="n">
        <f aca="false">'Vessel Budget'!U33+'LW Budget'!U33</f>
        <v>2002.092</v>
      </c>
      <c r="V33" s="34" t="n">
        <f aca="false">IFERROR(U33/U$20,0)</f>
        <v>0.0333234301104942</v>
      </c>
      <c r="W33" s="24" t="n">
        <f aca="false">'Vessel Budget'!W33+'LW Budget'!W33</f>
        <v>2002.092</v>
      </c>
      <c r="X33" s="34" t="n">
        <f aca="false">IFERROR(W33/W$20,0)</f>
        <v>0.0333234301104942</v>
      </c>
      <c r="Y33" s="24" t="n">
        <f aca="false">'Vessel Budget'!Y33+'LW Budget'!Y33</f>
        <v>2002.092</v>
      </c>
      <c r="Z33" s="34" t="n">
        <f aca="false">IFERROR(Y33/Y$20,0)</f>
        <v>0.0333234301104942</v>
      </c>
      <c r="AB33" s="24" t="n">
        <f aca="false">SUM(C33,E33,G33,I33,K33,M33,O33,Q33,S33,U33,W33,Y33)</f>
        <v>24025.104</v>
      </c>
      <c r="AC33" s="34" t="n">
        <f aca="false">IFERROR(AB33/AB$20,0)</f>
        <v>0.0333234301104942</v>
      </c>
    </row>
    <row r="34" customFormat="false" ht="15" hidden="false" customHeight="true" outlineLevel="0" collapsed="false">
      <c r="A34" s="5" t="s">
        <v>196</v>
      </c>
      <c r="C34" s="24" t="n">
        <f aca="false">'Vessel Budget'!C34+'LW Budget'!C34</f>
        <v>1282.66666666667</v>
      </c>
      <c r="D34" s="34" t="n">
        <f aca="false">IFERROR(C34/C$20,0)</f>
        <v>0.0173320451993389</v>
      </c>
      <c r="E34" s="24" t="n">
        <f aca="false">'Vessel Budget'!E34+'LW Budget'!E34</f>
        <v>1282.66666666667</v>
      </c>
      <c r="F34" s="34" t="n">
        <f aca="false">IFERROR(E34/E$20,0)</f>
        <v>0.0290416520668308</v>
      </c>
      <c r="G34" s="24" t="n">
        <f aca="false">'Vessel Budget'!G34+'LW Budget'!G34</f>
        <v>1282.66666666667</v>
      </c>
      <c r="H34" s="34" t="n">
        <f aca="false">IFERROR(G34/G$20,0)</f>
        <v>0.0173320451993389</v>
      </c>
      <c r="I34" s="24" t="n">
        <f aca="false">'Vessel Budget'!I34+'LW Budget'!I34</f>
        <v>1282.66666666667</v>
      </c>
      <c r="J34" s="34" t="n">
        <f aca="false">IFERROR(I34/I$20,0)</f>
        <v>0.0290416520668308</v>
      </c>
      <c r="K34" s="24" t="n">
        <f aca="false">'Vessel Budget'!K34+'LW Budget'!K34</f>
        <v>1282.66666666667</v>
      </c>
      <c r="L34" s="34" t="n">
        <f aca="false">IFERROR(K34/K$20,0)</f>
        <v>0.0200231609640849</v>
      </c>
      <c r="M34" s="24" t="n">
        <f aca="false">'Vessel Budget'!M34+'LW Budget'!M34</f>
        <v>1282.66666666667</v>
      </c>
      <c r="N34" s="34" t="n">
        <f aca="false">IFERROR(M34/M$20,0)</f>
        <v>0.0213490953571201</v>
      </c>
      <c r="O34" s="24" t="n">
        <f aca="false">'Vessel Budget'!O34+'LW Budget'!O34</f>
        <v>1282.66666666667</v>
      </c>
      <c r="P34" s="34" t="n">
        <f aca="false">IFERROR(O34/O$20,0)</f>
        <v>0.0213490953571201</v>
      </c>
      <c r="Q34" s="24" t="n">
        <f aca="false">'Vessel Budget'!Q34+'LW Budget'!Q34</f>
        <v>1282.66666666667</v>
      </c>
      <c r="R34" s="34" t="n">
        <f aca="false">IFERROR(Q34/Q$20,0)</f>
        <v>0.0213490953571201</v>
      </c>
      <c r="S34" s="24" t="n">
        <f aca="false">'Vessel Budget'!S34+'LW Budget'!S34</f>
        <v>1282.66666666667</v>
      </c>
      <c r="T34" s="34" t="n">
        <f aca="false">IFERROR(S34/S$20,0)</f>
        <v>0.0213490953571201</v>
      </c>
      <c r="U34" s="24" t="n">
        <f aca="false">'Vessel Budget'!U34+'LW Budget'!U34</f>
        <v>1282.66666666667</v>
      </c>
      <c r="V34" s="34" t="n">
        <f aca="false">IFERROR(U34/U$20,0)</f>
        <v>0.0213490953571201</v>
      </c>
      <c r="W34" s="24" t="n">
        <f aca="false">'Vessel Budget'!W34+'LW Budget'!W34</f>
        <v>1282.66666666667</v>
      </c>
      <c r="X34" s="34" t="n">
        <f aca="false">IFERROR(W34/W$20,0)</f>
        <v>0.0213490953571201</v>
      </c>
      <c r="Y34" s="24" t="n">
        <f aca="false">'Vessel Budget'!Y34+'LW Budget'!Y34</f>
        <v>1282.66666666667</v>
      </c>
      <c r="Z34" s="34" t="n">
        <f aca="false">IFERROR(Y34/Y$20,0)</f>
        <v>0.0213490953571201</v>
      </c>
      <c r="AB34" s="24" t="n">
        <f aca="false">SUM(C34,E34,G34,I34,K34,M34,O34,Q34,S34,U34,W34,Y34)</f>
        <v>15392</v>
      </c>
      <c r="AC34" s="34" t="n">
        <f aca="false">IFERROR(AB34/AB$20,0)</f>
        <v>0.0213490953571201</v>
      </c>
    </row>
    <row r="35" customFormat="false" ht="15" hidden="false" customHeight="true" outlineLevel="0" collapsed="false">
      <c r="A35" s="5" t="s">
        <v>197</v>
      </c>
      <c r="C35" s="24" t="n">
        <f aca="false">'Vessel Budget'!C35+'LW Budget'!C35</f>
        <v>11626.225</v>
      </c>
      <c r="D35" s="34" t="n">
        <f aca="false">IFERROR(C35/C$20,0)</f>
        <v>0.157099472867218</v>
      </c>
      <c r="E35" s="24" t="n">
        <f aca="false">'Vessel Budget'!E35+'LW Budget'!E35</f>
        <v>8257.3</v>
      </c>
      <c r="F35" s="34" t="n">
        <f aca="false">IFERROR(E35/E$20,0)</f>
        <v>0.186958654062975</v>
      </c>
      <c r="G35" s="24" t="n">
        <f aca="false">'Vessel Budget'!G35+'LW Budget'!G35</f>
        <v>11626.225</v>
      </c>
      <c r="H35" s="34" t="n">
        <f aca="false">IFERROR(G35/G$20,0)</f>
        <v>0.157099472867218</v>
      </c>
      <c r="I35" s="24" t="n">
        <f aca="false">'Vessel Budget'!I35+'LW Budget'!I35</f>
        <v>8257.3</v>
      </c>
      <c r="J35" s="34" t="n">
        <f aca="false">IFERROR(I35/I$20,0)</f>
        <v>0.186958654062975</v>
      </c>
      <c r="K35" s="24" t="n">
        <f aca="false">'Vessel Budget'!K35+'LW Budget'!K35</f>
        <v>10503.25</v>
      </c>
      <c r="L35" s="34" t="n">
        <f aca="false">IFERROR(K35/K$20,0)</f>
        <v>0.163961745371121</v>
      </c>
      <c r="M35" s="24" t="n">
        <f aca="false">'Vessel Budget'!M35+'LW Budget'!M35</f>
        <v>10054.06</v>
      </c>
      <c r="N35" s="34" t="n">
        <f aca="false">IFERROR(M35/M$20,0)</f>
        <v>0.167342842255358</v>
      </c>
      <c r="O35" s="24" t="n">
        <f aca="false">'Vessel Budget'!O35+'LW Budget'!O35</f>
        <v>10054.06</v>
      </c>
      <c r="P35" s="34" t="n">
        <f aca="false">IFERROR(O35/O$20,0)</f>
        <v>0.167342842255358</v>
      </c>
      <c r="Q35" s="24" t="n">
        <f aca="false">'Vessel Budget'!Q35+'LW Budget'!Q35</f>
        <v>10054.06</v>
      </c>
      <c r="R35" s="34" t="n">
        <f aca="false">IFERROR(Q35/Q$20,0)</f>
        <v>0.167342842255358</v>
      </c>
      <c r="S35" s="24" t="n">
        <f aca="false">'Vessel Budget'!S35+'LW Budget'!S35</f>
        <v>10054.06</v>
      </c>
      <c r="T35" s="34" t="n">
        <f aca="false">IFERROR(S35/S$20,0)</f>
        <v>0.167342842255358</v>
      </c>
      <c r="U35" s="24" t="n">
        <f aca="false">'Vessel Budget'!U35+'LW Budget'!U35</f>
        <v>10054.06</v>
      </c>
      <c r="V35" s="34" t="n">
        <f aca="false">IFERROR(U35/U$20,0)</f>
        <v>0.167342842255358</v>
      </c>
      <c r="W35" s="24" t="n">
        <f aca="false">'Vessel Budget'!W35+'LW Budget'!W35</f>
        <v>10054.06</v>
      </c>
      <c r="X35" s="34" t="n">
        <f aca="false">IFERROR(W35/W$20,0)</f>
        <v>0.167342842255358</v>
      </c>
      <c r="Y35" s="24" t="n">
        <f aca="false">'Vessel Budget'!Y35+'LW Budget'!Y35</f>
        <v>10054.06</v>
      </c>
      <c r="Z35" s="34" t="n">
        <f aca="false">IFERROR(Y35/Y$20,0)</f>
        <v>0.167342842255358</v>
      </c>
      <c r="AB35" s="24" t="n">
        <f aca="false">SUM(C35,E35,G35,I35,K35,M35,O35,Q35,S35,U35,W35,Y35)</f>
        <v>120648.72</v>
      </c>
      <c r="AC35" s="34" t="n">
        <f aca="false">IFERROR(AB35/AB$20,0)</f>
        <v>0.167342842255358</v>
      </c>
    </row>
    <row r="36" customFormat="false" ht="15" hidden="false" customHeight="true" outlineLevel="0" collapsed="false">
      <c r="A36" s="5" t="s">
        <v>198</v>
      </c>
      <c r="C36" s="24" t="n">
        <f aca="false">'Vessel Budget'!C36+'LW Budget'!C36</f>
        <v>2608.61266666667</v>
      </c>
      <c r="D36" s="34" t="n">
        <f aca="false">IFERROR(C36/C$20,0)</f>
        <v>0.0352489027907236</v>
      </c>
      <c r="E36" s="24" t="n">
        <f aca="false">'Vessel Budget'!E36+'LW Budget'!E36</f>
        <v>1877.07466666667</v>
      </c>
      <c r="F36" s="34" t="n">
        <f aca="false">IFERROR(E36/E$20,0)</f>
        <v>0.0425000125047784</v>
      </c>
      <c r="G36" s="24" t="n">
        <f aca="false">'Vessel Budget'!G36+'LW Budget'!G36</f>
        <v>2608.61266666667</v>
      </c>
      <c r="H36" s="34" t="n">
        <f aca="false">IFERROR(G36/G$20,0)</f>
        <v>0.0352489027907236</v>
      </c>
      <c r="I36" s="24" t="n">
        <f aca="false">'Vessel Budget'!I36+'LW Budget'!I36</f>
        <v>1877.07466666667</v>
      </c>
      <c r="J36" s="34" t="n">
        <f aca="false">IFERROR(I36/I$20,0)</f>
        <v>0.0425000125047784</v>
      </c>
      <c r="K36" s="24" t="n">
        <f aca="false">'Vessel Budget'!K36+'LW Budget'!K36</f>
        <v>2364.76666666667</v>
      </c>
      <c r="L36" s="34" t="n">
        <f aca="false">IFERROR(K36/K$20,0)</f>
        <v>0.0369153614416599</v>
      </c>
      <c r="M36" s="24" t="n">
        <f aca="false">'Vessel Budget'!M36+'LW Budget'!M36</f>
        <v>2267.22826666667</v>
      </c>
      <c r="N36" s="34" t="n">
        <f aca="false">IFERROR(M36/M$20,0)</f>
        <v>0.0377364390291772</v>
      </c>
      <c r="O36" s="24" t="n">
        <f aca="false">'Vessel Budget'!O36+'LW Budget'!O36</f>
        <v>2267.22826666667</v>
      </c>
      <c r="P36" s="34" t="n">
        <f aca="false">IFERROR(O36/O$20,0)</f>
        <v>0.0377364390291772</v>
      </c>
      <c r="Q36" s="24" t="n">
        <f aca="false">'Vessel Budget'!Q36+'LW Budget'!Q36</f>
        <v>2267.22826666667</v>
      </c>
      <c r="R36" s="34" t="n">
        <f aca="false">IFERROR(Q36/Q$20,0)</f>
        <v>0.0377364390291772</v>
      </c>
      <c r="S36" s="24" t="n">
        <f aca="false">'Vessel Budget'!S36+'LW Budget'!S36</f>
        <v>2267.22826666667</v>
      </c>
      <c r="T36" s="34" t="n">
        <f aca="false">IFERROR(S36/S$20,0)</f>
        <v>0.0377364390291772</v>
      </c>
      <c r="U36" s="24" t="n">
        <f aca="false">'Vessel Budget'!U36+'LW Budget'!U36</f>
        <v>2267.22826666667</v>
      </c>
      <c r="V36" s="34" t="n">
        <f aca="false">IFERROR(U36/U$20,0)</f>
        <v>0.0377364390291772</v>
      </c>
      <c r="W36" s="24" t="n">
        <f aca="false">'Vessel Budget'!W36+'LW Budget'!W36</f>
        <v>2267.22826666667</v>
      </c>
      <c r="X36" s="34" t="n">
        <f aca="false">IFERROR(W36/W$20,0)</f>
        <v>0.0377364390291772</v>
      </c>
      <c r="Y36" s="24" t="n">
        <f aca="false">'Vessel Budget'!Y36+'LW Budget'!Y36</f>
        <v>2267.22826666667</v>
      </c>
      <c r="Z36" s="34" t="n">
        <f aca="false">IFERROR(Y36/Y$20,0)</f>
        <v>0.0377364390291772</v>
      </c>
      <c r="AB36" s="24" t="n">
        <f aca="false">SUM(C36,E36,G36,I36,K36,M36,O36,Q36,S36,U36,W36,Y36)</f>
        <v>27206.7392</v>
      </c>
      <c r="AC36" s="34" t="n">
        <f aca="false">IFERROR(AB36/AB$20,0)</f>
        <v>0.0377364390291772</v>
      </c>
    </row>
    <row r="37" customFormat="false" ht="15" hidden="false" customHeight="true" outlineLevel="0" collapsed="false">
      <c r="A37" s="5" t="s">
        <v>199</v>
      </c>
      <c r="C37" s="24" t="n">
        <f aca="false">'Vessel Budget'!C37+'LW Budget'!C37</f>
        <v>1038.128</v>
      </c>
      <c r="D37" s="34" t="n">
        <f aca="false">IFERROR(C37/C$20,0)</f>
        <v>0.0140277142037677</v>
      </c>
      <c r="E37" s="24" t="n">
        <f aca="false">'Vessel Budget'!E37+'LW Budget'!E37</f>
        <v>319.424</v>
      </c>
      <c r="F37" s="34" t="n">
        <f aca="false">IFERROR(E37/E$20,0)</f>
        <v>0.00723227702946624</v>
      </c>
      <c r="G37" s="24" t="n">
        <f aca="false">'Vessel Budget'!G37+'LW Budget'!G37</f>
        <v>1038.128</v>
      </c>
      <c r="H37" s="34" t="n">
        <f aca="false">IFERROR(G37/G$20,0)</f>
        <v>0.0140277142037677</v>
      </c>
      <c r="I37" s="24" t="n">
        <f aca="false">'Vessel Budget'!I37+'LW Budget'!I37</f>
        <v>319.424</v>
      </c>
      <c r="J37" s="34" t="n">
        <f aca="false">IFERROR(I37/I$20,0)</f>
        <v>0.00723227702946624</v>
      </c>
      <c r="K37" s="24" t="n">
        <f aca="false">'Vessel Budget'!K37+'LW Budget'!K37</f>
        <v>798.56</v>
      </c>
      <c r="L37" s="34" t="n">
        <f aca="false">IFERROR(K37/K$20,0)</f>
        <v>0.0124659787573905</v>
      </c>
      <c r="M37" s="24" t="n">
        <f aca="false">'Vessel Budget'!M37+'LW Budget'!M37</f>
        <v>702.7328</v>
      </c>
      <c r="N37" s="34" t="n">
        <f aca="false">IFERROR(M37/M$20,0)</f>
        <v>0.0116964991354802</v>
      </c>
      <c r="O37" s="24" t="n">
        <f aca="false">'Vessel Budget'!O37+'LW Budget'!O37</f>
        <v>702.7328</v>
      </c>
      <c r="P37" s="34" t="n">
        <f aca="false">IFERROR(O37/O$20,0)</f>
        <v>0.0116964991354802</v>
      </c>
      <c r="Q37" s="24" t="n">
        <f aca="false">'Vessel Budget'!Q37+'LW Budget'!Q37</f>
        <v>702.7328</v>
      </c>
      <c r="R37" s="34" t="n">
        <f aca="false">IFERROR(Q37/Q$20,0)</f>
        <v>0.0116964991354802</v>
      </c>
      <c r="S37" s="24" t="n">
        <f aca="false">'Vessel Budget'!S37+'LW Budget'!S37</f>
        <v>702.7328</v>
      </c>
      <c r="T37" s="34" t="n">
        <f aca="false">IFERROR(S37/S$20,0)</f>
        <v>0.0116964991354802</v>
      </c>
      <c r="U37" s="24" t="n">
        <f aca="false">'Vessel Budget'!U37+'LW Budget'!U37</f>
        <v>702.7328</v>
      </c>
      <c r="V37" s="34" t="n">
        <f aca="false">IFERROR(U37/U$20,0)</f>
        <v>0.0116964991354802</v>
      </c>
      <c r="W37" s="24" t="n">
        <f aca="false">'Vessel Budget'!W37+'LW Budget'!W37</f>
        <v>702.7328</v>
      </c>
      <c r="X37" s="34" t="n">
        <f aca="false">IFERROR(W37/W$20,0)</f>
        <v>0.0116964991354802</v>
      </c>
      <c r="Y37" s="24" t="n">
        <f aca="false">'Vessel Budget'!Y37+'LW Budget'!Y37</f>
        <v>-3073.66719999999</v>
      </c>
      <c r="Z37" s="34" t="n">
        <f aca="false">IFERROR(Y37/Y$20,0)</f>
        <v>-0.0511590546898535</v>
      </c>
      <c r="AB37" s="24" t="n">
        <f aca="false">SUM(C37,E37,G37,I37,K37,M37,O37,Q37,S37,U37,W37,Y37)</f>
        <v>4656.39360000001</v>
      </c>
      <c r="AC37" s="34" t="n">
        <f aca="false">IFERROR(AB37/AB$20,0)</f>
        <v>0.00645853631670242</v>
      </c>
    </row>
    <row r="38" customFormat="false" ht="15" hidden="false" customHeight="true" outlineLevel="0" collapsed="false">
      <c r="A38" s="6" t="s">
        <v>141</v>
      </c>
      <c r="C38" s="27" t="n">
        <f aca="false">SUM(C33:C37)</f>
        <v>18722.4273333333</v>
      </c>
      <c r="D38" s="35" t="n">
        <f aca="false">IFERROR(C38/C$20,0)</f>
        <v>0.252986972543663</v>
      </c>
      <c r="E38" s="27" t="n">
        <f aca="false">SUM(E33:E37)</f>
        <v>13550.3253333333</v>
      </c>
      <c r="F38" s="35" t="n">
        <f aca="false">IFERROR(E38/E$20,0)</f>
        <v>0.306801325667643</v>
      </c>
      <c r="G38" s="27" t="n">
        <f aca="false">SUM(G33:G37)</f>
        <v>18722.4273333333</v>
      </c>
      <c r="H38" s="35" t="n">
        <f aca="false">IFERROR(G38/G$20,0)</f>
        <v>0.252986972543663</v>
      </c>
      <c r="I38" s="27" t="n">
        <f aca="false">SUM(I33:I37)</f>
        <v>13550.3253333333</v>
      </c>
      <c r="J38" s="35" t="n">
        <f aca="false">IFERROR(I38/I$20,0)</f>
        <v>0.306801325667643</v>
      </c>
      <c r="K38" s="27" t="n">
        <f aca="false">SUM(K33:K37)</f>
        <v>16998.3933333333</v>
      </c>
      <c r="L38" s="35" t="n">
        <f aca="false">IFERROR(K38/K$20,0)</f>
        <v>0.265354651125905</v>
      </c>
      <c r="M38" s="27" t="n">
        <f aca="false">SUM(M33:M37)</f>
        <v>16308.7797333333</v>
      </c>
      <c r="N38" s="35" t="n">
        <f aca="false">IFERROR(M38/M$20,0)</f>
        <v>0.27144830588763</v>
      </c>
      <c r="O38" s="27" t="n">
        <f aca="false">SUM(O33:O37)</f>
        <v>16308.7797333333</v>
      </c>
      <c r="P38" s="35" t="n">
        <f aca="false">IFERROR(O38/O$20,0)</f>
        <v>0.27144830588763</v>
      </c>
      <c r="Q38" s="27" t="n">
        <f aca="false">SUM(Q33:Q37)</f>
        <v>16308.7797333333</v>
      </c>
      <c r="R38" s="35" t="n">
        <f aca="false">IFERROR(Q38/Q$20,0)</f>
        <v>0.27144830588763</v>
      </c>
      <c r="S38" s="27" t="n">
        <f aca="false">SUM(S33:S37)</f>
        <v>16308.7797333333</v>
      </c>
      <c r="T38" s="35" t="n">
        <f aca="false">IFERROR(S38/S$20,0)</f>
        <v>0.27144830588763</v>
      </c>
      <c r="U38" s="27" t="n">
        <f aca="false">SUM(U33:U37)</f>
        <v>16308.7797333333</v>
      </c>
      <c r="V38" s="35" t="n">
        <f aca="false">IFERROR(U38/U$20,0)</f>
        <v>0.27144830588763</v>
      </c>
      <c r="W38" s="27" t="n">
        <f aca="false">SUM(W33:W37)</f>
        <v>16308.7797333333</v>
      </c>
      <c r="X38" s="35" t="n">
        <f aca="false">IFERROR(W38/W$20,0)</f>
        <v>0.27144830588763</v>
      </c>
      <c r="Y38" s="27" t="n">
        <f aca="false">SUM(Y33:Y37)</f>
        <v>12532.3797333333</v>
      </c>
      <c r="Z38" s="35" t="n">
        <f aca="false">IFERROR(Y38/Y$20,0)</f>
        <v>0.208592752062296</v>
      </c>
      <c r="AB38" s="27" t="n">
        <f aca="false">SUM(AB33:AB37)</f>
        <v>191928.9568</v>
      </c>
      <c r="AC38" s="35" t="n">
        <f aca="false">IFERROR(AB38/AB$20,0)</f>
        <v>0.266210343068852</v>
      </c>
    </row>
    <row r="40" customFormat="false" ht="15" hidden="false" customHeight="true" outlineLevel="0" collapsed="false">
      <c r="A40" s="6" t="s">
        <v>200</v>
      </c>
      <c r="C40" s="7" t="n">
        <f aca="false">C29+C38</f>
        <v>44860.3250333333</v>
      </c>
      <c r="D40" s="8" t="n">
        <f aca="false">IFERROR(C40/C$20,0)</f>
        <v>0.606175557017752</v>
      </c>
      <c r="E40" s="7" t="n">
        <f aca="false">E29+E38</f>
        <v>28073.4530333333</v>
      </c>
      <c r="F40" s="8" t="n">
        <f aca="false">IFERROR(E40/E$20,0)</f>
        <v>0.635628473473427</v>
      </c>
      <c r="G40" s="7" t="n">
        <f aca="false">G29+G38</f>
        <v>44860.3250333333</v>
      </c>
      <c r="H40" s="8" t="n">
        <f aca="false">IFERROR(G40/G$20,0)</f>
        <v>0.606175557017752</v>
      </c>
      <c r="I40" s="7" t="n">
        <f aca="false">I29+I38</f>
        <v>28073.4530333333</v>
      </c>
      <c r="J40" s="8" t="n">
        <f aca="false">IFERROR(I40/I$20,0)</f>
        <v>0.635628473473427</v>
      </c>
      <c r="K40" s="7" t="n">
        <f aca="false">K29+K38</f>
        <v>39264.7010333333</v>
      </c>
      <c r="L40" s="8" t="n">
        <f aca="false">IFERROR(K40/K$20,0)</f>
        <v>0.612944461276327</v>
      </c>
      <c r="M40" s="7" t="n">
        <f aca="false">M29+M38</f>
        <v>37026.4514333333</v>
      </c>
      <c r="N40" s="8" t="n">
        <f aca="false">IFERROR(M40/M$20,0)</f>
        <v>0.616279554874746</v>
      </c>
      <c r="O40" s="7" t="n">
        <f aca="false">O29+O38</f>
        <v>37026.4514333333</v>
      </c>
      <c r="P40" s="8" t="n">
        <f aca="false">IFERROR(O40/O$20,0)</f>
        <v>0.616279554874746</v>
      </c>
      <c r="Q40" s="7" t="n">
        <f aca="false">Q29+Q38</f>
        <v>37026.4514333333</v>
      </c>
      <c r="R40" s="8" t="n">
        <f aca="false">IFERROR(Q40/Q$20,0)</f>
        <v>0.616279554874746</v>
      </c>
      <c r="S40" s="7" t="n">
        <f aca="false">S29+S38</f>
        <v>37026.4514333333</v>
      </c>
      <c r="T40" s="8" t="n">
        <f aca="false">IFERROR(S40/S$20,0)</f>
        <v>0.616279554874746</v>
      </c>
      <c r="U40" s="7" t="n">
        <f aca="false">U29+U38</f>
        <v>37026.4514333333</v>
      </c>
      <c r="V40" s="8" t="n">
        <f aca="false">IFERROR(U40/U$20,0)</f>
        <v>0.616279554874746</v>
      </c>
      <c r="W40" s="7" t="n">
        <f aca="false">W29+W38</f>
        <v>37026.4514333333</v>
      </c>
      <c r="X40" s="8" t="n">
        <f aca="false">IFERROR(W40/W$20,0)</f>
        <v>0.616279554874746</v>
      </c>
      <c r="Y40" s="7" t="n">
        <f aca="false">Y29+Y38</f>
        <v>33250.0514333333</v>
      </c>
      <c r="Z40" s="8" t="n">
        <f aca="false">IFERROR(Y40/Y$20,0)</f>
        <v>0.553424001049413</v>
      </c>
      <c r="AB40" s="7" t="n">
        <f aca="false">AB29+AB38</f>
        <v>440541.0172</v>
      </c>
      <c r="AC40" s="8" t="n">
        <f aca="false">IFERROR(AB40/AB$20,0)</f>
        <v>0.611041592055968</v>
      </c>
    </row>
    <row r="41" customFormat="false" ht="15" hidden="false" customHeight="true" outlineLevel="0" collapsed="false">
      <c r="A41" s="6" t="s">
        <v>201</v>
      </c>
      <c r="C41" s="7" t="n">
        <f aca="false">C30-C38</f>
        <v>29145.1747166667</v>
      </c>
      <c r="D41" s="8" t="n">
        <f aca="false">IFERROR(C41/C$20,0)</f>
        <v>0.393824442982248</v>
      </c>
      <c r="E41" s="7" t="n">
        <f aca="false">E30-E38</f>
        <v>16092.9967166667</v>
      </c>
      <c r="F41" s="8" t="n">
        <f aca="false">IFERROR(E41/E$20,0)</f>
        <v>0.364371526526573</v>
      </c>
      <c r="G41" s="7" t="n">
        <f aca="false">G30-G38</f>
        <v>29145.1747166667</v>
      </c>
      <c r="H41" s="8" t="n">
        <f aca="false">IFERROR(G41/G$20,0)</f>
        <v>0.393824442982248</v>
      </c>
      <c r="I41" s="7" t="n">
        <f aca="false">I30-I38</f>
        <v>16092.9967166667</v>
      </c>
      <c r="J41" s="8" t="n">
        <f aca="false">IFERROR(I41/I$20,0)</f>
        <v>0.364371526526573</v>
      </c>
      <c r="K41" s="7" t="n">
        <f aca="false">K30-K38</f>
        <v>24794.4487166667</v>
      </c>
      <c r="L41" s="8" t="n">
        <f aca="false">IFERROR(K41/K$20,0)</f>
        <v>0.387055538723673</v>
      </c>
      <c r="M41" s="7" t="n">
        <f aca="false">M30-M38</f>
        <v>23054.1583166667</v>
      </c>
      <c r="N41" s="8" t="n">
        <f aca="false">IFERROR(M41/M$20,0)</f>
        <v>0.383720445125254</v>
      </c>
      <c r="O41" s="7" t="n">
        <f aca="false">O30-O38</f>
        <v>23054.1583166667</v>
      </c>
      <c r="P41" s="8" t="n">
        <f aca="false">IFERROR(O41/O$20,0)</f>
        <v>0.383720445125254</v>
      </c>
      <c r="Q41" s="7" t="n">
        <f aca="false">Q30-Q38</f>
        <v>23054.1583166667</v>
      </c>
      <c r="R41" s="8" t="n">
        <f aca="false">IFERROR(Q41/Q$20,0)</f>
        <v>0.383720445125254</v>
      </c>
      <c r="S41" s="7" t="n">
        <f aca="false">S30-S38</f>
        <v>23054.1583166667</v>
      </c>
      <c r="T41" s="8" t="n">
        <f aca="false">IFERROR(S41/S$20,0)</f>
        <v>0.383720445125254</v>
      </c>
      <c r="U41" s="7" t="n">
        <f aca="false">U30-U38</f>
        <v>23054.1583166667</v>
      </c>
      <c r="V41" s="8" t="n">
        <f aca="false">IFERROR(U41/U$20,0)</f>
        <v>0.383720445125254</v>
      </c>
      <c r="W41" s="7" t="n">
        <f aca="false">W30-W38</f>
        <v>23054.1583166667</v>
      </c>
      <c r="X41" s="8" t="n">
        <f aca="false">IFERROR(W41/W$20,0)</f>
        <v>0.383720445125254</v>
      </c>
      <c r="Y41" s="7" t="n">
        <f aca="false">Y30-Y38</f>
        <v>26830.5583166667</v>
      </c>
      <c r="Z41" s="8" t="n">
        <f aca="false">IFERROR(Y41/Y$20,0)</f>
        <v>0.446575998950588</v>
      </c>
      <c r="AB41" s="7" t="n">
        <f aca="false">AB30-AB38</f>
        <v>280426.2998</v>
      </c>
      <c r="AC41" s="8" t="n">
        <f aca="false">IFERROR(AB41/AB$20,0)</f>
        <v>0.388958407944032</v>
      </c>
    </row>
    <row r="43" customFormat="false" ht="15" hidden="false" customHeight="true" outlineLevel="0" collapsed="false">
      <c r="A43" s="6" t="s">
        <v>202</v>
      </c>
    </row>
    <row r="44" customFormat="false" ht="15" hidden="false" customHeight="true" outlineLevel="0" collapsed="false">
      <c r="A44" s="5" t="s">
        <v>203</v>
      </c>
      <c r="C44" s="24" t="n">
        <f aca="false">'Vessel Budget'!C44+'LW Budget'!C44</f>
        <v>9192.75621875</v>
      </c>
      <c r="D44" s="34" t="n">
        <f aca="false">IFERROR(C44/C$20,0)</f>
        <v>0.12421720344845</v>
      </c>
      <c r="E44" s="24" t="n">
        <f aca="false">'Vessel Budget'!E44+'LW Budget'!E44</f>
        <v>5502.98121875</v>
      </c>
      <c r="F44" s="34" t="n">
        <f aca="false">IFERROR(E44/E$20,0)</f>
        <v>0.124596413112195</v>
      </c>
      <c r="G44" s="24" t="n">
        <f aca="false">'Vessel Budget'!G44+'LW Budget'!G44</f>
        <v>9192.75621875</v>
      </c>
      <c r="H44" s="34" t="n">
        <f aca="false">IFERROR(G44/G$20,0)</f>
        <v>0.12421720344845</v>
      </c>
      <c r="I44" s="24" t="n">
        <f aca="false">'Vessel Budget'!I44+'LW Budget'!I44</f>
        <v>5502.98121875</v>
      </c>
      <c r="J44" s="34" t="n">
        <f aca="false">IFERROR(I44/I$20,0)</f>
        <v>0.124596413112195</v>
      </c>
      <c r="K44" s="24" t="n">
        <f aca="false">'Vessel Budget'!K44+'LW Budget'!K44</f>
        <v>7962.83121875</v>
      </c>
      <c r="L44" s="34" t="n">
        <f aca="false">IFERROR(K44/K$20,0)</f>
        <v>0.124304353863985</v>
      </c>
      <c r="M44" s="24" t="n">
        <f aca="false">'Vessel Budget'!M44+'LW Budget'!M44</f>
        <v>7470.86121875</v>
      </c>
      <c r="N44" s="34" t="n">
        <f aca="false">IFERROR(M44/M$20,0)</f>
        <v>0.124347293575029</v>
      </c>
      <c r="O44" s="24" t="n">
        <f aca="false">'Vessel Budget'!O44+'LW Budget'!O44</f>
        <v>7470.86121875</v>
      </c>
      <c r="P44" s="34" t="n">
        <f aca="false">IFERROR(O44/O$20,0)</f>
        <v>0.124347293575029</v>
      </c>
      <c r="Q44" s="24" t="n">
        <f aca="false">'Vessel Budget'!Q44+'LW Budget'!Q44</f>
        <v>7470.86121875</v>
      </c>
      <c r="R44" s="34" t="n">
        <f aca="false">IFERROR(Q44/Q$20,0)</f>
        <v>0.124347293575029</v>
      </c>
      <c r="S44" s="24" t="n">
        <f aca="false">'Vessel Budget'!S44+'LW Budget'!S44</f>
        <v>7470.86121875</v>
      </c>
      <c r="T44" s="34" t="n">
        <f aca="false">IFERROR(S44/S$20,0)</f>
        <v>0.124347293575029</v>
      </c>
      <c r="U44" s="24" t="n">
        <f aca="false">'Vessel Budget'!U44+'LW Budget'!U44</f>
        <v>7470.86121875</v>
      </c>
      <c r="V44" s="34" t="n">
        <f aca="false">IFERROR(U44/U$20,0)</f>
        <v>0.124347293575029</v>
      </c>
      <c r="W44" s="24" t="n">
        <f aca="false">'Vessel Budget'!W44+'LW Budget'!W44</f>
        <v>7470.86121875</v>
      </c>
      <c r="X44" s="34" t="n">
        <f aca="false">IFERROR(W44/W$20,0)</f>
        <v>0.124347293575029</v>
      </c>
      <c r="Y44" s="24" t="n">
        <f aca="false">'Vessel Budget'!Y44+'LW Budget'!Y44</f>
        <v>7470.86121875</v>
      </c>
      <c r="Z44" s="34" t="n">
        <f aca="false">IFERROR(Y44/Y$20,0)</f>
        <v>0.124347293575029</v>
      </c>
      <c r="AB44" s="24" t="n">
        <f aca="false">SUM(C44,E44,G44,I44,K44,M44,O44,Q44,S44,U44,W44,Y44)</f>
        <v>89650.334625</v>
      </c>
      <c r="AC44" s="34" t="n">
        <f aca="false">IFERROR(AB44/AB$20,0)</f>
        <v>0.124347293575029</v>
      </c>
    </row>
    <row r="45" customFormat="false" ht="15" hidden="false" customHeight="true" outlineLevel="0" collapsed="false">
      <c r="A45" s="5" t="s">
        <v>204</v>
      </c>
      <c r="C45" s="24" t="n">
        <f aca="false">'Vessel Budget'!C45+'LW Budget'!C45</f>
        <v>0</v>
      </c>
      <c r="D45" s="34" t="n">
        <f aca="false">IFERROR(C45/C$20,0)</f>
        <v>0</v>
      </c>
      <c r="E45" s="24" t="n">
        <f aca="false">'Vessel Budget'!E45+'LW Budget'!E45</f>
        <v>0</v>
      </c>
      <c r="F45" s="34" t="n">
        <f aca="false">IFERROR(E45/E$20,0)</f>
        <v>0</v>
      </c>
      <c r="G45" s="24" t="n">
        <f aca="false">'Vessel Budget'!G45+'LW Budget'!G45</f>
        <v>0</v>
      </c>
      <c r="H45" s="34" t="n">
        <f aca="false">IFERROR(G45/G$20,0)</f>
        <v>0</v>
      </c>
      <c r="I45" s="24" t="n">
        <f aca="false">'Vessel Budget'!I45+'LW Budget'!I45</f>
        <v>0</v>
      </c>
      <c r="J45" s="34" t="n">
        <f aca="false">IFERROR(I45/I$20,0)</f>
        <v>0</v>
      </c>
      <c r="K45" s="24" t="n">
        <f aca="false">'Vessel Budget'!K45+'LW Budget'!K45</f>
        <v>0</v>
      </c>
      <c r="L45" s="34" t="n">
        <f aca="false">IFERROR(K45/K$20,0)</f>
        <v>0</v>
      </c>
      <c r="M45" s="24" t="n">
        <f aca="false">'Vessel Budget'!M45+'LW Budget'!M45</f>
        <v>0</v>
      </c>
      <c r="N45" s="34" t="n">
        <f aca="false">IFERROR(M45/M$20,0)</f>
        <v>0</v>
      </c>
      <c r="O45" s="24" t="n">
        <f aca="false">'Vessel Budget'!O45+'LW Budget'!O45</f>
        <v>0</v>
      </c>
      <c r="P45" s="34" t="n">
        <f aca="false">IFERROR(O45/O$20,0)</f>
        <v>0</v>
      </c>
      <c r="Q45" s="24" t="n">
        <f aca="false">'Vessel Budget'!Q45+'LW Budget'!Q45</f>
        <v>0</v>
      </c>
      <c r="R45" s="34" t="n">
        <f aca="false">IFERROR(Q45/Q$20,0)</f>
        <v>0</v>
      </c>
      <c r="S45" s="24" t="n">
        <f aca="false">'Vessel Budget'!S45+'LW Budget'!S45</f>
        <v>0</v>
      </c>
      <c r="T45" s="34" t="n">
        <f aca="false">IFERROR(S45/S$20,0)</f>
        <v>0</v>
      </c>
      <c r="U45" s="24" t="n">
        <f aca="false">'Vessel Budget'!U45+'LW Budget'!U45</f>
        <v>0</v>
      </c>
      <c r="V45" s="34" t="n">
        <f aca="false">IFERROR(U45/U$20,0)</f>
        <v>0</v>
      </c>
      <c r="W45" s="24" t="n">
        <f aca="false">'Vessel Budget'!W45+'LW Budget'!W45</f>
        <v>0</v>
      </c>
      <c r="X45" s="34" t="n">
        <f aca="false">IFERROR(W45/W$20,0)</f>
        <v>0</v>
      </c>
      <c r="Y45" s="24" t="n">
        <f aca="false">'Vessel Budget'!Y45+'LW Budget'!Y45</f>
        <v>0</v>
      </c>
      <c r="Z45" s="34" t="n">
        <f aca="false">IFERROR(Y45/Y$20,0)</f>
        <v>0</v>
      </c>
      <c r="AB45" s="24" t="n">
        <f aca="false">SUM(C45,E45,G45,I45,K45,M45,O45,Q45,S45,U45,W45,Y45)</f>
        <v>0</v>
      </c>
      <c r="AC45" s="34" t="n">
        <f aca="false">IFERROR(AB45/AB$20,0)</f>
        <v>0</v>
      </c>
    </row>
    <row r="46" customFormat="false" ht="15" hidden="false" customHeight="true" outlineLevel="0" collapsed="false">
      <c r="A46" s="5" t="s">
        <v>205</v>
      </c>
      <c r="C46" s="24" t="n">
        <f aca="false">'Vessel Budget'!C46+'LW Budget'!C46</f>
        <v>1081.66274125</v>
      </c>
      <c r="D46" s="34" t="n">
        <f aca="false">IFERROR(C46/C$20,0)</f>
        <v>0.0146159777976501</v>
      </c>
      <c r="E46" s="24" t="n">
        <f aca="false">'Vessel Budget'!E46+'LW Budget'!E46</f>
        <v>1081.66274125</v>
      </c>
      <c r="F46" s="34" t="n">
        <f aca="false">IFERROR(E46/E$20,0)</f>
        <v>0.0244905974415569</v>
      </c>
      <c r="G46" s="24" t="n">
        <f aca="false">'Vessel Budget'!G46+'LW Budget'!G46</f>
        <v>1081.66274125</v>
      </c>
      <c r="H46" s="34" t="n">
        <f aca="false">IFERROR(G46/G$20,0)</f>
        <v>0.0146159777976501</v>
      </c>
      <c r="I46" s="24" t="n">
        <f aca="false">'Vessel Budget'!I46+'LW Budget'!I46</f>
        <v>1081.66274125</v>
      </c>
      <c r="J46" s="34" t="n">
        <f aca="false">IFERROR(I46/I$20,0)</f>
        <v>0.0244905974415569</v>
      </c>
      <c r="K46" s="24" t="n">
        <f aca="false">'Vessel Budget'!K46+'LW Budget'!K46</f>
        <v>1081.66274125</v>
      </c>
      <c r="L46" s="34" t="n">
        <f aca="false">IFERROR(K46/K$20,0)</f>
        <v>0.0168853746181669</v>
      </c>
      <c r="M46" s="24" t="n">
        <f aca="false">'Vessel Budget'!M46+'LW Budget'!M46</f>
        <v>1081.66274125</v>
      </c>
      <c r="N46" s="34" t="n">
        <f aca="false">IFERROR(M46/M$20,0)</f>
        <v>0.0180035246937553</v>
      </c>
      <c r="O46" s="24" t="n">
        <f aca="false">'Vessel Budget'!O46+'LW Budget'!O46</f>
        <v>1081.66274125</v>
      </c>
      <c r="P46" s="34" t="n">
        <f aca="false">IFERROR(O46/O$20,0)</f>
        <v>0.0180035246937553</v>
      </c>
      <c r="Q46" s="24" t="n">
        <f aca="false">'Vessel Budget'!Q46+'LW Budget'!Q46</f>
        <v>1081.66274125</v>
      </c>
      <c r="R46" s="34" t="n">
        <f aca="false">IFERROR(Q46/Q$20,0)</f>
        <v>0.0180035246937553</v>
      </c>
      <c r="S46" s="24" t="n">
        <f aca="false">'Vessel Budget'!S46+'LW Budget'!S46</f>
        <v>1081.66274125</v>
      </c>
      <c r="T46" s="34" t="n">
        <f aca="false">IFERROR(S46/S$20,0)</f>
        <v>0.0180035246937553</v>
      </c>
      <c r="U46" s="24" t="n">
        <f aca="false">'Vessel Budget'!U46+'LW Budget'!U46</f>
        <v>1081.66274125</v>
      </c>
      <c r="V46" s="34" t="n">
        <f aca="false">IFERROR(U46/U$20,0)</f>
        <v>0.0180035246937553</v>
      </c>
      <c r="W46" s="24" t="n">
        <f aca="false">'Vessel Budget'!W46+'LW Budget'!W46</f>
        <v>1081.66274125</v>
      </c>
      <c r="X46" s="34" t="n">
        <f aca="false">IFERROR(W46/W$20,0)</f>
        <v>0.0180035246937553</v>
      </c>
      <c r="Y46" s="24" t="n">
        <f aca="false">'Vessel Budget'!Y46+'LW Budget'!Y46</f>
        <v>1081.66274125</v>
      </c>
      <c r="Z46" s="34" t="n">
        <f aca="false">IFERROR(Y46/Y$20,0)</f>
        <v>0.0180035246937553</v>
      </c>
      <c r="AB46" s="24" t="n">
        <f aca="false">SUM(C46,E46,G46,I46,K46,M46,O46,Q46,S46,U46,W46,Y46)</f>
        <v>12979.952895</v>
      </c>
      <c r="AC46" s="34" t="n">
        <f aca="false">IFERROR(AB46/AB$20,0)</f>
        <v>0.0180035246937553</v>
      </c>
    </row>
    <row r="47" customFormat="false" ht="15" hidden="false" customHeight="true" outlineLevel="0" collapsed="false">
      <c r="A47" s="5" t="s">
        <v>206</v>
      </c>
      <c r="C47" s="24" t="n">
        <f aca="false">'Vessel Budget'!C47+'LW Budget'!C47</f>
        <v>2626.89522875</v>
      </c>
      <c r="D47" s="34" t="n">
        <f aca="false">IFERROR(C47/C$20,0)</f>
        <v>0.0354959460800074</v>
      </c>
      <c r="E47" s="24" t="n">
        <f aca="false">'Vessel Budget'!E47+'LW Budget'!E47</f>
        <v>2626.89522875</v>
      </c>
      <c r="F47" s="34" t="n">
        <f aca="false">IFERROR(E47/E$20,0)</f>
        <v>0.0594771652152095</v>
      </c>
      <c r="G47" s="24" t="n">
        <f aca="false">'Vessel Budget'!G47+'LW Budget'!G47</f>
        <v>2626.89522875</v>
      </c>
      <c r="H47" s="34" t="n">
        <f aca="false">IFERROR(G47/G$20,0)</f>
        <v>0.0354959460800074</v>
      </c>
      <c r="I47" s="24" t="n">
        <f aca="false">'Vessel Budget'!I47+'LW Budget'!I47</f>
        <v>2626.89522875</v>
      </c>
      <c r="J47" s="34" t="n">
        <f aca="false">IFERROR(I47/I$20,0)</f>
        <v>0.0594771652152095</v>
      </c>
      <c r="K47" s="24" t="n">
        <f aca="false">'Vessel Budget'!K47+'LW Budget'!K47</f>
        <v>2626.89522875</v>
      </c>
      <c r="L47" s="34" t="n">
        <f aca="false">IFERROR(K47/K$20,0)</f>
        <v>0.0410073383584052</v>
      </c>
      <c r="M47" s="24" t="n">
        <f aca="false">'Vessel Budget'!M47+'LW Budget'!M47</f>
        <v>2626.89522875</v>
      </c>
      <c r="N47" s="34" t="n">
        <f aca="false">IFERROR(M47/M$20,0)</f>
        <v>0.0437228456848343</v>
      </c>
      <c r="O47" s="24" t="n">
        <f aca="false">'Vessel Budget'!O47+'LW Budget'!O47</f>
        <v>2626.89522875</v>
      </c>
      <c r="P47" s="34" t="n">
        <f aca="false">IFERROR(O47/O$20,0)</f>
        <v>0.0437228456848343</v>
      </c>
      <c r="Q47" s="24" t="n">
        <f aca="false">'Vessel Budget'!Q47+'LW Budget'!Q47</f>
        <v>2626.89522875</v>
      </c>
      <c r="R47" s="34" t="n">
        <f aca="false">IFERROR(Q47/Q$20,0)</f>
        <v>0.0437228456848343</v>
      </c>
      <c r="S47" s="24" t="n">
        <f aca="false">'Vessel Budget'!S47+'LW Budget'!S47</f>
        <v>2626.89522875</v>
      </c>
      <c r="T47" s="34" t="n">
        <f aca="false">IFERROR(S47/S$20,0)</f>
        <v>0.0437228456848343</v>
      </c>
      <c r="U47" s="24" t="n">
        <f aca="false">'Vessel Budget'!U47+'LW Budget'!U47</f>
        <v>2626.89522875</v>
      </c>
      <c r="V47" s="34" t="n">
        <f aca="false">IFERROR(U47/U$20,0)</f>
        <v>0.0437228456848343</v>
      </c>
      <c r="W47" s="24" t="n">
        <f aca="false">'Vessel Budget'!W47+'LW Budget'!W47</f>
        <v>2626.89522875</v>
      </c>
      <c r="X47" s="34" t="n">
        <f aca="false">IFERROR(W47/W$20,0)</f>
        <v>0.0437228456848343</v>
      </c>
      <c r="Y47" s="24" t="n">
        <f aca="false">'Vessel Budget'!Y47+'LW Budget'!Y47</f>
        <v>2626.89522875</v>
      </c>
      <c r="Z47" s="34" t="n">
        <f aca="false">IFERROR(Y47/Y$20,0)</f>
        <v>0.0437228456848343</v>
      </c>
      <c r="AB47" s="24" t="n">
        <f aca="false">SUM(C47,E47,G47,I47,K47,M47,O47,Q47,S47,U47,W47,Y47)</f>
        <v>31522.742745</v>
      </c>
      <c r="AC47" s="34" t="n">
        <f aca="false">IFERROR(AB47/AB$20,0)</f>
        <v>0.0437228456848343</v>
      </c>
    </row>
    <row r="48" customFormat="false" ht="15" hidden="false" customHeight="true" outlineLevel="0" collapsed="false">
      <c r="A48" s="5" t="s">
        <v>207</v>
      </c>
      <c r="C48" s="24" t="n">
        <f aca="false">'Vessel Budget'!C48+'LW Budget'!C48</f>
        <v>73</v>
      </c>
      <c r="D48" s="34" t="n">
        <f aca="false">IFERROR(C48/C$20,0)</f>
        <v>0.000986413175326203</v>
      </c>
      <c r="E48" s="24" t="n">
        <f aca="false">'Vessel Budget'!E48+'LW Budget'!E48</f>
        <v>73</v>
      </c>
      <c r="F48" s="34" t="n">
        <f aca="false">IFERROR(E48/E$20,0)</f>
        <v>0.00165283830629832</v>
      </c>
      <c r="G48" s="24" t="n">
        <f aca="false">'Vessel Budget'!G48+'LW Budget'!G48</f>
        <v>73</v>
      </c>
      <c r="H48" s="34" t="n">
        <f aca="false">IFERROR(G48/G$20,0)</f>
        <v>0.000986413175326203</v>
      </c>
      <c r="I48" s="24" t="n">
        <f aca="false">'Vessel Budget'!I48+'LW Budget'!I48</f>
        <v>73</v>
      </c>
      <c r="J48" s="34" t="n">
        <f aca="false">IFERROR(I48/I$20,0)</f>
        <v>0.00165283830629832</v>
      </c>
      <c r="K48" s="24" t="n">
        <f aca="false">'Vessel Budget'!K48+'LW Budget'!K48</f>
        <v>73</v>
      </c>
      <c r="L48" s="34" t="n">
        <f aca="false">IFERROR(K48/K$20,0)</f>
        <v>0.00113957179083539</v>
      </c>
      <c r="M48" s="24" t="n">
        <f aca="false">'Vessel Budget'!M48+'LW Budget'!M48</f>
        <v>73</v>
      </c>
      <c r="N48" s="34" t="n">
        <f aca="false">IFERROR(M48/M$20,0)</f>
        <v>0.00121503427318329</v>
      </c>
      <c r="O48" s="24" t="n">
        <f aca="false">'Vessel Budget'!O48+'LW Budget'!O48</f>
        <v>73</v>
      </c>
      <c r="P48" s="34" t="n">
        <f aca="false">IFERROR(O48/O$20,0)</f>
        <v>0.00121503427318329</v>
      </c>
      <c r="Q48" s="24" t="n">
        <f aca="false">'Vessel Budget'!Q48+'LW Budget'!Q48</f>
        <v>73</v>
      </c>
      <c r="R48" s="34" t="n">
        <f aca="false">IFERROR(Q48/Q$20,0)</f>
        <v>0.00121503427318329</v>
      </c>
      <c r="S48" s="24" t="n">
        <f aca="false">'Vessel Budget'!S48+'LW Budget'!S48</f>
        <v>73</v>
      </c>
      <c r="T48" s="34" t="n">
        <f aca="false">IFERROR(S48/S$20,0)</f>
        <v>0.00121503427318329</v>
      </c>
      <c r="U48" s="24" t="n">
        <f aca="false">'Vessel Budget'!U48+'LW Budget'!U48</f>
        <v>73</v>
      </c>
      <c r="V48" s="34" t="n">
        <f aca="false">IFERROR(U48/U$20,0)</f>
        <v>0.00121503427318329</v>
      </c>
      <c r="W48" s="24" t="n">
        <f aca="false">'Vessel Budget'!W48+'LW Budget'!W48</f>
        <v>73</v>
      </c>
      <c r="X48" s="34" t="n">
        <f aca="false">IFERROR(W48/W$20,0)</f>
        <v>0.00121503427318329</v>
      </c>
      <c r="Y48" s="24" t="n">
        <f aca="false">'Vessel Budget'!Y48+'LW Budget'!Y48</f>
        <v>73</v>
      </c>
      <c r="Z48" s="34" t="n">
        <f aca="false">IFERROR(Y48/Y$20,0)</f>
        <v>0.00121503427318329</v>
      </c>
      <c r="AB48" s="24" t="n">
        <f aca="false">SUM(C48,E48,G48,I48,K48,M48,O48,Q48,S48,U48,W48,Y48)</f>
        <v>876</v>
      </c>
      <c r="AC48" s="34" t="n">
        <f aca="false">IFERROR(AB48/AB$20,0)</f>
        <v>0.00121503427318329</v>
      </c>
    </row>
    <row r="49" customFormat="false" ht="15" hidden="false" customHeight="true" outlineLevel="0" collapsed="false">
      <c r="A49" s="5" t="s">
        <v>208</v>
      </c>
      <c r="C49" s="24" t="n">
        <f aca="false">'Vessel Budget'!C49+'LW Budget'!C49</f>
        <v>0</v>
      </c>
      <c r="D49" s="34" t="n">
        <f aca="false">IFERROR(C49/C$20,0)</f>
        <v>0</v>
      </c>
      <c r="E49" s="24" t="n">
        <f aca="false">'Vessel Budget'!E49+'LW Budget'!E49</f>
        <v>0</v>
      </c>
      <c r="F49" s="34" t="n">
        <f aca="false">IFERROR(E49/E$20,0)</f>
        <v>0</v>
      </c>
      <c r="G49" s="24" t="n">
        <f aca="false">'Vessel Budget'!G49+'LW Budget'!G49</f>
        <v>0</v>
      </c>
      <c r="H49" s="34" t="n">
        <f aca="false">IFERROR(G49/G$20,0)</f>
        <v>0</v>
      </c>
      <c r="I49" s="24" t="n">
        <f aca="false">'Vessel Budget'!I49+'LW Budget'!I49</f>
        <v>0</v>
      </c>
      <c r="J49" s="34" t="n">
        <f aca="false">IFERROR(I49/I$20,0)</f>
        <v>0</v>
      </c>
      <c r="K49" s="24" t="n">
        <f aca="false">'Vessel Budget'!K49+'LW Budget'!K49</f>
        <v>0</v>
      </c>
      <c r="L49" s="34" t="n">
        <f aca="false">IFERROR(K49/K$20,0)</f>
        <v>0</v>
      </c>
      <c r="M49" s="24" t="n">
        <f aca="false">'Vessel Budget'!M49+'LW Budget'!M49</f>
        <v>0</v>
      </c>
      <c r="N49" s="34" t="n">
        <f aca="false">IFERROR(M49/M$20,0)</f>
        <v>0</v>
      </c>
      <c r="O49" s="24" t="n">
        <f aca="false">'Vessel Budget'!O49+'LW Budget'!O49</f>
        <v>0</v>
      </c>
      <c r="P49" s="34" t="n">
        <f aca="false">IFERROR(O49/O$20,0)</f>
        <v>0</v>
      </c>
      <c r="Q49" s="24" t="n">
        <f aca="false">'Vessel Budget'!Q49+'LW Budget'!Q49</f>
        <v>0</v>
      </c>
      <c r="R49" s="34" t="n">
        <f aca="false">IFERROR(Q49/Q$20,0)</f>
        <v>0</v>
      </c>
      <c r="S49" s="24" t="n">
        <f aca="false">'Vessel Budget'!S49+'LW Budget'!S49</f>
        <v>0</v>
      </c>
      <c r="T49" s="34" t="n">
        <f aca="false">IFERROR(S49/S$20,0)</f>
        <v>0</v>
      </c>
      <c r="U49" s="24" t="n">
        <f aca="false">'Vessel Budget'!U49+'LW Budget'!U49</f>
        <v>0</v>
      </c>
      <c r="V49" s="34" t="n">
        <f aca="false">IFERROR(U49/U$20,0)</f>
        <v>0</v>
      </c>
      <c r="W49" s="24" t="n">
        <f aca="false">'Vessel Budget'!W49+'LW Budget'!W49</f>
        <v>0</v>
      </c>
      <c r="X49" s="34" t="n">
        <f aca="false">IFERROR(W49/W$20,0)</f>
        <v>0</v>
      </c>
      <c r="Y49" s="24" t="n">
        <f aca="false">'Vessel Budget'!Y49+'LW Budget'!Y49</f>
        <v>0</v>
      </c>
      <c r="Z49" s="34" t="n">
        <f aca="false">IFERROR(Y49/Y$20,0)</f>
        <v>0</v>
      </c>
      <c r="AB49" s="24" t="n">
        <f aca="false">SUM(C49,E49,G49,I49,K49,M49,O49,Q49,S49,U49,W49,Y49)</f>
        <v>0</v>
      </c>
      <c r="AC49" s="34" t="n">
        <f aca="false">IFERROR(AB49/AB$20,0)</f>
        <v>0</v>
      </c>
    </row>
    <row r="50" customFormat="false" ht="15" hidden="false" customHeight="true" outlineLevel="0" collapsed="false">
      <c r="A50" s="6" t="s">
        <v>209</v>
      </c>
      <c r="C50" s="27" t="n">
        <f aca="false">SUM(C44:C49)</f>
        <v>12974.31418875</v>
      </c>
      <c r="D50" s="35" t="n">
        <f aca="false">IFERROR(C50/C$20,0)</f>
        <v>0.175315540501434</v>
      </c>
      <c r="E50" s="27" t="n">
        <f aca="false">SUM(E44:E49)</f>
        <v>9284.53918875</v>
      </c>
      <c r="F50" s="35" t="n">
        <f aca="false">IFERROR(E50/E$20,0)</f>
        <v>0.21021701407526</v>
      </c>
      <c r="G50" s="27" t="n">
        <f aca="false">SUM(G44:G49)</f>
        <v>12974.31418875</v>
      </c>
      <c r="H50" s="35" t="n">
        <f aca="false">IFERROR(G50/G$20,0)</f>
        <v>0.175315540501434</v>
      </c>
      <c r="I50" s="27" t="n">
        <f aca="false">SUM(I44:I49)</f>
        <v>9284.53918875</v>
      </c>
      <c r="J50" s="35" t="n">
        <f aca="false">IFERROR(I50/I$20,0)</f>
        <v>0.21021701407526</v>
      </c>
      <c r="K50" s="27" t="n">
        <f aca="false">SUM(K44:K49)</f>
        <v>11744.38918875</v>
      </c>
      <c r="L50" s="35" t="n">
        <f aca="false">IFERROR(K50/K$20,0)</f>
        <v>0.183336638631392</v>
      </c>
      <c r="M50" s="27" t="n">
        <f aca="false">SUM(M44:M49)</f>
        <v>11252.41918875</v>
      </c>
      <c r="N50" s="35" t="n">
        <f aca="false">IFERROR(M50/M$20,0)</f>
        <v>0.187288698226802</v>
      </c>
      <c r="O50" s="27" t="n">
        <f aca="false">SUM(O44:O49)</f>
        <v>11252.41918875</v>
      </c>
      <c r="P50" s="35" t="n">
        <f aca="false">IFERROR(O50/O$20,0)</f>
        <v>0.187288698226802</v>
      </c>
      <c r="Q50" s="27" t="n">
        <f aca="false">SUM(Q44:Q49)</f>
        <v>11252.41918875</v>
      </c>
      <c r="R50" s="35" t="n">
        <f aca="false">IFERROR(Q50/Q$20,0)</f>
        <v>0.187288698226802</v>
      </c>
      <c r="S50" s="27" t="n">
        <f aca="false">SUM(S44:S49)</f>
        <v>11252.41918875</v>
      </c>
      <c r="T50" s="35" t="n">
        <f aca="false">IFERROR(S50/S$20,0)</f>
        <v>0.187288698226802</v>
      </c>
      <c r="U50" s="27" t="n">
        <f aca="false">SUM(U44:U49)</f>
        <v>11252.41918875</v>
      </c>
      <c r="V50" s="35" t="n">
        <f aca="false">IFERROR(U50/U$20,0)</f>
        <v>0.187288698226802</v>
      </c>
      <c r="W50" s="27" t="n">
        <f aca="false">SUM(W44:W49)</f>
        <v>11252.41918875</v>
      </c>
      <c r="X50" s="35" t="n">
        <f aca="false">IFERROR(W50/W$20,0)</f>
        <v>0.187288698226802</v>
      </c>
      <c r="Y50" s="27" t="n">
        <f aca="false">SUM(Y44:Y49)</f>
        <v>11252.41918875</v>
      </c>
      <c r="Z50" s="35" t="n">
        <f aca="false">IFERROR(Y50/Y$20,0)</f>
        <v>0.187288698226802</v>
      </c>
      <c r="AB50" s="27" t="n">
        <f aca="false">SUM(AB44:AB49)</f>
        <v>135029.030265</v>
      </c>
      <c r="AC50" s="35" t="n">
        <f aca="false">IFERROR(AB50/AB$20,0)</f>
        <v>0.187288698226802</v>
      </c>
    </row>
    <row r="52" customFormat="false" ht="15" hidden="false" customHeight="true" outlineLevel="0" collapsed="false">
      <c r="A52" s="6" t="s">
        <v>210</v>
      </c>
    </row>
    <row r="53" customFormat="false" ht="15" hidden="false" customHeight="true" outlineLevel="0" collapsed="false">
      <c r="A53" s="5" t="s">
        <v>211</v>
      </c>
      <c r="C53" s="24" t="n">
        <f aca="false">'Vessel Budget'!C53+'LW Budget'!C53</f>
        <v>249</v>
      </c>
      <c r="D53" s="34" t="n">
        <f aca="false">IFERROR(C53/C$20,0)</f>
        <v>0.00336461480350992</v>
      </c>
      <c r="E53" s="24" t="n">
        <f aca="false">'Vessel Budget'!E53+'LW Budget'!E53</f>
        <v>249</v>
      </c>
      <c r="F53" s="34" t="n">
        <f aca="false">IFERROR(E53/E$20,0)</f>
        <v>0.00563776353792168</v>
      </c>
      <c r="G53" s="24" t="n">
        <f aca="false">'Vessel Budget'!G53+'LW Budget'!G53</f>
        <v>249</v>
      </c>
      <c r="H53" s="34" t="n">
        <f aca="false">IFERROR(G53/G$20,0)</f>
        <v>0.00336461480350992</v>
      </c>
      <c r="I53" s="24" t="n">
        <f aca="false">'Vessel Budget'!I53+'LW Budget'!I53</f>
        <v>249</v>
      </c>
      <c r="J53" s="34" t="n">
        <f aca="false">IFERROR(I53/I$20,0)</f>
        <v>0.00563776353792168</v>
      </c>
      <c r="K53" s="24" t="n">
        <f aca="false">'Vessel Budget'!K53+'LW Budget'!K53</f>
        <v>249</v>
      </c>
      <c r="L53" s="34" t="n">
        <f aca="false">IFERROR(K53/K$20,0)</f>
        <v>0.00388703254682209</v>
      </c>
      <c r="M53" s="24" t="n">
        <f aca="false">'Vessel Budget'!M53+'LW Budget'!M53</f>
        <v>249</v>
      </c>
      <c r="N53" s="34" t="n">
        <f aca="false">IFERROR(M53/M$20,0)</f>
        <v>0.00414443197291286</v>
      </c>
      <c r="O53" s="24" t="n">
        <f aca="false">'Vessel Budget'!O53+'LW Budget'!O53</f>
        <v>249</v>
      </c>
      <c r="P53" s="34" t="n">
        <f aca="false">IFERROR(O53/O$20,0)</f>
        <v>0.00414443197291286</v>
      </c>
      <c r="Q53" s="24" t="n">
        <f aca="false">'Vessel Budget'!Q53+'LW Budget'!Q53</f>
        <v>249</v>
      </c>
      <c r="R53" s="34" t="n">
        <f aca="false">IFERROR(Q53/Q$20,0)</f>
        <v>0.00414443197291286</v>
      </c>
      <c r="S53" s="24" t="n">
        <f aca="false">'Vessel Budget'!S53+'LW Budget'!S53</f>
        <v>249</v>
      </c>
      <c r="T53" s="34" t="n">
        <f aca="false">IFERROR(S53/S$20,0)</f>
        <v>0.00414443197291286</v>
      </c>
      <c r="U53" s="24" t="n">
        <f aca="false">'Vessel Budget'!U53+'LW Budget'!U53</f>
        <v>249</v>
      </c>
      <c r="V53" s="34" t="n">
        <f aca="false">IFERROR(U53/U$20,0)</f>
        <v>0.00414443197291286</v>
      </c>
      <c r="W53" s="24" t="n">
        <f aca="false">'Vessel Budget'!W53+'LW Budget'!W53</f>
        <v>249</v>
      </c>
      <c r="X53" s="34" t="n">
        <f aca="false">IFERROR(W53/W$20,0)</f>
        <v>0.00414443197291286</v>
      </c>
      <c r="Y53" s="24" t="n">
        <f aca="false">'Vessel Budget'!Y53+'LW Budget'!Y53</f>
        <v>249</v>
      </c>
      <c r="Z53" s="34" t="n">
        <f aca="false">IFERROR(Y53/Y$20,0)</f>
        <v>0.00414443197291286</v>
      </c>
      <c r="AB53" s="24" t="n">
        <f aca="false">SUM(C53,E53,G53,I53,K53,M53,O53,Q53,S53,U53,W53,Y53)</f>
        <v>2988</v>
      </c>
      <c r="AC53" s="34" t="n">
        <f aca="false">IFERROR(AB53/AB$20,0)</f>
        <v>0.00414443197291286</v>
      </c>
    </row>
    <row r="54" customFormat="false" ht="15" hidden="false" customHeight="true" outlineLevel="0" collapsed="false">
      <c r="A54" s="5" t="s">
        <v>212</v>
      </c>
      <c r="C54" s="24" t="n">
        <f aca="false">'Vessel Budget'!C54+'LW Budget'!C54</f>
        <v>0</v>
      </c>
      <c r="D54" s="34" t="n">
        <f aca="false">IFERROR(C54/C$20,0)</f>
        <v>0</v>
      </c>
      <c r="E54" s="24" t="n">
        <f aca="false">'Vessel Budget'!E54+'LW Budget'!E54</f>
        <v>0</v>
      </c>
      <c r="F54" s="34" t="n">
        <f aca="false">IFERROR(E54/E$20,0)</f>
        <v>0</v>
      </c>
      <c r="G54" s="24" t="n">
        <f aca="false">'Vessel Budget'!G54+'LW Budget'!G54</f>
        <v>0</v>
      </c>
      <c r="H54" s="34" t="n">
        <f aca="false">IFERROR(G54/G$20,0)</f>
        <v>0</v>
      </c>
      <c r="I54" s="24" t="n">
        <f aca="false">'Vessel Budget'!I54+'LW Budget'!I54</f>
        <v>0</v>
      </c>
      <c r="J54" s="34" t="n">
        <f aca="false">IFERROR(I54/I$20,0)</f>
        <v>0</v>
      </c>
      <c r="K54" s="24" t="n">
        <f aca="false">'Vessel Budget'!K54+'LW Budget'!K54</f>
        <v>0</v>
      </c>
      <c r="L54" s="34" t="n">
        <f aca="false">IFERROR(K54/K$20,0)</f>
        <v>0</v>
      </c>
      <c r="M54" s="24" t="n">
        <f aca="false">'Vessel Budget'!M54+'LW Budget'!M54</f>
        <v>0</v>
      </c>
      <c r="N54" s="34" t="n">
        <f aca="false">IFERROR(M54/M$20,0)</f>
        <v>0</v>
      </c>
      <c r="O54" s="24" t="n">
        <f aca="false">'Vessel Budget'!O54+'LW Budget'!O54</f>
        <v>0</v>
      </c>
      <c r="P54" s="34" t="n">
        <f aca="false">IFERROR(O54/O$20,0)</f>
        <v>0</v>
      </c>
      <c r="Q54" s="24" t="n">
        <f aca="false">'Vessel Budget'!Q54+'LW Budget'!Q54</f>
        <v>0</v>
      </c>
      <c r="R54" s="34" t="n">
        <f aca="false">IFERROR(Q54/Q$20,0)</f>
        <v>0</v>
      </c>
      <c r="S54" s="24" t="n">
        <f aca="false">'Vessel Budget'!S54+'LW Budget'!S54</f>
        <v>0</v>
      </c>
      <c r="T54" s="34" t="n">
        <f aca="false">IFERROR(S54/S$20,0)</f>
        <v>0</v>
      </c>
      <c r="U54" s="24" t="n">
        <f aca="false">'Vessel Budget'!U54+'LW Budget'!U54</f>
        <v>0</v>
      </c>
      <c r="V54" s="34" t="n">
        <f aca="false">IFERROR(U54/U$20,0)</f>
        <v>0</v>
      </c>
      <c r="W54" s="24" t="n">
        <f aca="false">'Vessel Budget'!W54+'LW Budget'!W54</f>
        <v>0</v>
      </c>
      <c r="X54" s="34" t="n">
        <f aca="false">IFERROR(W54/W$20,0)</f>
        <v>0</v>
      </c>
      <c r="Y54" s="24" t="n">
        <f aca="false">'Vessel Budget'!Y54+'LW Budget'!Y54</f>
        <v>0</v>
      </c>
      <c r="Z54" s="34" t="n">
        <f aca="false">IFERROR(Y54/Y$20,0)</f>
        <v>0</v>
      </c>
      <c r="AB54" s="24" t="n">
        <f aca="false">SUM(C54,E54,G54,I54,K54,M54,O54,Q54,S54,U54,W54,Y54)</f>
        <v>0</v>
      </c>
      <c r="AC54" s="34" t="n">
        <f aca="false">IFERROR(AB54/AB$20,0)</f>
        <v>0</v>
      </c>
    </row>
    <row r="55" customFormat="false" ht="15" hidden="false" customHeight="true" outlineLevel="0" collapsed="false">
      <c r="A55" s="5" t="s">
        <v>213</v>
      </c>
      <c r="C55" s="24" t="n">
        <f aca="false">'Vessel Budget'!C55+'LW Budget'!C55</f>
        <v>2465.91323875</v>
      </c>
      <c r="D55" s="34" t="n">
        <f aca="false">IFERROR(C55/C$20,0)</f>
        <v>0.0333206754508809</v>
      </c>
      <c r="E55" s="24" t="n">
        <f aca="false">'Vessel Budget'!E55+'LW Budget'!E55</f>
        <v>1721.54123875</v>
      </c>
      <c r="F55" s="34" t="n">
        <f aca="false">IFERROR(E55/E$20,0)</f>
        <v>0.0389784836339489</v>
      </c>
      <c r="G55" s="24" t="n">
        <f aca="false">'Vessel Budget'!G55+'LW Budget'!G55</f>
        <v>2465.91323875</v>
      </c>
      <c r="H55" s="34" t="n">
        <f aca="false">IFERROR(G55/G$20,0)</f>
        <v>0.0333206754508809</v>
      </c>
      <c r="I55" s="24" t="n">
        <f aca="false">'Vessel Budget'!I55+'LW Budget'!I55</f>
        <v>1721.54123875</v>
      </c>
      <c r="J55" s="34" t="n">
        <f aca="false">IFERROR(I55/I$20,0)</f>
        <v>0.0389784836339489</v>
      </c>
      <c r="K55" s="24" t="n">
        <f aca="false">'Vessel Budget'!K55+'LW Budget'!K55</f>
        <v>2217.78923875</v>
      </c>
      <c r="L55" s="34" t="n">
        <f aca="false">IFERROR(K55/K$20,0)</f>
        <v>0.0346209596506547</v>
      </c>
      <c r="M55" s="24" t="n">
        <f aca="false">'Vessel Budget'!M55+'LW Budget'!M55</f>
        <v>2118.53963875</v>
      </c>
      <c r="N55" s="34" t="n">
        <f aca="false">IFERROR(M55/M$20,0)</f>
        <v>0.0352616201394328</v>
      </c>
      <c r="O55" s="24" t="n">
        <f aca="false">'Vessel Budget'!O55+'LW Budget'!O55</f>
        <v>2118.53963875</v>
      </c>
      <c r="P55" s="34" t="n">
        <f aca="false">IFERROR(O55/O$20,0)</f>
        <v>0.0352616201394328</v>
      </c>
      <c r="Q55" s="24" t="n">
        <f aca="false">'Vessel Budget'!Q55+'LW Budget'!Q55</f>
        <v>2118.53963875</v>
      </c>
      <c r="R55" s="34" t="n">
        <f aca="false">IFERROR(Q55/Q$20,0)</f>
        <v>0.0352616201394328</v>
      </c>
      <c r="S55" s="24" t="n">
        <f aca="false">'Vessel Budget'!S55+'LW Budget'!S55</f>
        <v>2118.53963875</v>
      </c>
      <c r="T55" s="34" t="n">
        <f aca="false">IFERROR(S55/S$20,0)</f>
        <v>0.0352616201394328</v>
      </c>
      <c r="U55" s="24" t="n">
        <f aca="false">'Vessel Budget'!U55+'LW Budget'!U55</f>
        <v>2118.53963875</v>
      </c>
      <c r="V55" s="34" t="n">
        <f aca="false">IFERROR(U55/U$20,0)</f>
        <v>0.0352616201394328</v>
      </c>
      <c r="W55" s="24" t="n">
        <f aca="false">'Vessel Budget'!W55+'LW Budget'!W55</f>
        <v>2118.53963875</v>
      </c>
      <c r="X55" s="34" t="n">
        <f aca="false">IFERROR(W55/W$20,0)</f>
        <v>0.0352616201394328</v>
      </c>
      <c r="Y55" s="24" t="n">
        <f aca="false">'Vessel Budget'!Y55+'LW Budget'!Y55</f>
        <v>2118.53963875</v>
      </c>
      <c r="Z55" s="34" t="n">
        <f aca="false">IFERROR(Y55/Y$20,0)</f>
        <v>0.0352616201394328</v>
      </c>
      <c r="AB55" s="24" t="n">
        <f aca="false">SUM(C55,E55,G55,I55,K55,M55,O55,Q55,S55,U55,W55,Y55)</f>
        <v>25422.475665</v>
      </c>
      <c r="AC55" s="34" t="n">
        <f aca="false">IFERROR(AB55/AB$20,0)</f>
        <v>0.0352616201394328</v>
      </c>
    </row>
    <row r="56" customFormat="false" ht="15" hidden="false" customHeight="true" outlineLevel="0" collapsed="false">
      <c r="A56" s="5" t="s">
        <v>143</v>
      </c>
      <c r="C56" s="24" t="n">
        <f aca="false">'Vessel Budget'!C56+'LW Budget'!C56</f>
        <v>2960.21999</v>
      </c>
      <c r="D56" s="34" t="n">
        <f aca="false">IFERROR(C56/C$20,0)</f>
        <v>0.04</v>
      </c>
      <c r="E56" s="24" t="n">
        <f aca="false">'Vessel Budget'!E56+'LW Budget'!E56</f>
        <v>1766.65799</v>
      </c>
      <c r="F56" s="34" t="n">
        <f aca="false">IFERROR(E56/E$20,0)</f>
        <v>0.04</v>
      </c>
      <c r="G56" s="24" t="n">
        <f aca="false">'Vessel Budget'!G56+'LW Budget'!G56</f>
        <v>2960.21999</v>
      </c>
      <c r="H56" s="34" t="n">
        <f aca="false">IFERROR(G56/G$20,0)</f>
        <v>0.04</v>
      </c>
      <c r="I56" s="24" t="n">
        <f aca="false">'Vessel Budget'!I56+'LW Budget'!I56</f>
        <v>1766.65799</v>
      </c>
      <c r="J56" s="34" t="n">
        <f aca="false">IFERROR(I56/I$20,0)</f>
        <v>0.04</v>
      </c>
      <c r="K56" s="24" t="n">
        <f aca="false">'Vessel Budget'!K56+'LW Budget'!K56</f>
        <v>2562.36599</v>
      </c>
      <c r="L56" s="34" t="n">
        <f aca="false">IFERROR(K56/K$20,0)</f>
        <v>0.04</v>
      </c>
      <c r="M56" s="24" t="n">
        <f aca="false">'Vessel Budget'!M56+'LW Budget'!M56</f>
        <v>2403.22439</v>
      </c>
      <c r="N56" s="34" t="n">
        <f aca="false">IFERROR(M56/M$20,0)</f>
        <v>0.04</v>
      </c>
      <c r="O56" s="24" t="n">
        <f aca="false">'Vessel Budget'!O56+'LW Budget'!O56</f>
        <v>2403.22439</v>
      </c>
      <c r="P56" s="34" t="n">
        <f aca="false">IFERROR(O56/O$20,0)</f>
        <v>0.04</v>
      </c>
      <c r="Q56" s="24" t="n">
        <f aca="false">'Vessel Budget'!Q56+'LW Budget'!Q56</f>
        <v>2403.22439</v>
      </c>
      <c r="R56" s="34" t="n">
        <f aca="false">IFERROR(Q56/Q$20,0)</f>
        <v>0.04</v>
      </c>
      <c r="S56" s="24" t="n">
        <f aca="false">'Vessel Budget'!S56+'LW Budget'!S56</f>
        <v>2403.22439</v>
      </c>
      <c r="T56" s="34" t="n">
        <f aca="false">IFERROR(S56/S$20,0)</f>
        <v>0.04</v>
      </c>
      <c r="U56" s="24" t="n">
        <f aca="false">'Vessel Budget'!U56+'LW Budget'!U56</f>
        <v>2403.22439</v>
      </c>
      <c r="V56" s="34" t="n">
        <f aca="false">IFERROR(U56/U$20,0)</f>
        <v>0.04</v>
      </c>
      <c r="W56" s="24" t="n">
        <f aca="false">'Vessel Budget'!W56+'LW Budget'!W56</f>
        <v>2403.22439</v>
      </c>
      <c r="X56" s="34" t="n">
        <f aca="false">IFERROR(W56/W$20,0)</f>
        <v>0.04</v>
      </c>
      <c r="Y56" s="24" t="n">
        <f aca="false">'Vessel Budget'!Y56+'LW Budget'!Y56</f>
        <v>2403.22439</v>
      </c>
      <c r="Z56" s="34" t="n">
        <f aca="false">IFERROR(Y56/Y$20,0)</f>
        <v>0.04</v>
      </c>
      <c r="AB56" s="24" t="n">
        <f aca="false">SUM(C56,E56,G56,I56,K56,M56,O56,Q56,S56,U56,W56,Y56)</f>
        <v>28838.69268</v>
      </c>
      <c r="AC56" s="34" t="n">
        <f aca="false">IFERROR(AB56/AB$20,0)</f>
        <v>0.04</v>
      </c>
    </row>
    <row r="57" customFormat="false" ht="15" hidden="false" customHeight="true" outlineLevel="0" collapsed="false">
      <c r="A57" s="5" t="s">
        <v>214</v>
      </c>
      <c r="C57" s="24" t="n">
        <f aca="false">'Vessel Budget'!C57+'LW Budget'!C57</f>
        <v>0</v>
      </c>
      <c r="D57" s="34" t="n">
        <f aca="false">IFERROR(C57/C$20,0)</f>
        <v>0</v>
      </c>
      <c r="E57" s="24" t="n">
        <f aca="false">'Vessel Budget'!E57+'LW Budget'!E57</f>
        <v>0</v>
      </c>
      <c r="F57" s="34" t="n">
        <f aca="false">IFERROR(E57/E$20,0)</f>
        <v>0</v>
      </c>
      <c r="G57" s="24" t="n">
        <f aca="false">'Vessel Budget'!G57+'LW Budget'!G57</f>
        <v>0</v>
      </c>
      <c r="H57" s="34" t="n">
        <f aca="false">IFERROR(G57/G$20,0)</f>
        <v>0</v>
      </c>
      <c r="I57" s="24" t="n">
        <f aca="false">'Vessel Budget'!I57+'LW Budget'!I57</f>
        <v>0</v>
      </c>
      <c r="J57" s="34" t="n">
        <f aca="false">IFERROR(I57/I$20,0)</f>
        <v>0</v>
      </c>
      <c r="K57" s="24" t="n">
        <f aca="false">'Vessel Budget'!K57+'LW Budget'!K57</f>
        <v>0</v>
      </c>
      <c r="L57" s="34" t="n">
        <f aca="false">IFERROR(K57/K$20,0)</f>
        <v>0</v>
      </c>
      <c r="M57" s="24" t="n">
        <f aca="false">'Vessel Budget'!M57+'LW Budget'!M57</f>
        <v>0</v>
      </c>
      <c r="N57" s="34" t="n">
        <f aca="false">IFERROR(M57/M$20,0)</f>
        <v>0</v>
      </c>
      <c r="O57" s="24" t="n">
        <f aca="false">'Vessel Budget'!O57+'LW Budget'!O57</f>
        <v>0</v>
      </c>
      <c r="P57" s="34" t="n">
        <f aca="false">IFERROR(O57/O$20,0)</f>
        <v>0</v>
      </c>
      <c r="Q57" s="24" t="n">
        <f aca="false">'Vessel Budget'!Q57+'LW Budget'!Q57</f>
        <v>0</v>
      </c>
      <c r="R57" s="34" t="n">
        <f aca="false">IFERROR(Q57/Q$20,0)</f>
        <v>0</v>
      </c>
      <c r="S57" s="24" t="n">
        <f aca="false">'Vessel Budget'!S57+'LW Budget'!S57</f>
        <v>0</v>
      </c>
      <c r="T57" s="34" t="n">
        <f aca="false">IFERROR(S57/S$20,0)</f>
        <v>0</v>
      </c>
      <c r="U57" s="24" t="n">
        <f aca="false">'Vessel Budget'!U57+'LW Budget'!U57</f>
        <v>0</v>
      </c>
      <c r="V57" s="34" t="n">
        <f aca="false">IFERROR(U57/U$20,0)</f>
        <v>0</v>
      </c>
      <c r="W57" s="24" t="n">
        <f aca="false">'Vessel Budget'!W57+'LW Budget'!W57</f>
        <v>0</v>
      </c>
      <c r="X57" s="34" t="n">
        <f aca="false">IFERROR(W57/W$20,0)</f>
        <v>0</v>
      </c>
      <c r="Y57" s="24" t="n">
        <f aca="false">'Vessel Budget'!Y57+'LW Budget'!Y57</f>
        <v>0</v>
      </c>
      <c r="Z57" s="34" t="n">
        <f aca="false">IFERROR(Y57/Y$20,0)</f>
        <v>0</v>
      </c>
      <c r="AB57" s="24" t="n">
        <f aca="false">SUM(C57,E57,G57,I57,K57,M57,O57,Q57,S57,U57,W57,Y57)</f>
        <v>0</v>
      </c>
      <c r="AC57" s="34" t="n">
        <f aca="false">IFERROR(AB57/AB$20,0)</f>
        <v>0</v>
      </c>
    </row>
    <row r="58" customFormat="false" ht="15" hidden="false" customHeight="true" outlineLevel="0" collapsed="false">
      <c r="A58" s="5" t="s">
        <v>215</v>
      </c>
      <c r="C58" s="24" t="n">
        <f aca="false">'Vessel Budget'!C58+'LW Budget'!C58</f>
        <v>0</v>
      </c>
      <c r="D58" s="34" t="n">
        <f aca="false">IFERROR(C58/C$20,0)</f>
        <v>0</v>
      </c>
      <c r="E58" s="24" t="n">
        <f aca="false">'Vessel Budget'!E58+'LW Budget'!E58</f>
        <v>0</v>
      </c>
      <c r="F58" s="34" t="n">
        <f aca="false">IFERROR(E58/E$20,0)</f>
        <v>0</v>
      </c>
      <c r="G58" s="24" t="n">
        <f aca="false">'Vessel Budget'!G58+'LW Budget'!G58</f>
        <v>0</v>
      </c>
      <c r="H58" s="34" t="n">
        <f aca="false">IFERROR(G58/G$20,0)</f>
        <v>0</v>
      </c>
      <c r="I58" s="24" t="n">
        <f aca="false">'Vessel Budget'!I58+'LW Budget'!I58</f>
        <v>0</v>
      </c>
      <c r="J58" s="34" t="n">
        <f aca="false">IFERROR(I58/I$20,0)</f>
        <v>0</v>
      </c>
      <c r="K58" s="24" t="n">
        <f aca="false">'Vessel Budget'!K58+'LW Budget'!K58</f>
        <v>0</v>
      </c>
      <c r="L58" s="34" t="n">
        <f aca="false">IFERROR(K58/K$20,0)</f>
        <v>0</v>
      </c>
      <c r="M58" s="24" t="n">
        <f aca="false">'Vessel Budget'!M58+'LW Budget'!M58</f>
        <v>0</v>
      </c>
      <c r="N58" s="34" t="n">
        <f aca="false">IFERROR(M58/M$20,0)</f>
        <v>0</v>
      </c>
      <c r="O58" s="24" t="n">
        <f aca="false">'Vessel Budget'!O58+'LW Budget'!O58</f>
        <v>0</v>
      </c>
      <c r="P58" s="34" t="n">
        <f aca="false">IFERROR(O58/O$20,0)</f>
        <v>0</v>
      </c>
      <c r="Q58" s="24" t="n">
        <f aca="false">'Vessel Budget'!Q58+'LW Budget'!Q58</f>
        <v>0</v>
      </c>
      <c r="R58" s="34" t="n">
        <f aca="false">IFERROR(Q58/Q$20,0)</f>
        <v>0</v>
      </c>
      <c r="S58" s="24" t="n">
        <f aca="false">'Vessel Budget'!S58+'LW Budget'!S58</f>
        <v>0</v>
      </c>
      <c r="T58" s="34" t="n">
        <f aca="false">IFERROR(S58/S$20,0)</f>
        <v>0</v>
      </c>
      <c r="U58" s="24" t="n">
        <f aca="false">'Vessel Budget'!U58+'LW Budget'!U58</f>
        <v>0</v>
      </c>
      <c r="V58" s="34" t="n">
        <f aca="false">IFERROR(U58/U$20,0)</f>
        <v>0</v>
      </c>
      <c r="W58" s="24" t="n">
        <f aca="false">'Vessel Budget'!W58+'LW Budget'!W58</f>
        <v>0</v>
      </c>
      <c r="X58" s="34" t="n">
        <f aca="false">IFERROR(W58/W$20,0)</f>
        <v>0</v>
      </c>
      <c r="Y58" s="24" t="n">
        <f aca="false">'Vessel Budget'!Y58+'LW Budget'!Y58</f>
        <v>0</v>
      </c>
      <c r="Z58" s="34" t="n">
        <f aca="false">IFERROR(Y58/Y$20,0)</f>
        <v>0</v>
      </c>
      <c r="AB58" s="24" t="n">
        <f aca="false">SUM(C58,E58,G58,I58,K58,M58,O58,Q58,S58,U58,W58,Y58)</f>
        <v>0</v>
      </c>
      <c r="AC58" s="34" t="n">
        <f aca="false">IFERROR(AB58/AB$20,0)</f>
        <v>0</v>
      </c>
    </row>
    <row r="59" customFormat="false" ht="15" hidden="false" customHeight="true" outlineLevel="0" collapsed="false">
      <c r="A59" s="5" t="s">
        <v>216</v>
      </c>
      <c r="C59" s="24" t="n">
        <f aca="false">'Vessel Budget'!C59+'LW Budget'!C59</f>
        <v>0</v>
      </c>
      <c r="D59" s="34" t="n">
        <f aca="false">IFERROR(C59/C$20,0)</f>
        <v>0</v>
      </c>
      <c r="E59" s="24" t="n">
        <f aca="false">'Vessel Budget'!E59+'LW Budget'!E59</f>
        <v>0</v>
      </c>
      <c r="F59" s="34" t="n">
        <f aca="false">IFERROR(E59/E$20,0)</f>
        <v>0</v>
      </c>
      <c r="G59" s="24" t="n">
        <f aca="false">'Vessel Budget'!G59+'LW Budget'!G59</f>
        <v>0</v>
      </c>
      <c r="H59" s="34" t="n">
        <f aca="false">IFERROR(G59/G$20,0)</f>
        <v>0</v>
      </c>
      <c r="I59" s="24" t="n">
        <f aca="false">'Vessel Budget'!I59+'LW Budget'!I59</f>
        <v>0</v>
      </c>
      <c r="J59" s="34" t="n">
        <f aca="false">IFERROR(I59/I$20,0)</f>
        <v>0</v>
      </c>
      <c r="K59" s="24" t="n">
        <f aca="false">'Vessel Budget'!K59+'LW Budget'!K59</f>
        <v>0</v>
      </c>
      <c r="L59" s="34" t="n">
        <f aca="false">IFERROR(K59/K$20,0)</f>
        <v>0</v>
      </c>
      <c r="M59" s="24" t="n">
        <f aca="false">'Vessel Budget'!M59+'LW Budget'!M59</f>
        <v>0</v>
      </c>
      <c r="N59" s="34" t="n">
        <f aca="false">IFERROR(M59/M$20,0)</f>
        <v>0</v>
      </c>
      <c r="O59" s="24" t="n">
        <f aca="false">'Vessel Budget'!O59+'LW Budget'!O59</f>
        <v>0</v>
      </c>
      <c r="P59" s="34" t="n">
        <f aca="false">IFERROR(O59/O$20,0)</f>
        <v>0</v>
      </c>
      <c r="Q59" s="24" t="n">
        <f aca="false">'Vessel Budget'!Q59+'LW Budget'!Q59</f>
        <v>0</v>
      </c>
      <c r="R59" s="34" t="n">
        <f aca="false">IFERROR(Q59/Q$20,0)</f>
        <v>0</v>
      </c>
      <c r="S59" s="24" t="n">
        <f aca="false">'Vessel Budget'!S59+'LW Budget'!S59</f>
        <v>0</v>
      </c>
      <c r="T59" s="34" t="n">
        <f aca="false">IFERROR(S59/S$20,0)</f>
        <v>0</v>
      </c>
      <c r="U59" s="24" t="n">
        <f aca="false">'Vessel Budget'!U59+'LW Budget'!U59</f>
        <v>0</v>
      </c>
      <c r="V59" s="34" t="n">
        <f aca="false">IFERROR(U59/U$20,0)</f>
        <v>0</v>
      </c>
      <c r="W59" s="24" t="n">
        <f aca="false">'Vessel Budget'!W59+'LW Budget'!W59</f>
        <v>0</v>
      </c>
      <c r="X59" s="34" t="n">
        <f aca="false">IFERROR(W59/W$20,0)</f>
        <v>0</v>
      </c>
      <c r="Y59" s="24" t="n">
        <f aca="false">'Vessel Budget'!Y59+'LW Budget'!Y59</f>
        <v>0</v>
      </c>
      <c r="Z59" s="34" t="n">
        <f aca="false">IFERROR(Y59/Y$20,0)</f>
        <v>0</v>
      </c>
      <c r="AB59" s="24" t="n">
        <f aca="false">SUM(C59,E59,G59,I59,K59,M59,O59,Q59,S59,U59,W59,Y59)</f>
        <v>0</v>
      </c>
      <c r="AC59" s="34" t="n">
        <f aca="false">IFERROR(AB59/AB$20,0)</f>
        <v>0</v>
      </c>
    </row>
    <row r="60" customFormat="false" ht="15" hidden="false" customHeight="true" outlineLevel="0" collapsed="false">
      <c r="A60" s="6" t="s">
        <v>217</v>
      </c>
      <c r="C60" s="27" t="n">
        <f aca="false">SUM(C53:C59)</f>
        <v>5675.13322875</v>
      </c>
      <c r="D60" s="35" t="n">
        <f aca="false">IFERROR(C60/C$20,0)</f>
        <v>0.0766852902543908</v>
      </c>
      <c r="E60" s="27" t="n">
        <f aca="false">SUM(E53:E59)</f>
        <v>3737.19922875</v>
      </c>
      <c r="F60" s="35" t="n">
        <f aca="false">IFERROR(E60/E$20,0)</f>
        <v>0.0846162471718705</v>
      </c>
      <c r="G60" s="27" t="n">
        <f aca="false">SUM(G53:G59)</f>
        <v>5675.13322875</v>
      </c>
      <c r="H60" s="35" t="n">
        <f aca="false">IFERROR(G60/G$20,0)</f>
        <v>0.0766852902543908</v>
      </c>
      <c r="I60" s="27" t="n">
        <f aca="false">SUM(I53:I59)</f>
        <v>3737.19922875</v>
      </c>
      <c r="J60" s="35" t="n">
        <f aca="false">IFERROR(I60/I$20,0)</f>
        <v>0.0846162471718705</v>
      </c>
      <c r="K60" s="27" t="n">
        <f aca="false">SUM(K53:K59)</f>
        <v>5029.15522875</v>
      </c>
      <c r="L60" s="35" t="n">
        <f aca="false">IFERROR(K60/K$20,0)</f>
        <v>0.0785079921974768</v>
      </c>
      <c r="M60" s="27" t="n">
        <f aca="false">SUM(M53:M59)</f>
        <v>4770.76402875</v>
      </c>
      <c r="N60" s="35" t="n">
        <f aca="false">IFERROR(M60/M$20,0)</f>
        <v>0.0794060521123456</v>
      </c>
      <c r="O60" s="27" t="n">
        <f aca="false">SUM(O53:O59)</f>
        <v>4770.76402875</v>
      </c>
      <c r="P60" s="35" t="n">
        <f aca="false">IFERROR(O60/O$20,0)</f>
        <v>0.0794060521123456</v>
      </c>
      <c r="Q60" s="27" t="n">
        <f aca="false">SUM(Q53:Q59)</f>
        <v>4770.76402875</v>
      </c>
      <c r="R60" s="35" t="n">
        <f aca="false">IFERROR(Q60/Q$20,0)</f>
        <v>0.0794060521123456</v>
      </c>
      <c r="S60" s="27" t="n">
        <f aca="false">SUM(S53:S59)</f>
        <v>4770.76402875</v>
      </c>
      <c r="T60" s="35" t="n">
        <f aca="false">IFERROR(S60/S$20,0)</f>
        <v>0.0794060521123456</v>
      </c>
      <c r="U60" s="27" t="n">
        <f aca="false">SUM(U53:U59)</f>
        <v>4770.76402875</v>
      </c>
      <c r="V60" s="35" t="n">
        <f aca="false">IFERROR(U60/U$20,0)</f>
        <v>0.0794060521123456</v>
      </c>
      <c r="W60" s="27" t="n">
        <f aca="false">SUM(W53:W59)</f>
        <v>4770.76402875</v>
      </c>
      <c r="X60" s="35" t="n">
        <f aca="false">IFERROR(W60/W$20,0)</f>
        <v>0.0794060521123456</v>
      </c>
      <c r="Y60" s="27" t="n">
        <f aca="false">SUM(Y53:Y59)</f>
        <v>4770.76402875</v>
      </c>
      <c r="Z60" s="35" t="n">
        <f aca="false">IFERROR(Y60/Y$20,0)</f>
        <v>0.0794060521123456</v>
      </c>
      <c r="AB60" s="27" t="n">
        <f aca="false">SUM(AB53:AB59)</f>
        <v>57249.168345</v>
      </c>
      <c r="AC60" s="35" t="n">
        <f aca="false">IFERROR(AB60/AB$20,0)</f>
        <v>0.0794060521123456</v>
      </c>
    </row>
    <row r="62" customFormat="false" ht="15" hidden="false" customHeight="true" outlineLevel="0" collapsed="false">
      <c r="A62" s="6" t="s">
        <v>218</v>
      </c>
      <c r="C62" s="27" t="n">
        <f aca="false">C41-C50-C60</f>
        <v>10495.7272991667</v>
      </c>
      <c r="D62" s="35" t="n">
        <f aca="false">IFERROR(C62/C$20,0)</f>
        <v>0.141823612226423</v>
      </c>
      <c r="E62" s="27" t="n">
        <f aca="false">E41-E50-E60</f>
        <v>3071.25829916667</v>
      </c>
      <c r="F62" s="35" t="n">
        <f aca="false">IFERROR(E62/E$20,0)</f>
        <v>0.0695382652794425</v>
      </c>
      <c r="G62" s="27" t="n">
        <f aca="false">G41-G50-G60</f>
        <v>10495.7272991667</v>
      </c>
      <c r="H62" s="35" t="n">
        <f aca="false">IFERROR(G62/G$20,0)</f>
        <v>0.141823612226423</v>
      </c>
      <c r="I62" s="27" t="n">
        <f aca="false">I41-I50-I60</f>
        <v>3071.25829916667</v>
      </c>
      <c r="J62" s="35" t="n">
        <f aca="false">IFERROR(I62/I$20,0)</f>
        <v>0.0695382652794425</v>
      </c>
      <c r="K62" s="27" t="n">
        <f aca="false">K41-K50-K60</f>
        <v>8020.90429916667</v>
      </c>
      <c r="L62" s="35" t="n">
        <f aca="false">IFERROR(K62/K$20,0)</f>
        <v>0.125210907894803</v>
      </c>
      <c r="M62" s="27" t="n">
        <f aca="false">M41-M50-M60</f>
        <v>7030.97509916667</v>
      </c>
      <c r="N62" s="35" t="n">
        <f aca="false">IFERROR(M62/M$20,0)</f>
        <v>0.117025694786106</v>
      </c>
      <c r="O62" s="27" t="n">
        <f aca="false">O41-O50-O60</f>
        <v>7030.97509916667</v>
      </c>
      <c r="P62" s="35" t="n">
        <f aca="false">IFERROR(O62/O$20,0)</f>
        <v>0.117025694786106</v>
      </c>
      <c r="Q62" s="27" t="n">
        <f aca="false">Q41-Q50-Q60</f>
        <v>7030.97509916667</v>
      </c>
      <c r="R62" s="35" t="n">
        <f aca="false">IFERROR(Q62/Q$20,0)</f>
        <v>0.117025694786106</v>
      </c>
      <c r="S62" s="27" t="n">
        <f aca="false">S41-S50-S60</f>
        <v>7030.97509916667</v>
      </c>
      <c r="T62" s="35" t="n">
        <f aca="false">IFERROR(S62/S$20,0)</f>
        <v>0.117025694786106</v>
      </c>
      <c r="U62" s="27" t="n">
        <f aca="false">U41-U50-U60</f>
        <v>7030.97509916667</v>
      </c>
      <c r="V62" s="35" t="n">
        <f aca="false">IFERROR(U62/U$20,0)</f>
        <v>0.117025694786106</v>
      </c>
      <c r="W62" s="27" t="n">
        <f aca="false">W41-W50-W60</f>
        <v>7030.97509916667</v>
      </c>
      <c r="X62" s="35" t="n">
        <f aca="false">IFERROR(W62/W$20,0)</f>
        <v>0.117025694786106</v>
      </c>
      <c r="Y62" s="27" t="n">
        <f aca="false">Y41-Y50-Y60</f>
        <v>10807.3750991667</v>
      </c>
      <c r="Z62" s="35" t="n">
        <f aca="false">IFERROR(Y62/Y$20,0)</f>
        <v>0.17988124861144</v>
      </c>
      <c r="AB62" s="27" t="n">
        <f aca="false">AB41-AB50-AB60</f>
        <v>88148.10119</v>
      </c>
      <c r="AC62" s="35" t="n">
        <f aca="false">IFERROR(AB62/AB$20,0)</f>
        <v>0.122263657604884</v>
      </c>
    </row>
    <row r="64" customFormat="false" ht="15" hidden="false" customHeight="true" outlineLevel="0" collapsed="false">
      <c r="A64" s="5" t="s">
        <v>219</v>
      </c>
      <c r="C64" s="24" t="n">
        <f aca="false">'Vessel Budget'!C64+'LW Budget'!C64</f>
        <v>0</v>
      </c>
      <c r="D64" s="34" t="n">
        <f aca="false">IFERROR(C64/C$20,0)</f>
        <v>0</v>
      </c>
      <c r="E64" s="24" t="n">
        <f aca="false">'Vessel Budget'!E64+'LW Budget'!E64</f>
        <v>0</v>
      </c>
      <c r="F64" s="34" t="n">
        <f aca="false">IFERROR(E64/E$20,0)</f>
        <v>0</v>
      </c>
      <c r="G64" s="24" t="n">
        <f aca="false">'Vessel Budget'!G64+'LW Budget'!G64</f>
        <v>0</v>
      </c>
      <c r="H64" s="34" t="n">
        <f aca="false">IFERROR(G64/G$20,0)</f>
        <v>0</v>
      </c>
      <c r="I64" s="24" t="n">
        <f aca="false">'Vessel Budget'!I64+'LW Budget'!I64</f>
        <v>0</v>
      </c>
      <c r="J64" s="34" t="n">
        <f aca="false">IFERROR(I64/I$20,0)</f>
        <v>0</v>
      </c>
      <c r="K64" s="24" t="n">
        <f aca="false">'Vessel Budget'!K64+'LW Budget'!K64</f>
        <v>0</v>
      </c>
      <c r="L64" s="34" t="n">
        <f aca="false">IFERROR(K64/K$20,0)</f>
        <v>0</v>
      </c>
      <c r="M64" s="24" t="n">
        <f aca="false">'Vessel Budget'!M64+'LW Budget'!M64</f>
        <v>0</v>
      </c>
      <c r="N64" s="34" t="n">
        <f aca="false">IFERROR(M64/M$20,0)</f>
        <v>0</v>
      </c>
      <c r="O64" s="24" t="n">
        <f aca="false">'Vessel Budget'!O64+'LW Budget'!O64</f>
        <v>0</v>
      </c>
      <c r="P64" s="34" t="n">
        <f aca="false">IFERROR(O64/O$20,0)</f>
        <v>0</v>
      </c>
      <c r="Q64" s="24" t="n">
        <f aca="false">'Vessel Budget'!Q64+'LW Budget'!Q64</f>
        <v>0</v>
      </c>
      <c r="R64" s="34" t="n">
        <f aca="false">IFERROR(Q64/Q$20,0)</f>
        <v>0</v>
      </c>
      <c r="S64" s="24" t="n">
        <f aca="false">'Vessel Budget'!S64+'LW Budget'!S64</f>
        <v>0</v>
      </c>
      <c r="T64" s="34" t="n">
        <f aca="false">IFERROR(S64/S$20,0)</f>
        <v>0</v>
      </c>
      <c r="U64" s="24" t="n">
        <f aca="false">'Vessel Budget'!U64+'LW Budget'!U64</f>
        <v>0</v>
      </c>
      <c r="V64" s="34" t="n">
        <f aca="false">IFERROR(U64/U$20,0)</f>
        <v>0</v>
      </c>
      <c r="W64" s="24" t="n">
        <f aca="false">'Vessel Budget'!W64+'LW Budget'!W64</f>
        <v>0</v>
      </c>
      <c r="X64" s="34" t="n">
        <f aca="false">IFERROR(W64/W$20,0)</f>
        <v>0</v>
      </c>
      <c r="Y64" s="24" t="n">
        <f aca="false">'Vessel Budget'!Y64+'LW Budget'!Y64</f>
        <v>0</v>
      </c>
      <c r="Z64" s="34" t="n">
        <f aca="false">IFERROR(Y64/Y$20,0)</f>
        <v>0</v>
      </c>
      <c r="AB64" s="24" t="n">
        <f aca="false">SUM(C64,E64,G64,I64,K64,M64,O64,Q64,S64,U64,W64,Y64)</f>
        <v>0</v>
      </c>
      <c r="AC64" s="34" t="n">
        <f aca="false">IFERROR(AB64/AB$20,0)</f>
        <v>0</v>
      </c>
    </row>
    <row r="66" customFormat="false" ht="15" hidden="false" customHeight="true" outlineLevel="0" collapsed="false">
      <c r="A66" s="6" t="s">
        <v>220</v>
      </c>
      <c r="C66" s="7" t="n">
        <f aca="false">C62-C64</f>
        <v>10495.7272991667</v>
      </c>
      <c r="D66" s="8" t="n">
        <f aca="false">IFERROR(C66/C$20,0)</f>
        <v>0.141823612226423</v>
      </c>
      <c r="E66" s="7" t="n">
        <f aca="false">E62-E64</f>
        <v>3071.25829916667</v>
      </c>
      <c r="F66" s="8" t="n">
        <f aca="false">IFERROR(E66/E$20,0)</f>
        <v>0.0695382652794425</v>
      </c>
      <c r="G66" s="7" t="n">
        <f aca="false">G62-G64</f>
        <v>10495.7272991667</v>
      </c>
      <c r="H66" s="8" t="n">
        <f aca="false">IFERROR(G66/G$20,0)</f>
        <v>0.141823612226423</v>
      </c>
      <c r="I66" s="7" t="n">
        <f aca="false">I62-I64</f>
        <v>3071.25829916667</v>
      </c>
      <c r="J66" s="8" t="n">
        <f aca="false">IFERROR(I66/I$20,0)</f>
        <v>0.0695382652794425</v>
      </c>
      <c r="K66" s="7" t="n">
        <f aca="false">K62-K64</f>
        <v>8020.90429916667</v>
      </c>
      <c r="L66" s="8" t="n">
        <f aca="false">IFERROR(K66/K$20,0)</f>
        <v>0.125210907894803</v>
      </c>
      <c r="M66" s="7" t="n">
        <f aca="false">M62-M64</f>
        <v>7030.97509916667</v>
      </c>
      <c r="N66" s="8" t="n">
        <f aca="false">IFERROR(M66/M$20,0)</f>
        <v>0.117025694786106</v>
      </c>
      <c r="O66" s="7" t="n">
        <f aca="false">O62-O64</f>
        <v>7030.97509916667</v>
      </c>
      <c r="P66" s="8" t="n">
        <f aca="false">IFERROR(O66/O$20,0)</f>
        <v>0.117025694786106</v>
      </c>
      <c r="Q66" s="7" t="n">
        <f aca="false">Q62-Q64</f>
        <v>7030.97509916667</v>
      </c>
      <c r="R66" s="8" t="n">
        <f aca="false">IFERROR(Q66/Q$20,0)</f>
        <v>0.117025694786106</v>
      </c>
      <c r="S66" s="7" t="n">
        <f aca="false">S62-S64</f>
        <v>7030.97509916667</v>
      </c>
      <c r="T66" s="8" t="n">
        <f aca="false">IFERROR(S66/S$20,0)</f>
        <v>0.117025694786106</v>
      </c>
      <c r="U66" s="7" t="n">
        <f aca="false">U62-U64</f>
        <v>7030.97509916667</v>
      </c>
      <c r="V66" s="8" t="n">
        <f aca="false">IFERROR(U66/U$20,0)</f>
        <v>0.117025694786106</v>
      </c>
      <c r="W66" s="7" t="n">
        <f aca="false">W62-W64</f>
        <v>7030.97509916667</v>
      </c>
      <c r="X66" s="8" t="n">
        <f aca="false">IFERROR(W66/W$20,0)</f>
        <v>0.117025694786106</v>
      </c>
      <c r="Y66" s="7" t="n">
        <f aca="false">Y62-Y64</f>
        <v>10807.3750991667</v>
      </c>
      <c r="Z66" s="8" t="n">
        <f aca="false">IFERROR(Y66/Y$20,0)</f>
        <v>0.17988124861144</v>
      </c>
      <c r="AB66" s="7" t="n">
        <f aca="false">AB62-AB64</f>
        <v>88148.10119</v>
      </c>
      <c r="AC66" s="8" t="n">
        <f aca="false">IFERROR(AB66/AB$20,0)</f>
        <v>0.122263657604884</v>
      </c>
    </row>
    <row r="68" customFormat="false" ht="15" hidden="false" customHeight="true" outlineLevel="0" collapsed="false">
      <c r="A68" s="5" t="s">
        <v>221</v>
      </c>
      <c r="C68" s="24" t="n">
        <f aca="false">'Vessel Budget'!C68+'LW Budget'!C68</f>
        <v>0</v>
      </c>
      <c r="D68" s="34" t="n">
        <f aca="false">IFERROR(C68/C$20,0)</f>
        <v>0</v>
      </c>
      <c r="E68" s="24" t="n">
        <f aca="false">'Vessel Budget'!E68+'LW Budget'!E68</f>
        <v>0</v>
      </c>
      <c r="F68" s="34" t="n">
        <f aca="false">IFERROR(E68/E$20,0)</f>
        <v>0</v>
      </c>
      <c r="G68" s="24" t="n">
        <f aca="false">'Vessel Budget'!G68+'LW Budget'!G68</f>
        <v>0</v>
      </c>
      <c r="H68" s="34" t="n">
        <f aca="false">IFERROR(G68/G$20,0)</f>
        <v>0</v>
      </c>
      <c r="I68" s="24" t="n">
        <f aca="false">'Vessel Budget'!I68+'LW Budget'!I68</f>
        <v>0</v>
      </c>
      <c r="J68" s="34" t="n">
        <f aca="false">IFERROR(I68/I$20,0)</f>
        <v>0</v>
      </c>
      <c r="K68" s="24" t="n">
        <f aca="false">'Vessel Budget'!K68+'LW Budget'!K68</f>
        <v>0</v>
      </c>
      <c r="L68" s="34" t="n">
        <f aca="false">IFERROR(K68/K$20,0)</f>
        <v>0</v>
      </c>
      <c r="M68" s="24" t="n">
        <f aca="false">'Vessel Budget'!M68+'LW Budget'!M68</f>
        <v>0</v>
      </c>
      <c r="N68" s="34" t="n">
        <f aca="false">IFERROR(M68/M$20,0)</f>
        <v>0</v>
      </c>
      <c r="O68" s="24" t="n">
        <f aca="false">'Vessel Budget'!O68+'LW Budget'!O68</f>
        <v>0</v>
      </c>
      <c r="P68" s="34" t="n">
        <f aca="false">IFERROR(O68/O$20,0)</f>
        <v>0</v>
      </c>
      <c r="Q68" s="24" t="n">
        <f aca="false">'Vessel Budget'!Q68+'LW Budget'!Q68</f>
        <v>0</v>
      </c>
      <c r="R68" s="34" t="n">
        <f aca="false">IFERROR(Q68/Q$20,0)</f>
        <v>0</v>
      </c>
      <c r="S68" s="24" t="n">
        <f aca="false">'Vessel Budget'!S68+'LW Budget'!S68</f>
        <v>0</v>
      </c>
      <c r="T68" s="34" t="n">
        <f aca="false">IFERROR(S68/S$20,0)</f>
        <v>0</v>
      </c>
      <c r="U68" s="24" t="n">
        <f aca="false">'Vessel Budget'!U68+'LW Budget'!U68</f>
        <v>0</v>
      </c>
      <c r="V68" s="34" t="n">
        <f aca="false">IFERROR(U68/U$20,0)</f>
        <v>0</v>
      </c>
      <c r="W68" s="24" t="n">
        <f aca="false">'Vessel Budget'!W68+'LW Budget'!W68</f>
        <v>0</v>
      </c>
      <c r="X68" s="34" t="n">
        <f aca="false">IFERROR(W68/W$20,0)</f>
        <v>0</v>
      </c>
      <c r="Y68" s="24" t="n">
        <f aca="false">'Vessel Budget'!Y68+'LW Budget'!Y68</f>
        <v>0</v>
      </c>
      <c r="Z68" s="34" t="n">
        <f aca="false">IFERROR(Y68/Y$20,0)</f>
        <v>0</v>
      </c>
      <c r="AB68" s="24" t="n">
        <f aca="false">SUM(C68,E68,G68,I68,K68,M68,O68,Q68,S68,U68,W68,Y68)</f>
        <v>0</v>
      </c>
      <c r="AC68" s="34" t="n">
        <f aca="false">IFERROR(AB68/AB$20,0)</f>
        <v>0</v>
      </c>
    </row>
    <row r="69" customFormat="false" ht="15" hidden="false" customHeight="true" outlineLevel="0" collapsed="false">
      <c r="A69" s="5" t="s">
        <v>222</v>
      </c>
      <c r="C69" s="24" t="n">
        <f aca="false">'Vessel Budget'!C69+'LW Budget'!C69</f>
        <v>249</v>
      </c>
      <c r="D69" s="34" t="n">
        <f aca="false">IFERROR(C69/C$20,0)</f>
        <v>0.00336461480350992</v>
      </c>
      <c r="E69" s="24" t="n">
        <f aca="false">'Vessel Budget'!E69+'LW Budget'!E69</f>
        <v>249</v>
      </c>
      <c r="F69" s="34" t="n">
        <f aca="false">IFERROR(E69/E$20,0)</f>
        <v>0.00563776353792168</v>
      </c>
      <c r="G69" s="24" t="n">
        <f aca="false">'Vessel Budget'!G69+'LW Budget'!G69</f>
        <v>249</v>
      </c>
      <c r="H69" s="34" t="n">
        <f aca="false">IFERROR(G69/G$20,0)</f>
        <v>0.00336461480350992</v>
      </c>
      <c r="I69" s="24" t="n">
        <f aca="false">'Vessel Budget'!I69+'LW Budget'!I69</f>
        <v>249</v>
      </c>
      <c r="J69" s="34" t="n">
        <f aca="false">IFERROR(I69/I$20,0)</f>
        <v>0.00563776353792168</v>
      </c>
      <c r="K69" s="24" t="n">
        <f aca="false">'Vessel Budget'!K69+'LW Budget'!K69</f>
        <v>249</v>
      </c>
      <c r="L69" s="34" t="n">
        <f aca="false">IFERROR(K69/K$20,0)</f>
        <v>0.00388703254682209</v>
      </c>
      <c r="M69" s="24" t="n">
        <f aca="false">'Vessel Budget'!M69+'LW Budget'!M69</f>
        <v>249</v>
      </c>
      <c r="N69" s="34" t="n">
        <f aca="false">IFERROR(M69/M$20,0)</f>
        <v>0.00414443197291286</v>
      </c>
      <c r="O69" s="24" t="n">
        <f aca="false">'Vessel Budget'!O69+'LW Budget'!O69</f>
        <v>249</v>
      </c>
      <c r="P69" s="34" t="n">
        <f aca="false">IFERROR(O69/O$20,0)</f>
        <v>0.00414443197291286</v>
      </c>
      <c r="Q69" s="24" t="n">
        <f aca="false">'Vessel Budget'!Q69+'LW Budget'!Q69</f>
        <v>249</v>
      </c>
      <c r="R69" s="34" t="n">
        <f aca="false">IFERROR(Q69/Q$20,0)</f>
        <v>0.00414443197291286</v>
      </c>
      <c r="S69" s="24" t="n">
        <f aca="false">'Vessel Budget'!S69+'LW Budget'!S69</f>
        <v>249</v>
      </c>
      <c r="T69" s="34" t="n">
        <f aca="false">IFERROR(S69/S$20,0)</f>
        <v>0.00414443197291286</v>
      </c>
      <c r="U69" s="24" t="n">
        <f aca="false">'Vessel Budget'!U69+'LW Budget'!U69</f>
        <v>249</v>
      </c>
      <c r="V69" s="34" t="n">
        <f aca="false">IFERROR(U69/U$20,0)</f>
        <v>0.00414443197291286</v>
      </c>
      <c r="W69" s="24" t="n">
        <f aca="false">'Vessel Budget'!W69+'LW Budget'!W69</f>
        <v>249</v>
      </c>
      <c r="X69" s="34" t="n">
        <f aca="false">IFERROR(W69/W$20,0)</f>
        <v>0.00414443197291286</v>
      </c>
      <c r="Y69" s="24" t="n">
        <f aca="false">'Vessel Budget'!Y69+'LW Budget'!Y69</f>
        <v>249</v>
      </c>
      <c r="Z69" s="34" t="n">
        <f aca="false">IFERROR(Y69/Y$20,0)</f>
        <v>0.00414443197291286</v>
      </c>
      <c r="AB69" s="24" t="n">
        <f aca="false">SUM(C69,E69,G69,I69,K69,M69,O69,Q69,S69,U69,W69,Y69)</f>
        <v>2988</v>
      </c>
      <c r="AC69" s="34" t="n">
        <f aca="false">IFERROR(AB69/AB$20,0)</f>
        <v>0.00414443197291286</v>
      </c>
    </row>
    <row r="70" customFormat="false" ht="15" hidden="false" customHeight="true" outlineLevel="0" collapsed="false">
      <c r="A70" s="6" t="s">
        <v>223</v>
      </c>
      <c r="C70" s="36" t="n">
        <f aca="false">C66-C68-C69</f>
        <v>10246.7272991667</v>
      </c>
      <c r="D70" s="37" t="n">
        <f aca="false">IFERROR(C70/C$20,0)</f>
        <v>0.138458997422913</v>
      </c>
      <c r="E70" s="36" t="n">
        <f aca="false">E66-E68-E69</f>
        <v>2822.25829916667</v>
      </c>
      <c r="F70" s="37" t="n">
        <f aca="false">IFERROR(E70/E$20,0)</f>
        <v>0.0639005017415208</v>
      </c>
      <c r="G70" s="36" t="n">
        <f aca="false">G66-G68-G69</f>
        <v>10246.7272991667</v>
      </c>
      <c r="H70" s="37" t="n">
        <f aca="false">IFERROR(G70/G$20,0)</f>
        <v>0.138458997422913</v>
      </c>
      <c r="I70" s="36" t="n">
        <f aca="false">I66-I68-I69</f>
        <v>2822.25829916667</v>
      </c>
      <c r="J70" s="37" t="n">
        <f aca="false">IFERROR(I70/I$20,0)</f>
        <v>0.0639005017415208</v>
      </c>
      <c r="K70" s="36" t="n">
        <f aca="false">K66-K68-K69</f>
        <v>7771.90429916667</v>
      </c>
      <c r="L70" s="37" t="n">
        <f aca="false">IFERROR(K70/K$20,0)</f>
        <v>0.121323875347981</v>
      </c>
      <c r="M70" s="36" t="n">
        <f aca="false">M66-M68-M69</f>
        <v>6781.97509916667</v>
      </c>
      <c r="N70" s="37" t="n">
        <f aca="false">IFERROR(M70/M$20,0)</f>
        <v>0.112881262813194</v>
      </c>
      <c r="O70" s="36" t="n">
        <f aca="false">O66-O68-O69</f>
        <v>6781.97509916667</v>
      </c>
      <c r="P70" s="37" t="n">
        <f aca="false">IFERROR(O70/O$20,0)</f>
        <v>0.112881262813194</v>
      </c>
      <c r="Q70" s="36" t="n">
        <f aca="false">Q66-Q68-Q69</f>
        <v>6781.97509916667</v>
      </c>
      <c r="R70" s="37" t="n">
        <f aca="false">IFERROR(Q70/Q$20,0)</f>
        <v>0.112881262813194</v>
      </c>
      <c r="S70" s="36" t="n">
        <f aca="false">S66-S68-S69</f>
        <v>6781.97509916667</v>
      </c>
      <c r="T70" s="37" t="n">
        <f aca="false">IFERROR(S70/S$20,0)</f>
        <v>0.112881262813194</v>
      </c>
      <c r="U70" s="36" t="n">
        <f aca="false">U66-U68-U69</f>
        <v>6781.97509916667</v>
      </c>
      <c r="V70" s="37" t="n">
        <f aca="false">IFERROR(U70/U$20,0)</f>
        <v>0.112881262813194</v>
      </c>
      <c r="W70" s="36" t="n">
        <f aca="false">W66-W68-W69</f>
        <v>6781.97509916667</v>
      </c>
      <c r="X70" s="37" t="n">
        <f aca="false">IFERROR(W70/W$20,0)</f>
        <v>0.112881262813194</v>
      </c>
      <c r="Y70" s="36" t="n">
        <f aca="false">Y66-Y68-Y69</f>
        <v>10558.3750991667</v>
      </c>
      <c r="Z70" s="37" t="n">
        <f aca="false">IFERROR(Y70/Y$20,0)</f>
        <v>0.175736816638527</v>
      </c>
      <c r="AB70" s="36" t="n">
        <f aca="false">AB66-AB68-AB69</f>
        <v>85160.10119</v>
      </c>
      <c r="AC70" s="37" t="n">
        <f aca="false">IFERROR(AB70/AB$20,0)</f>
        <v>0.118119225631971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5"/>
    <col collapsed="false" customWidth="true" hidden="false" outlineLevel="0" max="4" min="4" style="1" width="10"/>
    <col collapsed="false" customWidth="true" hidden="false" outlineLevel="0" max="5" min="5" style="1" width="3"/>
    <col collapsed="false" customWidth="true" hidden="false" outlineLevel="0" max="6" min="6" style="1" width="22"/>
    <col collapsed="false" customWidth="true" hidden="false" outlineLevel="0" max="7" min="7" style="1" width="14"/>
  </cols>
  <sheetData>
    <row r="2" customFormat="false" ht="42" hidden="false" customHeight="true" outlineLevel="0" collapsed="false">
      <c r="B2" s="40" t="s">
        <v>254</v>
      </c>
      <c r="C2" s="40"/>
      <c r="D2" s="40"/>
      <c r="E2" s="40"/>
      <c r="F2" s="40"/>
      <c r="G2" s="40"/>
    </row>
    <row r="3" customFormat="false" ht="15" hidden="false" customHeight="true" outlineLevel="0" collapsed="false">
      <c r="B3" s="41" t="str">
        <f aca="false">"$"&amp;TEXT('Vessel Assumptions'!$C$6,"#,##0")&amp;" F&amp;B min  ·  "&amp;TEXT('Vessel Assumptions'!$C$7,"0%")&amp;" volume  ·  "&amp;TEXT('Vessel Assumptions'!$C$30,"0%")&amp;" mgmt fee"</f>
        <v>$3,720 F&amp;B min  ·  71% volume  ·  4% mgmt fee</v>
      </c>
      <c r="C3" s="41"/>
      <c r="D3" s="41"/>
      <c r="E3" s="41"/>
      <c r="F3" s="41"/>
      <c r="G3" s="41"/>
    </row>
    <row r="5" customFormat="false" ht="15" hidden="false" customHeight="true" outlineLevel="0" collapsed="false">
      <c r="B5" s="42" t="s">
        <v>255</v>
      </c>
      <c r="C5" s="43" t="s">
        <v>256</v>
      </c>
      <c r="D5" s="43" t="s">
        <v>257</v>
      </c>
      <c r="F5" s="42" t="s">
        <v>258</v>
      </c>
    </row>
    <row r="6" customFormat="false" ht="15" hidden="false" customHeight="true" outlineLevel="0" collapsed="false">
      <c r="B6" s="44" t="s">
        <v>259</v>
      </c>
      <c r="C6" s="45" t="n">
        <f aca="false">'Vessel Budget'!$AB$20</f>
        <v>350111.52</v>
      </c>
      <c r="D6" s="46" t="n">
        <f aca="false">C6/C6</f>
        <v>1</v>
      </c>
      <c r="F6" s="47" t="s">
        <v>260</v>
      </c>
      <c r="G6" s="48" t="n">
        <f aca="false">'Vessel Budget'!$AB$62/'Vessel Budget'!$AB$20</f>
        <v>0.248817204301075</v>
      </c>
    </row>
    <row r="7" customFormat="false" ht="15" hidden="false" customHeight="true" outlineLevel="0" collapsed="false">
      <c r="B7" s="49" t="s">
        <v>139</v>
      </c>
      <c r="C7" s="50" t="n">
        <f aca="false">'Vessel Budget'!$AB$29</f>
        <v>136279.968</v>
      </c>
      <c r="D7" s="51" t="n">
        <f aca="false">C7/C6</f>
        <v>0.389247311827957</v>
      </c>
      <c r="F7" s="47" t="s">
        <v>19</v>
      </c>
      <c r="G7" s="48" t="n">
        <f aca="false">'Vessel Budget'!$AB$40/'Vessel Budget'!$AB$20</f>
        <v>0.56258064516129</v>
      </c>
    </row>
    <row r="8" customFormat="false" ht="15" hidden="false" customHeight="true" outlineLevel="0" collapsed="false">
      <c r="B8" s="44" t="s">
        <v>261</v>
      </c>
      <c r="C8" s="45" t="n">
        <f aca="false">'Vessel Budget'!$AB$30</f>
        <v>213831.552</v>
      </c>
      <c r="D8" s="46" t="n">
        <f aca="false">C8/C6</f>
        <v>0.610752688172043</v>
      </c>
      <c r="F8" s="47" t="s">
        <v>262</v>
      </c>
      <c r="G8" s="48" t="n">
        <f aca="false">'Vessel Budget'!$AB$29/'Vessel Budget'!$AB$20</f>
        <v>0.389247311827957</v>
      </c>
    </row>
    <row r="9" customFormat="false" ht="15" hidden="false" customHeight="true" outlineLevel="0" collapsed="false">
      <c r="B9" s="49" t="s">
        <v>263</v>
      </c>
      <c r="C9" s="50" t="n">
        <f aca="false">'Vessel Budget'!$AB$38</f>
        <v>60685.9968</v>
      </c>
      <c r="D9" s="51" t="n">
        <f aca="false">C9/C6</f>
        <v>0.173333333333333</v>
      </c>
      <c r="F9" s="47" t="s">
        <v>264</v>
      </c>
      <c r="G9" s="52" t="n">
        <f aca="false">'Vessel Budget'!$AB$9</f>
        <v>75.2928</v>
      </c>
    </row>
    <row r="10" customFormat="false" ht="15" hidden="false" customHeight="true" outlineLevel="0" collapsed="false">
      <c r="B10" s="44" t="s">
        <v>265</v>
      </c>
      <c r="C10" s="45" t="n">
        <f aca="false">'Vessel Budget'!$AB$40</f>
        <v>196965.9648</v>
      </c>
      <c r="D10" s="46" t="n">
        <f aca="false">C10/C6</f>
        <v>0.56258064516129</v>
      </c>
      <c r="F10" s="47" t="s">
        <v>266</v>
      </c>
      <c r="G10" s="53" t="n">
        <f aca="false">SUM('Vessel Budget'!$AB$12:$AB$16)/'Vessel Budget'!$AB$9</f>
        <v>3720</v>
      </c>
    </row>
    <row r="11" customFormat="false" ht="15" hidden="false" customHeight="true" outlineLevel="0" collapsed="false">
      <c r="B11" s="49" t="s">
        <v>267</v>
      </c>
      <c r="C11" s="54" t="n">
        <f aca="false">'Vessel Budget'!$AB$50-'Vessel Budget'!$AB$49</f>
        <v>43293.36</v>
      </c>
      <c r="D11" s="51" t="n">
        <f aca="false">C11/C6</f>
        <v>0.123655913978495</v>
      </c>
      <c r="F11" s="47" t="s">
        <v>268</v>
      </c>
      <c r="G11" s="53" t="n">
        <f aca="false">'Vessel Budget'!$AB$20/'Vessel Budget'!$AB$9</f>
        <v>4650</v>
      </c>
    </row>
    <row r="12" customFormat="false" ht="15" hidden="false" customHeight="true" outlineLevel="0" collapsed="false">
      <c r="B12" s="49" t="s">
        <v>269</v>
      </c>
      <c r="C12" s="54" t="n">
        <f aca="false">'Vessel Budget'!$AB$49</f>
        <v>0</v>
      </c>
      <c r="D12" s="51" t="n">
        <f aca="false">C12/C6</f>
        <v>0</v>
      </c>
    </row>
    <row r="13" customFormat="false" ht="15" hidden="false" customHeight="true" outlineLevel="0" collapsed="false">
      <c r="B13" s="49" t="s">
        <v>270</v>
      </c>
      <c r="C13" s="54" t="n">
        <f aca="false">'Vessel Budget'!$AB$60-'Vessel Budget'!$AB$54-'Vessel Budget'!$AB$56-'Vessel Budget'!$AB$57</f>
        <v>8733.9648</v>
      </c>
      <c r="D13" s="51" t="n">
        <f aca="false">C13/C6</f>
        <v>0.0249462365591398</v>
      </c>
    </row>
    <row r="14" customFormat="false" ht="15" hidden="false" customHeight="true" outlineLevel="0" collapsed="false">
      <c r="B14" s="55" t="s">
        <v>271</v>
      </c>
      <c r="C14" s="56" t="n">
        <f aca="false">'Vessel Budget'!$AB$56</f>
        <v>14004.4608</v>
      </c>
      <c r="D14" s="57" t="n">
        <f aca="false">C14/C6</f>
        <v>0.04</v>
      </c>
    </row>
    <row r="15" customFormat="false" ht="15" hidden="false" customHeight="true" outlineLevel="0" collapsed="false">
      <c r="B15" s="1" t="s">
        <v>272</v>
      </c>
      <c r="C15" s="15" t="n">
        <f aca="false">SUM('Vessel Budget'!$AB$12:$AB$16)*'Vessel Assumptions'!$C$32</f>
        <v>14004.4608</v>
      </c>
      <c r="D15" s="18" t="n">
        <f aca="false">C15/C6</f>
        <v>0.04</v>
      </c>
    </row>
    <row r="16" customFormat="false" ht="15" hidden="false" customHeight="true" outlineLevel="0" collapsed="false">
      <c r="B16" s="16" t="s">
        <v>273</v>
      </c>
      <c r="C16" s="17" t="n">
        <f aca="false">'Vessel Budget'!$AB$54</f>
        <v>0</v>
      </c>
      <c r="D16" s="18" t="n">
        <f aca="false">C16/C6</f>
        <v>0</v>
      </c>
    </row>
    <row r="17" customFormat="false" ht="15" hidden="false" customHeight="true" outlineLevel="0" collapsed="false">
      <c r="B17" s="58" t="s">
        <v>274</v>
      </c>
      <c r="C17" s="59" t="n">
        <f aca="false">'Vessel Budget'!$AB$62</f>
        <v>87113.7696</v>
      </c>
      <c r="D17" s="46" t="n">
        <f aca="false">C17/C6</f>
        <v>0.248817204301075</v>
      </c>
    </row>
    <row r="18" customFormat="false" ht="15" hidden="false" customHeight="true" outlineLevel="0" collapsed="false">
      <c r="B18" s="44"/>
      <c r="C18" s="45"/>
      <c r="D18" s="46"/>
    </row>
    <row r="20" customFormat="false" ht="15" hidden="false" customHeight="true" outlineLevel="0" collapsed="false">
      <c r="B20" s="60" t="s">
        <v>275</v>
      </c>
      <c r="C20" s="60"/>
      <c r="D20" s="60"/>
      <c r="E20" s="60"/>
      <c r="F20" s="60"/>
      <c r="G20" s="60"/>
    </row>
    <row r="21" customFormat="false" ht="15" hidden="false" customHeight="true" outlineLevel="0" collapsed="false">
      <c r="B21" s="60"/>
      <c r="C21" s="60"/>
      <c r="D21" s="60"/>
      <c r="E21" s="60"/>
      <c r="F21" s="60"/>
      <c r="G21" s="60"/>
    </row>
  </sheetData>
  <mergeCells count="3">
    <mergeCell ref="B2:G2"/>
    <mergeCell ref="B3:G3"/>
    <mergeCell ref="B20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D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3" min="3" style="1" width="16"/>
    <col collapsed="false" customWidth="true" hidden="false" outlineLevel="0" max="4" min="4" style="1" width="46"/>
  </cols>
  <sheetData>
    <row r="2" customFormat="false" ht="39.75" hidden="false" customHeight="true" outlineLevel="0" collapsed="false">
      <c r="B2" s="40" t="s">
        <v>276</v>
      </c>
      <c r="C2" s="40"/>
      <c r="D2" s="40"/>
    </row>
    <row r="3" customFormat="false" ht="15" hidden="false" customHeight="true" outlineLevel="0" collapsed="false">
      <c r="B3" s="41" t="s">
        <v>277</v>
      </c>
      <c r="C3" s="41"/>
      <c r="D3" s="41"/>
    </row>
    <row r="5" customFormat="false" ht="19.5" hidden="false" customHeight="true" outlineLevel="0" collapsed="false">
      <c r="B5" s="61" t="s">
        <v>278</v>
      </c>
      <c r="C5" s="61"/>
      <c r="D5" s="61"/>
    </row>
    <row r="6" customFormat="false" ht="15" hidden="false" customHeight="true" outlineLevel="0" collapsed="false">
      <c r="B6" s="47" t="s">
        <v>279</v>
      </c>
      <c r="C6" s="62" t="n">
        <v>3720</v>
      </c>
      <c r="D6" s="63" t="s">
        <v>280</v>
      </c>
    </row>
    <row r="7" customFormat="false" ht="15" hidden="false" customHeight="true" outlineLevel="0" collapsed="false">
      <c r="B7" s="47" t="s">
        <v>281</v>
      </c>
      <c r="C7" s="64" t="n">
        <v>0.713</v>
      </c>
      <c r="D7" s="63" t="s">
        <v>282</v>
      </c>
    </row>
    <row r="8" customFormat="false" ht="15" hidden="false" customHeight="true" outlineLevel="0" collapsed="false">
      <c r="B8" s="47" t="s">
        <v>283</v>
      </c>
      <c r="C8" s="64" t="n">
        <f aca="false">2880/3720</f>
        <v>0.774193548387097</v>
      </c>
      <c r="D8" s="63" t="s">
        <v>284</v>
      </c>
    </row>
    <row r="9" customFormat="false" ht="15" hidden="false" customHeight="true" outlineLevel="0" collapsed="false">
      <c r="B9" s="47" t="s">
        <v>285</v>
      </c>
      <c r="C9" s="64" t="n">
        <v>0.2</v>
      </c>
      <c r="D9" s="63" t="s">
        <v>286</v>
      </c>
    </row>
    <row r="11" customFormat="false" ht="19.5" hidden="false" customHeight="true" outlineLevel="0" collapsed="false">
      <c r="B11" s="61" t="s">
        <v>287</v>
      </c>
      <c r="C11" s="61"/>
      <c r="D11" s="61"/>
    </row>
    <row r="12" customFormat="false" ht="15" hidden="false" customHeight="true" outlineLevel="0" collapsed="false">
      <c r="B12" s="47" t="s">
        <v>288</v>
      </c>
      <c r="C12" s="64" t="n">
        <f aca="false">1600/2880</f>
        <v>0.555555555555556</v>
      </c>
      <c r="D12" s="63" t="s">
        <v>289</v>
      </c>
    </row>
    <row r="13" customFormat="false" ht="15" hidden="false" customHeight="true" outlineLevel="0" collapsed="false">
      <c r="B13" s="47" t="s">
        <v>290</v>
      </c>
      <c r="C13" s="64" t="n">
        <v>0.25</v>
      </c>
      <c r="D13" s="63" t="str">
        <f aca="false">TEXT(1-$C$13,"0%")&amp;" margin"</f>
        <v>75% margin</v>
      </c>
    </row>
    <row r="15" customFormat="false" ht="19.5" hidden="false" customHeight="true" outlineLevel="0" collapsed="false">
      <c r="B15" s="61" t="s">
        <v>291</v>
      </c>
      <c r="C15" s="61"/>
      <c r="D15" s="61"/>
    </row>
    <row r="16" customFormat="false" ht="15" hidden="false" customHeight="true" outlineLevel="0" collapsed="false">
      <c r="B16" s="47" t="s">
        <v>292</v>
      </c>
      <c r="C16" s="65" t="n">
        <v>1</v>
      </c>
    </row>
    <row r="17" customFormat="false" ht="15" hidden="false" customHeight="true" outlineLevel="0" collapsed="false">
      <c r="B17" s="47" t="s">
        <v>293</v>
      </c>
      <c r="C17" s="65" t="n">
        <v>2</v>
      </c>
    </row>
    <row r="18" customFormat="false" ht="15" hidden="false" customHeight="true" outlineLevel="0" collapsed="false">
      <c r="B18" s="47" t="s">
        <v>294</v>
      </c>
      <c r="C18" s="62" t="n">
        <v>35</v>
      </c>
    </row>
    <row r="19" customFormat="false" ht="15" hidden="false" customHeight="true" outlineLevel="0" collapsed="false">
      <c r="B19" s="47" t="s">
        <v>295</v>
      </c>
      <c r="C19" s="65" t="n">
        <v>5</v>
      </c>
    </row>
    <row r="20" customFormat="false" ht="15" hidden="false" customHeight="true" outlineLevel="0" collapsed="false">
      <c r="B20" s="66" t="s">
        <v>296</v>
      </c>
      <c r="C20" s="67" t="n">
        <f aca="false">(C16+C17)*C18*C19</f>
        <v>525</v>
      </c>
    </row>
    <row r="21" customFormat="false" ht="15" hidden="false" customHeight="true" outlineLevel="0" collapsed="false">
      <c r="B21" s="47" t="s">
        <v>297</v>
      </c>
      <c r="C21" s="67" t="n">
        <f aca="false">'Vessel GL Basis'!D8</f>
        <v>1435.83333333333</v>
      </c>
      <c r="D21" s="63" t="s">
        <v>298</v>
      </c>
    </row>
    <row r="22" customFormat="false" ht="15" hidden="false" customHeight="true" outlineLevel="0" collapsed="false">
      <c r="B22" s="47" t="s">
        <v>299</v>
      </c>
      <c r="C22" s="64" t="n">
        <f aca="false">114/692</f>
        <v>0.164739884393064</v>
      </c>
      <c r="D22" s="63" t="s">
        <v>300</v>
      </c>
    </row>
    <row r="24" customFormat="false" ht="19.5" hidden="false" customHeight="true" outlineLevel="0" collapsed="false">
      <c r="B24" s="61" t="s">
        <v>301</v>
      </c>
      <c r="C24" s="61"/>
      <c r="D24" s="61"/>
    </row>
    <row r="25" customFormat="false" ht="15" hidden="false" customHeight="true" outlineLevel="0" collapsed="false">
      <c r="B25" s="47" t="s">
        <v>302</v>
      </c>
      <c r="C25" s="67" t="n">
        <f aca="false">'Vessel GL Basis'!D18</f>
        <v>6718.66666666667</v>
      </c>
      <c r="D25" s="63" t="s">
        <v>298</v>
      </c>
    </row>
    <row r="26" customFormat="false" ht="15" hidden="false" customHeight="true" outlineLevel="0" collapsed="false">
      <c r="B26" s="47" t="s">
        <v>303</v>
      </c>
      <c r="C26" s="67" t="n">
        <f aca="false">'Vessel GL Basis'!D24</f>
        <v>1045.41666666667</v>
      </c>
      <c r="D26" s="63" t="s">
        <v>298</v>
      </c>
    </row>
    <row r="27" customFormat="false" ht="15" hidden="false" customHeight="true" outlineLevel="0" collapsed="false">
      <c r="B27" s="47" t="s">
        <v>304</v>
      </c>
      <c r="C27" s="64" t="n">
        <v>0.025</v>
      </c>
      <c r="D27" s="63" t="s">
        <v>305</v>
      </c>
    </row>
    <row r="29" customFormat="false" ht="19.5" hidden="false" customHeight="true" outlineLevel="0" collapsed="false">
      <c r="B29" s="61" t="s">
        <v>306</v>
      </c>
      <c r="C29" s="61"/>
      <c r="D29" s="61"/>
    </row>
    <row r="30" customFormat="false" ht="15" hidden="false" customHeight="true" outlineLevel="0" collapsed="false">
      <c r="B30" s="47" t="s">
        <v>307</v>
      </c>
      <c r="C30" s="68" t="n">
        <v>0.04</v>
      </c>
      <c r="D30" s="63" t="s">
        <v>308</v>
      </c>
    </row>
    <row r="31" customFormat="false" ht="15" hidden="false" customHeight="true" outlineLevel="0" collapsed="false">
      <c r="B31" s="66" t="s">
        <v>309</v>
      </c>
      <c r="C31" s="69" t="n">
        <v>0</v>
      </c>
      <c r="D31" s="1" t="s">
        <v>310</v>
      </c>
    </row>
    <row r="32" customFormat="false" ht="15" hidden="false" customHeight="true" outlineLevel="0" collapsed="false">
      <c r="B32" s="1" t="s">
        <v>311</v>
      </c>
      <c r="C32" s="70" t="n">
        <v>0.05</v>
      </c>
      <c r="D32" s="1" t="s">
        <v>312</v>
      </c>
    </row>
    <row r="34" customFormat="false" ht="15" hidden="false" customHeight="true" outlineLevel="0" collapsed="false">
      <c r="B34" s="47" t="s">
        <v>313</v>
      </c>
      <c r="C34" s="68" t="n">
        <v>0.03</v>
      </c>
      <c r="D34" s="63" t="s">
        <v>314</v>
      </c>
    </row>
    <row r="35" customFormat="false" ht="15" hidden="false" customHeight="true" outlineLevel="0" collapsed="false">
      <c r="B35" s="47" t="s">
        <v>315</v>
      </c>
      <c r="C35" s="68" t="n">
        <v>0.04</v>
      </c>
      <c r="D35" s="63" t="s">
        <v>316</v>
      </c>
    </row>
    <row r="36" customFormat="false" ht="15" hidden="false" customHeight="true" outlineLevel="0" collapsed="false">
      <c r="B36" s="47" t="s">
        <v>317</v>
      </c>
      <c r="C36" s="71" t="n">
        <v>55</v>
      </c>
      <c r="D36" s="63" t="s">
        <v>318</v>
      </c>
    </row>
    <row r="37" customFormat="false" ht="15" hidden="false" customHeight="true" outlineLevel="0" collapsed="false">
      <c r="B37" s="47" t="s">
        <v>319</v>
      </c>
      <c r="C37" s="71" t="n">
        <v>112</v>
      </c>
      <c r="D37" s="63" t="s">
        <v>318</v>
      </c>
    </row>
    <row r="38" customFormat="false" ht="15" hidden="false" customHeight="true" outlineLevel="0" collapsed="false">
      <c r="B38" s="47" t="s">
        <v>320</v>
      </c>
      <c r="C38" s="72" t="n">
        <f aca="false">575/4650</f>
        <v>0.123655913978495</v>
      </c>
      <c r="D38" s="63" t="s">
        <v>321</v>
      </c>
    </row>
    <row r="39" customFormat="false" ht="15" hidden="false" customHeight="true" outlineLevel="0" collapsed="false">
      <c r="B39" s="47" t="s">
        <v>322</v>
      </c>
      <c r="C39" s="72" t="n">
        <f aca="false">116/4650</f>
        <v>0.0249462365591398</v>
      </c>
      <c r="D39" s="63" t="s">
        <v>323</v>
      </c>
    </row>
  </sheetData>
  <mergeCells count="7">
    <mergeCell ref="B2:D2"/>
    <mergeCell ref="B3:D3"/>
    <mergeCell ref="B5:D5"/>
    <mergeCell ref="B11:D11"/>
    <mergeCell ref="B15:D15"/>
    <mergeCell ref="B24:D24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158</v>
      </c>
    </row>
    <row r="2" customFormat="false" ht="15" hidden="false" customHeight="true" outlineLevel="0" collapsed="false">
      <c r="A2" s="2" t="s">
        <v>324</v>
      </c>
    </row>
    <row r="3" customFormat="false" ht="15" hidden="false" customHeight="true" outlineLevel="0" collapsed="false">
      <c r="A3" s="2" t="s">
        <v>173</v>
      </c>
    </row>
    <row r="5" customFormat="false" ht="15" hidden="false" customHeight="true" outlineLevel="0" collapsed="false">
      <c r="C5" s="30" t="s">
        <v>241</v>
      </c>
      <c r="D5" s="30"/>
      <c r="E5" s="30" t="s">
        <v>242</v>
      </c>
      <c r="F5" s="30"/>
      <c r="G5" s="30" t="s">
        <v>243</v>
      </c>
      <c r="H5" s="30"/>
      <c r="I5" s="30" t="s">
        <v>244</v>
      </c>
      <c r="J5" s="30"/>
      <c r="K5" s="30" t="s">
        <v>231</v>
      </c>
      <c r="L5" s="30"/>
      <c r="M5" s="30" t="s">
        <v>245</v>
      </c>
      <c r="N5" s="30"/>
      <c r="O5" s="30" t="s">
        <v>246</v>
      </c>
      <c r="P5" s="30"/>
      <c r="Q5" s="30" t="s">
        <v>247</v>
      </c>
      <c r="R5" s="30"/>
      <c r="S5" s="30" t="s">
        <v>248</v>
      </c>
      <c r="T5" s="30"/>
      <c r="U5" s="30" t="s">
        <v>249</v>
      </c>
      <c r="V5" s="30"/>
      <c r="W5" s="30" t="s">
        <v>250</v>
      </c>
      <c r="X5" s="30"/>
      <c r="Y5" s="30" t="s">
        <v>251</v>
      </c>
      <c r="Z5" s="30"/>
      <c r="AB5" s="30" t="s">
        <v>173</v>
      </c>
      <c r="AC5" s="30"/>
    </row>
    <row r="6" customFormat="false" ht="15" hidden="false" customHeight="true" outlineLevel="0" collapsed="false">
      <c r="C6" s="32" t="s">
        <v>252</v>
      </c>
      <c r="D6" s="32"/>
      <c r="E6" s="32" t="s">
        <v>252</v>
      </c>
      <c r="F6" s="32"/>
      <c r="G6" s="32" t="s">
        <v>252</v>
      </c>
      <c r="H6" s="32"/>
      <c r="I6" s="32" t="s">
        <v>252</v>
      </c>
      <c r="J6" s="32"/>
      <c r="K6" s="32" t="s">
        <v>252</v>
      </c>
      <c r="L6" s="32"/>
      <c r="M6" s="32" t="s">
        <v>252</v>
      </c>
      <c r="N6" s="32"/>
      <c r="O6" s="32" t="s">
        <v>252</v>
      </c>
      <c r="P6" s="32"/>
      <c r="Q6" s="32" t="s">
        <v>252</v>
      </c>
      <c r="R6" s="32"/>
      <c r="S6" s="32" t="s">
        <v>252</v>
      </c>
      <c r="T6" s="32"/>
      <c r="U6" s="32" t="s">
        <v>252</v>
      </c>
      <c r="V6" s="32"/>
      <c r="W6" s="32" t="s">
        <v>252</v>
      </c>
      <c r="X6" s="32"/>
      <c r="Y6" s="32" t="s">
        <v>252</v>
      </c>
      <c r="Z6" s="32"/>
      <c r="AB6" s="32" t="s">
        <v>175</v>
      </c>
      <c r="AC6" s="32"/>
    </row>
    <row r="7" customFormat="false" ht="15" hidden="false" customHeight="true" outlineLevel="0" collapsed="false">
      <c r="C7" s="31" t="s">
        <v>176</v>
      </c>
      <c r="D7" s="31" t="s">
        <v>177</v>
      </c>
      <c r="E7" s="31" t="s">
        <v>176</v>
      </c>
      <c r="F7" s="31" t="s">
        <v>177</v>
      </c>
      <c r="G7" s="31" t="s">
        <v>176</v>
      </c>
      <c r="H7" s="31" t="s">
        <v>177</v>
      </c>
      <c r="I7" s="31" t="s">
        <v>176</v>
      </c>
      <c r="J7" s="31" t="s">
        <v>177</v>
      </c>
      <c r="K7" s="31" t="s">
        <v>176</v>
      </c>
      <c r="L7" s="31" t="s">
        <v>177</v>
      </c>
      <c r="M7" s="31" t="s">
        <v>176</v>
      </c>
      <c r="N7" s="31" t="s">
        <v>177</v>
      </c>
      <c r="O7" s="31" t="s">
        <v>176</v>
      </c>
      <c r="P7" s="31" t="s">
        <v>177</v>
      </c>
      <c r="Q7" s="31" t="s">
        <v>176</v>
      </c>
      <c r="R7" s="31" t="s">
        <v>177</v>
      </c>
      <c r="S7" s="31" t="s">
        <v>176</v>
      </c>
      <c r="T7" s="31" t="s">
        <v>177</v>
      </c>
      <c r="U7" s="31" t="s">
        <v>176</v>
      </c>
      <c r="V7" s="31" t="s">
        <v>177</v>
      </c>
      <c r="W7" s="31" t="s">
        <v>176</v>
      </c>
      <c r="X7" s="31" t="s">
        <v>177</v>
      </c>
      <c r="Y7" s="31" t="s">
        <v>176</v>
      </c>
      <c r="Z7" s="31" t="s">
        <v>177</v>
      </c>
      <c r="AB7" s="31" t="s">
        <v>176</v>
      </c>
      <c r="AC7" s="31" t="s">
        <v>177</v>
      </c>
    </row>
    <row r="8" customFormat="false" ht="15" hidden="false" customHeight="true" outlineLevel="0" collapsed="false">
      <c r="A8" s="5" t="s">
        <v>325</v>
      </c>
      <c r="C8" s="73" t="n">
        <v>13</v>
      </c>
      <c r="E8" s="73" t="n">
        <v>4</v>
      </c>
      <c r="G8" s="73" t="n">
        <v>13</v>
      </c>
      <c r="I8" s="73" t="n">
        <v>4</v>
      </c>
      <c r="K8" s="73" t="n">
        <v>10</v>
      </c>
      <c r="M8" s="74" t="n">
        <f aca="false">AVERAGE($C$8,$E$8,$G$8,$I$8,$K$8)</f>
        <v>8.8</v>
      </c>
      <c r="O8" s="74" t="n">
        <f aca="false">AVERAGE($C$8,$E$8,$G$8,$I$8,$K$8)</f>
        <v>8.8</v>
      </c>
      <c r="Q8" s="74" t="n">
        <f aca="false">AVERAGE($C$8,$E$8,$G$8,$I$8,$K$8)</f>
        <v>8.8</v>
      </c>
      <c r="S8" s="74" t="n">
        <f aca="false">AVERAGE($C$8,$E$8,$G$8,$I$8,$K$8)</f>
        <v>8.8</v>
      </c>
      <c r="U8" s="74" t="n">
        <f aca="false">AVERAGE($C$8,$E$8,$G$8,$I$8,$K$8)</f>
        <v>8.8</v>
      </c>
      <c r="W8" s="74" t="n">
        <f aca="false">AVERAGE($C$8,$E$8,$G$8,$I$8,$K$8)</f>
        <v>8.8</v>
      </c>
      <c r="Y8" s="74" t="n">
        <f aca="false">AVERAGE($C$8,$E$8,$G$8,$I$8,$K$8)</f>
        <v>8.8</v>
      </c>
      <c r="AB8" s="39" t="n">
        <f aca="false">SUM(C8,E8,G8,I8,K8,M8,O8,Q8,S8,U8,W8,Y8)</f>
        <v>105.6</v>
      </c>
    </row>
    <row r="9" customFormat="false" ht="15" hidden="false" customHeight="true" outlineLevel="0" collapsed="false">
      <c r="A9" s="5" t="s">
        <v>326</v>
      </c>
      <c r="C9" s="74" t="n">
        <f aca="false">C8*'Vessel Assumptions'!$C$7</f>
        <v>9.269</v>
      </c>
      <c r="E9" s="74" t="n">
        <f aca="false">E8*'Vessel Assumptions'!$C$7</f>
        <v>2.852</v>
      </c>
      <c r="G9" s="74" t="n">
        <f aca="false">G8*'Vessel Assumptions'!$C$7</f>
        <v>9.269</v>
      </c>
      <c r="I9" s="74" t="n">
        <f aca="false">I8*'Vessel Assumptions'!$C$7</f>
        <v>2.852</v>
      </c>
      <c r="K9" s="74" t="n">
        <f aca="false">K8*'Vessel Assumptions'!$C$7</f>
        <v>7.13</v>
      </c>
      <c r="M9" s="74" t="n">
        <f aca="false">M8*'Vessel Assumptions'!$C$7</f>
        <v>6.2744</v>
      </c>
      <c r="O9" s="74" t="n">
        <f aca="false">O8*'Vessel Assumptions'!$C$7</f>
        <v>6.2744</v>
      </c>
      <c r="Q9" s="74" t="n">
        <f aca="false">Q8*'Vessel Assumptions'!$C$7</f>
        <v>6.2744</v>
      </c>
      <c r="S9" s="74" t="n">
        <f aca="false">S8*'Vessel Assumptions'!$C$7</f>
        <v>6.2744</v>
      </c>
      <c r="U9" s="74" t="n">
        <f aca="false">U8*'Vessel Assumptions'!$C$7</f>
        <v>6.2744</v>
      </c>
      <c r="W9" s="74" t="n">
        <f aca="false">W8*'Vessel Assumptions'!$C$7</f>
        <v>6.2744</v>
      </c>
      <c r="Y9" s="74" t="n">
        <f aca="false">Y8*'Vessel Assumptions'!$C$7</f>
        <v>6.2744</v>
      </c>
      <c r="AB9" s="74" t="n">
        <f aca="false">SUM(C9,E9,G9,I9,K9,M9,O9,Q9,S9,U9,W9,Y9)</f>
        <v>75.2928</v>
      </c>
    </row>
    <row r="11" customFormat="false" ht="15" hidden="false" customHeight="true" outlineLevel="0" collapsed="false">
      <c r="A11" s="6" t="s">
        <v>178</v>
      </c>
    </row>
    <row r="12" customFormat="false" ht="15" hidden="false" customHeight="true" outlineLevel="0" collapsed="false">
      <c r="A12" s="5" t="s">
        <v>179</v>
      </c>
      <c r="C12" s="24" t="n">
        <f aca="false">C9*'Vessel Assumptions'!$C$6*'Vessel Assumptions'!$C$8</f>
        <v>26694.72</v>
      </c>
      <c r="D12" s="34" t="n">
        <f aca="false">IFERROR(C12/C$20,0)</f>
        <v>0.619354838709677</v>
      </c>
      <c r="E12" s="24" t="n">
        <f aca="false">E9*'Vessel Assumptions'!$C$6*'Vessel Assumptions'!$C$8</f>
        <v>8213.76</v>
      </c>
      <c r="F12" s="34" t="n">
        <f aca="false">IFERROR(E12/E$20,0)</f>
        <v>0.619354838709677</v>
      </c>
      <c r="G12" s="24" t="n">
        <f aca="false">G9*'Vessel Assumptions'!$C$6*'Vessel Assumptions'!$C$8</f>
        <v>26694.72</v>
      </c>
      <c r="H12" s="34" t="n">
        <f aca="false">IFERROR(G12/G$20,0)</f>
        <v>0.619354838709677</v>
      </c>
      <c r="I12" s="24" t="n">
        <f aca="false">I9*'Vessel Assumptions'!$C$6*'Vessel Assumptions'!$C$8</f>
        <v>8213.76</v>
      </c>
      <c r="J12" s="34" t="n">
        <f aca="false">IFERROR(I12/I$20,0)</f>
        <v>0.619354838709677</v>
      </c>
      <c r="K12" s="24" t="n">
        <f aca="false">K9*'Vessel Assumptions'!$C$6*'Vessel Assumptions'!$C$8</f>
        <v>20534.4</v>
      </c>
      <c r="L12" s="34" t="n">
        <f aca="false">IFERROR(K12/K$20,0)</f>
        <v>0.619354838709677</v>
      </c>
      <c r="M12" s="24" t="n">
        <f aca="false">M9*'Vessel Assumptions'!$C$6*'Vessel Assumptions'!$C$8</f>
        <v>18070.272</v>
      </c>
      <c r="N12" s="34" t="n">
        <f aca="false">IFERROR(M12/M$20,0)</f>
        <v>0.619354838709677</v>
      </c>
      <c r="O12" s="24" t="n">
        <f aca="false">O9*'Vessel Assumptions'!$C$6*'Vessel Assumptions'!$C$8</f>
        <v>18070.272</v>
      </c>
      <c r="P12" s="34" t="n">
        <f aca="false">IFERROR(O12/O$20,0)</f>
        <v>0.619354838709677</v>
      </c>
      <c r="Q12" s="24" t="n">
        <f aca="false">Q9*'Vessel Assumptions'!$C$6*'Vessel Assumptions'!$C$8</f>
        <v>18070.272</v>
      </c>
      <c r="R12" s="34" t="n">
        <f aca="false">IFERROR(Q12/Q$20,0)</f>
        <v>0.619354838709677</v>
      </c>
      <c r="S12" s="24" t="n">
        <f aca="false">S9*'Vessel Assumptions'!$C$6*'Vessel Assumptions'!$C$8</f>
        <v>18070.272</v>
      </c>
      <c r="T12" s="34" t="n">
        <f aca="false">IFERROR(S12/S$20,0)</f>
        <v>0.619354838709677</v>
      </c>
      <c r="U12" s="24" t="n">
        <f aca="false">U9*'Vessel Assumptions'!$C$6*'Vessel Assumptions'!$C$8</f>
        <v>18070.272</v>
      </c>
      <c r="V12" s="34" t="n">
        <f aca="false">IFERROR(U12/U$20,0)</f>
        <v>0.619354838709677</v>
      </c>
      <c r="W12" s="24" t="n">
        <f aca="false">W9*'Vessel Assumptions'!$C$6*'Vessel Assumptions'!$C$8</f>
        <v>18070.272</v>
      </c>
      <c r="X12" s="34" t="n">
        <f aca="false">IFERROR(W12/W$20,0)</f>
        <v>0.619354838709677</v>
      </c>
      <c r="Y12" s="24" t="n">
        <f aca="false">Y9*'Vessel Assumptions'!$C$6*'Vessel Assumptions'!$C$8</f>
        <v>18070.272</v>
      </c>
      <c r="Z12" s="34" t="n">
        <f aca="false">IFERROR(Y12/Y$20,0)</f>
        <v>0.619354838709677</v>
      </c>
      <c r="AB12" s="24" t="n">
        <f aca="false">SUM(C12,E12,G12,I12,K12,M12,O12,Q12,S12,U12,W12,Y12)</f>
        <v>216843.264</v>
      </c>
      <c r="AC12" s="34" t="n">
        <f aca="false">IFERROR(AB12/AB$20,0)</f>
        <v>0.619354838709677</v>
      </c>
    </row>
    <row r="13" customFormat="false" ht="15" hidden="false" customHeight="true" outlineLevel="0" collapsed="false">
      <c r="A13" s="5" t="s">
        <v>180</v>
      </c>
      <c r="C13" s="24" t="n">
        <f aca="false">(C9*'Vessel Assumptions'!$C$6*(1-'Vessel Assumptions'!$C$8))*'Vessel 2026 P&amp;L'!$AB$10/SUM('Vessel 2026 P&amp;L'!$AB$10:$AB$13)</f>
        <v>2612.89340913206</v>
      </c>
      <c r="D13" s="34" t="n">
        <f aca="false">IFERROR(C13/C$20,0)</f>
        <v>0.0606227814331285</v>
      </c>
      <c r="E13" s="24" t="n">
        <f aca="false">(E9*'Vessel Assumptions'!$C$6*(1-'Vessel Assumptions'!$C$8))*'Vessel 2026 P&amp;L'!$AB$10/SUM('Vessel 2026 P&amp;L'!$AB$10:$AB$13)</f>
        <v>803.967202809864</v>
      </c>
      <c r="F13" s="34" t="n">
        <f aca="false">IFERROR(E13/E$20,0)</f>
        <v>0.0606227814331285</v>
      </c>
      <c r="G13" s="24" t="n">
        <f aca="false">(G9*'Vessel Assumptions'!$C$6*(1-'Vessel Assumptions'!$C$8))*'Vessel 2026 P&amp;L'!$AB$10/SUM('Vessel 2026 P&amp;L'!$AB$10:$AB$13)</f>
        <v>2612.89340913206</v>
      </c>
      <c r="H13" s="34" t="n">
        <f aca="false">IFERROR(G13/G$20,0)</f>
        <v>0.0606227814331285</v>
      </c>
      <c r="I13" s="24" t="n">
        <f aca="false">(I9*'Vessel Assumptions'!$C$6*(1-'Vessel Assumptions'!$C$8))*'Vessel 2026 P&amp;L'!$AB$10/SUM('Vessel 2026 P&amp;L'!$AB$10:$AB$13)</f>
        <v>803.967202809864</v>
      </c>
      <c r="J13" s="34" t="n">
        <f aca="false">IFERROR(I13/I$20,0)</f>
        <v>0.0606227814331285</v>
      </c>
      <c r="K13" s="24" t="n">
        <f aca="false">(K9*'Vessel Assumptions'!$C$6*(1-'Vessel Assumptions'!$C$8))*'Vessel 2026 P&amp;L'!$AB$10/SUM('Vessel 2026 P&amp;L'!$AB$10:$AB$13)</f>
        <v>2009.91800702466</v>
      </c>
      <c r="L13" s="34" t="n">
        <f aca="false">IFERROR(K13/K$20,0)</f>
        <v>0.0606227814331285</v>
      </c>
      <c r="M13" s="24" t="n">
        <f aca="false">(M9*'Vessel Assumptions'!$C$6*(1-'Vessel Assumptions'!$C$8))*'Vessel 2026 P&amp;L'!$AB$10/SUM('Vessel 2026 P&amp;L'!$AB$10:$AB$13)</f>
        <v>1768.7278461817</v>
      </c>
      <c r="N13" s="34" t="n">
        <f aca="false">IFERROR(M13/M$20,0)</f>
        <v>0.0606227814331285</v>
      </c>
      <c r="O13" s="24" t="n">
        <f aca="false">(O9*'Vessel Assumptions'!$C$6*(1-'Vessel Assumptions'!$C$8))*'Vessel 2026 P&amp;L'!$AB$10/SUM('Vessel 2026 P&amp;L'!$AB$10:$AB$13)</f>
        <v>1768.7278461817</v>
      </c>
      <c r="P13" s="34" t="n">
        <f aca="false">IFERROR(O13/O$20,0)</f>
        <v>0.0606227814331285</v>
      </c>
      <c r="Q13" s="24" t="n">
        <f aca="false">(Q9*'Vessel Assumptions'!$C$6*(1-'Vessel Assumptions'!$C$8))*'Vessel 2026 P&amp;L'!$AB$10/SUM('Vessel 2026 P&amp;L'!$AB$10:$AB$13)</f>
        <v>1768.7278461817</v>
      </c>
      <c r="R13" s="34" t="n">
        <f aca="false">IFERROR(Q13/Q$20,0)</f>
        <v>0.0606227814331285</v>
      </c>
      <c r="S13" s="24" t="n">
        <f aca="false">(S9*'Vessel Assumptions'!$C$6*(1-'Vessel Assumptions'!$C$8))*'Vessel 2026 P&amp;L'!$AB$10/SUM('Vessel 2026 P&amp;L'!$AB$10:$AB$13)</f>
        <v>1768.7278461817</v>
      </c>
      <c r="T13" s="34" t="n">
        <f aca="false">IFERROR(S13/S$20,0)</f>
        <v>0.0606227814331285</v>
      </c>
      <c r="U13" s="24" t="n">
        <f aca="false">(U9*'Vessel Assumptions'!$C$6*(1-'Vessel Assumptions'!$C$8))*'Vessel 2026 P&amp;L'!$AB$10/SUM('Vessel 2026 P&amp;L'!$AB$10:$AB$13)</f>
        <v>1768.7278461817</v>
      </c>
      <c r="V13" s="34" t="n">
        <f aca="false">IFERROR(U13/U$20,0)</f>
        <v>0.0606227814331285</v>
      </c>
      <c r="W13" s="24" t="n">
        <f aca="false">(W9*'Vessel Assumptions'!$C$6*(1-'Vessel Assumptions'!$C$8))*'Vessel 2026 P&amp;L'!$AB$10/SUM('Vessel 2026 P&amp;L'!$AB$10:$AB$13)</f>
        <v>1768.7278461817</v>
      </c>
      <c r="X13" s="34" t="n">
        <f aca="false">IFERROR(W13/W$20,0)</f>
        <v>0.0606227814331285</v>
      </c>
      <c r="Y13" s="24" t="n">
        <f aca="false">(Y9*'Vessel Assumptions'!$C$6*(1-'Vessel Assumptions'!$C$8))*'Vessel 2026 P&amp;L'!$AB$10/SUM('Vessel 2026 P&amp;L'!$AB$10:$AB$13)</f>
        <v>1768.7278461817</v>
      </c>
      <c r="Z13" s="34" t="n">
        <f aca="false">IFERROR(Y13/Y$20,0)</f>
        <v>0.0606227814331285</v>
      </c>
      <c r="AB13" s="24" t="n">
        <f aca="false">SUM(C13,E13,G13,I13,K13,M13,O13,Q13,S13,U13,W13,Y13)</f>
        <v>21224.7341541804</v>
      </c>
      <c r="AC13" s="34" t="n">
        <f aca="false">IFERROR(AB13/AB$20,0)</f>
        <v>0.0606227814331285</v>
      </c>
    </row>
    <row r="14" customFormat="false" ht="15" hidden="false" customHeight="true" outlineLevel="0" collapsed="false">
      <c r="A14" s="5" t="s">
        <v>181</v>
      </c>
      <c r="C14" s="24" t="n">
        <f aca="false">(C9*'Vessel Assumptions'!$C$6*(1-'Vessel Assumptions'!$C$8))*'Vessel 2026 P&amp;L'!$AB$11/SUM('Vessel 2026 P&amp;L'!$AB$10:$AB$13)</f>
        <v>4394.57396386284</v>
      </c>
      <c r="D14" s="34" t="n">
        <f aca="false">IFERROR(C14/C$20,0)</f>
        <v>0.101960262126219</v>
      </c>
      <c r="E14" s="24" t="n">
        <f aca="false">(E9*'Vessel Assumptions'!$C$6*(1-'Vessel Assumptions'!$C$8))*'Vessel 2026 P&amp;L'!$AB$11/SUM('Vessel 2026 P&amp;L'!$AB$10:$AB$13)</f>
        <v>1352.17660426549</v>
      </c>
      <c r="F14" s="34" t="n">
        <f aca="false">IFERROR(E14/E$20,0)</f>
        <v>0.101960262126219</v>
      </c>
      <c r="G14" s="24" t="n">
        <f aca="false">(G9*'Vessel Assumptions'!$C$6*(1-'Vessel Assumptions'!$C$8))*'Vessel 2026 P&amp;L'!$AB$11/SUM('Vessel 2026 P&amp;L'!$AB$10:$AB$13)</f>
        <v>4394.57396386284</v>
      </c>
      <c r="H14" s="34" t="n">
        <f aca="false">IFERROR(G14/G$20,0)</f>
        <v>0.101960262126219</v>
      </c>
      <c r="I14" s="24" t="n">
        <f aca="false">(I9*'Vessel Assumptions'!$C$6*(1-'Vessel Assumptions'!$C$8))*'Vessel 2026 P&amp;L'!$AB$11/SUM('Vessel 2026 P&amp;L'!$AB$10:$AB$13)</f>
        <v>1352.17660426549</v>
      </c>
      <c r="J14" s="34" t="n">
        <f aca="false">IFERROR(I14/I$20,0)</f>
        <v>0.101960262126219</v>
      </c>
      <c r="K14" s="24" t="n">
        <f aca="false">(K9*'Vessel Assumptions'!$C$6*(1-'Vessel Assumptions'!$C$8))*'Vessel 2026 P&amp;L'!$AB$11/SUM('Vessel 2026 P&amp;L'!$AB$10:$AB$13)</f>
        <v>3380.44151066372</v>
      </c>
      <c r="L14" s="34" t="n">
        <f aca="false">IFERROR(K14/K$20,0)</f>
        <v>0.101960262126219</v>
      </c>
      <c r="M14" s="24" t="n">
        <f aca="false">(M9*'Vessel Assumptions'!$C$6*(1-'Vessel Assumptions'!$C$8))*'Vessel 2026 P&amp;L'!$AB$11/SUM('Vessel 2026 P&amp;L'!$AB$10:$AB$13)</f>
        <v>2974.78852938408</v>
      </c>
      <c r="N14" s="34" t="n">
        <f aca="false">IFERROR(M14/M$20,0)</f>
        <v>0.101960262126219</v>
      </c>
      <c r="O14" s="24" t="n">
        <f aca="false">(O9*'Vessel Assumptions'!$C$6*(1-'Vessel Assumptions'!$C$8))*'Vessel 2026 P&amp;L'!$AB$11/SUM('Vessel 2026 P&amp;L'!$AB$10:$AB$13)</f>
        <v>2974.78852938408</v>
      </c>
      <c r="P14" s="34" t="n">
        <f aca="false">IFERROR(O14/O$20,0)</f>
        <v>0.101960262126219</v>
      </c>
      <c r="Q14" s="24" t="n">
        <f aca="false">(Q9*'Vessel Assumptions'!$C$6*(1-'Vessel Assumptions'!$C$8))*'Vessel 2026 P&amp;L'!$AB$11/SUM('Vessel 2026 P&amp;L'!$AB$10:$AB$13)</f>
        <v>2974.78852938408</v>
      </c>
      <c r="R14" s="34" t="n">
        <f aca="false">IFERROR(Q14/Q$20,0)</f>
        <v>0.101960262126219</v>
      </c>
      <c r="S14" s="24" t="n">
        <f aca="false">(S9*'Vessel Assumptions'!$C$6*(1-'Vessel Assumptions'!$C$8))*'Vessel 2026 P&amp;L'!$AB$11/SUM('Vessel 2026 P&amp;L'!$AB$10:$AB$13)</f>
        <v>2974.78852938408</v>
      </c>
      <c r="T14" s="34" t="n">
        <f aca="false">IFERROR(S14/S$20,0)</f>
        <v>0.101960262126219</v>
      </c>
      <c r="U14" s="24" t="n">
        <f aca="false">(U9*'Vessel Assumptions'!$C$6*(1-'Vessel Assumptions'!$C$8))*'Vessel 2026 P&amp;L'!$AB$11/SUM('Vessel 2026 P&amp;L'!$AB$10:$AB$13)</f>
        <v>2974.78852938408</v>
      </c>
      <c r="V14" s="34" t="n">
        <f aca="false">IFERROR(U14/U$20,0)</f>
        <v>0.101960262126219</v>
      </c>
      <c r="W14" s="24" t="n">
        <f aca="false">(W9*'Vessel Assumptions'!$C$6*(1-'Vessel Assumptions'!$C$8))*'Vessel 2026 P&amp;L'!$AB$11/SUM('Vessel 2026 P&amp;L'!$AB$10:$AB$13)</f>
        <v>2974.78852938408</v>
      </c>
      <c r="X14" s="34" t="n">
        <f aca="false">IFERROR(W14/W$20,0)</f>
        <v>0.101960262126219</v>
      </c>
      <c r="Y14" s="24" t="n">
        <f aca="false">(Y9*'Vessel Assumptions'!$C$6*(1-'Vessel Assumptions'!$C$8))*'Vessel 2026 P&amp;L'!$AB$11/SUM('Vessel 2026 P&amp;L'!$AB$10:$AB$13)</f>
        <v>2974.78852938408</v>
      </c>
      <c r="Z14" s="34" t="n">
        <f aca="false">IFERROR(Y14/Y$20,0)</f>
        <v>0.101960262126219</v>
      </c>
      <c r="AB14" s="24" t="n">
        <f aca="false">SUM(C14,E14,G14,I14,K14,M14,O14,Q14,S14,U14,W14,Y14)</f>
        <v>35697.4623526089</v>
      </c>
      <c r="AC14" s="34" t="n">
        <f aca="false">IFERROR(AB14/AB$20,0)</f>
        <v>0.101960262126219</v>
      </c>
    </row>
    <row r="15" customFormat="false" ht="15" hidden="false" customHeight="true" outlineLevel="0" collapsed="false">
      <c r="A15" s="5" t="s">
        <v>182</v>
      </c>
      <c r="C15" s="24" t="n">
        <f aca="false">(C9*'Vessel Assumptions'!$C$6*(1-'Vessel Assumptions'!$C$8))*'Vessel 2026 P&amp;L'!$AB$12/SUM('Vessel 2026 P&amp;L'!$AB$10:$AB$13)</f>
        <v>162.013675634573</v>
      </c>
      <c r="D15" s="34" t="n">
        <f aca="false">IFERROR(C15/C$20,0)</f>
        <v>0.00375894386385821</v>
      </c>
      <c r="E15" s="24" t="n">
        <f aca="false">(E9*'Vessel Assumptions'!$C$6*(1-'Vessel Assumptions'!$C$8))*'Vessel 2026 P&amp;L'!$AB$12/SUM('Vessel 2026 P&amp;L'!$AB$10:$AB$13)</f>
        <v>49.8503617337147</v>
      </c>
      <c r="F15" s="34" t="n">
        <f aca="false">IFERROR(E15/E$20,0)</f>
        <v>0.00375894386385821</v>
      </c>
      <c r="G15" s="24" t="n">
        <f aca="false">(G9*'Vessel Assumptions'!$C$6*(1-'Vessel Assumptions'!$C$8))*'Vessel 2026 P&amp;L'!$AB$12/SUM('Vessel 2026 P&amp;L'!$AB$10:$AB$13)</f>
        <v>162.013675634573</v>
      </c>
      <c r="H15" s="34" t="n">
        <f aca="false">IFERROR(G15/G$20,0)</f>
        <v>0.00375894386385821</v>
      </c>
      <c r="I15" s="24" t="n">
        <f aca="false">(I9*'Vessel Assumptions'!$C$6*(1-'Vessel Assumptions'!$C$8))*'Vessel 2026 P&amp;L'!$AB$12/SUM('Vessel 2026 P&amp;L'!$AB$10:$AB$13)</f>
        <v>49.8503617337147</v>
      </c>
      <c r="J15" s="34" t="n">
        <f aca="false">IFERROR(I15/I$20,0)</f>
        <v>0.00375894386385821</v>
      </c>
      <c r="K15" s="24" t="n">
        <f aca="false">(K9*'Vessel Assumptions'!$C$6*(1-'Vessel Assumptions'!$C$8))*'Vessel 2026 P&amp;L'!$AB$12/SUM('Vessel 2026 P&amp;L'!$AB$10:$AB$13)</f>
        <v>124.625904334287</v>
      </c>
      <c r="L15" s="34" t="n">
        <f aca="false">IFERROR(K15/K$20,0)</f>
        <v>0.0037589438638582</v>
      </c>
      <c r="M15" s="24" t="n">
        <f aca="false">(M9*'Vessel Assumptions'!$C$6*(1-'Vessel Assumptions'!$C$8))*'Vessel 2026 P&amp;L'!$AB$12/SUM('Vessel 2026 P&amp;L'!$AB$10:$AB$13)</f>
        <v>109.670795814172</v>
      </c>
      <c r="N15" s="34" t="n">
        <f aca="false">IFERROR(M15/M$20,0)</f>
        <v>0.00375894386385821</v>
      </c>
      <c r="O15" s="24" t="n">
        <f aca="false">(O9*'Vessel Assumptions'!$C$6*(1-'Vessel Assumptions'!$C$8))*'Vessel 2026 P&amp;L'!$AB$12/SUM('Vessel 2026 P&amp;L'!$AB$10:$AB$13)</f>
        <v>109.670795814172</v>
      </c>
      <c r="P15" s="34" t="n">
        <f aca="false">IFERROR(O15/O$20,0)</f>
        <v>0.00375894386385821</v>
      </c>
      <c r="Q15" s="24" t="n">
        <f aca="false">(Q9*'Vessel Assumptions'!$C$6*(1-'Vessel Assumptions'!$C$8))*'Vessel 2026 P&amp;L'!$AB$12/SUM('Vessel 2026 P&amp;L'!$AB$10:$AB$13)</f>
        <v>109.670795814172</v>
      </c>
      <c r="R15" s="34" t="n">
        <f aca="false">IFERROR(Q15/Q$20,0)</f>
        <v>0.00375894386385821</v>
      </c>
      <c r="S15" s="24" t="n">
        <f aca="false">(S9*'Vessel Assumptions'!$C$6*(1-'Vessel Assumptions'!$C$8))*'Vessel 2026 P&amp;L'!$AB$12/SUM('Vessel 2026 P&amp;L'!$AB$10:$AB$13)</f>
        <v>109.670795814172</v>
      </c>
      <c r="T15" s="34" t="n">
        <f aca="false">IFERROR(S15/S$20,0)</f>
        <v>0.00375894386385821</v>
      </c>
      <c r="U15" s="24" t="n">
        <f aca="false">(U9*'Vessel Assumptions'!$C$6*(1-'Vessel Assumptions'!$C$8))*'Vessel 2026 P&amp;L'!$AB$12/SUM('Vessel 2026 P&amp;L'!$AB$10:$AB$13)</f>
        <v>109.670795814172</v>
      </c>
      <c r="V15" s="34" t="n">
        <f aca="false">IFERROR(U15/U$20,0)</f>
        <v>0.00375894386385821</v>
      </c>
      <c r="W15" s="24" t="n">
        <f aca="false">(W9*'Vessel Assumptions'!$C$6*(1-'Vessel Assumptions'!$C$8))*'Vessel 2026 P&amp;L'!$AB$12/SUM('Vessel 2026 P&amp;L'!$AB$10:$AB$13)</f>
        <v>109.670795814172</v>
      </c>
      <c r="X15" s="34" t="n">
        <f aca="false">IFERROR(W15/W$20,0)</f>
        <v>0.00375894386385821</v>
      </c>
      <c r="Y15" s="24" t="n">
        <f aca="false">(Y9*'Vessel Assumptions'!$C$6*(1-'Vessel Assumptions'!$C$8))*'Vessel 2026 P&amp;L'!$AB$12/SUM('Vessel 2026 P&amp;L'!$AB$10:$AB$13)</f>
        <v>109.670795814172</v>
      </c>
      <c r="Z15" s="34" t="n">
        <f aca="false">IFERROR(Y15/Y$20,0)</f>
        <v>0.00375894386385821</v>
      </c>
      <c r="AB15" s="24" t="n">
        <f aca="false">SUM(C15,E15,G15,I15,K15,M15,O15,Q15,S15,U15,W15,Y15)</f>
        <v>1316.04954977007</v>
      </c>
      <c r="AC15" s="34" t="n">
        <f aca="false">IFERROR(AB15/AB$20,0)</f>
        <v>0.00375894386385821</v>
      </c>
    </row>
    <row r="16" customFormat="false" ht="15" hidden="false" customHeight="true" outlineLevel="0" collapsed="false">
      <c r="A16" s="5" t="s">
        <v>183</v>
      </c>
      <c r="C16" s="24" t="n">
        <f aca="false">(C9*'Vessel Assumptions'!$C$6*(1-'Vessel Assumptions'!$C$8))*'Vessel 2026 P&amp;L'!$AB$13/SUM('Vessel 2026 P&amp;L'!$AB$10:$AB$13)</f>
        <v>616.478951370533</v>
      </c>
      <c r="D16" s="34" t="n">
        <f aca="false">IFERROR(C16/C$20,0)</f>
        <v>0.0143031738671171</v>
      </c>
      <c r="E16" s="24" t="n">
        <f aca="false">(E9*'Vessel Assumptions'!$C$6*(1-'Vessel Assumptions'!$C$8))*'Vessel 2026 P&amp;L'!$AB$13/SUM('Vessel 2026 P&amp;L'!$AB$10:$AB$13)</f>
        <v>189.685831190933</v>
      </c>
      <c r="F16" s="34" t="n">
        <f aca="false">IFERROR(E16/E$20,0)</f>
        <v>0.0143031738671171</v>
      </c>
      <c r="G16" s="24" t="n">
        <f aca="false">(G9*'Vessel Assumptions'!$C$6*(1-'Vessel Assumptions'!$C$8))*'Vessel 2026 P&amp;L'!$AB$13/SUM('Vessel 2026 P&amp;L'!$AB$10:$AB$13)</f>
        <v>616.478951370533</v>
      </c>
      <c r="H16" s="34" t="n">
        <f aca="false">IFERROR(G16/G$20,0)</f>
        <v>0.0143031738671171</v>
      </c>
      <c r="I16" s="24" t="n">
        <f aca="false">(I9*'Vessel Assumptions'!$C$6*(1-'Vessel Assumptions'!$C$8))*'Vessel 2026 P&amp;L'!$AB$13/SUM('Vessel 2026 P&amp;L'!$AB$10:$AB$13)</f>
        <v>189.685831190933</v>
      </c>
      <c r="J16" s="34" t="n">
        <f aca="false">IFERROR(I16/I$20,0)</f>
        <v>0.0143031738671171</v>
      </c>
      <c r="K16" s="24" t="n">
        <f aca="false">(K9*'Vessel Assumptions'!$C$6*(1-'Vessel Assumptions'!$C$8))*'Vessel 2026 P&amp;L'!$AB$13/SUM('Vessel 2026 P&amp;L'!$AB$10:$AB$13)</f>
        <v>474.214577977333</v>
      </c>
      <c r="L16" s="34" t="n">
        <f aca="false">IFERROR(K16/K$20,0)</f>
        <v>0.0143031738671171</v>
      </c>
      <c r="M16" s="24" t="n">
        <f aca="false">(M9*'Vessel Assumptions'!$C$6*(1-'Vessel Assumptions'!$C$8))*'Vessel 2026 P&amp;L'!$AB$13/SUM('Vessel 2026 P&amp;L'!$AB$10:$AB$13)</f>
        <v>417.308828620053</v>
      </c>
      <c r="N16" s="34" t="n">
        <f aca="false">IFERROR(M16/M$20,0)</f>
        <v>0.0143031738671171</v>
      </c>
      <c r="O16" s="24" t="n">
        <f aca="false">(O9*'Vessel Assumptions'!$C$6*(1-'Vessel Assumptions'!$C$8))*'Vessel 2026 P&amp;L'!$AB$13/SUM('Vessel 2026 P&amp;L'!$AB$10:$AB$13)</f>
        <v>417.308828620053</v>
      </c>
      <c r="P16" s="34" t="n">
        <f aca="false">IFERROR(O16/O$20,0)</f>
        <v>0.0143031738671171</v>
      </c>
      <c r="Q16" s="24" t="n">
        <f aca="false">(Q9*'Vessel Assumptions'!$C$6*(1-'Vessel Assumptions'!$C$8))*'Vessel 2026 P&amp;L'!$AB$13/SUM('Vessel 2026 P&amp;L'!$AB$10:$AB$13)</f>
        <v>417.308828620053</v>
      </c>
      <c r="R16" s="34" t="n">
        <f aca="false">IFERROR(Q16/Q$20,0)</f>
        <v>0.0143031738671171</v>
      </c>
      <c r="S16" s="24" t="n">
        <f aca="false">(S9*'Vessel Assumptions'!$C$6*(1-'Vessel Assumptions'!$C$8))*'Vessel 2026 P&amp;L'!$AB$13/SUM('Vessel 2026 P&amp;L'!$AB$10:$AB$13)</f>
        <v>417.308828620053</v>
      </c>
      <c r="T16" s="34" t="n">
        <f aca="false">IFERROR(S16/S$20,0)</f>
        <v>0.0143031738671171</v>
      </c>
      <c r="U16" s="24" t="n">
        <f aca="false">(U9*'Vessel Assumptions'!$C$6*(1-'Vessel Assumptions'!$C$8))*'Vessel 2026 P&amp;L'!$AB$13/SUM('Vessel 2026 P&amp;L'!$AB$10:$AB$13)</f>
        <v>417.308828620053</v>
      </c>
      <c r="V16" s="34" t="n">
        <f aca="false">IFERROR(U16/U$20,0)</f>
        <v>0.0143031738671171</v>
      </c>
      <c r="W16" s="24" t="n">
        <f aca="false">(W9*'Vessel Assumptions'!$C$6*(1-'Vessel Assumptions'!$C$8))*'Vessel 2026 P&amp;L'!$AB$13/SUM('Vessel 2026 P&amp;L'!$AB$10:$AB$13)</f>
        <v>417.308828620053</v>
      </c>
      <c r="X16" s="34" t="n">
        <f aca="false">IFERROR(W16/W$20,0)</f>
        <v>0.0143031738671171</v>
      </c>
      <c r="Y16" s="24" t="n">
        <f aca="false">(Y9*'Vessel Assumptions'!$C$6*(1-'Vessel Assumptions'!$C$8))*'Vessel 2026 P&amp;L'!$AB$13/SUM('Vessel 2026 P&amp;L'!$AB$10:$AB$13)</f>
        <v>417.308828620053</v>
      </c>
      <c r="Z16" s="34" t="n">
        <f aca="false">IFERROR(Y16/Y$20,0)</f>
        <v>0.0143031738671171</v>
      </c>
      <c r="AB16" s="24" t="n">
        <f aca="false">SUM(C16,E16,G16,I16,K16,M16,O16,Q16,S16,U16,W16,Y16)</f>
        <v>5007.70594344064</v>
      </c>
      <c r="AC16" s="34" t="n">
        <f aca="false">IFERROR(AB16/AB$20,0)</f>
        <v>0.0143031738671171</v>
      </c>
    </row>
    <row r="17" customFormat="false" ht="15" hidden="false" customHeight="true" outlineLevel="0" collapsed="false">
      <c r="A17" s="5" t="s">
        <v>184</v>
      </c>
      <c r="C17" s="24" t="n">
        <v>0</v>
      </c>
      <c r="D17" s="34" t="n">
        <f aca="false">IFERROR(C17/C$20,0)</f>
        <v>0</v>
      </c>
      <c r="E17" s="24" t="n">
        <v>0</v>
      </c>
      <c r="F17" s="34" t="n">
        <f aca="false">IFERROR(E17/E$20,0)</f>
        <v>0</v>
      </c>
      <c r="G17" s="24" t="n">
        <v>0</v>
      </c>
      <c r="H17" s="34" t="n">
        <f aca="false">IFERROR(G17/G$20,0)</f>
        <v>0</v>
      </c>
      <c r="I17" s="24" t="n">
        <v>0</v>
      </c>
      <c r="J17" s="34" t="n">
        <f aca="false">IFERROR(I17/I$20,0)</f>
        <v>0</v>
      </c>
      <c r="K17" s="24" t="n">
        <v>0</v>
      </c>
      <c r="L17" s="34" t="n">
        <f aca="false">IFERROR(K17/K$20,0)</f>
        <v>0</v>
      </c>
      <c r="M17" s="24" t="n">
        <v>0</v>
      </c>
      <c r="N17" s="34" t="n">
        <f aca="false">IFERROR(M17/M$20,0)</f>
        <v>0</v>
      </c>
      <c r="O17" s="24" t="n">
        <v>0</v>
      </c>
      <c r="P17" s="34" t="n">
        <f aca="false">IFERROR(O17/O$20,0)</f>
        <v>0</v>
      </c>
      <c r="Q17" s="24" t="n">
        <v>0</v>
      </c>
      <c r="R17" s="34" t="n">
        <f aca="false">IFERROR(Q17/Q$20,0)</f>
        <v>0</v>
      </c>
      <c r="S17" s="24" t="n">
        <v>0</v>
      </c>
      <c r="T17" s="34" t="n">
        <f aca="false">IFERROR(S17/S$20,0)</f>
        <v>0</v>
      </c>
      <c r="U17" s="24" t="n">
        <v>0</v>
      </c>
      <c r="V17" s="34" t="n">
        <f aca="false">IFERROR(U17/U$20,0)</f>
        <v>0</v>
      </c>
      <c r="W17" s="24" t="n">
        <v>0</v>
      </c>
      <c r="X17" s="34" t="n">
        <f aca="false">IFERROR(W17/W$20,0)</f>
        <v>0</v>
      </c>
      <c r="Y17" s="24" t="n">
        <v>0</v>
      </c>
      <c r="Z17" s="34" t="n">
        <f aca="false">IFERROR(Y17/Y$20,0)</f>
        <v>0</v>
      </c>
      <c r="AB17" s="24" t="n">
        <f aca="false">SUM(C17,E17,G17,I17,K17,M17,O17,Q17,S17,U17,W17,Y17)</f>
        <v>0</v>
      </c>
      <c r="AC17" s="34" t="n">
        <f aca="false">IFERROR(AB17/AB$20,0)</f>
        <v>0</v>
      </c>
    </row>
    <row r="18" customFormat="false" ht="15" hidden="false" customHeight="true" outlineLevel="0" collapsed="false">
      <c r="A18" s="5" t="s">
        <v>327</v>
      </c>
      <c r="C18" s="24" t="n">
        <f aca="false">C9*'Vessel Assumptions'!$C$6*'Vessel Assumptions'!$C$9+SUM(C12:C16)*'Vessel Assumptions'!$C$32</f>
        <v>8620.17</v>
      </c>
      <c r="D18" s="34" t="n">
        <f aca="false">IFERROR(C18/C$20,0)</f>
        <v>0.2</v>
      </c>
      <c r="E18" s="24" t="n">
        <f aca="false">E9*'Vessel Assumptions'!$C$6*'Vessel Assumptions'!$C$9+SUM(E12:E16)*'Vessel Assumptions'!$C$32</f>
        <v>2652.36</v>
      </c>
      <c r="F18" s="34" t="n">
        <f aca="false">IFERROR(E18/E$20,0)</f>
        <v>0.2</v>
      </c>
      <c r="G18" s="24" t="n">
        <f aca="false">G9*'Vessel Assumptions'!$C$6*'Vessel Assumptions'!$C$9+SUM(G12:G16)*'Vessel Assumptions'!$C$32</f>
        <v>8620.17</v>
      </c>
      <c r="H18" s="34" t="n">
        <f aca="false">IFERROR(G18/G$20,0)</f>
        <v>0.2</v>
      </c>
      <c r="I18" s="24" t="n">
        <f aca="false">I9*'Vessel Assumptions'!$C$6*'Vessel Assumptions'!$C$9+SUM(I12:I16)*'Vessel Assumptions'!$C$32</f>
        <v>2652.36</v>
      </c>
      <c r="J18" s="34" t="n">
        <f aca="false">IFERROR(I18/I$20,0)</f>
        <v>0.2</v>
      </c>
      <c r="K18" s="24" t="n">
        <f aca="false">K9*'Vessel Assumptions'!$C$6*'Vessel Assumptions'!$C$9+SUM(K12:K16)*'Vessel Assumptions'!$C$32</f>
        <v>6630.9</v>
      </c>
      <c r="L18" s="34" t="n">
        <f aca="false">IFERROR(K18/K$20,0)</f>
        <v>0.2</v>
      </c>
      <c r="M18" s="24" t="n">
        <f aca="false">M9*'Vessel Assumptions'!$C$6*'Vessel Assumptions'!$C$9+SUM(M12:M16)*'Vessel Assumptions'!$C$32</f>
        <v>5835.192</v>
      </c>
      <c r="N18" s="34" t="n">
        <f aca="false">IFERROR(M18/M$20,0)</f>
        <v>0.2</v>
      </c>
      <c r="O18" s="24" t="n">
        <f aca="false">O9*'Vessel Assumptions'!$C$6*'Vessel Assumptions'!$C$9+SUM(O12:O16)*'Vessel Assumptions'!$C$32</f>
        <v>5835.192</v>
      </c>
      <c r="P18" s="34" t="n">
        <f aca="false">IFERROR(O18/O$20,0)</f>
        <v>0.2</v>
      </c>
      <c r="Q18" s="24" t="n">
        <f aca="false">Q9*'Vessel Assumptions'!$C$6*'Vessel Assumptions'!$C$9+SUM(Q12:Q16)*'Vessel Assumptions'!$C$32</f>
        <v>5835.192</v>
      </c>
      <c r="R18" s="34" t="n">
        <f aca="false">IFERROR(Q18/Q$20,0)</f>
        <v>0.2</v>
      </c>
      <c r="S18" s="24" t="n">
        <f aca="false">S9*'Vessel Assumptions'!$C$6*'Vessel Assumptions'!$C$9+SUM(S12:S16)*'Vessel Assumptions'!$C$32</f>
        <v>5835.192</v>
      </c>
      <c r="T18" s="34" t="n">
        <f aca="false">IFERROR(S18/S$20,0)</f>
        <v>0.2</v>
      </c>
      <c r="U18" s="24" t="n">
        <f aca="false">U9*'Vessel Assumptions'!$C$6*'Vessel Assumptions'!$C$9+SUM(U12:U16)*'Vessel Assumptions'!$C$32</f>
        <v>5835.192</v>
      </c>
      <c r="V18" s="34" t="n">
        <f aca="false">IFERROR(U18/U$20,0)</f>
        <v>0.2</v>
      </c>
      <c r="W18" s="24" t="n">
        <f aca="false">W9*'Vessel Assumptions'!$C$6*'Vessel Assumptions'!$C$9+SUM(W12:W16)*'Vessel Assumptions'!$C$32</f>
        <v>5835.192</v>
      </c>
      <c r="X18" s="34" t="n">
        <f aca="false">IFERROR(W18/W$20,0)</f>
        <v>0.2</v>
      </c>
      <c r="Y18" s="24" t="n">
        <f aca="false">Y9*'Vessel Assumptions'!$C$6*'Vessel Assumptions'!$C$9+SUM(Y12:Y16)*'Vessel Assumptions'!$C$32</f>
        <v>5835.192</v>
      </c>
      <c r="Z18" s="34" t="n">
        <f aca="false">IFERROR(Y18/Y$20,0)</f>
        <v>0.2</v>
      </c>
      <c r="AB18" s="24" t="n">
        <f aca="false">SUM(C18,E18,G18,I18,K18,M18,O18,Q18,S18,U18,W18,Y18)</f>
        <v>70022.304</v>
      </c>
      <c r="AC18" s="34" t="n">
        <f aca="false">IFERROR(AB18/AB$20,0)</f>
        <v>0.2</v>
      </c>
    </row>
    <row r="19" customFormat="false" ht="15" hidden="false" customHeight="true" outlineLevel="0" collapsed="false">
      <c r="A19" s="5" t="s">
        <v>186</v>
      </c>
      <c r="C19" s="24" t="n">
        <v>0</v>
      </c>
      <c r="D19" s="34" t="n">
        <f aca="false">IFERROR(C19/C$20,0)</f>
        <v>0</v>
      </c>
      <c r="E19" s="24" t="n">
        <v>0</v>
      </c>
      <c r="F19" s="34" t="n">
        <f aca="false">IFERROR(E19/E$20,0)</f>
        <v>0</v>
      </c>
      <c r="G19" s="24" t="n">
        <v>0</v>
      </c>
      <c r="H19" s="34" t="n">
        <f aca="false">IFERROR(G19/G$20,0)</f>
        <v>0</v>
      </c>
      <c r="I19" s="24" t="n">
        <v>0</v>
      </c>
      <c r="J19" s="34" t="n">
        <f aca="false">IFERROR(I19/I$20,0)</f>
        <v>0</v>
      </c>
      <c r="K19" s="24" t="n">
        <v>0</v>
      </c>
      <c r="L19" s="34" t="n">
        <f aca="false">IFERROR(K19/K$20,0)</f>
        <v>0</v>
      </c>
      <c r="M19" s="24" t="n">
        <v>0</v>
      </c>
      <c r="N19" s="34" t="n">
        <f aca="false">IFERROR(M19/M$20,0)</f>
        <v>0</v>
      </c>
      <c r="O19" s="24" t="n">
        <v>0</v>
      </c>
      <c r="P19" s="34" t="n">
        <f aca="false">IFERROR(O19/O$20,0)</f>
        <v>0</v>
      </c>
      <c r="Q19" s="24" t="n">
        <v>0</v>
      </c>
      <c r="R19" s="34" t="n">
        <f aca="false">IFERROR(Q19/Q$20,0)</f>
        <v>0</v>
      </c>
      <c r="S19" s="24" t="n">
        <v>0</v>
      </c>
      <c r="T19" s="34" t="n">
        <f aca="false">IFERROR(S19/S$20,0)</f>
        <v>0</v>
      </c>
      <c r="U19" s="24" t="n">
        <v>0</v>
      </c>
      <c r="V19" s="34" t="n">
        <f aca="false">IFERROR(U19/U$20,0)</f>
        <v>0</v>
      </c>
      <c r="W19" s="24" t="n">
        <v>0</v>
      </c>
      <c r="X19" s="34" t="n">
        <f aca="false">IFERROR(W19/W$20,0)</f>
        <v>0</v>
      </c>
      <c r="Y19" s="24" t="n">
        <v>0</v>
      </c>
      <c r="Z19" s="34" t="n">
        <f aca="false">IFERROR(Y19/Y$20,0)</f>
        <v>0</v>
      </c>
      <c r="AB19" s="24" t="n">
        <f aca="false">SUM(C19,E19,G19,I19,K19,M19,O19,Q19,S19,U19,W19,Y19)</f>
        <v>0</v>
      </c>
      <c r="AC19" s="34" t="n">
        <f aca="false">IFERROR(AB19/AB$20,0)</f>
        <v>0</v>
      </c>
    </row>
    <row r="20" customFormat="false" ht="15" hidden="false" customHeight="true" outlineLevel="0" collapsed="false">
      <c r="A20" s="6" t="s">
        <v>138</v>
      </c>
      <c r="C20" s="27" t="n">
        <f aca="false">SUM(C12:C19)</f>
        <v>43100.85</v>
      </c>
      <c r="D20" s="35" t="n">
        <f aca="false">IFERROR(C20/C$20,0)</f>
        <v>1</v>
      </c>
      <c r="E20" s="27" t="n">
        <f aca="false">SUM(E12:E19)</f>
        <v>13261.8</v>
      </c>
      <c r="F20" s="35" t="n">
        <f aca="false">IFERROR(E20/E$20,0)</f>
        <v>1</v>
      </c>
      <c r="G20" s="27" t="n">
        <f aca="false">SUM(G12:G19)</f>
        <v>43100.85</v>
      </c>
      <c r="H20" s="35" t="n">
        <f aca="false">IFERROR(G20/G$20,0)</f>
        <v>1</v>
      </c>
      <c r="I20" s="27" t="n">
        <f aca="false">SUM(I12:I19)</f>
        <v>13261.8</v>
      </c>
      <c r="J20" s="35" t="n">
        <f aca="false">IFERROR(I20/I$20,0)</f>
        <v>1</v>
      </c>
      <c r="K20" s="27" t="n">
        <f aca="false">SUM(K12:K19)</f>
        <v>33154.5</v>
      </c>
      <c r="L20" s="35" t="n">
        <f aca="false">IFERROR(K20/K$20,0)</f>
        <v>1</v>
      </c>
      <c r="M20" s="27" t="n">
        <f aca="false">SUM(M12:M19)</f>
        <v>29175.96</v>
      </c>
      <c r="N20" s="35" t="n">
        <f aca="false">IFERROR(M20/M$20,0)</f>
        <v>1</v>
      </c>
      <c r="O20" s="27" t="n">
        <f aca="false">SUM(O12:O19)</f>
        <v>29175.96</v>
      </c>
      <c r="P20" s="35" t="n">
        <f aca="false">IFERROR(O20/O$20,0)</f>
        <v>1</v>
      </c>
      <c r="Q20" s="27" t="n">
        <f aca="false">SUM(Q12:Q19)</f>
        <v>29175.96</v>
      </c>
      <c r="R20" s="35" t="n">
        <f aca="false">IFERROR(Q20/Q$20,0)</f>
        <v>1</v>
      </c>
      <c r="S20" s="27" t="n">
        <f aca="false">SUM(S12:S19)</f>
        <v>29175.96</v>
      </c>
      <c r="T20" s="35" t="n">
        <f aca="false">IFERROR(S20/S$20,0)</f>
        <v>1</v>
      </c>
      <c r="U20" s="27" t="n">
        <f aca="false">SUM(U12:U19)</f>
        <v>29175.96</v>
      </c>
      <c r="V20" s="35" t="n">
        <f aca="false">IFERROR(U20/U$20,0)</f>
        <v>1</v>
      </c>
      <c r="W20" s="27" t="n">
        <f aca="false">SUM(W12:W19)</f>
        <v>29175.96</v>
      </c>
      <c r="X20" s="35" t="n">
        <f aca="false">IFERROR(W20/W$20,0)</f>
        <v>1</v>
      </c>
      <c r="Y20" s="27" t="n">
        <f aca="false">SUM(Y12:Y19)</f>
        <v>29175.96</v>
      </c>
      <c r="Z20" s="35" t="n">
        <f aca="false">IFERROR(Y20/Y$20,0)</f>
        <v>1</v>
      </c>
      <c r="AB20" s="27" t="n">
        <f aca="false">SUM(AB12:AB19)</f>
        <v>350111.52</v>
      </c>
      <c r="AC20" s="35" t="n">
        <f aca="false">IFERROR(AB20/AB$20,0)</f>
        <v>1</v>
      </c>
    </row>
    <row r="22" customFormat="false" ht="15" hidden="false" customHeight="true" outlineLevel="0" collapsed="false">
      <c r="A22" s="6" t="s">
        <v>187</v>
      </c>
    </row>
    <row r="23" customFormat="false" ht="15" hidden="false" customHeight="true" outlineLevel="0" collapsed="false">
      <c r="A23" s="5" t="s">
        <v>188</v>
      </c>
      <c r="C23" s="24" t="n">
        <f aca="false">C12*'Vessel Assumptions'!$C$12</f>
        <v>14830.4</v>
      </c>
      <c r="D23" s="34" t="n">
        <f aca="false">IFERROR(C23/C$12,0)</f>
        <v>0.555555555555556</v>
      </c>
      <c r="E23" s="24" t="n">
        <f aca="false">E12*'Vessel Assumptions'!$C$12</f>
        <v>4563.2</v>
      </c>
      <c r="F23" s="34" t="n">
        <f aca="false">IFERROR(E23/E$12,0)</f>
        <v>0.555555555555556</v>
      </c>
      <c r="G23" s="24" t="n">
        <f aca="false">G12*'Vessel Assumptions'!$C$12</f>
        <v>14830.4</v>
      </c>
      <c r="H23" s="34" t="n">
        <f aca="false">IFERROR(G23/G$12,0)</f>
        <v>0.555555555555556</v>
      </c>
      <c r="I23" s="24" t="n">
        <f aca="false">I12*'Vessel Assumptions'!$C$12</f>
        <v>4563.2</v>
      </c>
      <c r="J23" s="34" t="n">
        <f aca="false">IFERROR(I23/I$12,0)</f>
        <v>0.555555555555556</v>
      </c>
      <c r="K23" s="24" t="n">
        <f aca="false">K12*'Vessel Assumptions'!$C$12</f>
        <v>11408</v>
      </c>
      <c r="L23" s="34" t="n">
        <f aca="false">IFERROR(K23/K$12,0)</f>
        <v>0.555555555555556</v>
      </c>
      <c r="M23" s="24" t="n">
        <f aca="false">M12*'Vessel Assumptions'!$C$12</f>
        <v>10039.04</v>
      </c>
      <c r="N23" s="34" t="n">
        <f aca="false">IFERROR(M23/M$12,0)</f>
        <v>0.555555555555556</v>
      </c>
      <c r="O23" s="24" t="n">
        <f aca="false">O12*'Vessel Assumptions'!$C$12</f>
        <v>10039.04</v>
      </c>
      <c r="P23" s="34" t="n">
        <f aca="false">IFERROR(O23/O$12,0)</f>
        <v>0.555555555555556</v>
      </c>
      <c r="Q23" s="24" t="n">
        <f aca="false">Q12*'Vessel Assumptions'!$C$12</f>
        <v>10039.04</v>
      </c>
      <c r="R23" s="34" t="n">
        <f aca="false">IFERROR(Q23/Q$12,0)</f>
        <v>0.555555555555556</v>
      </c>
      <c r="S23" s="24" t="n">
        <f aca="false">S12*'Vessel Assumptions'!$C$12</f>
        <v>10039.04</v>
      </c>
      <c r="T23" s="34" t="n">
        <f aca="false">IFERROR(S23/S$12,0)</f>
        <v>0.555555555555556</v>
      </c>
      <c r="U23" s="24" t="n">
        <f aca="false">U12*'Vessel Assumptions'!$C$12</f>
        <v>10039.04</v>
      </c>
      <c r="V23" s="34" t="n">
        <f aca="false">IFERROR(U23/U$12,0)</f>
        <v>0.555555555555556</v>
      </c>
      <c r="W23" s="24" t="n">
        <f aca="false">W12*'Vessel Assumptions'!$C$12</f>
        <v>10039.04</v>
      </c>
      <c r="X23" s="34" t="n">
        <f aca="false">IFERROR(W23/W$12,0)</f>
        <v>0.555555555555556</v>
      </c>
      <c r="Y23" s="24" t="n">
        <f aca="false">Y12*'Vessel Assumptions'!$C$12</f>
        <v>10039.04</v>
      </c>
      <c r="Z23" s="34" t="n">
        <f aca="false">IFERROR(Y23/Y$12,0)</f>
        <v>0.555555555555556</v>
      </c>
      <c r="AB23" s="24" t="n">
        <f aca="false">SUM(C23,E23,G23,I23,K23,M23,O23,Q23,S23,U23,W23,Y23)</f>
        <v>120468.48</v>
      </c>
      <c r="AC23" s="34" t="n">
        <f aca="false">IFERROR(AB23/AB$12,0)</f>
        <v>0.555555555555556</v>
      </c>
    </row>
    <row r="24" customFormat="false" ht="15" hidden="false" customHeight="true" outlineLevel="0" collapsed="false">
      <c r="A24" s="5" t="s">
        <v>189</v>
      </c>
      <c r="C24" s="24" t="n">
        <f aca="false">C13*'Vessel Assumptions'!$C$13</f>
        <v>653.223352283014</v>
      </c>
      <c r="D24" s="34" t="n">
        <f aca="false">IFERROR(C24/C$13,0)</f>
        <v>0.25</v>
      </c>
      <c r="E24" s="24" t="n">
        <f aca="false">E13*'Vessel Assumptions'!$C$13</f>
        <v>200.991800702466</v>
      </c>
      <c r="F24" s="34" t="n">
        <f aca="false">IFERROR(E24/E$13,0)</f>
        <v>0.25</v>
      </c>
      <c r="G24" s="24" t="n">
        <f aca="false">G13*'Vessel Assumptions'!$C$13</f>
        <v>653.223352283014</v>
      </c>
      <c r="H24" s="34" t="n">
        <f aca="false">IFERROR(G24/G$13,0)</f>
        <v>0.25</v>
      </c>
      <c r="I24" s="24" t="n">
        <f aca="false">I13*'Vessel Assumptions'!$C$13</f>
        <v>200.991800702466</v>
      </c>
      <c r="J24" s="34" t="n">
        <f aca="false">IFERROR(I24/I$13,0)</f>
        <v>0.25</v>
      </c>
      <c r="K24" s="24" t="n">
        <f aca="false">K13*'Vessel Assumptions'!$C$13</f>
        <v>502.479501756165</v>
      </c>
      <c r="L24" s="34" t="n">
        <f aca="false">IFERROR(K24/K$13,0)</f>
        <v>0.25</v>
      </c>
      <c r="M24" s="24" t="n">
        <f aca="false">M13*'Vessel Assumptions'!$C$13</f>
        <v>442.181961545425</v>
      </c>
      <c r="N24" s="34" t="n">
        <f aca="false">IFERROR(M24/M$13,0)</f>
        <v>0.25</v>
      </c>
      <c r="O24" s="24" t="n">
        <f aca="false">O13*'Vessel Assumptions'!$C$13</f>
        <v>442.181961545425</v>
      </c>
      <c r="P24" s="34" t="n">
        <f aca="false">IFERROR(O24/O$13,0)</f>
        <v>0.25</v>
      </c>
      <c r="Q24" s="24" t="n">
        <f aca="false">Q13*'Vessel Assumptions'!$C$13</f>
        <v>442.181961545425</v>
      </c>
      <c r="R24" s="34" t="n">
        <f aca="false">IFERROR(Q24/Q$13,0)</f>
        <v>0.25</v>
      </c>
      <c r="S24" s="24" t="n">
        <f aca="false">S13*'Vessel Assumptions'!$C$13</f>
        <v>442.181961545425</v>
      </c>
      <c r="T24" s="34" t="n">
        <f aca="false">IFERROR(S24/S$13,0)</f>
        <v>0.25</v>
      </c>
      <c r="U24" s="24" t="n">
        <f aca="false">U13*'Vessel Assumptions'!$C$13</f>
        <v>442.181961545425</v>
      </c>
      <c r="V24" s="34" t="n">
        <f aca="false">IFERROR(U24/U$13,0)</f>
        <v>0.25</v>
      </c>
      <c r="W24" s="24" t="n">
        <f aca="false">W13*'Vessel Assumptions'!$C$13</f>
        <v>442.181961545425</v>
      </c>
      <c r="X24" s="34" t="n">
        <f aca="false">IFERROR(W24/W$13,0)</f>
        <v>0.25</v>
      </c>
      <c r="Y24" s="24" t="n">
        <f aca="false">Y13*'Vessel Assumptions'!$C$13</f>
        <v>442.181961545425</v>
      </c>
      <c r="Z24" s="34" t="n">
        <f aca="false">IFERROR(Y24/Y$13,0)</f>
        <v>0.25</v>
      </c>
      <c r="AB24" s="24" t="n">
        <f aca="false">SUM(C24,E24,G24,I24,K24,M24,O24,Q24,S24,U24,W24,Y24)</f>
        <v>5306.1835385451</v>
      </c>
      <c r="AC24" s="34" t="n">
        <f aca="false">IFERROR(AB24/AB$13,0)</f>
        <v>0.25</v>
      </c>
    </row>
    <row r="25" customFormat="false" ht="15" hidden="false" customHeight="true" outlineLevel="0" collapsed="false">
      <c r="A25" s="5" t="s">
        <v>190</v>
      </c>
      <c r="C25" s="24" t="n">
        <f aca="false">C14*'Vessel Assumptions'!$C$13</f>
        <v>1098.64349096571</v>
      </c>
      <c r="D25" s="34" t="n">
        <f aca="false">IFERROR(C25/C$14,0)</f>
        <v>0.25</v>
      </c>
      <c r="E25" s="24" t="n">
        <f aca="false">E14*'Vessel Assumptions'!$C$13</f>
        <v>338.044151066372</v>
      </c>
      <c r="F25" s="34" t="n">
        <f aca="false">IFERROR(E25/E$14,0)</f>
        <v>0.25</v>
      </c>
      <c r="G25" s="24" t="n">
        <f aca="false">G14*'Vessel Assumptions'!$C$13</f>
        <v>1098.64349096571</v>
      </c>
      <c r="H25" s="34" t="n">
        <f aca="false">IFERROR(G25/G$14,0)</f>
        <v>0.25</v>
      </c>
      <c r="I25" s="24" t="n">
        <f aca="false">I14*'Vessel Assumptions'!$C$13</f>
        <v>338.044151066372</v>
      </c>
      <c r="J25" s="34" t="n">
        <f aca="false">IFERROR(I25/I$14,0)</f>
        <v>0.25</v>
      </c>
      <c r="K25" s="24" t="n">
        <f aca="false">K14*'Vessel Assumptions'!$C$13</f>
        <v>845.11037766593</v>
      </c>
      <c r="L25" s="34" t="n">
        <f aca="false">IFERROR(K25/K$14,0)</f>
        <v>0.25</v>
      </c>
      <c r="M25" s="24" t="n">
        <f aca="false">M14*'Vessel Assumptions'!$C$13</f>
        <v>743.697132346019</v>
      </c>
      <c r="N25" s="34" t="n">
        <f aca="false">IFERROR(M25/M$14,0)</f>
        <v>0.25</v>
      </c>
      <c r="O25" s="24" t="n">
        <f aca="false">O14*'Vessel Assumptions'!$C$13</f>
        <v>743.697132346019</v>
      </c>
      <c r="P25" s="34" t="n">
        <f aca="false">IFERROR(O25/O$14,0)</f>
        <v>0.25</v>
      </c>
      <c r="Q25" s="24" t="n">
        <f aca="false">Q14*'Vessel Assumptions'!$C$13</f>
        <v>743.697132346019</v>
      </c>
      <c r="R25" s="34" t="n">
        <f aca="false">IFERROR(Q25/Q$14,0)</f>
        <v>0.25</v>
      </c>
      <c r="S25" s="24" t="n">
        <f aca="false">S14*'Vessel Assumptions'!$C$13</f>
        <v>743.697132346019</v>
      </c>
      <c r="T25" s="34" t="n">
        <f aca="false">IFERROR(S25/S$14,0)</f>
        <v>0.25</v>
      </c>
      <c r="U25" s="24" t="n">
        <f aca="false">U14*'Vessel Assumptions'!$C$13</f>
        <v>743.697132346019</v>
      </c>
      <c r="V25" s="34" t="n">
        <f aca="false">IFERROR(U25/U$14,0)</f>
        <v>0.25</v>
      </c>
      <c r="W25" s="24" t="n">
        <f aca="false">W14*'Vessel Assumptions'!$C$13</f>
        <v>743.697132346019</v>
      </c>
      <c r="X25" s="34" t="n">
        <f aca="false">IFERROR(W25/W$14,0)</f>
        <v>0.25</v>
      </c>
      <c r="Y25" s="24" t="n">
        <f aca="false">Y14*'Vessel Assumptions'!$C$13</f>
        <v>743.697132346019</v>
      </c>
      <c r="Z25" s="34" t="n">
        <f aca="false">IFERROR(Y25/Y$14,0)</f>
        <v>0.25</v>
      </c>
      <c r="AB25" s="24" t="n">
        <f aca="false">SUM(C25,E25,G25,I25,K25,M25,O25,Q25,S25,U25,W25,Y25)</f>
        <v>8924.36558815223</v>
      </c>
      <c r="AC25" s="34" t="n">
        <f aca="false">IFERROR(AB25/AB$14,0)</f>
        <v>0.25</v>
      </c>
    </row>
    <row r="26" customFormat="false" ht="15" hidden="false" customHeight="true" outlineLevel="0" collapsed="false">
      <c r="A26" s="5" t="s">
        <v>191</v>
      </c>
      <c r="C26" s="24" t="n">
        <f aca="false">C15*'Vessel Assumptions'!$C$13</f>
        <v>40.5034189086432</v>
      </c>
      <c r="D26" s="34" t="n">
        <f aca="false">IFERROR(C26/C$15,0)</f>
        <v>0.25</v>
      </c>
      <c r="E26" s="24" t="n">
        <f aca="false">E15*'Vessel Assumptions'!$C$13</f>
        <v>12.4625904334287</v>
      </c>
      <c r="F26" s="34" t="n">
        <f aca="false">IFERROR(E26/E$15,0)</f>
        <v>0.25</v>
      </c>
      <c r="G26" s="24" t="n">
        <f aca="false">G15*'Vessel Assumptions'!$C$13</f>
        <v>40.5034189086432</v>
      </c>
      <c r="H26" s="34" t="n">
        <f aca="false">IFERROR(G26/G$15,0)</f>
        <v>0.25</v>
      </c>
      <c r="I26" s="24" t="n">
        <f aca="false">I15*'Vessel Assumptions'!$C$13</f>
        <v>12.4625904334287</v>
      </c>
      <c r="J26" s="34" t="n">
        <f aca="false">IFERROR(I26/I$15,0)</f>
        <v>0.25</v>
      </c>
      <c r="K26" s="24" t="n">
        <f aca="false">K15*'Vessel Assumptions'!$C$13</f>
        <v>31.1564760835717</v>
      </c>
      <c r="L26" s="34" t="n">
        <f aca="false">IFERROR(K26/K$15,0)</f>
        <v>0.25</v>
      </c>
      <c r="M26" s="24" t="n">
        <f aca="false">M15*'Vessel Assumptions'!$C$13</f>
        <v>27.4176989535431</v>
      </c>
      <c r="N26" s="34" t="n">
        <f aca="false">IFERROR(M26/M$15,0)</f>
        <v>0.25</v>
      </c>
      <c r="O26" s="24" t="n">
        <f aca="false">O15*'Vessel Assumptions'!$C$13</f>
        <v>27.4176989535431</v>
      </c>
      <c r="P26" s="34" t="n">
        <f aca="false">IFERROR(O26/O$15,0)</f>
        <v>0.25</v>
      </c>
      <c r="Q26" s="24" t="n">
        <f aca="false">Q15*'Vessel Assumptions'!$C$13</f>
        <v>27.4176989535431</v>
      </c>
      <c r="R26" s="34" t="n">
        <f aca="false">IFERROR(Q26/Q$15,0)</f>
        <v>0.25</v>
      </c>
      <c r="S26" s="24" t="n">
        <f aca="false">S15*'Vessel Assumptions'!$C$13</f>
        <v>27.4176989535431</v>
      </c>
      <c r="T26" s="34" t="n">
        <f aca="false">IFERROR(S26/S$15,0)</f>
        <v>0.25</v>
      </c>
      <c r="U26" s="24" t="n">
        <f aca="false">U15*'Vessel Assumptions'!$C$13</f>
        <v>27.4176989535431</v>
      </c>
      <c r="V26" s="34" t="n">
        <f aca="false">IFERROR(U26/U$15,0)</f>
        <v>0.25</v>
      </c>
      <c r="W26" s="24" t="n">
        <f aca="false">W15*'Vessel Assumptions'!$C$13</f>
        <v>27.4176989535431</v>
      </c>
      <c r="X26" s="34" t="n">
        <f aca="false">IFERROR(W26/W$15,0)</f>
        <v>0.25</v>
      </c>
      <c r="Y26" s="24" t="n">
        <f aca="false">Y15*'Vessel Assumptions'!$C$13</f>
        <v>27.4176989535431</v>
      </c>
      <c r="Z26" s="34" t="n">
        <f aca="false">IFERROR(Y26/Y$15,0)</f>
        <v>0.25</v>
      </c>
      <c r="AB26" s="24" t="n">
        <f aca="false">SUM(C26,E26,G26,I26,K26,M26,O26,Q26,S26,U26,W26,Y26)</f>
        <v>329.012387442517</v>
      </c>
      <c r="AC26" s="34" t="n">
        <f aca="false">IFERROR(AB26/AB$15,0)</f>
        <v>0.25</v>
      </c>
    </row>
    <row r="27" customFormat="false" ht="15" hidden="false" customHeight="true" outlineLevel="0" collapsed="false">
      <c r="A27" s="5" t="s">
        <v>192</v>
      </c>
      <c r="C27" s="24" t="n">
        <f aca="false">C16*'Vessel Assumptions'!$C$13</f>
        <v>154.119737842633</v>
      </c>
      <c r="D27" s="34" t="n">
        <f aca="false">IFERROR(C27/C$16,0)</f>
        <v>0.25</v>
      </c>
      <c r="E27" s="24" t="n">
        <f aca="false">E16*'Vessel Assumptions'!$C$13</f>
        <v>47.4214577977333</v>
      </c>
      <c r="F27" s="34" t="n">
        <f aca="false">IFERROR(E27/E$16,0)</f>
        <v>0.25</v>
      </c>
      <c r="G27" s="24" t="n">
        <f aca="false">G16*'Vessel Assumptions'!$C$13</f>
        <v>154.119737842633</v>
      </c>
      <c r="H27" s="34" t="n">
        <f aca="false">IFERROR(G27/G$16,0)</f>
        <v>0.25</v>
      </c>
      <c r="I27" s="24" t="n">
        <f aca="false">I16*'Vessel Assumptions'!$C$13</f>
        <v>47.4214577977333</v>
      </c>
      <c r="J27" s="34" t="n">
        <f aca="false">IFERROR(I27/I$16,0)</f>
        <v>0.25</v>
      </c>
      <c r="K27" s="24" t="n">
        <f aca="false">K16*'Vessel Assumptions'!$C$13</f>
        <v>118.553644494333</v>
      </c>
      <c r="L27" s="34" t="n">
        <f aca="false">IFERROR(K27/K$16,0)</f>
        <v>0.25</v>
      </c>
      <c r="M27" s="24" t="n">
        <f aca="false">M16*'Vessel Assumptions'!$C$13</f>
        <v>104.327207155013</v>
      </c>
      <c r="N27" s="34" t="n">
        <f aca="false">IFERROR(M27/M$16,0)</f>
        <v>0.25</v>
      </c>
      <c r="O27" s="24" t="n">
        <f aca="false">O16*'Vessel Assumptions'!$C$13</f>
        <v>104.327207155013</v>
      </c>
      <c r="P27" s="34" t="n">
        <f aca="false">IFERROR(O27/O$16,0)</f>
        <v>0.25</v>
      </c>
      <c r="Q27" s="24" t="n">
        <f aca="false">Q16*'Vessel Assumptions'!$C$13</f>
        <v>104.327207155013</v>
      </c>
      <c r="R27" s="34" t="n">
        <f aca="false">IFERROR(Q27/Q$16,0)</f>
        <v>0.25</v>
      </c>
      <c r="S27" s="24" t="n">
        <f aca="false">S16*'Vessel Assumptions'!$C$13</f>
        <v>104.327207155013</v>
      </c>
      <c r="T27" s="34" t="n">
        <f aca="false">IFERROR(S27/S$16,0)</f>
        <v>0.25</v>
      </c>
      <c r="U27" s="24" t="n">
        <f aca="false">U16*'Vessel Assumptions'!$C$13</f>
        <v>104.327207155013</v>
      </c>
      <c r="V27" s="34" t="n">
        <f aca="false">IFERROR(U27/U$16,0)</f>
        <v>0.25</v>
      </c>
      <c r="W27" s="24" t="n">
        <f aca="false">W16*'Vessel Assumptions'!$C$13</f>
        <v>104.327207155013</v>
      </c>
      <c r="X27" s="34" t="n">
        <f aca="false">IFERROR(W27/W$16,0)</f>
        <v>0.25</v>
      </c>
      <c r="Y27" s="24" t="n">
        <f aca="false">Y16*'Vessel Assumptions'!$C$13</f>
        <v>104.327207155013</v>
      </c>
      <c r="Z27" s="34" t="n">
        <f aca="false">IFERROR(Y27/Y$16,0)</f>
        <v>0.25</v>
      </c>
      <c r="AB27" s="24" t="n">
        <f aca="false">SUM(C27,E27,G27,I27,K27,M27,O27,Q27,S27,U27,W27,Y27)</f>
        <v>1251.92648586016</v>
      </c>
      <c r="AC27" s="34" t="n">
        <f aca="false">IFERROR(AB27/AB$16,0)</f>
        <v>0.25</v>
      </c>
    </row>
    <row r="28" customFormat="false" ht="15" hidden="false" customHeight="true" outlineLevel="0" collapsed="false">
      <c r="A28" s="5" t="s">
        <v>193</v>
      </c>
      <c r="C28" s="24" t="n">
        <v>0</v>
      </c>
      <c r="D28" s="34" t="n">
        <f aca="false">IFERROR(C28/C$17,0)</f>
        <v>0</v>
      </c>
      <c r="E28" s="24" t="n">
        <v>0</v>
      </c>
      <c r="F28" s="34" t="n">
        <f aca="false">IFERROR(E28/E$17,0)</f>
        <v>0</v>
      </c>
      <c r="G28" s="24" t="n">
        <v>0</v>
      </c>
      <c r="H28" s="34" t="n">
        <f aca="false">IFERROR(G28/G$17,0)</f>
        <v>0</v>
      </c>
      <c r="I28" s="24" t="n">
        <v>0</v>
      </c>
      <c r="J28" s="34" t="n">
        <f aca="false">IFERROR(I28/I$17,0)</f>
        <v>0</v>
      </c>
      <c r="K28" s="24" t="n">
        <v>0</v>
      </c>
      <c r="L28" s="34" t="n">
        <f aca="false">IFERROR(K28/K$17,0)</f>
        <v>0</v>
      </c>
      <c r="M28" s="24" t="n">
        <v>0</v>
      </c>
      <c r="N28" s="34" t="n">
        <f aca="false">IFERROR(M28/M$17,0)</f>
        <v>0</v>
      </c>
      <c r="O28" s="24" t="n">
        <v>0</v>
      </c>
      <c r="P28" s="34" t="n">
        <f aca="false">IFERROR(O28/O$17,0)</f>
        <v>0</v>
      </c>
      <c r="Q28" s="24" t="n">
        <v>0</v>
      </c>
      <c r="R28" s="34" t="n">
        <f aca="false">IFERROR(Q28/Q$17,0)</f>
        <v>0</v>
      </c>
      <c r="S28" s="24" t="n">
        <v>0</v>
      </c>
      <c r="T28" s="34" t="n">
        <f aca="false">IFERROR(S28/S$17,0)</f>
        <v>0</v>
      </c>
      <c r="U28" s="24" t="n">
        <v>0</v>
      </c>
      <c r="V28" s="34" t="n">
        <f aca="false">IFERROR(U28/U$17,0)</f>
        <v>0</v>
      </c>
      <c r="W28" s="24" t="n">
        <v>0</v>
      </c>
      <c r="X28" s="34" t="n">
        <f aca="false">IFERROR(W28/W$17,0)</f>
        <v>0</v>
      </c>
      <c r="Y28" s="24" t="n">
        <v>0</v>
      </c>
      <c r="Z28" s="34" t="n">
        <f aca="false">IFERROR(Y28/Y$17,0)</f>
        <v>0</v>
      </c>
      <c r="AB28" s="24" t="n">
        <f aca="false">SUM(C28,E28,G28,I28,K28,M28,O28,Q28,S28,U28,W28,Y28)</f>
        <v>0</v>
      </c>
      <c r="AC28" s="34" t="n">
        <f aca="false">IFERROR(AB28/AB$17,0)</f>
        <v>0</v>
      </c>
    </row>
    <row r="29" customFormat="false" ht="15" hidden="false" customHeight="true" outlineLevel="0" collapsed="false">
      <c r="A29" s="6" t="s">
        <v>139</v>
      </c>
      <c r="C29" s="27" t="n">
        <f aca="false">SUM(C23:C28)</f>
        <v>16776.89</v>
      </c>
      <c r="D29" s="35" t="n">
        <f aca="false">IFERROR(C29/C$20,0)</f>
        <v>0.389247311827957</v>
      </c>
      <c r="E29" s="27" t="n">
        <f aca="false">SUM(E23:E28)</f>
        <v>5162.12</v>
      </c>
      <c r="F29" s="35" t="n">
        <f aca="false">IFERROR(E29/E$20,0)</f>
        <v>0.389247311827957</v>
      </c>
      <c r="G29" s="27" t="n">
        <f aca="false">SUM(G23:G28)</f>
        <v>16776.89</v>
      </c>
      <c r="H29" s="35" t="n">
        <f aca="false">IFERROR(G29/G$20,0)</f>
        <v>0.389247311827957</v>
      </c>
      <c r="I29" s="27" t="n">
        <f aca="false">SUM(I23:I28)</f>
        <v>5162.12</v>
      </c>
      <c r="J29" s="35" t="n">
        <f aca="false">IFERROR(I29/I$20,0)</f>
        <v>0.389247311827957</v>
      </c>
      <c r="K29" s="27" t="n">
        <f aca="false">SUM(K23:K28)</f>
        <v>12905.3</v>
      </c>
      <c r="L29" s="35" t="n">
        <f aca="false">IFERROR(K29/K$20,0)</f>
        <v>0.389247311827957</v>
      </c>
      <c r="M29" s="27" t="n">
        <f aca="false">SUM(M23:M28)</f>
        <v>11356.664</v>
      </c>
      <c r="N29" s="35" t="n">
        <f aca="false">IFERROR(M29/M$20,0)</f>
        <v>0.389247311827957</v>
      </c>
      <c r="O29" s="27" t="n">
        <f aca="false">SUM(O23:O28)</f>
        <v>11356.664</v>
      </c>
      <c r="P29" s="35" t="n">
        <f aca="false">IFERROR(O29/O$20,0)</f>
        <v>0.389247311827957</v>
      </c>
      <c r="Q29" s="27" t="n">
        <f aca="false">SUM(Q23:Q28)</f>
        <v>11356.664</v>
      </c>
      <c r="R29" s="35" t="n">
        <f aca="false">IFERROR(Q29/Q$20,0)</f>
        <v>0.389247311827957</v>
      </c>
      <c r="S29" s="27" t="n">
        <f aca="false">SUM(S23:S28)</f>
        <v>11356.664</v>
      </c>
      <c r="T29" s="35" t="n">
        <f aca="false">IFERROR(S29/S$20,0)</f>
        <v>0.389247311827957</v>
      </c>
      <c r="U29" s="27" t="n">
        <f aca="false">SUM(U23:U28)</f>
        <v>11356.664</v>
      </c>
      <c r="V29" s="35" t="n">
        <f aca="false">IFERROR(U29/U$20,0)</f>
        <v>0.389247311827957</v>
      </c>
      <c r="W29" s="27" t="n">
        <f aca="false">SUM(W23:W28)</f>
        <v>11356.664</v>
      </c>
      <c r="X29" s="35" t="n">
        <f aca="false">IFERROR(W29/W$20,0)</f>
        <v>0.389247311827957</v>
      </c>
      <c r="Y29" s="27" t="n">
        <f aca="false">SUM(Y23:Y28)</f>
        <v>11356.664</v>
      </c>
      <c r="Z29" s="35" t="n">
        <f aca="false">IFERROR(Y29/Y$20,0)</f>
        <v>0.389247311827957</v>
      </c>
      <c r="AB29" s="27" t="n">
        <f aca="false">SUM(AB23:AB28)</f>
        <v>136279.968</v>
      </c>
      <c r="AC29" s="35" t="n">
        <f aca="false">IFERROR(AB29/AB$20,0)</f>
        <v>0.389247311827957</v>
      </c>
    </row>
    <row r="30" customFormat="false" ht="15" hidden="false" customHeight="true" outlineLevel="0" collapsed="false">
      <c r="A30" s="6" t="s">
        <v>140</v>
      </c>
      <c r="C30" s="7" t="n">
        <f aca="false">C20-C29</f>
        <v>26323.96</v>
      </c>
      <c r="D30" s="8" t="n">
        <f aca="false">IFERROR(C30/C$20,0)</f>
        <v>0.610752688172043</v>
      </c>
      <c r="E30" s="7" t="n">
        <f aca="false">E20-E29</f>
        <v>8099.68</v>
      </c>
      <c r="F30" s="8" t="n">
        <f aca="false">IFERROR(E30/E$20,0)</f>
        <v>0.610752688172043</v>
      </c>
      <c r="G30" s="7" t="n">
        <f aca="false">G20-G29</f>
        <v>26323.96</v>
      </c>
      <c r="H30" s="8" t="n">
        <f aca="false">IFERROR(G30/G$20,0)</f>
        <v>0.610752688172043</v>
      </c>
      <c r="I30" s="7" t="n">
        <f aca="false">I20-I29</f>
        <v>8099.68</v>
      </c>
      <c r="J30" s="8" t="n">
        <f aca="false">IFERROR(I30/I$20,0)</f>
        <v>0.610752688172043</v>
      </c>
      <c r="K30" s="7" t="n">
        <f aca="false">K20-K29</f>
        <v>20249.2</v>
      </c>
      <c r="L30" s="8" t="n">
        <f aca="false">IFERROR(K30/K$20,0)</f>
        <v>0.610752688172043</v>
      </c>
      <c r="M30" s="7" t="n">
        <f aca="false">M20-M29</f>
        <v>17819.296</v>
      </c>
      <c r="N30" s="8" t="n">
        <f aca="false">IFERROR(M30/M$20,0)</f>
        <v>0.610752688172043</v>
      </c>
      <c r="O30" s="7" t="n">
        <f aca="false">O20-O29</f>
        <v>17819.296</v>
      </c>
      <c r="P30" s="8" t="n">
        <f aca="false">IFERROR(O30/O$20,0)</f>
        <v>0.610752688172043</v>
      </c>
      <c r="Q30" s="7" t="n">
        <f aca="false">Q20-Q29</f>
        <v>17819.296</v>
      </c>
      <c r="R30" s="8" t="n">
        <f aca="false">IFERROR(Q30/Q$20,0)</f>
        <v>0.610752688172043</v>
      </c>
      <c r="S30" s="7" t="n">
        <f aca="false">S20-S29</f>
        <v>17819.296</v>
      </c>
      <c r="T30" s="8" t="n">
        <f aca="false">IFERROR(S30/S$20,0)</f>
        <v>0.610752688172043</v>
      </c>
      <c r="U30" s="7" t="n">
        <f aca="false">U20-U29</f>
        <v>17819.296</v>
      </c>
      <c r="V30" s="8" t="n">
        <f aca="false">IFERROR(U30/U$20,0)</f>
        <v>0.610752688172043</v>
      </c>
      <c r="W30" s="7" t="n">
        <f aca="false">W20-W29</f>
        <v>17819.296</v>
      </c>
      <c r="X30" s="8" t="n">
        <f aca="false">IFERROR(W30/W$20,0)</f>
        <v>0.610752688172043</v>
      </c>
      <c r="Y30" s="7" t="n">
        <f aca="false">Y20-Y29</f>
        <v>17819.296</v>
      </c>
      <c r="Z30" s="8" t="n">
        <f aca="false">IFERROR(Y30/Y$20,0)</f>
        <v>0.610752688172043</v>
      </c>
      <c r="AB30" s="7" t="n">
        <f aca="false">AB20-AB29</f>
        <v>213831.552</v>
      </c>
      <c r="AC30" s="8" t="n">
        <f aca="false">IFERROR(AB30/AB$20,0)</f>
        <v>0.610752688172043</v>
      </c>
    </row>
    <row r="32" customFormat="false" ht="15" hidden="false" customHeight="true" outlineLevel="0" collapsed="false">
      <c r="A32" s="6" t="s">
        <v>194</v>
      </c>
    </row>
    <row r="33" customFormat="false" ht="15" hidden="false" customHeight="true" outlineLevel="0" collapsed="false">
      <c r="A33" s="5" t="s">
        <v>328</v>
      </c>
      <c r="C33" s="24" t="n">
        <f aca="false">C9*'Vessel Assumptions'!$C$36</f>
        <v>509.795</v>
      </c>
      <c r="D33" s="34" t="n">
        <f aca="false">IFERROR(C33/C$20,0)</f>
        <v>0.0118279569892473</v>
      </c>
      <c r="E33" s="24" t="n">
        <f aca="false">E9*'Vessel Assumptions'!$C$36</f>
        <v>156.86</v>
      </c>
      <c r="F33" s="34" t="n">
        <f aca="false">IFERROR(E33/E$20,0)</f>
        <v>0.0118279569892473</v>
      </c>
      <c r="G33" s="24" t="n">
        <f aca="false">G9*'Vessel Assumptions'!$C$36</f>
        <v>509.795</v>
      </c>
      <c r="H33" s="34" t="n">
        <f aca="false">IFERROR(G33/G$20,0)</f>
        <v>0.0118279569892473</v>
      </c>
      <c r="I33" s="24" t="n">
        <f aca="false">I9*'Vessel Assumptions'!$C$36</f>
        <v>156.86</v>
      </c>
      <c r="J33" s="34" t="n">
        <f aca="false">IFERROR(I33/I$20,0)</f>
        <v>0.0118279569892473</v>
      </c>
      <c r="K33" s="24" t="n">
        <f aca="false">K9*'Vessel Assumptions'!$C$36</f>
        <v>392.15</v>
      </c>
      <c r="L33" s="34" t="n">
        <f aca="false">IFERROR(K33/K$20,0)</f>
        <v>0.0118279569892473</v>
      </c>
      <c r="M33" s="24" t="n">
        <f aca="false">M9*'Vessel Assumptions'!$C$36</f>
        <v>345.092</v>
      </c>
      <c r="N33" s="34" t="n">
        <f aca="false">IFERROR(M33/M$20,0)</f>
        <v>0.0118279569892473</v>
      </c>
      <c r="O33" s="24" t="n">
        <f aca="false">O9*'Vessel Assumptions'!$C$36</f>
        <v>345.092</v>
      </c>
      <c r="P33" s="34" t="n">
        <f aca="false">IFERROR(O33/O$20,0)</f>
        <v>0.0118279569892473</v>
      </c>
      <c r="Q33" s="24" t="n">
        <f aca="false">Q9*'Vessel Assumptions'!$C$36</f>
        <v>345.092</v>
      </c>
      <c r="R33" s="34" t="n">
        <f aca="false">IFERROR(Q33/Q$20,0)</f>
        <v>0.0118279569892473</v>
      </c>
      <c r="S33" s="24" t="n">
        <f aca="false">S9*'Vessel Assumptions'!$C$36</f>
        <v>345.092</v>
      </c>
      <c r="T33" s="34" t="n">
        <f aca="false">IFERROR(S33/S$20,0)</f>
        <v>0.0118279569892473</v>
      </c>
      <c r="U33" s="24" t="n">
        <f aca="false">U9*'Vessel Assumptions'!$C$36</f>
        <v>345.092</v>
      </c>
      <c r="V33" s="34" t="n">
        <f aca="false">IFERROR(U33/U$20,0)</f>
        <v>0.0118279569892473</v>
      </c>
      <c r="W33" s="24" t="n">
        <f aca="false">W9*'Vessel Assumptions'!$C$36</f>
        <v>345.092</v>
      </c>
      <c r="X33" s="34" t="n">
        <f aca="false">IFERROR(W33/W$20,0)</f>
        <v>0.0118279569892473</v>
      </c>
      <c r="Y33" s="24" t="n">
        <f aca="false">Y9*'Vessel Assumptions'!$C$36</f>
        <v>345.092</v>
      </c>
      <c r="Z33" s="34" t="n">
        <f aca="false">IFERROR(Y33/Y$20,0)</f>
        <v>0.0118279569892473</v>
      </c>
      <c r="AB33" s="24" t="n">
        <f aca="false">SUM(C33,E33,G33,I33,K33,M33,O33,Q33,S33,U33,W33,Y33)</f>
        <v>4141.104</v>
      </c>
      <c r="AC33" s="34" t="n">
        <f aca="false">IFERROR(AB33/AB$20,0)</f>
        <v>0.0118279569892473</v>
      </c>
    </row>
    <row r="34" customFormat="false" ht="15" hidden="false" customHeight="true" outlineLevel="0" collapsed="false">
      <c r="A34" s="5" t="s">
        <v>196</v>
      </c>
      <c r="C34" s="24" t="n">
        <v>0</v>
      </c>
      <c r="D34" s="34" t="n">
        <f aca="false">IFERROR(C34/C$20,0)</f>
        <v>0</v>
      </c>
      <c r="E34" s="24" t="n">
        <v>0</v>
      </c>
      <c r="F34" s="34" t="n">
        <f aca="false">IFERROR(E34/E$20,0)</f>
        <v>0</v>
      </c>
      <c r="G34" s="24" t="n">
        <v>0</v>
      </c>
      <c r="H34" s="34" t="n">
        <f aca="false">IFERROR(G34/G$20,0)</f>
        <v>0</v>
      </c>
      <c r="I34" s="24" t="n">
        <v>0</v>
      </c>
      <c r="J34" s="34" t="n">
        <f aca="false">IFERROR(I34/I$20,0)</f>
        <v>0</v>
      </c>
      <c r="K34" s="24" t="n">
        <v>0</v>
      </c>
      <c r="L34" s="34" t="n">
        <f aca="false">IFERROR(K34/K$20,0)</f>
        <v>0</v>
      </c>
      <c r="M34" s="24" t="n">
        <v>0</v>
      </c>
      <c r="N34" s="34" t="n">
        <f aca="false">IFERROR(M34/M$20,0)</f>
        <v>0</v>
      </c>
      <c r="O34" s="24" t="n">
        <v>0</v>
      </c>
      <c r="P34" s="34" t="n">
        <f aca="false">IFERROR(O34/O$20,0)</f>
        <v>0</v>
      </c>
      <c r="Q34" s="24" t="n">
        <v>0</v>
      </c>
      <c r="R34" s="34" t="n">
        <f aca="false">IFERROR(Q34/Q$20,0)</f>
        <v>0</v>
      </c>
      <c r="S34" s="24" t="n">
        <v>0</v>
      </c>
      <c r="T34" s="34" t="n">
        <f aca="false">IFERROR(S34/S$20,0)</f>
        <v>0</v>
      </c>
      <c r="U34" s="24" t="n">
        <v>0</v>
      </c>
      <c r="V34" s="34" t="n">
        <f aca="false">IFERROR(U34/U$20,0)</f>
        <v>0</v>
      </c>
      <c r="W34" s="24" t="n">
        <v>0</v>
      </c>
      <c r="X34" s="34" t="n">
        <f aca="false">IFERROR(W34/W$20,0)</f>
        <v>0</v>
      </c>
      <c r="Y34" s="24" t="n">
        <v>0</v>
      </c>
      <c r="Z34" s="34" t="n">
        <f aca="false">IFERROR(Y34/Y$20,0)</f>
        <v>0</v>
      </c>
      <c r="AB34" s="24" t="n">
        <f aca="false">SUM(C34,E34,G34,I34,K34,M34,O34,Q34,S34,U34,W34,Y34)</f>
        <v>0</v>
      </c>
      <c r="AC34" s="34" t="n">
        <f aca="false">IFERROR(AB34/AB$20,0)</f>
        <v>0</v>
      </c>
    </row>
    <row r="35" customFormat="false" ht="15" hidden="false" customHeight="true" outlineLevel="0" collapsed="false">
      <c r="A35" s="5" t="s">
        <v>197</v>
      </c>
      <c r="C35" s="24" t="n">
        <f aca="false">C9*'Vessel Assumptions'!$C$20</f>
        <v>4866.225</v>
      </c>
      <c r="D35" s="34" t="n">
        <f aca="false">IFERROR(C35/C$20,0)</f>
        <v>0.112903225806452</v>
      </c>
      <c r="E35" s="24" t="n">
        <f aca="false">E9*'Vessel Assumptions'!$C$20</f>
        <v>1497.3</v>
      </c>
      <c r="F35" s="34" t="n">
        <f aca="false">IFERROR(E35/E$20,0)</f>
        <v>0.112903225806452</v>
      </c>
      <c r="G35" s="24" t="n">
        <f aca="false">G9*'Vessel Assumptions'!$C$20</f>
        <v>4866.225</v>
      </c>
      <c r="H35" s="34" t="n">
        <f aca="false">IFERROR(G35/G$20,0)</f>
        <v>0.112903225806452</v>
      </c>
      <c r="I35" s="24" t="n">
        <f aca="false">I9*'Vessel Assumptions'!$C$20</f>
        <v>1497.3</v>
      </c>
      <c r="J35" s="34" t="n">
        <f aca="false">IFERROR(I35/I$20,0)</f>
        <v>0.112903225806452</v>
      </c>
      <c r="K35" s="24" t="n">
        <f aca="false">K9*'Vessel Assumptions'!$C$20</f>
        <v>3743.25</v>
      </c>
      <c r="L35" s="34" t="n">
        <f aca="false">IFERROR(K35/K$20,0)</f>
        <v>0.112903225806452</v>
      </c>
      <c r="M35" s="24" t="n">
        <f aca="false">M9*'Vessel Assumptions'!$C$20</f>
        <v>3294.06</v>
      </c>
      <c r="N35" s="34" t="n">
        <f aca="false">IFERROR(M35/M$20,0)</f>
        <v>0.112903225806452</v>
      </c>
      <c r="O35" s="24" t="n">
        <f aca="false">O9*'Vessel Assumptions'!$C$20</f>
        <v>3294.06</v>
      </c>
      <c r="P35" s="34" t="n">
        <f aca="false">IFERROR(O35/O$20,0)</f>
        <v>0.112903225806452</v>
      </c>
      <c r="Q35" s="24" t="n">
        <f aca="false">Q9*'Vessel Assumptions'!$C$20</f>
        <v>3294.06</v>
      </c>
      <c r="R35" s="34" t="n">
        <f aca="false">IFERROR(Q35/Q$20,0)</f>
        <v>0.112903225806452</v>
      </c>
      <c r="S35" s="24" t="n">
        <f aca="false">S9*'Vessel Assumptions'!$C$20</f>
        <v>3294.06</v>
      </c>
      <c r="T35" s="34" t="n">
        <f aca="false">IFERROR(S35/S$20,0)</f>
        <v>0.112903225806452</v>
      </c>
      <c r="U35" s="24" t="n">
        <f aca="false">U9*'Vessel Assumptions'!$C$20</f>
        <v>3294.06</v>
      </c>
      <c r="V35" s="34" t="n">
        <f aca="false">IFERROR(U35/U$20,0)</f>
        <v>0.112903225806452</v>
      </c>
      <c r="W35" s="24" t="n">
        <f aca="false">W9*'Vessel Assumptions'!$C$20</f>
        <v>3294.06</v>
      </c>
      <c r="X35" s="34" t="n">
        <f aca="false">IFERROR(W35/W$20,0)</f>
        <v>0.112903225806452</v>
      </c>
      <c r="Y35" s="24" t="n">
        <f aca="false">Y9*'Vessel Assumptions'!$C$20</f>
        <v>3294.06</v>
      </c>
      <c r="Z35" s="34" t="n">
        <f aca="false">IFERROR(Y35/Y$20,0)</f>
        <v>0.112903225806452</v>
      </c>
      <c r="AB35" s="24" t="n">
        <f aca="false">SUM(C35,E35,G35,I35,K35,M35,O35,Q35,S35,U35,W35,Y35)</f>
        <v>39528.72</v>
      </c>
      <c r="AC35" s="34" t="n">
        <f aca="false">IFERROR(AB35/AB$20,0)</f>
        <v>0.112903225806452</v>
      </c>
    </row>
    <row r="36" customFormat="false" ht="15" hidden="false" customHeight="true" outlineLevel="0" collapsed="false">
      <c r="A36" s="5" t="s">
        <v>198</v>
      </c>
      <c r="C36" s="24" t="n">
        <f aca="false">(C33+C35+C37)*'Vessel Assumptions'!$C$22</f>
        <v>1056.666</v>
      </c>
      <c r="D36" s="34" t="n">
        <f aca="false">IFERROR(C36/C$20,0)</f>
        <v>0.0245161290322581</v>
      </c>
      <c r="E36" s="24" t="n">
        <f aca="false">(E33+E35+E37)*'Vessel Assumptions'!$C$22</f>
        <v>325.128</v>
      </c>
      <c r="F36" s="34" t="n">
        <f aca="false">IFERROR(E36/E$20,0)</f>
        <v>0.0245161290322581</v>
      </c>
      <c r="G36" s="24" t="n">
        <f aca="false">(G33+G35+G37)*'Vessel Assumptions'!$C$22</f>
        <v>1056.666</v>
      </c>
      <c r="H36" s="34" t="n">
        <f aca="false">IFERROR(G36/G$20,0)</f>
        <v>0.0245161290322581</v>
      </c>
      <c r="I36" s="24" t="n">
        <f aca="false">(I33+I35+I37)*'Vessel Assumptions'!$C$22</f>
        <v>325.128</v>
      </c>
      <c r="J36" s="34" t="n">
        <f aca="false">IFERROR(I36/I$20,0)</f>
        <v>0.0245161290322581</v>
      </c>
      <c r="K36" s="24" t="n">
        <f aca="false">(K33+K35+K37)*'Vessel Assumptions'!$C$22</f>
        <v>812.82</v>
      </c>
      <c r="L36" s="34" t="n">
        <f aca="false">IFERROR(K36/K$20,0)</f>
        <v>0.0245161290322581</v>
      </c>
      <c r="M36" s="24" t="n">
        <f aca="false">(M33+M35+M37)*'Vessel Assumptions'!$C$22</f>
        <v>715.2816</v>
      </c>
      <c r="N36" s="34" t="n">
        <f aca="false">IFERROR(M36/M$20,0)</f>
        <v>0.0245161290322581</v>
      </c>
      <c r="O36" s="24" t="n">
        <f aca="false">(O33+O35+O37)*'Vessel Assumptions'!$C$22</f>
        <v>715.2816</v>
      </c>
      <c r="P36" s="34" t="n">
        <f aca="false">IFERROR(O36/O$20,0)</f>
        <v>0.0245161290322581</v>
      </c>
      <c r="Q36" s="24" t="n">
        <f aca="false">(Q33+Q35+Q37)*'Vessel Assumptions'!$C$22</f>
        <v>715.2816</v>
      </c>
      <c r="R36" s="34" t="n">
        <f aca="false">IFERROR(Q36/Q$20,0)</f>
        <v>0.0245161290322581</v>
      </c>
      <c r="S36" s="24" t="n">
        <f aca="false">(S33+S35+S37)*'Vessel Assumptions'!$C$22</f>
        <v>715.2816</v>
      </c>
      <c r="T36" s="34" t="n">
        <f aca="false">IFERROR(S36/S$20,0)</f>
        <v>0.0245161290322581</v>
      </c>
      <c r="U36" s="24" t="n">
        <f aca="false">(U33+U35+U37)*'Vessel Assumptions'!$C$22</f>
        <v>715.2816</v>
      </c>
      <c r="V36" s="34" t="n">
        <f aca="false">IFERROR(U36/U$20,0)</f>
        <v>0.0245161290322581</v>
      </c>
      <c r="W36" s="24" t="n">
        <f aca="false">(W33+W35+W37)*'Vessel Assumptions'!$C$22</f>
        <v>715.2816</v>
      </c>
      <c r="X36" s="34" t="n">
        <f aca="false">IFERROR(W36/W$20,0)</f>
        <v>0.0245161290322581</v>
      </c>
      <c r="Y36" s="24" t="n">
        <f aca="false">(Y33+Y35+Y37)*'Vessel Assumptions'!$C$22</f>
        <v>715.2816</v>
      </c>
      <c r="Z36" s="34" t="n">
        <f aca="false">IFERROR(Y36/Y$20,0)</f>
        <v>0.0245161290322581</v>
      </c>
      <c r="AB36" s="24" t="n">
        <f aca="false">SUM(C36,E36,G36,I36,K36,M36,O36,Q36,S36,U36,W36,Y36)</f>
        <v>8583.3792</v>
      </c>
      <c r="AC36" s="34" t="n">
        <f aca="false">IFERROR(AB36/AB$20,0)</f>
        <v>0.0245161290322581</v>
      </c>
    </row>
    <row r="37" customFormat="false" ht="15" hidden="false" customHeight="true" outlineLevel="0" collapsed="false">
      <c r="A37" s="5" t="s">
        <v>329</v>
      </c>
      <c r="C37" s="24" t="n">
        <f aca="false">C9*'Vessel Assumptions'!$C$37</f>
        <v>1038.128</v>
      </c>
      <c r="D37" s="34" t="n">
        <f aca="false">IFERROR(C37/C$20,0)</f>
        <v>0.0240860215053763</v>
      </c>
      <c r="E37" s="24" t="n">
        <f aca="false">E9*'Vessel Assumptions'!$C$37</f>
        <v>319.424</v>
      </c>
      <c r="F37" s="34" t="n">
        <f aca="false">IFERROR(E37/E$20,0)</f>
        <v>0.0240860215053763</v>
      </c>
      <c r="G37" s="24" t="n">
        <f aca="false">G9*'Vessel Assumptions'!$C$37</f>
        <v>1038.128</v>
      </c>
      <c r="H37" s="34" t="n">
        <f aca="false">IFERROR(G37/G$20,0)</f>
        <v>0.0240860215053763</v>
      </c>
      <c r="I37" s="24" t="n">
        <f aca="false">I9*'Vessel Assumptions'!$C$37</f>
        <v>319.424</v>
      </c>
      <c r="J37" s="34" t="n">
        <f aca="false">IFERROR(I37/I$20,0)</f>
        <v>0.0240860215053763</v>
      </c>
      <c r="K37" s="24" t="n">
        <f aca="false">K9*'Vessel Assumptions'!$C$37</f>
        <v>798.56</v>
      </c>
      <c r="L37" s="34" t="n">
        <f aca="false">IFERROR(K37/K$20,0)</f>
        <v>0.0240860215053763</v>
      </c>
      <c r="M37" s="24" t="n">
        <f aca="false">M9*'Vessel Assumptions'!$C$37</f>
        <v>702.7328</v>
      </c>
      <c r="N37" s="34" t="n">
        <f aca="false">IFERROR(M37/M$20,0)</f>
        <v>0.0240860215053763</v>
      </c>
      <c r="O37" s="24" t="n">
        <f aca="false">O9*'Vessel Assumptions'!$C$37</f>
        <v>702.7328</v>
      </c>
      <c r="P37" s="34" t="n">
        <f aca="false">IFERROR(O37/O$20,0)</f>
        <v>0.0240860215053763</v>
      </c>
      <c r="Q37" s="24" t="n">
        <f aca="false">Q9*'Vessel Assumptions'!$C$37</f>
        <v>702.7328</v>
      </c>
      <c r="R37" s="34" t="n">
        <f aca="false">IFERROR(Q37/Q$20,0)</f>
        <v>0.0240860215053763</v>
      </c>
      <c r="S37" s="24" t="n">
        <f aca="false">S9*'Vessel Assumptions'!$C$37</f>
        <v>702.7328</v>
      </c>
      <c r="T37" s="34" t="n">
        <f aca="false">IFERROR(S37/S$20,0)</f>
        <v>0.0240860215053763</v>
      </c>
      <c r="U37" s="24" t="n">
        <f aca="false">U9*'Vessel Assumptions'!$C$37</f>
        <v>702.7328</v>
      </c>
      <c r="V37" s="34" t="n">
        <f aca="false">IFERROR(U37/U$20,0)</f>
        <v>0.0240860215053763</v>
      </c>
      <c r="W37" s="24" t="n">
        <f aca="false">W9*'Vessel Assumptions'!$C$37</f>
        <v>702.7328</v>
      </c>
      <c r="X37" s="34" t="n">
        <f aca="false">IFERROR(W37/W$20,0)</f>
        <v>0.0240860215053763</v>
      </c>
      <c r="Y37" s="24" t="n">
        <f aca="false">Y9*'Vessel Assumptions'!$C$37</f>
        <v>702.7328</v>
      </c>
      <c r="Z37" s="34" t="n">
        <f aca="false">IFERROR(Y37/Y$20,0)</f>
        <v>0.0240860215053763</v>
      </c>
      <c r="AB37" s="24" t="n">
        <f aca="false">SUM(C37,E37,G37,I37,K37,M37,O37,Q37,S37,U37,W37,Y37)</f>
        <v>8432.7936</v>
      </c>
      <c r="AC37" s="34" t="n">
        <f aca="false">IFERROR(AB37/AB$20,0)</f>
        <v>0.0240860215053763</v>
      </c>
    </row>
    <row r="38" customFormat="false" ht="15" hidden="false" customHeight="true" outlineLevel="0" collapsed="false">
      <c r="A38" s="6" t="s">
        <v>141</v>
      </c>
      <c r="C38" s="27" t="n">
        <f aca="false">SUM(C33:C37)</f>
        <v>7470.814</v>
      </c>
      <c r="D38" s="35" t="n">
        <f aca="false">IFERROR(C38/C$20,0)</f>
        <v>0.173333333333333</v>
      </c>
      <c r="E38" s="27" t="n">
        <f aca="false">SUM(E33:E37)</f>
        <v>2298.712</v>
      </c>
      <c r="F38" s="35" t="n">
        <f aca="false">IFERROR(E38/E$20,0)</f>
        <v>0.173333333333333</v>
      </c>
      <c r="G38" s="27" t="n">
        <f aca="false">SUM(G33:G37)</f>
        <v>7470.814</v>
      </c>
      <c r="H38" s="35" t="n">
        <f aca="false">IFERROR(G38/G$20,0)</f>
        <v>0.173333333333333</v>
      </c>
      <c r="I38" s="27" t="n">
        <f aca="false">SUM(I33:I37)</f>
        <v>2298.712</v>
      </c>
      <c r="J38" s="35" t="n">
        <f aca="false">IFERROR(I38/I$20,0)</f>
        <v>0.173333333333333</v>
      </c>
      <c r="K38" s="27" t="n">
        <f aca="false">SUM(K33:K37)</f>
        <v>5746.78</v>
      </c>
      <c r="L38" s="35" t="n">
        <f aca="false">IFERROR(K38/K$20,0)</f>
        <v>0.173333333333333</v>
      </c>
      <c r="M38" s="27" t="n">
        <f aca="false">SUM(M33:M37)</f>
        <v>5057.1664</v>
      </c>
      <c r="N38" s="35" t="n">
        <f aca="false">IFERROR(M38/M$20,0)</f>
        <v>0.173333333333333</v>
      </c>
      <c r="O38" s="27" t="n">
        <f aca="false">SUM(O33:O37)</f>
        <v>5057.1664</v>
      </c>
      <c r="P38" s="35" t="n">
        <f aca="false">IFERROR(O38/O$20,0)</f>
        <v>0.173333333333333</v>
      </c>
      <c r="Q38" s="27" t="n">
        <f aca="false">SUM(Q33:Q37)</f>
        <v>5057.1664</v>
      </c>
      <c r="R38" s="35" t="n">
        <f aca="false">IFERROR(Q38/Q$20,0)</f>
        <v>0.173333333333333</v>
      </c>
      <c r="S38" s="27" t="n">
        <f aca="false">SUM(S33:S37)</f>
        <v>5057.1664</v>
      </c>
      <c r="T38" s="35" t="n">
        <f aca="false">IFERROR(S38/S$20,0)</f>
        <v>0.173333333333333</v>
      </c>
      <c r="U38" s="27" t="n">
        <f aca="false">SUM(U33:U37)</f>
        <v>5057.1664</v>
      </c>
      <c r="V38" s="35" t="n">
        <f aca="false">IFERROR(U38/U$20,0)</f>
        <v>0.173333333333333</v>
      </c>
      <c r="W38" s="27" t="n">
        <f aca="false">SUM(W33:W37)</f>
        <v>5057.1664</v>
      </c>
      <c r="X38" s="35" t="n">
        <f aca="false">IFERROR(W38/W$20,0)</f>
        <v>0.173333333333333</v>
      </c>
      <c r="Y38" s="27" t="n">
        <f aca="false">SUM(Y33:Y37)</f>
        <v>5057.1664</v>
      </c>
      <c r="Z38" s="35" t="n">
        <f aca="false">IFERROR(Y38/Y$20,0)</f>
        <v>0.173333333333333</v>
      </c>
      <c r="AB38" s="27" t="n">
        <f aca="false">SUM(AB33:AB37)</f>
        <v>60685.9968</v>
      </c>
      <c r="AC38" s="35" t="n">
        <f aca="false">IFERROR(AB38/AB$20,0)</f>
        <v>0.173333333333333</v>
      </c>
    </row>
    <row r="40" customFormat="false" ht="15" hidden="false" customHeight="true" outlineLevel="0" collapsed="false">
      <c r="A40" s="6" t="s">
        <v>200</v>
      </c>
      <c r="C40" s="7" t="n">
        <f aca="false">C29+C38</f>
        <v>24247.704</v>
      </c>
      <c r="D40" s="8" t="n">
        <f aca="false">IFERROR(C40/C$20,0)</f>
        <v>0.562580645161291</v>
      </c>
      <c r="E40" s="7" t="n">
        <f aca="false">E29+E38</f>
        <v>7460.832</v>
      </c>
      <c r="F40" s="8" t="n">
        <f aca="false">IFERROR(E40/E$20,0)</f>
        <v>0.56258064516129</v>
      </c>
      <c r="G40" s="7" t="n">
        <f aca="false">G29+G38</f>
        <v>24247.704</v>
      </c>
      <c r="H40" s="8" t="n">
        <f aca="false">IFERROR(G40/G$20,0)</f>
        <v>0.562580645161291</v>
      </c>
      <c r="I40" s="7" t="n">
        <f aca="false">I29+I38</f>
        <v>7460.832</v>
      </c>
      <c r="J40" s="8" t="n">
        <f aca="false">IFERROR(I40/I$20,0)</f>
        <v>0.56258064516129</v>
      </c>
      <c r="K40" s="7" t="n">
        <f aca="false">K29+K38</f>
        <v>18652.08</v>
      </c>
      <c r="L40" s="8" t="n">
        <f aca="false">IFERROR(K40/K$20,0)</f>
        <v>0.56258064516129</v>
      </c>
      <c r="M40" s="7" t="n">
        <f aca="false">M29+M38</f>
        <v>16413.8304</v>
      </c>
      <c r="N40" s="8" t="n">
        <f aca="false">IFERROR(M40/M$20,0)</f>
        <v>0.56258064516129</v>
      </c>
      <c r="O40" s="7" t="n">
        <f aca="false">O29+O38</f>
        <v>16413.8304</v>
      </c>
      <c r="P40" s="8" t="n">
        <f aca="false">IFERROR(O40/O$20,0)</f>
        <v>0.56258064516129</v>
      </c>
      <c r="Q40" s="7" t="n">
        <f aca="false">Q29+Q38</f>
        <v>16413.8304</v>
      </c>
      <c r="R40" s="8" t="n">
        <f aca="false">IFERROR(Q40/Q$20,0)</f>
        <v>0.56258064516129</v>
      </c>
      <c r="S40" s="7" t="n">
        <f aca="false">S29+S38</f>
        <v>16413.8304</v>
      </c>
      <c r="T40" s="8" t="n">
        <f aca="false">IFERROR(S40/S$20,0)</f>
        <v>0.56258064516129</v>
      </c>
      <c r="U40" s="7" t="n">
        <f aca="false">U29+U38</f>
        <v>16413.8304</v>
      </c>
      <c r="V40" s="8" t="n">
        <f aca="false">IFERROR(U40/U$20,0)</f>
        <v>0.56258064516129</v>
      </c>
      <c r="W40" s="7" t="n">
        <f aca="false">W29+W38</f>
        <v>16413.8304</v>
      </c>
      <c r="X40" s="8" t="n">
        <f aca="false">IFERROR(W40/W$20,0)</f>
        <v>0.56258064516129</v>
      </c>
      <c r="Y40" s="7" t="n">
        <f aca="false">Y29+Y38</f>
        <v>16413.8304</v>
      </c>
      <c r="Z40" s="8" t="n">
        <f aca="false">IFERROR(Y40/Y$20,0)</f>
        <v>0.56258064516129</v>
      </c>
      <c r="AB40" s="7" t="n">
        <f aca="false">AB29+AB38</f>
        <v>196965.9648</v>
      </c>
      <c r="AC40" s="8" t="n">
        <f aca="false">IFERROR(AB40/AB$20,0)</f>
        <v>0.56258064516129</v>
      </c>
    </row>
    <row r="41" customFormat="false" ht="15" hidden="false" customHeight="true" outlineLevel="0" collapsed="false">
      <c r="A41" s="6" t="s">
        <v>201</v>
      </c>
      <c r="C41" s="7" t="n">
        <f aca="false">C30-C38</f>
        <v>18853.146</v>
      </c>
      <c r="D41" s="8" t="n">
        <f aca="false">IFERROR(C41/C$20,0)</f>
        <v>0.43741935483871</v>
      </c>
      <c r="E41" s="7" t="n">
        <f aca="false">E30-E38</f>
        <v>5800.968</v>
      </c>
      <c r="F41" s="8" t="n">
        <f aca="false">IFERROR(E41/E$20,0)</f>
        <v>0.43741935483871</v>
      </c>
      <c r="G41" s="7" t="n">
        <f aca="false">G30-G38</f>
        <v>18853.146</v>
      </c>
      <c r="H41" s="8" t="n">
        <f aca="false">IFERROR(G41/G$20,0)</f>
        <v>0.43741935483871</v>
      </c>
      <c r="I41" s="7" t="n">
        <f aca="false">I30-I38</f>
        <v>5800.968</v>
      </c>
      <c r="J41" s="8" t="n">
        <f aca="false">IFERROR(I41/I$20,0)</f>
        <v>0.43741935483871</v>
      </c>
      <c r="K41" s="7" t="n">
        <f aca="false">K30-K38</f>
        <v>14502.42</v>
      </c>
      <c r="L41" s="8" t="n">
        <f aca="false">IFERROR(K41/K$20,0)</f>
        <v>0.43741935483871</v>
      </c>
      <c r="M41" s="7" t="n">
        <f aca="false">M30-M38</f>
        <v>12762.1296</v>
      </c>
      <c r="N41" s="8" t="n">
        <f aca="false">IFERROR(M41/M$20,0)</f>
        <v>0.43741935483871</v>
      </c>
      <c r="O41" s="7" t="n">
        <f aca="false">O30-O38</f>
        <v>12762.1296</v>
      </c>
      <c r="P41" s="8" t="n">
        <f aca="false">IFERROR(O41/O$20,0)</f>
        <v>0.43741935483871</v>
      </c>
      <c r="Q41" s="7" t="n">
        <f aca="false">Q30-Q38</f>
        <v>12762.1296</v>
      </c>
      <c r="R41" s="8" t="n">
        <f aca="false">IFERROR(Q41/Q$20,0)</f>
        <v>0.43741935483871</v>
      </c>
      <c r="S41" s="7" t="n">
        <f aca="false">S30-S38</f>
        <v>12762.1296</v>
      </c>
      <c r="T41" s="8" t="n">
        <f aca="false">IFERROR(S41/S$20,0)</f>
        <v>0.43741935483871</v>
      </c>
      <c r="U41" s="7" t="n">
        <f aca="false">U30-U38</f>
        <v>12762.1296</v>
      </c>
      <c r="V41" s="8" t="n">
        <f aca="false">IFERROR(U41/U$20,0)</f>
        <v>0.43741935483871</v>
      </c>
      <c r="W41" s="7" t="n">
        <f aca="false">W30-W38</f>
        <v>12762.1296</v>
      </c>
      <c r="X41" s="8" t="n">
        <f aca="false">IFERROR(W41/W$20,0)</f>
        <v>0.43741935483871</v>
      </c>
      <c r="Y41" s="7" t="n">
        <f aca="false">Y30-Y38</f>
        <v>12762.1296</v>
      </c>
      <c r="Z41" s="8" t="n">
        <f aca="false">IFERROR(Y41/Y$20,0)</f>
        <v>0.43741935483871</v>
      </c>
      <c r="AB41" s="7" t="n">
        <f aca="false">AB30-AB38</f>
        <v>153145.5552</v>
      </c>
      <c r="AC41" s="8" t="n">
        <f aca="false">IFERROR(AB41/AB$20,0)</f>
        <v>0.43741935483871</v>
      </c>
    </row>
    <row r="43" customFormat="false" ht="15" hidden="false" customHeight="true" outlineLevel="0" collapsed="false">
      <c r="A43" s="6" t="s">
        <v>202</v>
      </c>
    </row>
    <row r="44" customFormat="false" ht="15" hidden="false" customHeight="true" outlineLevel="0" collapsed="false">
      <c r="A44" s="5" t="s">
        <v>330</v>
      </c>
      <c r="C44" s="24" t="n">
        <f aca="false">C20*'Vessel Assumptions'!$C$38</f>
        <v>5329.675</v>
      </c>
      <c r="D44" s="34" t="n">
        <f aca="false">IFERROR(C44/C$20,0)</f>
        <v>0.123655913978495</v>
      </c>
      <c r="E44" s="24" t="n">
        <f aca="false">E20*'Vessel Assumptions'!$C$38</f>
        <v>1639.9</v>
      </c>
      <c r="F44" s="34" t="n">
        <f aca="false">IFERROR(E44/E$20,0)</f>
        <v>0.123655913978495</v>
      </c>
      <c r="G44" s="24" t="n">
        <f aca="false">G20*'Vessel Assumptions'!$C$38</f>
        <v>5329.675</v>
      </c>
      <c r="H44" s="34" t="n">
        <f aca="false">IFERROR(G44/G$20,0)</f>
        <v>0.123655913978495</v>
      </c>
      <c r="I44" s="24" t="n">
        <f aca="false">I20*'Vessel Assumptions'!$C$38</f>
        <v>1639.9</v>
      </c>
      <c r="J44" s="34" t="n">
        <f aca="false">IFERROR(I44/I$20,0)</f>
        <v>0.123655913978495</v>
      </c>
      <c r="K44" s="24" t="n">
        <f aca="false">K20*'Vessel Assumptions'!$C$38</f>
        <v>4099.75</v>
      </c>
      <c r="L44" s="34" t="n">
        <f aca="false">IFERROR(K44/K$20,0)</f>
        <v>0.123655913978495</v>
      </c>
      <c r="M44" s="24" t="n">
        <f aca="false">M20*'Vessel Assumptions'!$C$38</f>
        <v>3607.78</v>
      </c>
      <c r="N44" s="34" t="n">
        <f aca="false">IFERROR(M44/M$20,0)</f>
        <v>0.123655913978495</v>
      </c>
      <c r="O44" s="24" t="n">
        <f aca="false">O20*'Vessel Assumptions'!$C$38</f>
        <v>3607.78</v>
      </c>
      <c r="P44" s="34" t="n">
        <f aca="false">IFERROR(O44/O$20,0)</f>
        <v>0.123655913978495</v>
      </c>
      <c r="Q44" s="24" t="n">
        <f aca="false">Q20*'Vessel Assumptions'!$C$38</f>
        <v>3607.78</v>
      </c>
      <c r="R44" s="34" t="n">
        <f aca="false">IFERROR(Q44/Q$20,0)</f>
        <v>0.123655913978495</v>
      </c>
      <c r="S44" s="24" t="n">
        <f aca="false">S20*'Vessel Assumptions'!$C$38</f>
        <v>3607.78</v>
      </c>
      <c r="T44" s="34" t="n">
        <f aca="false">IFERROR(S44/S$20,0)</f>
        <v>0.123655913978495</v>
      </c>
      <c r="U44" s="24" t="n">
        <f aca="false">U20*'Vessel Assumptions'!$C$38</f>
        <v>3607.78</v>
      </c>
      <c r="V44" s="34" t="n">
        <f aca="false">IFERROR(U44/U$20,0)</f>
        <v>0.123655913978495</v>
      </c>
      <c r="W44" s="24" t="n">
        <f aca="false">W20*'Vessel Assumptions'!$C$38</f>
        <v>3607.78</v>
      </c>
      <c r="X44" s="34" t="n">
        <f aca="false">IFERROR(W44/W$20,0)</f>
        <v>0.123655913978495</v>
      </c>
      <c r="Y44" s="24" t="n">
        <f aca="false">Y20*'Vessel Assumptions'!$C$38</f>
        <v>3607.78</v>
      </c>
      <c r="Z44" s="34" t="n">
        <f aca="false">IFERROR(Y44/Y$20,0)</f>
        <v>0.123655913978495</v>
      </c>
      <c r="AB44" s="24" t="n">
        <f aca="false">SUM(C44,E44,G44,I44,K44,M44,O44,Q44,S44,U44,W44,Y44)</f>
        <v>43293.36</v>
      </c>
      <c r="AC44" s="34" t="n">
        <f aca="false">IFERROR(AB44/AB$20,0)</f>
        <v>0.123655913978495</v>
      </c>
    </row>
    <row r="45" customFormat="false" ht="15" hidden="false" customHeight="true" outlineLevel="0" collapsed="false">
      <c r="A45" s="5" t="s">
        <v>204</v>
      </c>
      <c r="C45" s="24" t="n">
        <v>0</v>
      </c>
      <c r="D45" s="34" t="n">
        <f aca="false">IFERROR(C45/C$20,0)</f>
        <v>0</v>
      </c>
      <c r="E45" s="24" t="n">
        <v>0</v>
      </c>
      <c r="F45" s="34" t="n">
        <f aca="false">IFERROR(E45/E$20,0)</f>
        <v>0</v>
      </c>
      <c r="G45" s="24" t="n">
        <v>0</v>
      </c>
      <c r="H45" s="34" t="n">
        <f aca="false">IFERROR(G45/G$20,0)</f>
        <v>0</v>
      </c>
      <c r="I45" s="24" t="n">
        <v>0</v>
      </c>
      <c r="J45" s="34" t="n">
        <f aca="false">IFERROR(I45/I$20,0)</f>
        <v>0</v>
      </c>
      <c r="K45" s="24" t="n">
        <v>0</v>
      </c>
      <c r="L45" s="34" t="n">
        <f aca="false">IFERROR(K45/K$20,0)</f>
        <v>0</v>
      </c>
      <c r="M45" s="24" t="n">
        <v>0</v>
      </c>
      <c r="N45" s="34" t="n">
        <f aca="false">IFERROR(M45/M$20,0)</f>
        <v>0</v>
      </c>
      <c r="O45" s="24" t="n">
        <v>0</v>
      </c>
      <c r="P45" s="34" t="n">
        <f aca="false">IFERROR(O45/O$20,0)</f>
        <v>0</v>
      </c>
      <c r="Q45" s="24" t="n">
        <v>0</v>
      </c>
      <c r="R45" s="34" t="n">
        <f aca="false">IFERROR(Q45/Q$20,0)</f>
        <v>0</v>
      </c>
      <c r="S45" s="24" t="n">
        <v>0</v>
      </c>
      <c r="T45" s="34" t="n">
        <f aca="false">IFERROR(S45/S$20,0)</f>
        <v>0</v>
      </c>
      <c r="U45" s="24" t="n">
        <v>0</v>
      </c>
      <c r="V45" s="34" t="n">
        <f aca="false">IFERROR(U45/U$20,0)</f>
        <v>0</v>
      </c>
      <c r="W45" s="24" t="n">
        <v>0</v>
      </c>
      <c r="X45" s="34" t="n">
        <f aca="false">IFERROR(W45/W$20,0)</f>
        <v>0</v>
      </c>
      <c r="Y45" s="24" t="n">
        <v>0</v>
      </c>
      <c r="Z45" s="34" t="n">
        <f aca="false">IFERROR(Y45/Y$20,0)</f>
        <v>0</v>
      </c>
      <c r="AB45" s="24" t="n">
        <f aca="false">SUM(C45,E45,G45,I45,K45,M45,O45,Q45,S45,U45,W45,Y45)</f>
        <v>0</v>
      </c>
      <c r="AC45" s="34" t="n">
        <f aca="false">IFERROR(AB45/AB$20,0)</f>
        <v>0</v>
      </c>
    </row>
    <row r="46" customFormat="false" ht="15" hidden="false" customHeight="true" outlineLevel="0" collapsed="false">
      <c r="A46" s="5" t="s">
        <v>205</v>
      </c>
      <c r="C46" s="24" t="n">
        <v>0</v>
      </c>
      <c r="D46" s="34" t="n">
        <f aca="false">IFERROR(C46/C$20,0)</f>
        <v>0</v>
      </c>
      <c r="E46" s="24" t="n">
        <v>0</v>
      </c>
      <c r="F46" s="34" t="n">
        <f aca="false">IFERROR(E46/E$20,0)</f>
        <v>0</v>
      </c>
      <c r="G46" s="24" t="n">
        <v>0</v>
      </c>
      <c r="H46" s="34" t="n">
        <f aca="false">IFERROR(G46/G$20,0)</f>
        <v>0</v>
      </c>
      <c r="I46" s="24" t="n">
        <v>0</v>
      </c>
      <c r="J46" s="34" t="n">
        <f aca="false">IFERROR(I46/I$20,0)</f>
        <v>0</v>
      </c>
      <c r="K46" s="24" t="n">
        <v>0</v>
      </c>
      <c r="L46" s="34" t="n">
        <f aca="false">IFERROR(K46/K$20,0)</f>
        <v>0</v>
      </c>
      <c r="M46" s="24" t="n">
        <v>0</v>
      </c>
      <c r="N46" s="34" t="n">
        <f aca="false">IFERROR(M46/M$20,0)</f>
        <v>0</v>
      </c>
      <c r="O46" s="24" t="n">
        <v>0</v>
      </c>
      <c r="P46" s="34" t="n">
        <f aca="false">IFERROR(O46/O$20,0)</f>
        <v>0</v>
      </c>
      <c r="Q46" s="24" t="n">
        <v>0</v>
      </c>
      <c r="R46" s="34" t="n">
        <f aca="false">IFERROR(Q46/Q$20,0)</f>
        <v>0</v>
      </c>
      <c r="S46" s="24" t="n">
        <v>0</v>
      </c>
      <c r="T46" s="34" t="n">
        <f aca="false">IFERROR(S46/S$20,0)</f>
        <v>0</v>
      </c>
      <c r="U46" s="24" t="n">
        <v>0</v>
      </c>
      <c r="V46" s="34" t="n">
        <f aca="false">IFERROR(U46/U$20,0)</f>
        <v>0</v>
      </c>
      <c r="W46" s="24" t="n">
        <v>0</v>
      </c>
      <c r="X46" s="34" t="n">
        <f aca="false">IFERROR(W46/W$20,0)</f>
        <v>0</v>
      </c>
      <c r="Y46" s="24" t="n">
        <v>0</v>
      </c>
      <c r="Z46" s="34" t="n">
        <f aca="false">IFERROR(Y46/Y$20,0)</f>
        <v>0</v>
      </c>
      <c r="AB46" s="24" t="n">
        <f aca="false">SUM(C46,E46,G46,I46,K46,M46,O46,Q46,S46,U46,W46,Y46)</f>
        <v>0</v>
      </c>
      <c r="AC46" s="34" t="n">
        <f aca="false">IFERROR(AB46/AB$20,0)</f>
        <v>0</v>
      </c>
    </row>
    <row r="47" customFormat="false" ht="15" hidden="false" customHeight="true" outlineLevel="0" collapsed="false">
      <c r="A47" s="5" t="s">
        <v>331</v>
      </c>
      <c r="C47" s="24" t="n">
        <v>0</v>
      </c>
      <c r="D47" s="34" t="n">
        <f aca="false">IFERROR(C47/C$20,0)</f>
        <v>0</v>
      </c>
      <c r="E47" s="24" t="n">
        <v>0</v>
      </c>
      <c r="F47" s="34" t="n">
        <f aca="false">IFERROR(E47/E$20,0)</f>
        <v>0</v>
      </c>
      <c r="G47" s="24" t="n">
        <v>0</v>
      </c>
      <c r="H47" s="34" t="n">
        <f aca="false">IFERROR(G47/G$20,0)</f>
        <v>0</v>
      </c>
      <c r="I47" s="24" t="n">
        <v>0</v>
      </c>
      <c r="J47" s="34" t="n">
        <f aca="false">IFERROR(I47/I$20,0)</f>
        <v>0</v>
      </c>
      <c r="K47" s="24" t="n">
        <v>0</v>
      </c>
      <c r="L47" s="34" t="n">
        <f aca="false">IFERROR(K47/K$20,0)</f>
        <v>0</v>
      </c>
      <c r="M47" s="24" t="n">
        <v>0</v>
      </c>
      <c r="N47" s="34" t="n">
        <f aca="false">IFERROR(M47/M$20,0)</f>
        <v>0</v>
      </c>
      <c r="O47" s="24" t="n">
        <v>0</v>
      </c>
      <c r="P47" s="34" t="n">
        <f aca="false">IFERROR(O47/O$20,0)</f>
        <v>0</v>
      </c>
      <c r="Q47" s="24" t="n">
        <v>0</v>
      </c>
      <c r="R47" s="34" t="n">
        <f aca="false">IFERROR(Q47/Q$20,0)</f>
        <v>0</v>
      </c>
      <c r="S47" s="24" t="n">
        <v>0</v>
      </c>
      <c r="T47" s="34" t="n">
        <f aca="false">IFERROR(S47/S$20,0)</f>
        <v>0</v>
      </c>
      <c r="U47" s="24" t="n">
        <v>0</v>
      </c>
      <c r="V47" s="34" t="n">
        <f aca="false">IFERROR(U47/U$20,0)</f>
        <v>0</v>
      </c>
      <c r="W47" s="24" t="n">
        <v>0</v>
      </c>
      <c r="X47" s="34" t="n">
        <f aca="false">IFERROR(W47/W$20,0)</f>
        <v>0</v>
      </c>
      <c r="Y47" s="24" t="n">
        <v>0</v>
      </c>
      <c r="Z47" s="34" t="n">
        <f aca="false">IFERROR(Y47/Y$20,0)</f>
        <v>0</v>
      </c>
      <c r="AB47" s="24" t="n">
        <f aca="false">SUM(C47,E47,G47,I47,K47,M47,O47,Q47,S47,U47,W47,Y47)</f>
        <v>0</v>
      </c>
      <c r="AC47" s="34" t="n">
        <f aca="false">IFERROR(AB47/AB$20,0)</f>
        <v>0</v>
      </c>
    </row>
    <row r="48" customFormat="false" ht="15" hidden="false" customHeight="true" outlineLevel="0" collapsed="false">
      <c r="A48" s="5" t="s">
        <v>207</v>
      </c>
      <c r="C48" s="24" t="n">
        <v>0</v>
      </c>
      <c r="D48" s="34" t="n">
        <f aca="false">IFERROR(C48/C$20,0)</f>
        <v>0</v>
      </c>
      <c r="E48" s="24" t="n">
        <v>0</v>
      </c>
      <c r="F48" s="34" t="n">
        <f aca="false">IFERROR(E48/E$20,0)</f>
        <v>0</v>
      </c>
      <c r="G48" s="24" t="n">
        <v>0</v>
      </c>
      <c r="H48" s="34" t="n">
        <f aca="false">IFERROR(G48/G$20,0)</f>
        <v>0</v>
      </c>
      <c r="I48" s="24" t="n">
        <v>0</v>
      </c>
      <c r="J48" s="34" t="n">
        <f aca="false">IFERROR(I48/I$20,0)</f>
        <v>0</v>
      </c>
      <c r="K48" s="24" t="n">
        <v>0</v>
      </c>
      <c r="L48" s="34" t="n">
        <f aca="false">IFERROR(K48/K$20,0)</f>
        <v>0</v>
      </c>
      <c r="M48" s="24" t="n">
        <v>0</v>
      </c>
      <c r="N48" s="34" t="n">
        <f aca="false">IFERROR(M48/M$20,0)</f>
        <v>0</v>
      </c>
      <c r="O48" s="24" t="n">
        <v>0</v>
      </c>
      <c r="P48" s="34" t="n">
        <f aca="false">IFERROR(O48/O$20,0)</f>
        <v>0</v>
      </c>
      <c r="Q48" s="24" t="n">
        <v>0</v>
      </c>
      <c r="R48" s="34" t="n">
        <f aca="false">IFERROR(Q48/Q$20,0)</f>
        <v>0</v>
      </c>
      <c r="S48" s="24" t="n">
        <v>0</v>
      </c>
      <c r="T48" s="34" t="n">
        <f aca="false">IFERROR(S48/S$20,0)</f>
        <v>0</v>
      </c>
      <c r="U48" s="24" t="n">
        <v>0</v>
      </c>
      <c r="V48" s="34" t="n">
        <f aca="false">IFERROR(U48/U$20,0)</f>
        <v>0</v>
      </c>
      <c r="W48" s="24" t="n">
        <v>0</v>
      </c>
      <c r="X48" s="34" t="n">
        <f aca="false">IFERROR(W48/W$20,0)</f>
        <v>0</v>
      </c>
      <c r="Y48" s="24" t="n">
        <v>0</v>
      </c>
      <c r="Z48" s="34" t="n">
        <f aca="false">IFERROR(Y48/Y$20,0)</f>
        <v>0</v>
      </c>
      <c r="AB48" s="24" t="n">
        <f aca="false">SUM(C48,E48,G48,I48,K48,M48,O48,Q48,S48,U48,W48,Y48)</f>
        <v>0</v>
      </c>
      <c r="AC48" s="34" t="n">
        <f aca="false">IFERROR(AB48/AB$20,0)</f>
        <v>0</v>
      </c>
    </row>
    <row r="49" customFormat="false" ht="15" hidden="false" customHeight="true" outlineLevel="0" collapsed="false">
      <c r="A49" s="5" t="s">
        <v>208</v>
      </c>
      <c r="C49" s="24" t="n">
        <v>0</v>
      </c>
      <c r="D49" s="34" t="n">
        <f aca="false">IFERROR(C49/C$20,0)</f>
        <v>0</v>
      </c>
      <c r="E49" s="24" t="n">
        <v>0</v>
      </c>
      <c r="F49" s="34" t="n">
        <f aca="false">IFERROR(E49/E$20,0)</f>
        <v>0</v>
      </c>
      <c r="G49" s="24" t="n">
        <v>0</v>
      </c>
      <c r="H49" s="34" t="n">
        <f aca="false">IFERROR(G49/G$20,0)</f>
        <v>0</v>
      </c>
      <c r="I49" s="24" t="n">
        <v>0</v>
      </c>
      <c r="J49" s="34" t="n">
        <f aca="false">IFERROR(I49/I$20,0)</f>
        <v>0</v>
      </c>
      <c r="K49" s="24" t="n">
        <v>0</v>
      </c>
      <c r="L49" s="34" t="n">
        <f aca="false">IFERROR(K49/K$20,0)</f>
        <v>0</v>
      </c>
      <c r="M49" s="24" t="n">
        <v>0</v>
      </c>
      <c r="N49" s="34" t="n">
        <f aca="false">IFERROR(M49/M$20,0)</f>
        <v>0</v>
      </c>
      <c r="O49" s="24" t="n">
        <v>0</v>
      </c>
      <c r="P49" s="34" t="n">
        <f aca="false">IFERROR(O49/O$20,0)</f>
        <v>0</v>
      </c>
      <c r="Q49" s="24" t="n">
        <v>0</v>
      </c>
      <c r="R49" s="34" t="n">
        <f aca="false">IFERROR(Q49/Q$20,0)</f>
        <v>0</v>
      </c>
      <c r="S49" s="24" t="n">
        <v>0</v>
      </c>
      <c r="T49" s="34" t="n">
        <f aca="false">IFERROR(S49/S$20,0)</f>
        <v>0</v>
      </c>
      <c r="U49" s="24" t="n">
        <v>0</v>
      </c>
      <c r="V49" s="34" t="n">
        <f aca="false">IFERROR(U49/U$20,0)</f>
        <v>0</v>
      </c>
      <c r="W49" s="24" t="n">
        <v>0</v>
      </c>
      <c r="X49" s="34" t="n">
        <f aca="false">IFERROR(W49/W$20,0)</f>
        <v>0</v>
      </c>
      <c r="Y49" s="24" t="n">
        <v>0</v>
      </c>
      <c r="Z49" s="34" t="n">
        <f aca="false">IFERROR(Y49/Y$20,0)</f>
        <v>0</v>
      </c>
      <c r="AB49" s="24" t="n">
        <f aca="false">SUM(C49,E49,G49,I49,K49,M49,O49,Q49,S49,U49,W49,Y49)</f>
        <v>0</v>
      </c>
      <c r="AC49" s="34" t="n">
        <f aca="false">IFERROR(AB49/AB$20,0)</f>
        <v>0</v>
      </c>
    </row>
    <row r="50" customFormat="false" ht="15" hidden="false" customHeight="true" outlineLevel="0" collapsed="false">
      <c r="A50" s="6" t="s">
        <v>209</v>
      </c>
      <c r="C50" s="27" t="n">
        <f aca="false">SUM(C44:C49)</f>
        <v>5329.675</v>
      </c>
      <c r="D50" s="35" t="n">
        <f aca="false">IFERROR(C50/C$20,0)</f>
        <v>0.123655913978495</v>
      </c>
      <c r="E50" s="27" t="n">
        <f aca="false">SUM(E44:E49)</f>
        <v>1639.9</v>
      </c>
      <c r="F50" s="35" t="n">
        <f aca="false">IFERROR(E50/E$20,0)</f>
        <v>0.123655913978495</v>
      </c>
      <c r="G50" s="27" t="n">
        <f aca="false">SUM(G44:G49)</f>
        <v>5329.675</v>
      </c>
      <c r="H50" s="35" t="n">
        <f aca="false">IFERROR(G50/G$20,0)</f>
        <v>0.123655913978495</v>
      </c>
      <c r="I50" s="27" t="n">
        <f aca="false">SUM(I44:I49)</f>
        <v>1639.9</v>
      </c>
      <c r="J50" s="35" t="n">
        <f aca="false">IFERROR(I50/I$20,0)</f>
        <v>0.123655913978495</v>
      </c>
      <c r="K50" s="27" t="n">
        <f aca="false">SUM(K44:K49)</f>
        <v>4099.75</v>
      </c>
      <c r="L50" s="35" t="n">
        <f aca="false">IFERROR(K50/K$20,0)</f>
        <v>0.123655913978495</v>
      </c>
      <c r="M50" s="27" t="n">
        <f aca="false">SUM(M44:M49)</f>
        <v>3607.78</v>
      </c>
      <c r="N50" s="35" t="n">
        <f aca="false">IFERROR(M50/M$20,0)</f>
        <v>0.123655913978495</v>
      </c>
      <c r="O50" s="27" t="n">
        <f aca="false">SUM(O44:O49)</f>
        <v>3607.78</v>
      </c>
      <c r="P50" s="35" t="n">
        <f aca="false">IFERROR(O50/O$20,0)</f>
        <v>0.123655913978495</v>
      </c>
      <c r="Q50" s="27" t="n">
        <f aca="false">SUM(Q44:Q49)</f>
        <v>3607.78</v>
      </c>
      <c r="R50" s="35" t="n">
        <f aca="false">IFERROR(Q50/Q$20,0)</f>
        <v>0.123655913978495</v>
      </c>
      <c r="S50" s="27" t="n">
        <f aca="false">SUM(S44:S49)</f>
        <v>3607.78</v>
      </c>
      <c r="T50" s="35" t="n">
        <f aca="false">IFERROR(S50/S$20,0)</f>
        <v>0.123655913978495</v>
      </c>
      <c r="U50" s="27" t="n">
        <f aca="false">SUM(U44:U49)</f>
        <v>3607.78</v>
      </c>
      <c r="V50" s="35" t="n">
        <f aca="false">IFERROR(U50/U$20,0)</f>
        <v>0.123655913978495</v>
      </c>
      <c r="W50" s="27" t="n">
        <f aca="false">SUM(W44:W49)</f>
        <v>3607.78</v>
      </c>
      <c r="X50" s="35" t="n">
        <f aca="false">IFERROR(W50/W$20,0)</f>
        <v>0.123655913978495</v>
      </c>
      <c r="Y50" s="27" t="n">
        <f aca="false">SUM(Y44:Y49)</f>
        <v>3607.78</v>
      </c>
      <c r="Z50" s="35" t="n">
        <f aca="false">IFERROR(Y50/Y$20,0)</f>
        <v>0.123655913978495</v>
      </c>
      <c r="AB50" s="27" t="n">
        <f aca="false">SUM(AB44:AB49)</f>
        <v>43293.36</v>
      </c>
      <c r="AC50" s="35" t="n">
        <f aca="false">IFERROR(AB50/AB$20,0)</f>
        <v>0.123655913978495</v>
      </c>
    </row>
    <row r="52" customFormat="false" ht="15" hidden="false" customHeight="true" outlineLevel="0" collapsed="false">
      <c r="A52" s="6" t="s">
        <v>210</v>
      </c>
    </row>
    <row r="53" customFormat="false" ht="15" hidden="false" customHeight="true" outlineLevel="0" collapsed="false">
      <c r="A53" s="5" t="s">
        <v>211</v>
      </c>
      <c r="C53" s="24" t="n">
        <v>0</v>
      </c>
      <c r="D53" s="34" t="n">
        <f aca="false">IFERROR(C53/C$20,0)</f>
        <v>0</v>
      </c>
      <c r="E53" s="24" t="n">
        <v>0</v>
      </c>
      <c r="F53" s="34" t="n">
        <f aca="false">IFERROR(E53/E$20,0)</f>
        <v>0</v>
      </c>
      <c r="G53" s="24" t="n">
        <v>0</v>
      </c>
      <c r="H53" s="34" t="n">
        <f aca="false">IFERROR(G53/G$20,0)</f>
        <v>0</v>
      </c>
      <c r="I53" s="24" t="n">
        <v>0</v>
      </c>
      <c r="J53" s="34" t="n">
        <f aca="false">IFERROR(I53/I$20,0)</f>
        <v>0</v>
      </c>
      <c r="K53" s="24" t="n">
        <v>0</v>
      </c>
      <c r="L53" s="34" t="n">
        <f aca="false">IFERROR(K53/K$20,0)</f>
        <v>0</v>
      </c>
      <c r="M53" s="24" t="n">
        <v>0</v>
      </c>
      <c r="N53" s="34" t="n">
        <f aca="false">IFERROR(M53/M$20,0)</f>
        <v>0</v>
      </c>
      <c r="O53" s="24" t="n">
        <v>0</v>
      </c>
      <c r="P53" s="34" t="n">
        <f aca="false">IFERROR(O53/O$20,0)</f>
        <v>0</v>
      </c>
      <c r="Q53" s="24" t="n">
        <v>0</v>
      </c>
      <c r="R53" s="34" t="n">
        <f aca="false">IFERROR(Q53/Q$20,0)</f>
        <v>0</v>
      </c>
      <c r="S53" s="24" t="n">
        <v>0</v>
      </c>
      <c r="T53" s="34" t="n">
        <f aca="false">IFERROR(S53/S$20,0)</f>
        <v>0</v>
      </c>
      <c r="U53" s="24" t="n">
        <v>0</v>
      </c>
      <c r="V53" s="34" t="n">
        <f aca="false">IFERROR(U53/U$20,0)</f>
        <v>0</v>
      </c>
      <c r="W53" s="24" t="n">
        <v>0</v>
      </c>
      <c r="X53" s="34" t="n">
        <f aca="false">IFERROR(W53/W$20,0)</f>
        <v>0</v>
      </c>
      <c r="Y53" s="24" t="n">
        <v>0</v>
      </c>
      <c r="Z53" s="34" t="n">
        <f aca="false">IFERROR(Y53/Y$20,0)</f>
        <v>0</v>
      </c>
      <c r="AB53" s="24" t="n">
        <f aca="false">SUM(C53,E53,G53,I53,K53,M53,O53,Q53,S53,U53,W53,Y53)</f>
        <v>0</v>
      </c>
      <c r="AC53" s="34" t="n">
        <f aca="false">IFERROR(AB53/AB$20,0)</f>
        <v>0</v>
      </c>
    </row>
    <row r="54" customFormat="false" ht="15" hidden="false" customHeight="true" outlineLevel="0" collapsed="false">
      <c r="A54" s="5" t="s">
        <v>212</v>
      </c>
      <c r="C54" s="24" t="n">
        <f aca="false">C20*'Vessel Assumptions'!$C$31</f>
        <v>0</v>
      </c>
      <c r="D54" s="34" t="n">
        <f aca="false">IFERROR(C54/C$20,0)</f>
        <v>0</v>
      </c>
      <c r="E54" s="24" t="n">
        <f aca="false">E20*'Vessel Assumptions'!$C$31</f>
        <v>0</v>
      </c>
      <c r="F54" s="34" t="n">
        <f aca="false">IFERROR(E54/E$20,0)</f>
        <v>0</v>
      </c>
      <c r="G54" s="24" t="n">
        <f aca="false">G20*'Vessel Assumptions'!$C$31</f>
        <v>0</v>
      </c>
      <c r="H54" s="34" t="n">
        <f aca="false">IFERROR(G54/G$20,0)</f>
        <v>0</v>
      </c>
      <c r="I54" s="24" t="n">
        <f aca="false">I20*'Vessel Assumptions'!$C$31</f>
        <v>0</v>
      </c>
      <c r="J54" s="34" t="n">
        <f aca="false">IFERROR(I54/I$20,0)</f>
        <v>0</v>
      </c>
      <c r="K54" s="24" t="n">
        <f aca="false">K20*'Vessel Assumptions'!$C$31</f>
        <v>0</v>
      </c>
      <c r="L54" s="34" t="n">
        <f aca="false">IFERROR(K54/K$20,0)</f>
        <v>0</v>
      </c>
      <c r="M54" s="24" t="n">
        <f aca="false">M20*'Vessel Assumptions'!$C$31</f>
        <v>0</v>
      </c>
      <c r="N54" s="34" t="n">
        <f aca="false">IFERROR(M54/M$20,0)</f>
        <v>0</v>
      </c>
      <c r="O54" s="24" t="n">
        <f aca="false">O20*'Vessel Assumptions'!$C$31</f>
        <v>0</v>
      </c>
      <c r="P54" s="34" t="n">
        <f aca="false">IFERROR(O54/O$20,0)</f>
        <v>0</v>
      </c>
      <c r="Q54" s="24" t="n">
        <f aca="false">Q20*'Vessel Assumptions'!$C$31</f>
        <v>0</v>
      </c>
      <c r="R54" s="34" t="n">
        <f aca="false">IFERROR(Q54/Q$20,0)</f>
        <v>0</v>
      </c>
      <c r="S54" s="24" t="n">
        <f aca="false">S20*'Vessel Assumptions'!$C$31</f>
        <v>0</v>
      </c>
      <c r="T54" s="34" t="n">
        <f aca="false">IFERROR(S54/S$20,0)</f>
        <v>0</v>
      </c>
      <c r="U54" s="24" t="n">
        <f aca="false">U20*'Vessel Assumptions'!$C$31</f>
        <v>0</v>
      </c>
      <c r="V54" s="34" t="n">
        <f aca="false">IFERROR(U54/U$20,0)</f>
        <v>0</v>
      </c>
      <c r="W54" s="24" t="n">
        <f aca="false">W20*'Vessel Assumptions'!$C$31</f>
        <v>0</v>
      </c>
      <c r="X54" s="34" t="n">
        <f aca="false">IFERROR(W54/W$20,0)</f>
        <v>0</v>
      </c>
      <c r="Y54" s="24" t="n">
        <f aca="false">Y20*'Vessel Assumptions'!$C$31</f>
        <v>0</v>
      </c>
      <c r="Z54" s="34" t="n">
        <f aca="false">IFERROR(Y54/Y$20,0)</f>
        <v>0</v>
      </c>
      <c r="AB54" s="24" t="n">
        <f aca="false">SUM(C54,E54,G54,I54,K54,M54,O54,Q54,S54,U54,W54,Y54)</f>
        <v>0</v>
      </c>
      <c r="AC54" s="34" t="n">
        <f aca="false">IFERROR(AB54/AB$20,0)</f>
        <v>0</v>
      </c>
    </row>
    <row r="55" customFormat="false" ht="15" hidden="false" customHeight="true" outlineLevel="0" collapsed="false">
      <c r="A55" s="5" t="s">
        <v>332</v>
      </c>
      <c r="C55" s="24" t="n">
        <f aca="false">C20*'Vessel Assumptions'!$C$39</f>
        <v>1075.204</v>
      </c>
      <c r="D55" s="34" t="n">
        <f aca="false">IFERROR(C55/C$20,0)</f>
        <v>0.0249462365591398</v>
      </c>
      <c r="E55" s="24" t="n">
        <f aca="false">E20*'Vessel Assumptions'!$C$39</f>
        <v>330.832</v>
      </c>
      <c r="F55" s="34" t="n">
        <f aca="false">IFERROR(E55/E$20,0)</f>
        <v>0.0249462365591398</v>
      </c>
      <c r="G55" s="24" t="n">
        <f aca="false">G20*'Vessel Assumptions'!$C$39</f>
        <v>1075.204</v>
      </c>
      <c r="H55" s="34" t="n">
        <f aca="false">IFERROR(G55/G$20,0)</f>
        <v>0.0249462365591398</v>
      </c>
      <c r="I55" s="24" t="n">
        <f aca="false">I20*'Vessel Assumptions'!$C$39</f>
        <v>330.832</v>
      </c>
      <c r="J55" s="34" t="n">
        <f aca="false">IFERROR(I55/I$20,0)</f>
        <v>0.0249462365591398</v>
      </c>
      <c r="K55" s="24" t="n">
        <f aca="false">K20*'Vessel Assumptions'!$C$39</f>
        <v>827.08</v>
      </c>
      <c r="L55" s="34" t="n">
        <f aca="false">IFERROR(K55/K$20,0)</f>
        <v>0.0249462365591398</v>
      </c>
      <c r="M55" s="24" t="n">
        <f aca="false">M20*'Vessel Assumptions'!$C$39</f>
        <v>727.8304</v>
      </c>
      <c r="N55" s="34" t="n">
        <f aca="false">IFERROR(M55/M$20,0)</f>
        <v>0.0249462365591398</v>
      </c>
      <c r="O55" s="24" t="n">
        <f aca="false">O20*'Vessel Assumptions'!$C$39</f>
        <v>727.8304</v>
      </c>
      <c r="P55" s="34" t="n">
        <f aca="false">IFERROR(O55/O$20,0)</f>
        <v>0.0249462365591398</v>
      </c>
      <c r="Q55" s="24" t="n">
        <f aca="false">Q20*'Vessel Assumptions'!$C$39</f>
        <v>727.8304</v>
      </c>
      <c r="R55" s="34" t="n">
        <f aca="false">IFERROR(Q55/Q$20,0)</f>
        <v>0.0249462365591398</v>
      </c>
      <c r="S55" s="24" t="n">
        <f aca="false">S20*'Vessel Assumptions'!$C$39</f>
        <v>727.8304</v>
      </c>
      <c r="T55" s="34" t="n">
        <f aca="false">IFERROR(S55/S$20,0)</f>
        <v>0.0249462365591398</v>
      </c>
      <c r="U55" s="24" t="n">
        <f aca="false">U20*'Vessel Assumptions'!$C$39</f>
        <v>727.8304</v>
      </c>
      <c r="V55" s="34" t="n">
        <f aca="false">IFERROR(U55/U$20,0)</f>
        <v>0.0249462365591398</v>
      </c>
      <c r="W55" s="24" t="n">
        <f aca="false">W20*'Vessel Assumptions'!$C$39</f>
        <v>727.8304</v>
      </c>
      <c r="X55" s="34" t="n">
        <f aca="false">IFERROR(W55/W$20,0)</f>
        <v>0.0249462365591398</v>
      </c>
      <c r="Y55" s="24" t="n">
        <f aca="false">Y20*'Vessel Assumptions'!$C$39</f>
        <v>727.8304</v>
      </c>
      <c r="Z55" s="34" t="n">
        <f aca="false">IFERROR(Y55/Y$20,0)</f>
        <v>0.0249462365591398</v>
      </c>
      <c r="AB55" s="24" t="n">
        <f aca="false">SUM(C55,E55,G55,I55,K55,M55,O55,Q55,S55,U55,W55,Y55)</f>
        <v>8733.9648</v>
      </c>
      <c r="AC55" s="34" t="n">
        <f aca="false">IFERROR(AB55/AB$20,0)</f>
        <v>0.0249462365591398</v>
      </c>
    </row>
    <row r="56" customFormat="false" ht="15" hidden="false" customHeight="true" outlineLevel="0" collapsed="false">
      <c r="A56" s="5" t="s">
        <v>143</v>
      </c>
      <c r="C56" s="24" t="n">
        <f aca="false">C20*'Vessel Assumptions'!$C$30</f>
        <v>1724.034</v>
      </c>
      <c r="D56" s="34" t="n">
        <f aca="false">IFERROR(C56/C$20,0)</f>
        <v>0.04</v>
      </c>
      <c r="E56" s="24" t="n">
        <f aca="false">E20*'Vessel Assumptions'!$C$30</f>
        <v>530.472</v>
      </c>
      <c r="F56" s="34" t="n">
        <f aca="false">IFERROR(E56/E$20,0)</f>
        <v>0.04</v>
      </c>
      <c r="G56" s="24" t="n">
        <f aca="false">G20*'Vessel Assumptions'!$C$30</f>
        <v>1724.034</v>
      </c>
      <c r="H56" s="34" t="n">
        <f aca="false">IFERROR(G56/G$20,0)</f>
        <v>0.04</v>
      </c>
      <c r="I56" s="24" t="n">
        <f aca="false">I20*'Vessel Assumptions'!$C$30</f>
        <v>530.472</v>
      </c>
      <c r="J56" s="34" t="n">
        <f aca="false">IFERROR(I56/I$20,0)</f>
        <v>0.04</v>
      </c>
      <c r="K56" s="24" t="n">
        <f aca="false">K20*'Vessel Assumptions'!$C$30</f>
        <v>1326.18</v>
      </c>
      <c r="L56" s="34" t="n">
        <f aca="false">IFERROR(K56/K$20,0)</f>
        <v>0.04</v>
      </c>
      <c r="M56" s="24" t="n">
        <f aca="false">M20*'Vessel Assumptions'!$C$30</f>
        <v>1167.0384</v>
      </c>
      <c r="N56" s="34" t="n">
        <f aca="false">IFERROR(M56/M$20,0)</f>
        <v>0.04</v>
      </c>
      <c r="O56" s="24" t="n">
        <f aca="false">O20*'Vessel Assumptions'!$C$30</f>
        <v>1167.0384</v>
      </c>
      <c r="P56" s="34" t="n">
        <f aca="false">IFERROR(O56/O$20,0)</f>
        <v>0.04</v>
      </c>
      <c r="Q56" s="24" t="n">
        <f aca="false">Q20*'Vessel Assumptions'!$C$30</f>
        <v>1167.0384</v>
      </c>
      <c r="R56" s="34" t="n">
        <f aca="false">IFERROR(Q56/Q$20,0)</f>
        <v>0.04</v>
      </c>
      <c r="S56" s="24" t="n">
        <f aca="false">S20*'Vessel Assumptions'!$C$30</f>
        <v>1167.0384</v>
      </c>
      <c r="T56" s="34" t="n">
        <f aca="false">IFERROR(S56/S$20,0)</f>
        <v>0.04</v>
      </c>
      <c r="U56" s="24" t="n">
        <f aca="false">U20*'Vessel Assumptions'!$C$30</f>
        <v>1167.0384</v>
      </c>
      <c r="V56" s="34" t="n">
        <f aca="false">IFERROR(U56/U$20,0)</f>
        <v>0.04</v>
      </c>
      <c r="W56" s="24" t="n">
        <f aca="false">W20*'Vessel Assumptions'!$C$30</f>
        <v>1167.0384</v>
      </c>
      <c r="X56" s="34" t="n">
        <f aca="false">IFERROR(W56/W$20,0)</f>
        <v>0.04</v>
      </c>
      <c r="Y56" s="24" t="n">
        <f aca="false">Y20*'Vessel Assumptions'!$C$30</f>
        <v>1167.0384</v>
      </c>
      <c r="Z56" s="34" t="n">
        <f aca="false">IFERROR(Y56/Y$20,0)</f>
        <v>0.04</v>
      </c>
      <c r="AB56" s="24" t="n">
        <f aca="false">SUM(C56,E56,G56,I56,K56,M56,O56,Q56,S56,U56,W56,Y56)</f>
        <v>14004.4608</v>
      </c>
      <c r="AC56" s="34" t="n">
        <f aca="false">IFERROR(AB56/AB$20,0)</f>
        <v>0.04</v>
      </c>
    </row>
    <row r="57" customFormat="false" ht="15" hidden="false" customHeight="true" outlineLevel="0" collapsed="false">
      <c r="A57" s="5" t="s">
        <v>333</v>
      </c>
      <c r="C57" s="24" t="n">
        <v>0</v>
      </c>
      <c r="D57" s="34" t="n">
        <f aca="false">IFERROR(C57/C$20,0)</f>
        <v>0</v>
      </c>
      <c r="E57" s="24" t="n">
        <v>0</v>
      </c>
      <c r="F57" s="34" t="n">
        <f aca="false">IFERROR(E57/E$20,0)</f>
        <v>0</v>
      </c>
      <c r="G57" s="24" t="n">
        <v>0</v>
      </c>
      <c r="H57" s="34" t="n">
        <f aca="false">IFERROR(G57/G$20,0)</f>
        <v>0</v>
      </c>
      <c r="I57" s="24" t="n">
        <v>0</v>
      </c>
      <c r="J57" s="34" t="n">
        <f aca="false">IFERROR(I57/I$20,0)</f>
        <v>0</v>
      </c>
      <c r="K57" s="24" t="n">
        <v>0</v>
      </c>
      <c r="L57" s="34" t="n">
        <f aca="false">IFERROR(K57/K$20,0)</f>
        <v>0</v>
      </c>
      <c r="M57" s="24" t="n">
        <v>0</v>
      </c>
      <c r="N57" s="34" t="n">
        <f aca="false">IFERROR(M57/M$20,0)</f>
        <v>0</v>
      </c>
      <c r="O57" s="24" t="n">
        <v>0</v>
      </c>
      <c r="P57" s="34" t="n">
        <f aca="false">IFERROR(O57/O$20,0)</f>
        <v>0</v>
      </c>
      <c r="Q57" s="24" t="n">
        <v>0</v>
      </c>
      <c r="R57" s="34" t="n">
        <f aca="false">IFERROR(Q57/Q$20,0)</f>
        <v>0</v>
      </c>
      <c r="S57" s="24" t="n">
        <v>0</v>
      </c>
      <c r="T57" s="34" t="n">
        <f aca="false">IFERROR(S57/S$20,0)</f>
        <v>0</v>
      </c>
      <c r="U57" s="24" t="n">
        <v>0</v>
      </c>
      <c r="V57" s="34" t="n">
        <f aca="false">IFERROR(U57/U$20,0)</f>
        <v>0</v>
      </c>
      <c r="W57" s="24" t="n">
        <v>0</v>
      </c>
      <c r="X57" s="34" t="n">
        <f aca="false">IFERROR(W57/W$20,0)</f>
        <v>0</v>
      </c>
      <c r="Y57" s="24" t="n">
        <v>0</v>
      </c>
      <c r="Z57" s="34" t="n">
        <f aca="false">IFERROR(Y57/Y$20,0)</f>
        <v>0</v>
      </c>
      <c r="AB57" s="24" t="n">
        <f aca="false">SUM(C57,E57,G57,I57,K57,M57,O57,Q57,S57,U57,W57,Y57)</f>
        <v>0</v>
      </c>
      <c r="AC57" s="34" t="n">
        <f aca="false">IFERROR(AB57/AB$20,0)</f>
        <v>0</v>
      </c>
    </row>
    <row r="58" customFormat="false" ht="15" hidden="false" customHeight="true" outlineLevel="0" collapsed="false">
      <c r="A58" s="5" t="s">
        <v>215</v>
      </c>
      <c r="C58" s="24" t="n">
        <v>0</v>
      </c>
      <c r="D58" s="34" t="n">
        <f aca="false">IFERROR(C58/C$20,0)</f>
        <v>0</v>
      </c>
      <c r="E58" s="24" t="n">
        <v>0</v>
      </c>
      <c r="F58" s="34" t="n">
        <f aca="false">IFERROR(E58/E$20,0)</f>
        <v>0</v>
      </c>
      <c r="G58" s="24" t="n">
        <v>0</v>
      </c>
      <c r="H58" s="34" t="n">
        <f aca="false">IFERROR(G58/G$20,0)</f>
        <v>0</v>
      </c>
      <c r="I58" s="24" t="n">
        <v>0</v>
      </c>
      <c r="J58" s="34" t="n">
        <f aca="false">IFERROR(I58/I$20,0)</f>
        <v>0</v>
      </c>
      <c r="K58" s="24" t="n">
        <v>0</v>
      </c>
      <c r="L58" s="34" t="n">
        <f aca="false">IFERROR(K58/K$20,0)</f>
        <v>0</v>
      </c>
      <c r="M58" s="24" t="n">
        <v>0</v>
      </c>
      <c r="N58" s="34" t="n">
        <f aca="false">IFERROR(M58/M$20,0)</f>
        <v>0</v>
      </c>
      <c r="O58" s="24" t="n">
        <v>0</v>
      </c>
      <c r="P58" s="34" t="n">
        <f aca="false">IFERROR(O58/O$20,0)</f>
        <v>0</v>
      </c>
      <c r="Q58" s="24" t="n">
        <v>0</v>
      </c>
      <c r="R58" s="34" t="n">
        <f aca="false">IFERROR(Q58/Q$20,0)</f>
        <v>0</v>
      </c>
      <c r="S58" s="24" t="n">
        <v>0</v>
      </c>
      <c r="T58" s="34" t="n">
        <f aca="false">IFERROR(S58/S$20,0)</f>
        <v>0</v>
      </c>
      <c r="U58" s="24" t="n">
        <v>0</v>
      </c>
      <c r="V58" s="34" t="n">
        <f aca="false">IFERROR(U58/U$20,0)</f>
        <v>0</v>
      </c>
      <c r="W58" s="24" t="n">
        <v>0</v>
      </c>
      <c r="X58" s="34" t="n">
        <f aca="false">IFERROR(W58/W$20,0)</f>
        <v>0</v>
      </c>
      <c r="Y58" s="24" t="n">
        <v>0</v>
      </c>
      <c r="Z58" s="34" t="n">
        <f aca="false">IFERROR(Y58/Y$20,0)</f>
        <v>0</v>
      </c>
      <c r="AB58" s="24" t="n">
        <f aca="false">SUM(C58,E58,G58,I58,K58,M58,O58,Q58,S58,U58,W58,Y58)</f>
        <v>0</v>
      </c>
      <c r="AC58" s="34" t="n">
        <f aca="false">IFERROR(AB58/AB$20,0)</f>
        <v>0</v>
      </c>
    </row>
    <row r="59" customFormat="false" ht="15" hidden="false" customHeight="true" outlineLevel="0" collapsed="false">
      <c r="A59" s="5" t="s">
        <v>216</v>
      </c>
      <c r="C59" s="24" t="n">
        <v>0</v>
      </c>
      <c r="D59" s="34" t="n">
        <f aca="false">IFERROR(C59/C$20,0)</f>
        <v>0</v>
      </c>
      <c r="E59" s="24" t="n">
        <v>0</v>
      </c>
      <c r="F59" s="34" t="n">
        <f aca="false">IFERROR(E59/E$20,0)</f>
        <v>0</v>
      </c>
      <c r="G59" s="24" t="n">
        <v>0</v>
      </c>
      <c r="H59" s="34" t="n">
        <f aca="false">IFERROR(G59/G$20,0)</f>
        <v>0</v>
      </c>
      <c r="I59" s="24" t="n">
        <v>0</v>
      </c>
      <c r="J59" s="34" t="n">
        <f aca="false">IFERROR(I59/I$20,0)</f>
        <v>0</v>
      </c>
      <c r="K59" s="24" t="n">
        <v>0</v>
      </c>
      <c r="L59" s="34" t="n">
        <f aca="false">IFERROR(K59/K$20,0)</f>
        <v>0</v>
      </c>
      <c r="M59" s="24" t="n">
        <v>0</v>
      </c>
      <c r="N59" s="34" t="n">
        <f aca="false">IFERROR(M59/M$20,0)</f>
        <v>0</v>
      </c>
      <c r="O59" s="24" t="n">
        <v>0</v>
      </c>
      <c r="P59" s="34" t="n">
        <f aca="false">IFERROR(O59/O$20,0)</f>
        <v>0</v>
      </c>
      <c r="Q59" s="24" t="n">
        <v>0</v>
      </c>
      <c r="R59" s="34" t="n">
        <f aca="false">IFERROR(Q59/Q$20,0)</f>
        <v>0</v>
      </c>
      <c r="S59" s="24" t="n">
        <v>0</v>
      </c>
      <c r="T59" s="34" t="n">
        <f aca="false">IFERROR(S59/S$20,0)</f>
        <v>0</v>
      </c>
      <c r="U59" s="24" t="n">
        <v>0</v>
      </c>
      <c r="V59" s="34" t="n">
        <f aca="false">IFERROR(U59/U$20,0)</f>
        <v>0</v>
      </c>
      <c r="W59" s="24" t="n">
        <v>0</v>
      </c>
      <c r="X59" s="34" t="n">
        <f aca="false">IFERROR(W59/W$20,0)</f>
        <v>0</v>
      </c>
      <c r="Y59" s="24" t="n">
        <v>0</v>
      </c>
      <c r="Z59" s="34" t="n">
        <f aca="false">IFERROR(Y59/Y$20,0)</f>
        <v>0</v>
      </c>
      <c r="AB59" s="24" t="n">
        <f aca="false">SUM(C59,E59,G59,I59,K59,M59,O59,Q59,S59,U59,W59,Y59)</f>
        <v>0</v>
      </c>
      <c r="AC59" s="34" t="n">
        <f aca="false">IFERROR(AB59/AB$20,0)</f>
        <v>0</v>
      </c>
    </row>
    <row r="60" customFormat="false" ht="15" hidden="false" customHeight="true" outlineLevel="0" collapsed="false">
      <c r="A60" s="6" t="s">
        <v>217</v>
      </c>
      <c r="C60" s="27" t="n">
        <f aca="false">SUM(C53:C59)</f>
        <v>2799.238</v>
      </c>
      <c r="D60" s="35" t="n">
        <f aca="false">IFERROR(C60/C$20,0)</f>
        <v>0.0649462365591398</v>
      </c>
      <c r="E60" s="27" t="n">
        <f aca="false">SUM(E53:E59)</f>
        <v>861.304</v>
      </c>
      <c r="F60" s="35" t="n">
        <f aca="false">IFERROR(E60/E$20,0)</f>
        <v>0.0649462365591398</v>
      </c>
      <c r="G60" s="27" t="n">
        <f aca="false">SUM(G53:G59)</f>
        <v>2799.238</v>
      </c>
      <c r="H60" s="35" t="n">
        <f aca="false">IFERROR(G60/G$20,0)</f>
        <v>0.0649462365591398</v>
      </c>
      <c r="I60" s="27" t="n">
        <f aca="false">SUM(I53:I59)</f>
        <v>861.304</v>
      </c>
      <c r="J60" s="35" t="n">
        <f aca="false">IFERROR(I60/I$20,0)</f>
        <v>0.0649462365591398</v>
      </c>
      <c r="K60" s="27" t="n">
        <f aca="false">SUM(K53:K59)</f>
        <v>2153.26</v>
      </c>
      <c r="L60" s="35" t="n">
        <f aca="false">IFERROR(K60/K$20,0)</f>
        <v>0.0649462365591398</v>
      </c>
      <c r="M60" s="27" t="n">
        <f aca="false">SUM(M53:M59)</f>
        <v>1894.8688</v>
      </c>
      <c r="N60" s="35" t="n">
        <f aca="false">IFERROR(M60/M$20,0)</f>
        <v>0.0649462365591398</v>
      </c>
      <c r="O60" s="27" t="n">
        <f aca="false">SUM(O53:O59)</f>
        <v>1894.8688</v>
      </c>
      <c r="P60" s="35" t="n">
        <f aca="false">IFERROR(O60/O$20,0)</f>
        <v>0.0649462365591398</v>
      </c>
      <c r="Q60" s="27" t="n">
        <f aca="false">SUM(Q53:Q59)</f>
        <v>1894.8688</v>
      </c>
      <c r="R60" s="35" t="n">
        <f aca="false">IFERROR(Q60/Q$20,0)</f>
        <v>0.0649462365591398</v>
      </c>
      <c r="S60" s="27" t="n">
        <f aca="false">SUM(S53:S59)</f>
        <v>1894.8688</v>
      </c>
      <c r="T60" s="35" t="n">
        <f aca="false">IFERROR(S60/S$20,0)</f>
        <v>0.0649462365591398</v>
      </c>
      <c r="U60" s="27" t="n">
        <f aca="false">SUM(U53:U59)</f>
        <v>1894.8688</v>
      </c>
      <c r="V60" s="35" t="n">
        <f aca="false">IFERROR(U60/U$20,0)</f>
        <v>0.0649462365591398</v>
      </c>
      <c r="W60" s="27" t="n">
        <f aca="false">SUM(W53:W59)</f>
        <v>1894.8688</v>
      </c>
      <c r="X60" s="35" t="n">
        <f aca="false">IFERROR(W60/W$20,0)</f>
        <v>0.0649462365591398</v>
      </c>
      <c r="Y60" s="27" t="n">
        <f aca="false">SUM(Y53:Y59)</f>
        <v>1894.8688</v>
      </c>
      <c r="Z60" s="35" t="n">
        <f aca="false">IFERROR(Y60/Y$20,0)</f>
        <v>0.0649462365591398</v>
      </c>
      <c r="AB60" s="27" t="n">
        <f aca="false">SUM(AB53:AB59)</f>
        <v>22738.4256</v>
      </c>
      <c r="AC60" s="35" t="n">
        <f aca="false">IFERROR(AB60/AB$20,0)</f>
        <v>0.0649462365591398</v>
      </c>
    </row>
    <row r="62" customFormat="false" ht="15" hidden="false" customHeight="true" outlineLevel="0" collapsed="false">
      <c r="A62" s="6" t="s">
        <v>218</v>
      </c>
      <c r="C62" s="27" t="n">
        <f aca="false">C41-C50-C60</f>
        <v>10724.233</v>
      </c>
      <c r="D62" s="35" t="n">
        <f aca="false">IFERROR(C62/C$20,0)</f>
        <v>0.248817204301075</v>
      </c>
      <c r="E62" s="27" t="n">
        <f aca="false">E41-E50-E60</f>
        <v>3299.764</v>
      </c>
      <c r="F62" s="35" t="n">
        <f aca="false">IFERROR(E62/E$20,0)</f>
        <v>0.248817204301075</v>
      </c>
      <c r="G62" s="27" t="n">
        <f aca="false">G41-G50-G60</f>
        <v>10724.233</v>
      </c>
      <c r="H62" s="35" t="n">
        <f aca="false">IFERROR(G62/G$20,0)</f>
        <v>0.248817204301075</v>
      </c>
      <c r="I62" s="27" t="n">
        <f aca="false">I41-I50-I60</f>
        <v>3299.764</v>
      </c>
      <c r="J62" s="35" t="n">
        <f aca="false">IFERROR(I62/I$20,0)</f>
        <v>0.248817204301075</v>
      </c>
      <c r="K62" s="27" t="n">
        <f aca="false">K41-K50-K60</f>
        <v>8249.41</v>
      </c>
      <c r="L62" s="35" t="n">
        <f aca="false">IFERROR(K62/K$20,0)</f>
        <v>0.248817204301075</v>
      </c>
      <c r="M62" s="27" t="n">
        <f aca="false">M41-M50-M60</f>
        <v>7259.4808</v>
      </c>
      <c r="N62" s="35" t="n">
        <f aca="false">IFERROR(M62/M$20,0)</f>
        <v>0.248817204301075</v>
      </c>
      <c r="O62" s="27" t="n">
        <f aca="false">O41-O50-O60</f>
        <v>7259.4808</v>
      </c>
      <c r="P62" s="35" t="n">
        <f aca="false">IFERROR(O62/O$20,0)</f>
        <v>0.248817204301075</v>
      </c>
      <c r="Q62" s="27" t="n">
        <f aca="false">Q41-Q50-Q60</f>
        <v>7259.4808</v>
      </c>
      <c r="R62" s="35" t="n">
        <f aca="false">IFERROR(Q62/Q$20,0)</f>
        <v>0.248817204301075</v>
      </c>
      <c r="S62" s="27" t="n">
        <f aca="false">S41-S50-S60</f>
        <v>7259.4808</v>
      </c>
      <c r="T62" s="35" t="n">
        <f aca="false">IFERROR(S62/S$20,0)</f>
        <v>0.248817204301075</v>
      </c>
      <c r="U62" s="27" t="n">
        <f aca="false">U41-U50-U60</f>
        <v>7259.4808</v>
      </c>
      <c r="V62" s="35" t="n">
        <f aca="false">IFERROR(U62/U$20,0)</f>
        <v>0.248817204301075</v>
      </c>
      <c r="W62" s="27" t="n">
        <f aca="false">W41-W50-W60</f>
        <v>7259.4808</v>
      </c>
      <c r="X62" s="35" t="n">
        <f aca="false">IFERROR(W62/W$20,0)</f>
        <v>0.248817204301075</v>
      </c>
      <c r="Y62" s="27" t="n">
        <f aca="false">Y41-Y50-Y60</f>
        <v>7259.4808</v>
      </c>
      <c r="Z62" s="35" t="n">
        <f aca="false">IFERROR(Y62/Y$20,0)</f>
        <v>0.248817204301075</v>
      </c>
      <c r="AB62" s="27" t="n">
        <f aca="false">AB41-AB50-AB60</f>
        <v>87113.7696</v>
      </c>
      <c r="AC62" s="35" t="n">
        <f aca="false">IFERROR(AB62/AB$20,0)</f>
        <v>0.248817204301075</v>
      </c>
    </row>
    <row r="64" customFormat="false" ht="15" hidden="false" customHeight="true" outlineLevel="0" collapsed="false">
      <c r="A64" s="5" t="s">
        <v>219</v>
      </c>
      <c r="C64" s="24" t="n">
        <v>0</v>
      </c>
      <c r="D64" s="34" t="n">
        <f aca="false">IFERROR(C64/C$20,0)</f>
        <v>0</v>
      </c>
      <c r="E64" s="24" t="n">
        <v>0</v>
      </c>
      <c r="F64" s="34" t="n">
        <f aca="false">IFERROR(E64/E$20,0)</f>
        <v>0</v>
      </c>
      <c r="G64" s="24" t="n">
        <v>0</v>
      </c>
      <c r="H64" s="34" t="n">
        <f aca="false">IFERROR(G64/G$20,0)</f>
        <v>0</v>
      </c>
      <c r="I64" s="24" t="n">
        <v>0</v>
      </c>
      <c r="J64" s="34" t="n">
        <f aca="false">IFERROR(I64/I$20,0)</f>
        <v>0</v>
      </c>
      <c r="K64" s="24" t="n">
        <v>0</v>
      </c>
      <c r="L64" s="34" t="n">
        <f aca="false">IFERROR(K64/K$20,0)</f>
        <v>0</v>
      </c>
      <c r="M64" s="24" t="n">
        <v>0</v>
      </c>
      <c r="N64" s="34" t="n">
        <f aca="false">IFERROR(M64/M$20,0)</f>
        <v>0</v>
      </c>
      <c r="O64" s="24" t="n">
        <v>0</v>
      </c>
      <c r="P64" s="34" t="n">
        <f aca="false">IFERROR(O64/O$20,0)</f>
        <v>0</v>
      </c>
      <c r="Q64" s="24" t="n">
        <v>0</v>
      </c>
      <c r="R64" s="34" t="n">
        <f aca="false">IFERROR(Q64/Q$20,0)</f>
        <v>0</v>
      </c>
      <c r="S64" s="24" t="n">
        <v>0</v>
      </c>
      <c r="T64" s="34" t="n">
        <f aca="false">IFERROR(S64/S$20,0)</f>
        <v>0</v>
      </c>
      <c r="U64" s="24" t="n">
        <v>0</v>
      </c>
      <c r="V64" s="34" t="n">
        <f aca="false">IFERROR(U64/U$20,0)</f>
        <v>0</v>
      </c>
      <c r="W64" s="24" t="n">
        <v>0</v>
      </c>
      <c r="X64" s="34" t="n">
        <f aca="false">IFERROR(W64/W$20,0)</f>
        <v>0</v>
      </c>
      <c r="Y64" s="24" t="n">
        <v>0</v>
      </c>
      <c r="Z64" s="34" t="n">
        <f aca="false">IFERROR(Y64/Y$20,0)</f>
        <v>0</v>
      </c>
      <c r="AB64" s="24" t="n">
        <f aca="false">SUM(C64,E64,G64,I64,K64,M64,O64,Q64,S64,U64,W64,Y64)</f>
        <v>0</v>
      </c>
      <c r="AC64" s="34" t="n">
        <f aca="false">IFERROR(AB64/AB$20,0)</f>
        <v>0</v>
      </c>
    </row>
    <row r="66" customFormat="false" ht="15" hidden="false" customHeight="true" outlineLevel="0" collapsed="false">
      <c r="A66" s="6" t="s">
        <v>220</v>
      </c>
      <c r="C66" s="7" t="n">
        <f aca="false">C62-C64</f>
        <v>10724.233</v>
      </c>
      <c r="D66" s="8" t="n">
        <f aca="false">IFERROR(C66/C$20,0)</f>
        <v>0.248817204301075</v>
      </c>
      <c r="E66" s="7" t="n">
        <f aca="false">E62-E64</f>
        <v>3299.764</v>
      </c>
      <c r="F66" s="8" t="n">
        <f aca="false">IFERROR(E66/E$20,0)</f>
        <v>0.248817204301075</v>
      </c>
      <c r="G66" s="7" t="n">
        <f aca="false">G62-G64</f>
        <v>10724.233</v>
      </c>
      <c r="H66" s="8" t="n">
        <f aca="false">IFERROR(G66/G$20,0)</f>
        <v>0.248817204301075</v>
      </c>
      <c r="I66" s="7" t="n">
        <f aca="false">I62-I64</f>
        <v>3299.764</v>
      </c>
      <c r="J66" s="8" t="n">
        <f aca="false">IFERROR(I66/I$20,0)</f>
        <v>0.248817204301075</v>
      </c>
      <c r="K66" s="7" t="n">
        <f aca="false">K62-K64</f>
        <v>8249.41</v>
      </c>
      <c r="L66" s="8" t="n">
        <f aca="false">IFERROR(K66/K$20,0)</f>
        <v>0.248817204301075</v>
      </c>
      <c r="M66" s="7" t="n">
        <f aca="false">M62-M64</f>
        <v>7259.4808</v>
      </c>
      <c r="N66" s="8" t="n">
        <f aca="false">IFERROR(M66/M$20,0)</f>
        <v>0.248817204301075</v>
      </c>
      <c r="O66" s="7" t="n">
        <f aca="false">O62-O64</f>
        <v>7259.4808</v>
      </c>
      <c r="P66" s="8" t="n">
        <f aca="false">IFERROR(O66/O$20,0)</f>
        <v>0.248817204301075</v>
      </c>
      <c r="Q66" s="7" t="n">
        <f aca="false">Q62-Q64</f>
        <v>7259.4808</v>
      </c>
      <c r="R66" s="8" t="n">
        <f aca="false">IFERROR(Q66/Q$20,0)</f>
        <v>0.248817204301075</v>
      </c>
      <c r="S66" s="7" t="n">
        <f aca="false">S62-S64</f>
        <v>7259.4808</v>
      </c>
      <c r="T66" s="8" t="n">
        <f aca="false">IFERROR(S66/S$20,0)</f>
        <v>0.248817204301075</v>
      </c>
      <c r="U66" s="7" t="n">
        <f aca="false">U62-U64</f>
        <v>7259.4808</v>
      </c>
      <c r="V66" s="8" t="n">
        <f aca="false">IFERROR(U66/U$20,0)</f>
        <v>0.248817204301075</v>
      </c>
      <c r="W66" s="7" t="n">
        <f aca="false">W62-W64</f>
        <v>7259.4808</v>
      </c>
      <c r="X66" s="8" t="n">
        <f aca="false">IFERROR(W66/W$20,0)</f>
        <v>0.248817204301075</v>
      </c>
      <c r="Y66" s="7" t="n">
        <f aca="false">Y62-Y64</f>
        <v>7259.4808</v>
      </c>
      <c r="Z66" s="8" t="n">
        <f aca="false">IFERROR(Y66/Y$20,0)</f>
        <v>0.248817204301075</v>
      </c>
      <c r="AB66" s="7" t="n">
        <f aca="false">AB62-AB64</f>
        <v>87113.7696</v>
      </c>
      <c r="AC66" s="8" t="n">
        <f aca="false">IFERROR(AB66/AB$20,0)</f>
        <v>0.248817204301075</v>
      </c>
    </row>
    <row r="68" customFormat="false" ht="15" hidden="false" customHeight="true" outlineLevel="0" collapsed="false">
      <c r="A68" s="5" t="s">
        <v>221</v>
      </c>
      <c r="C68" s="24" t="n">
        <v>0</v>
      </c>
      <c r="D68" s="34" t="n">
        <f aca="false">IFERROR(C68/C$20,0)</f>
        <v>0</v>
      </c>
      <c r="E68" s="24" t="n">
        <v>0</v>
      </c>
      <c r="F68" s="34" t="n">
        <f aca="false">IFERROR(E68/E$20,0)</f>
        <v>0</v>
      </c>
      <c r="G68" s="24" t="n">
        <v>0</v>
      </c>
      <c r="H68" s="34" t="n">
        <f aca="false">IFERROR(G68/G$20,0)</f>
        <v>0</v>
      </c>
      <c r="I68" s="24" t="n">
        <v>0</v>
      </c>
      <c r="J68" s="34" t="n">
        <f aca="false">IFERROR(I68/I$20,0)</f>
        <v>0</v>
      </c>
      <c r="K68" s="24" t="n">
        <v>0</v>
      </c>
      <c r="L68" s="34" t="n">
        <f aca="false">IFERROR(K68/K$20,0)</f>
        <v>0</v>
      </c>
      <c r="M68" s="24" t="n">
        <v>0</v>
      </c>
      <c r="N68" s="34" t="n">
        <f aca="false">IFERROR(M68/M$20,0)</f>
        <v>0</v>
      </c>
      <c r="O68" s="24" t="n">
        <v>0</v>
      </c>
      <c r="P68" s="34" t="n">
        <f aca="false">IFERROR(O68/O$20,0)</f>
        <v>0</v>
      </c>
      <c r="Q68" s="24" t="n">
        <v>0</v>
      </c>
      <c r="R68" s="34" t="n">
        <f aca="false">IFERROR(Q68/Q$20,0)</f>
        <v>0</v>
      </c>
      <c r="S68" s="24" t="n">
        <v>0</v>
      </c>
      <c r="T68" s="34" t="n">
        <f aca="false">IFERROR(S68/S$20,0)</f>
        <v>0</v>
      </c>
      <c r="U68" s="24" t="n">
        <v>0</v>
      </c>
      <c r="V68" s="34" t="n">
        <f aca="false">IFERROR(U68/U$20,0)</f>
        <v>0</v>
      </c>
      <c r="W68" s="24" t="n">
        <v>0</v>
      </c>
      <c r="X68" s="34" t="n">
        <f aca="false">IFERROR(W68/W$20,0)</f>
        <v>0</v>
      </c>
      <c r="Y68" s="24" t="n">
        <v>0</v>
      </c>
      <c r="Z68" s="34" t="n">
        <f aca="false">IFERROR(Y68/Y$20,0)</f>
        <v>0</v>
      </c>
      <c r="AB68" s="24" t="n">
        <f aca="false">SUM(C68,E68,G68,I68,K68,M68,O68,Q68,S68,U68,W68,Y68)</f>
        <v>0</v>
      </c>
      <c r="AC68" s="34" t="n">
        <f aca="false">IFERROR(AB68/AB$20,0)</f>
        <v>0</v>
      </c>
    </row>
    <row r="69" customFormat="false" ht="15" hidden="false" customHeight="true" outlineLevel="0" collapsed="false">
      <c r="A69" s="5" t="s">
        <v>222</v>
      </c>
      <c r="C69" s="24" t="n">
        <v>0</v>
      </c>
      <c r="D69" s="34" t="n">
        <f aca="false">IFERROR(C69/C$20,0)</f>
        <v>0</v>
      </c>
      <c r="E69" s="24" t="n">
        <v>0</v>
      </c>
      <c r="F69" s="34" t="n">
        <f aca="false">IFERROR(E69/E$20,0)</f>
        <v>0</v>
      </c>
      <c r="G69" s="24" t="n">
        <v>0</v>
      </c>
      <c r="H69" s="34" t="n">
        <f aca="false">IFERROR(G69/G$20,0)</f>
        <v>0</v>
      </c>
      <c r="I69" s="24" t="n">
        <v>0</v>
      </c>
      <c r="J69" s="34" t="n">
        <f aca="false">IFERROR(I69/I$20,0)</f>
        <v>0</v>
      </c>
      <c r="K69" s="24" t="n">
        <v>0</v>
      </c>
      <c r="L69" s="34" t="n">
        <f aca="false">IFERROR(K69/K$20,0)</f>
        <v>0</v>
      </c>
      <c r="M69" s="24" t="n">
        <v>0</v>
      </c>
      <c r="N69" s="34" t="n">
        <f aca="false">IFERROR(M69/M$20,0)</f>
        <v>0</v>
      </c>
      <c r="O69" s="24" t="n">
        <v>0</v>
      </c>
      <c r="P69" s="34" t="n">
        <f aca="false">IFERROR(O69/O$20,0)</f>
        <v>0</v>
      </c>
      <c r="Q69" s="24" t="n">
        <v>0</v>
      </c>
      <c r="R69" s="34" t="n">
        <f aca="false">IFERROR(Q69/Q$20,0)</f>
        <v>0</v>
      </c>
      <c r="S69" s="24" t="n">
        <v>0</v>
      </c>
      <c r="T69" s="34" t="n">
        <f aca="false">IFERROR(S69/S$20,0)</f>
        <v>0</v>
      </c>
      <c r="U69" s="24" t="n">
        <v>0</v>
      </c>
      <c r="V69" s="34" t="n">
        <f aca="false">IFERROR(U69/U$20,0)</f>
        <v>0</v>
      </c>
      <c r="W69" s="24" t="n">
        <v>0</v>
      </c>
      <c r="X69" s="34" t="n">
        <f aca="false">IFERROR(W69/W$20,0)</f>
        <v>0</v>
      </c>
      <c r="Y69" s="24" t="n">
        <v>0</v>
      </c>
      <c r="Z69" s="34" t="n">
        <f aca="false">IFERROR(Y69/Y$20,0)</f>
        <v>0</v>
      </c>
      <c r="AB69" s="24" t="n">
        <f aca="false">SUM(C69,E69,G69,I69,K69,M69,O69,Q69,S69,U69,W69,Y69)</f>
        <v>0</v>
      </c>
      <c r="AC69" s="34" t="n">
        <f aca="false">IFERROR(AB69/AB$20,0)</f>
        <v>0</v>
      </c>
    </row>
    <row r="70" customFormat="false" ht="15" hidden="false" customHeight="true" outlineLevel="0" collapsed="false">
      <c r="A70" s="6" t="s">
        <v>223</v>
      </c>
      <c r="C70" s="36" t="n">
        <f aca="false">C66-C68-C69</f>
        <v>10724.233</v>
      </c>
      <c r="D70" s="37" t="n">
        <f aca="false">IFERROR(C70/C$20,0)</f>
        <v>0.248817204301075</v>
      </c>
      <c r="E70" s="36" t="n">
        <f aca="false">E66-E68-E69</f>
        <v>3299.764</v>
      </c>
      <c r="F70" s="37" t="n">
        <f aca="false">IFERROR(E70/E$20,0)</f>
        <v>0.248817204301075</v>
      </c>
      <c r="G70" s="36" t="n">
        <f aca="false">G66-G68-G69</f>
        <v>10724.233</v>
      </c>
      <c r="H70" s="37" t="n">
        <f aca="false">IFERROR(G70/G$20,0)</f>
        <v>0.248817204301075</v>
      </c>
      <c r="I70" s="36" t="n">
        <f aca="false">I66-I68-I69</f>
        <v>3299.764</v>
      </c>
      <c r="J70" s="37" t="n">
        <f aca="false">IFERROR(I70/I$20,0)</f>
        <v>0.248817204301075</v>
      </c>
      <c r="K70" s="36" t="n">
        <f aca="false">K66-K68-K69</f>
        <v>8249.41</v>
      </c>
      <c r="L70" s="37" t="n">
        <f aca="false">IFERROR(K70/K$20,0)</f>
        <v>0.248817204301075</v>
      </c>
      <c r="M70" s="36" t="n">
        <f aca="false">M66-M68-M69</f>
        <v>7259.4808</v>
      </c>
      <c r="N70" s="37" t="n">
        <f aca="false">IFERROR(M70/M$20,0)</f>
        <v>0.248817204301075</v>
      </c>
      <c r="O70" s="36" t="n">
        <f aca="false">O66-O68-O69</f>
        <v>7259.4808</v>
      </c>
      <c r="P70" s="37" t="n">
        <f aca="false">IFERROR(O70/O$20,0)</f>
        <v>0.248817204301075</v>
      </c>
      <c r="Q70" s="36" t="n">
        <f aca="false">Q66-Q68-Q69</f>
        <v>7259.4808</v>
      </c>
      <c r="R70" s="37" t="n">
        <f aca="false">IFERROR(Q70/Q$20,0)</f>
        <v>0.248817204301075</v>
      </c>
      <c r="S70" s="36" t="n">
        <f aca="false">S66-S68-S69</f>
        <v>7259.4808</v>
      </c>
      <c r="T70" s="37" t="n">
        <f aca="false">IFERROR(S70/S$20,0)</f>
        <v>0.248817204301075</v>
      </c>
      <c r="U70" s="36" t="n">
        <f aca="false">U66-U68-U69</f>
        <v>7259.4808</v>
      </c>
      <c r="V70" s="37" t="n">
        <f aca="false">IFERROR(U70/U$20,0)</f>
        <v>0.248817204301075</v>
      </c>
      <c r="W70" s="36" t="n">
        <f aca="false">W66-W68-W69</f>
        <v>7259.4808</v>
      </c>
      <c r="X70" s="37" t="n">
        <f aca="false">IFERROR(W70/W$20,0)</f>
        <v>0.248817204301075</v>
      </c>
      <c r="Y70" s="36" t="n">
        <f aca="false">Y66-Y68-Y69</f>
        <v>7259.4808</v>
      </c>
      <c r="Z70" s="37" t="n">
        <f aca="false">IFERROR(Y70/Y$20,0)</f>
        <v>0.248817204301075</v>
      </c>
      <c r="AB70" s="36" t="n">
        <f aca="false">AB66-AB68-AB69</f>
        <v>87113.7696</v>
      </c>
      <c r="AC70" s="37" t="n">
        <f aca="false">IFERROR(AB70/AB$20,0)</f>
        <v>0.248817204301075</v>
      </c>
    </row>
    <row r="72" customFormat="false" ht="15" hidden="false" customHeight="true" outlineLevel="0" collapsed="false">
      <c r="A72" s="3" t="s">
        <v>334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6"/>
  </cols>
  <sheetData>
    <row r="1" customFormat="false" ht="15" hidden="false" customHeight="true" outlineLevel="0" collapsed="false">
      <c r="A1" s="2" t="s">
        <v>158</v>
      </c>
    </row>
    <row r="2" customFormat="false" ht="15" hidden="false" customHeight="true" outlineLevel="0" collapsed="false">
      <c r="A2" s="2" t="s">
        <v>335</v>
      </c>
    </row>
    <row r="4" customFormat="false" ht="15" hidden="false" customHeight="true" outlineLevel="0" collapsed="false">
      <c r="A4" s="6" t="s">
        <v>336</v>
      </c>
    </row>
    <row r="5" customFormat="false" ht="15" hidden="false" customHeight="true" outlineLevel="0" collapsed="false">
      <c r="A5" s="5" t="s">
        <v>337</v>
      </c>
      <c r="B5" s="75" t="n">
        <v>10</v>
      </c>
      <c r="C5" s="3" t="s">
        <v>338</v>
      </c>
    </row>
    <row r="6" customFormat="false" ht="15" hidden="false" customHeight="true" outlineLevel="0" collapsed="false">
      <c r="A6" s="5" t="s">
        <v>339</v>
      </c>
      <c r="B6" s="76" t="n">
        <v>0.06</v>
      </c>
      <c r="C6" s="3" t="s">
        <v>340</v>
      </c>
    </row>
    <row r="8" customFormat="false" ht="15" hidden="false" customHeight="true" outlineLevel="0" collapsed="false">
      <c r="A8" s="38"/>
      <c r="B8" s="31" t="s">
        <v>341</v>
      </c>
      <c r="C8" s="31" t="s">
        <v>342</v>
      </c>
      <c r="D8" s="31" t="s">
        <v>343</v>
      </c>
      <c r="E8" s="77"/>
      <c r="F8" s="77"/>
      <c r="G8" s="77"/>
    </row>
    <row r="9" customFormat="false" ht="15" hidden="false" customHeight="true" outlineLevel="0" collapsed="false">
      <c r="A9" s="5" t="s">
        <v>344</v>
      </c>
      <c r="B9" s="78" t="n">
        <f aca="false">'Vessel Budget'!$AB$9</f>
        <v>75.2928</v>
      </c>
      <c r="C9" s="78" t="n">
        <f aca="false">B9+$B$5</f>
        <v>85.2928</v>
      </c>
      <c r="D9" s="78" t="n">
        <f aca="false">C9+$B$5</f>
        <v>95.2928</v>
      </c>
      <c r="E9" s="77"/>
      <c r="F9" s="77"/>
      <c r="G9" s="77"/>
    </row>
    <row r="10" customFormat="false" ht="15" hidden="false" customHeight="true" outlineLevel="0" collapsed="false">
      <c r="A10" s="5" t="s">
        <v>345</v>
      </c>
      <c r="B10" s="79" t="n">
        <f aca="false">'Vessel Budget'!$AB$20/'Vessel Budget'!$AB$9</f>
        <v>4650</v>
      </c>
      <c r="C10" s="79" t="n">
        <f aca="false">B10*(1+$B$6)</f>
        <v>4929</v>
      </c>
      <c r="D10" s="79" t="n">
        <f aca="false">C10*(1+$B$6)</f>
        <v>5224.74</v>
      </c>
      <c r="E10" s="77"/>
      <c r="F10" s="77"/>
      <c r="G10" s="77"/>
    </row>
    <row r="11" customFormat="false" ht="15" hidden="false" customHeight="true" outlineLevel="0" collapsed="false">
      <c r="A11" s="6" t="s">
        <v>346</v>
      </c>
      <c r="B11" s="80" t="n">
        <f aca="false">B9*B10</f>
        <v>350111.52</v>
      </c>
      <c r="C11" s="80" t="n">
        <f aca="false">C9*C10</f>
        <v>420408.2112</v>
      </c>
      <c r="D11" s="80" t="n">
        <f aca="false">D9*D10</f>
        <v>497880.103872</v>
      </c>
      <c r="E11" s="77"/>
      <c r="F11" s="77"/>
      <c r="G11" s="77"/>
    </row>
    <row r="12" customFormat="false" ht="15" hidden="false" customHeight="true" outlineLevel="0" collapsed="false">
      <c r="A12" s="5" t="s">
        <v>347</v>
      </c>
      <c r="B12" s="81" t="n">
        <f aca="false">'Vessel Budget'!$AB$62/'Vessel Budget'!$AB$20</f>
        <v>0.248817204301075</v>
      </c>
      <c r="C12" s="81" t="n">
        <f aca="false">$B$12</f>
        <v>0.248817204301075</v>
      </c>
      <c r="D12" s="81" t="n">
        <f aca="false">$B$12</f>
        <v>0.248817204301075</v>
      </c>
      <c r="E12" s="77"/>
      <c r="F12" s="77"/>
      <c r="G12" s="77"/>
    </row>
    <row r="13" customFormat="false" ht="15" hidden="false" customHeight="true" outlineLevel="0" collapsed="false">
      <c r="A13" s="6" t="s">
        <v>348</v>
      </c>
      <c r="B13" s="82" t="n">
        <f aca="false">B11*B12</f>
        <v>87113.7696</v>
      </c>
      <c r="C13" s="82" t="n">
        <f aca="false">C11*C12</f>
        <v>104604.795776</v>
      </c>
      <c r="D13" s="82" t="n">
        <f aca="false">D11*D12</f>
        <v>123881.13552256</v>
      </c>
      <c r="E13" s="77"/>
      <c r="F13" s="77"/>
      <c r="G13" s="77"/>
    </row>
    <row r="15" customFormat="false" ht="15" hidden="false" customHeight="true" outlineLevel="0" collapsed="false">
      <c r="A15" s="3" t="s">
        <v>349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4" min="3" style="1" width="15"/>
  </cols>
  <sheetData>
    <row r="1" customFormat="false" ht="37.5" hidden="false" customHeight="true" outlineLevel="0" collapsed="false">
      <c r="A1" s="40" t="s">
        <v>350</v>
      </c>
      <c r="B1" s="40"/>
      <c r="C1" s="40"/>
      <c r="D1" s="40"/>
    </row>
    <row r="2" customFormat="false" ht="15" hidden="false" customHeight="true" outlineLevel="0" collapsed="false">
      <c r="A2" s="41" t="s">
        <v>351</v>
      </c>
      <c r="B2" s="41"/>
      <c r="C2" s="41"/>
      <c r="D2" s="41"/>
    </row>
    <row r="4" customFormat="false" ht="15" hidden="false" customHeight="true" outlineLevel="0" collapsed="false">
      <c r="B4" s="83" t="s">
        <v>352</v>
      </c>
      <c r="C4" s="43" t="s">
        <v>353</v>
      </c>
      <c r="D4" s="43" t="s">
        <v>354</v>
      </c>
    </row>
    <row r="6" customFormat="false" ht="15" hidden="false" customHeight="true" outlineLevel="0" collapsed="false">
      <c r="B6" s="42" t="s">
        <v>355</v>
      </c>
    </row>
    <row r="8" customFormat="false" ht="15" hidden="false" customHeight="true" outlineLevel="0" collapsed="false">
      <c r="B8" s="49" t="s">
        <v>356</v>
      </c>
      <c r="C8" s="50" t="n">
        <f aca="false">'Vessel 2026 P&amp;L'!$AB$28</f>
        <v>17230</v>
      </c>
      <c r="D8" s="50" t="n">
        <f aca="false">C8/12</f>
        <v>1435.83333333333</v>
      </c>
    </row>
    <row r="10" customFormat="false" ht="15" hidden="false" customHeight="true" outlineLevel="0" collapsed="false">
      <c r="B10" s="42" t="s">
        <v>357</v>
      </c>
    </row>
    <row r="11" customFormat="false" ht="15" hidden="false" customHeight="true" outlineLevel="0" collapsed="false">
      <c r="B11" s="49" t="s">
        <v>358</v>
      </c>
      <c r="C11" s="50" t="n">
        <v>18543</v>
      </c>
      <c r="D11" s="50" t="n">
        <f aca="false">C11/12</f>
        <v>1545.25</v>
      </c>
    </row>
    <row r="12" customFormat="false" ht="15" hidden="false" customHeight="true" outlineLevel="0" collapsed="false">
      <c r="B12" s="49" t="s">
        <v>359</v>
      </c>
      <c r="C12" s="50" t="n">
        <v>30300</v>
      </c>
      <c r="D12" s="50" t="n">
        <f aca="false">C12/12</f>
        <v>2525</v>
      </c>
    </row>
    <row r="13" customFormat="false" ht="15" hidden="false" customHeight="true" outlineLevel="0" collapsed="false">
      <c r="B13" s="49" t="s">
        <v>360</v>
      </c>
      <c r="C13" s="50" t="n">
        <v>13917</v>
      </c>
      <c r="D13" s="50" t="n">
        <f aca="false">C13/12</f>
        <v>1159.75</v>
      </c>
    </row>
    <row r="14" customFormat="false" ht="15" hidden="false" customHeight="true" outlineLevel="0" collapsed="false">
      <c r="B14" s="49" t="s">
        <v>361</v>
      </c>
      <c r="C14" s="50" t="n">
        <v>6750</v>
      </c>
      <c r="D14" s="50" t="n">
        <f aca="false">C14/12</f>
        <v>562.5</v>
      </c>
    </row>
    <row r="15" customFormat="false" ht="15" hidden="false" customHeight="true" outlineLevel="0" collapsed="false">
      <c r="B15" s="49" t="s">
        <v>362</v>
      </c>
      <c r="C15" s="50" t="n">
        <v>5748</v>
      </c>
      <c r="D15" s="50" t="n">
        <f aca="false">C15/12</f>
        <v>479</v>
      </c>
    </row>
    <row r="16" customFormat="false" ht="15" hidden="false" customHeight="true" outlineLevel="0" collapsed="false">
      <c r="B16" s="49" t="s">
        <v>211</v>
      </c>
      <c r="C16" s="50" t="n">
        <v>5602</v>
      </c>
      <c r="D16" s="50" t="n">
        <f aca="false">C16/12</f>
        <v>466.833333333333</v>
      </c>
    </row>
    <row r="17" customFormat="false" ht="15" hidden="false" customHeight="true" outlineLevel="0" collapsed="false">
      <c r="B17" s="44" t="s">
        <v>363</v>
      </c>
      <c r="C17" s="45" t="n">
        <f aca="false">SUM(C11:C16)</f>
        <v>80860</v>
      </c>
      <c r="D17" s="45" t="n">
        <f aca="false">C17/12</f>
        <v>6738.33333333333</v>
      </c>
    </row>
    <row r="18" customFormat="false" ht="15" hidden="false" customHeight="true" outlineLevel="0" collapsed="false">
      <c r="B18" s="63" t="s">
        <v>364</v>
      </c>
      <c r="C18" s="84" t="n">
        <f aca="false">'Vessel 2026 P&amp;L'!$AB$44</f>
        <v>80624</v>
      </c>
      <c r="D18" s="85" t="n">
        <f aca="false">C18/12</f>
        <v>6718.66666666667</v>
      </c>
    </row>
    <row r="20" customFormat="false" ht="15" hidden="false" customHeight="true" outlineLevel="0" collapsed="false">
      <c r="B20" s="42" t="s">
        <v>365</v>
      </c>
    </row>
    <row r="21" customFormat="false" ht="15" hidden="false" customHeight="true" outlineLevel="0" collapsed="false">
      <c r="B21" s="49" t="s">
        <v>366</v>
      </c>
      <c r="C21" s="50" t="n">
        <v>2106</v>
      </c>
      <c r="D21" s="50" t="n">
        <f aca="false">C21/12</f>
        <v>175.5</v>
      </c>
    </row>
    <row r="22" customFormat="false" ht="15" hidden="false" customHeight="true" outlineLevel="0" collapsed="false">
      <c r="B22" s="49" t="s">
        <v>367</v>
      </c>
      <c r="C22" s="50" t="n">
        <v>1800</v>
      </c>
      <c r="D22" s="50" t="n">
        <f aca="false">C22/12</f>
        <v>150</v>
      </c>
    </row>
    <row r="23" customFormat="false" ht="15" hidden="false" customHeight="true" outlineLevel="0" collapsed="false">
      <c r="B23" s="49" t="s">
        <v>368</v>
      </c>
      <c r="C23" s="50" t="n">
        <v>4855</v>
      </c>
      <c r="D23" s="50" t="n">
        <f aca="false">C23/12</f>
        <v>404.583333333333</v>
      </c>
    </row>
    <row r="24" customFormat="false" ht="15" hidden="false" customHeight="true" outlineLevel="0" collapsed="false">
      <c r="B24" s="44" t="s">
        <v>369</v>
      </c>
      <c r="C24" s="45" t="n">
        <f aca="false">'Vessel 2026 P&amp;L'!$AB$47+'Vessel 2026 P&amp;L'!$AB$49+'Vessel 2026 P&amp;L'!$AB$51+'Vessel 2026 P&amp;L'!$AB$52</f>
        <v>12545</v>
      </c>
      <c r="D24" s="45" t="n">
        <f aca="false">C24/12</f>
        <v>1045.41666666667</v>
      </c>
    </row>
    <row r="26" customFormat="false" ht="15" hidden="false" customHeight="true" outlineLevel="0" collapsed="false">
      <c r="B26" s="42" t="s">
        <v>370</v>
      </c>
    </row>
    <row r="27" customFormat="false" ht="15" hidden="false" customHeight="true" outlineLevel="0" collapsed="false">
      <c r="B27" s="49" t="s">
        <v>371</v>
      </c>
      <c r="C27" s="50" t="n">
        <v>2745</v>
      </c>
      <c r="D27" s="50" t="n">
        <f aca="false">C27/12</f>
        <v>228.75</v>
      </c>
    </row>
    <row r="28" customFormat="false" ht="15" hidden="false" customHeight="true" outlineLevel="0" collapsed="false">
      <c r="B28" s="49" t="s">
        <v>372</v>
      </c>
      <c r="C28" s="50" t="n">
        <v>48000</v>
      </c>
      <c r="D28" s="50" t="n">
        <f aca="false">C28/12</f>
        <v>4000</v>
      </c>
    </row>
    <row r="29" customFormat="false" ht="15" hidden="false" customHeight="true" outlineLevel="0" collapsed="false">
      <c r="B29" s="49" t="s">
        <v>373</v>
      </c>
      <c r="C29" s="50" t="n">
        <f aca="false">'Vessel 2026 P&amp;L'!$AB$48</f>
        <v>21341</v>
      </c>
      <c r="D29" s="50" t="n">
        <f aca="false">C29/12</f>
        <v>1778.41666666667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158</v>
      </c>
    </row>
    <row r="2" customFormat="false" ht="15" hidden="false" customHeight="true" outlineLevel="0" collapsed="false">
      <c r="A2" s="2" t="s">
        <v>374</v>
      </c>
    </row>
    <row r="3" customFormat="false" ht="15" hidden="false" customHeight="true" outlineLevel="0" collapsed="false">
      <c r="A3" s="2" t="s">
        <v>375</v>
      </c>
    </row>
    <row r="5" customFormat="false" ht="15" hidden="false" customHeight="true" outlineLevel="0" collapsed="false">
      <c r="C5" s="30" t="s">
        <v>241</v>
      </c>
      <c r="D5" s="30"/>
      <c r="E5" s="30" t="s">
        <v>242</v>
      </c>
      <c r="F5" s="30"/>
      <c r="G5" s="30" t="s">
        <v>243</v>
      </c>
      <c r="H5" s="30"/>
      <c r="I5" s="30" t="s">
        <v>244</v>
      </c>
      <c r="J5" s="30"/>
      <c r="K5" s="30" t="s">
        <v>231</v>
      </c>
      <c r="L5" s="30"/>
      <c r="M5" s="30" t="s">
        <v>245</v>
      </c>
      <c r="N5" s="30"/>
      <c r="O5" s="30" t="s">
        <v>246</v>
      </c>
      <c r="P5" s="30"/>
      <c r="Q5" s="30" t="s">
        <v>247</v>
      </c>
      <c r="R5" s="30"/>
      <c r="S5" s="30" t="s">
        <v>248</v>
      </c>
      <c r="T5" s="30"/>
      <c r="U5" s="30" t="s">
        <v>249</v>
      </c>
      <c r="V5" s="30"/>
      <c r="W5" s="30" t="s">
        <v>250</v>
      </c>
      <c r="X5" s="30"/>
      <c r="Y5" s="30" t="s">
        <v>251</v>
      </c>
      <c r="Z5" s="30"/>
      <c r="AB5" s="30" t="s">
        <v>375</v>
      </c>
      <c r="AC5" s="30"/>
    </row>
    <row r="6" customFormat="false" ht="15" hidden="false" customHeight="true" outlineLevel="0" collapsed="false">
      <c r="C6" s="32" t="s">
        <v>376</v>
      </c>
      <c r="D6" s="32"/>
      <c r="E6" s="32" t="s">
        <v>376</v>
      </c>
      <c r="F6" s="32"/>
      <c r="G6" s="32" t="s">
        <v>376</v>
      </c>
      <c r="H6" s="32"/>
      <c r="I6" s="32" t="s">
        <v>376</v>
      </c>
      <c r="J6" s="32"/>
      <c r="K6" s="32" t="s">
        <v>376</v>
      </c>
      <c r="L6" s="32"/>
      <c r="M6" s="32" t="s">
        <v>376</v>
      </c>
      <c r="N6" s="32"/>
      <c r="O6" s="32" t="s">
        <v>377</v>
      </c>
      <c r="P6" s="32"/>
      <c r="Q6" s="32" t="s">
        <v>377</v>
      </c>
      <c r="R6" s="32"/>
      <c r="S6" s="32" t="s">
        <v>377</v>
      </c>
      <c r="T6" s="32"/>
      <c r="U6" s="32" t="s">
        <v>377</v>
      </c>
      <c r="V6" s="32"/>
      <c r="W6" s="32" t="s">
        <v>377</v>
      </c>
      <c r="X6" s="32"/>
      <c r="Y6" s="32" t="s">
        <v>377</v>
      </c>
      <c r="Z6" s="32"/>
      <c r="AB6" s="32" t="s">
        <v>378</v>
      </c>
      <c r="AC6" s="32"/>
    </row>
    <row r="7" customFormat="false" ht="15" hidden="false" customHeight="true" outlineLevel="0" collapsed="false">
      <c r="C7" s="31" t="s">
        <v>176</v>
      </c>
      <c r="D7" s="31" t="s">
        <v>177</v>
      </c>
      <c r="E7" s="31" t="s">
        <v>176</v>
      </c>
      <c r="F7" s="31" t="s">
        <v>177</v>
      </c>
      <c r="G7" s="31" t="s">
        <v>176</v>
      </c>
      <c r="H7" s="31" t="s">
        <v>177</v>
      </c>
      <c r="I7" s="31" t="s">
        <v>176</v>
      </c>
      <c r="J7" s="31" t="s">
        <v>177</v>
      </c>
      <c r="K7" s="31" t="s">
        <v>176</v>
      </c>
      <c r="L7" s="31" t="s">
        <v>177</v>
      </c>
      <c r="M7" s="31" t="s">
        <v>176</v>
      </c>
      <c r="N7" s="31" t="s">
        <v>177</v>
      </c>
      <c r="O7" s="31" t="s">
        <v>176</v>
      </c>
      <c r="P7" s="31" t="s">
        <v>177</v>
      </c>
      <c r="Q7" s="31" t="s">
        <v>176</v>
      </c>
      <c r="R7" s="31" t="s">
        <v>177</v>
      </c>
      <c r="S7" s="31" t="s">
        <v>176</v>
      </c>
      <c r="T7" s="31" t="s">
        <v>177</v>
      </c>
      <c r="U7" s="31" t="s">
        <v>176</v>
      </c>
      <c r="V7" s="31" t="s">
        <v>177</v>
      </c>
      <c r="W7" s="31" t="s">
        <v>176</v>
      </c>
      <c r="X7" s="31" t="s">
        <v>177</v>
      </c>
      <c r="Y7" s="31" t="s">
        <v>176</v>
      </c>
      <c r="Z7" s="31" t="s">
        <v>177</v>
      </c>
      <c r="AB7" s="31" t="s">
        <v>176</v>
      </c>
      <c r="AC7" s="31" t="s">
        <v>177</v>
      </c>
    </row>
    <row r="8" customFormat="false" ht="15" hidden="false" customHeight="true" outlineLevel="0" collapsed="false">
      <c r="A8" s="6" t="s">
        <v>178</v>
      </c>
    </row>
    <row r="9" customFormat="false" ht="15" hidden="false" customHeight="true" outlineLevel="0" collapsed="false">
      <c r="A9" s="5" t="s">
        <v>179</v>
      </c>
      <c r="C9" s="24" t="n">
        <v>28343</v>
      </c>
      <c r="D9" s="34" t="n">
        <f aca="false">IFERROR(C9/C$16,0)</f>
        <v>0.743559473214754</v>
      </c>
      <c r="E9" s="24" t="n">
        <v>9119</v>
      </c>
      <c r="F9" s="34" t="n">
        <f aca="false">IFERROR(E9/E$16,0)</f>
        <v>0.546309609393722</v>
      </c>
      <c r="G9" s="24" t="n">
        <v>21950</v>
      </c>
      <c r="H9" s="34" t="n">
        <f aca="false">IFERROR(G9/G$16,0)</f>
        <v>0.551438261524934</v>
      </c>
      <c r="I9" s="24" t="n">
        <v>4645</v>
      </c>
      <c r="J9" s="34" t="n">
        <f aca="false">IFERROR(I9/I$16,0)</f>
        <v>0.37079907400016</v>
      </c>
      <c r="K9" s="24" t="n">
        <v>14241</v>
      </c>
      <c r="L9" s="34" t="n">
        <f aca="false">IFERROR(K9/K$16,0)</f>
        <v>0.347859009746208</v>
      </c>
      <c r="M9" s="24" t="n">
        <v>15390</v>
      </c>
      <c r="N9" s="34" t="n">
        <f aca="false">IFERROR(M9/M$16,0)</f>
        <v>0.335857538790564</v>
      </c>
      <c r="O9" s="24" t="n">
        <v>11504</v>
      </c>
      <c r="P9" s="34" t="n">
        <f aca="false">IFERROR(O9/O$16,0)</f>
        <v>0.347868158451769</v>
      </c>
      <c r="Q9" s="24" t="n">
        <v>8697</v>
      </c>
      <c r="R9" s="34" t="n">
        <f aca="false">IFERROR(Q9/Q$16,0)</f>
        <v>0.347866085356586</v>
      </c>
      <c r="S9" s="24" t="n">
        <v>8697</v>
      </c>
      <c r="T9" s="34" t="n">
        <f aca="false">IFERROR(S9/S$16,0)</f>
        <v>0.347866085356586</v>
      </c>
      <c r="U9" s="24" t="n">
        <v>6957</v>
      </c>
      <c r="V9" s="34" t="n">
        <f aca="false">IFERROR(U9/U$16,0)</f>
        <v>0.34785</v>
      </c>
      <c r="W9" s="24" t="n">
        <v>6957</v>
      </c>
      <c r="X9" s="34" t="n">
        <f aca="false">IFERROR(W9/W$16,0)</f>
        <v>0.34785</v>
      </c>
      <c r="Y9" s="24" t="n">
        <v>12175</v>
      </c>
      <c r="Z9" s="34" t="n">
        <f aca="false">IFERROR(Y9/Y$16,0)</f>
        <v>0.347867081916626</v>
      </c>
      <c r="AB9" s="24" t="n">
        <f aca="false">SUM(C9,E9,G9,I9,K9,M9,O9,Q9,S9,U9,W9,Y9)</f>
        <v>148675</v>
      </c>
      <c r="AC9" s="34" t="n">
        <f aca="false">IFERROR(AB9/AB$16,0)</f>
        <v>0.422402159244265</v>
      </c>
    </row>
    <row r="10" customFormat="false" ht="15" hidden="false" customHeight="true" outlineLevel="0" collapsed="false">
      <c r="A10" s="5" t="s">
        <v>180</v>
      </c>
      <c r="C10" s="24" t="n">
        <v>5992</v>
      </c>
      <c r="D10" s="34" t="n">
        <f aca="false">IFERROR(C10/C$16,0)</f>
        <v>0.157196075344981</v>
      </c>
      <c r="E10" s="24" t="n">
        <v>4542</v>
      </c>
      <c r="F10" s="34" t="n">
        <f aca="false">IFERROR(E10/E$16,0)</f>
        <v>0.272106398274623</v>
      </c>
      <c r="G10" s="24" t="n">
        <v>3907</v>
      </c>
      <c r="H10" s="34" t="n">
        <f aca="false">IFERROR(G10/G$16,0)</f>
        <v>0.0981534983042331</v>
      </c>
      <c r="I10" s="24" t="n">
        <v>1012</v>
      </c>
      <c r="J10" s="34" t="n">
        <f aca="false">IFERROR(I10/I$16,0)</f>
        <v>0.0807855033128443</v>
      </c>
      <c r="K10" s="24" t="n">
        <v>2090</v>
      </c>
      <c r="L10" s="34" t="n">
        <f aca="false">IFERROR(K10/K$16,0)</f>
        <v>0.0510515645228266</v>
      </c>
      <c r="M10" s="24" t="n">
        <v>2193</v>
      </c>
      <c r="N10" s="34" t="n">
        <f aca="false">IFERROR(M10/M$16,0)</f>
        <v>0.0478580625450102</v>
      </c>
      <c r="O10" s="24" t="n">
        <v>1688</v>
      </c>
      <c r="P10" s="34" t="n">
        <f aca="false">IFERROR(O10/O$16,0)</f>
        <v>0.0510432416087088</v>
      </c>
      <c r="Q10" s="24" t="n">
        <v>1276</v>
      </c>
      <c r="R10" s="34" t="n">
        <f aca="false">IFERROR(Q10/Q$16,0)</f>
        <v>0.0510379584816607</v>
      </c>
      <c r="S10" s="24" t="n">
        <v>1276</v>
      </c>
      <c r="T10" s="34" t="n">
        <f aca="false">IFERROR(S10/S$16,0)</f>
        <v>0.0510379584816607</v>
      </c>
      <c r="U10" s="24" t="n">
        <v>1021</v>
      </c>
      <c r="V10" s="34" t="n">
        <f aca="false">IFERROR(U10/U$16,0)</f>
        <v>0.05105</v>
      </c>
      <c r="W10" s="24" t="n">
        <v>1021</v>
      </c>
      <c r="X10" s="34" t="n">
        <f aca="false">IFERROR(W10/W$16,0)</f>
        <v>0.05105</v>
      </c>
      <c r="Y10" s="24" t="n">
        <v>1786</v>
      </c>
      <c r="Z10" s="34" t="n">
        <f aca="false">IFERROR(Y10/Y$16,0)</f>
        <v>0.0510300294294123</v>
      </c>
      <c r="AB10" s="24" t="n">
        <f aca="false">SUM(C10,E10,G10,I10,K10,M10,O10,Q10,S10,U10,W10,Y10)</f>
        <v>27804</v>
      </c>
      <c r="AC10" s="34" t="n">
        <f aca="false">IFERROR(AB10/AB$16,0)</f>
        <v>0.0789942467504794</v>
      </c>
    </row>
    <row r="11" customFormat="false" ht="15" hidden="false" customHeight="true" outlineLevel="0" collapsed="false">
      <c r="A11" s="5" t="s">
        <v>181</v>
      </c>
      <c r="C11" s="24" t="n">
        <v>1351</v>
      </c>
      <c r="D11" s="34" t="n">
        <f aca="false">IFERROR(C11/C$16,0)</f>
        <v>0.0354425730625951</v>
      </c>
      <c r="E11" s="24" t="n">
        <v>2141</v>
      </c>
      <c r="F11" s="34" t="n">
        <f aca="false">IFERROR(E11/E$16,0)</f>
        <v>0.128265037143542</v>
      </c>
      <c r="G11" s="24" t="n">
        <v>10278</v>
      </c>
      <c r="H11" s="34" t="n">
        <f aca="false">IFERROR(G11/G$16,0)</f>
        <v>0.258208767742746</v>
      </c>
      <c r="I11" s="24" t="n">
        <v>1836</v>
      </c>
      <c r="J11" s="34" t="n">
        <f aca="false">IFERROR(I11/I$16,0)</f>
        <v>0.146563423006306</v>
      </c>
      <c r="K11" s="24" t="n">
        <v>5557</v>
      </c>
      <c r="L11" s="34" t="n">
        <f aca="false">IFERROR(K11/K$16,0)</f>
        <v>0.135738537824568</v>
      </c>
      <c r="M11" s="24" t="n">
        <v>4142</v>
      </c>
      <c r="N11" s="34" t="n">
        <f aca="false">IFERROR(M11/M$16,0)</f>
        <v>0.0903912882177073</v>
      </c>
      <c r="O11" s="24" t="n">
        <v>4489</v>
      </c>
      <c r="P11" s="34" t="n">
        <f aca="false">IFERROR(O11/O$16,0)</f>
        <v>0.13574236468098</v>
      </c>
      <c r="Q11" s="24" t="n">
        <v>3394</v>
      </c>
      <c r="R11" s="34" t="n">
        <f aca="false">IFERROR(Q11/Q$16,0)</f>
        <v>0.135754569817207</v>
      </c>
      <c r="S11" s="24" t="n">
        <v>3394</v>
      </c>
      <c r="T11" s="34" t="n">
        <f aca="false">IFERROR(S11/S$16,0)</f>
        <v>0.135754569817207</v>
      </c>
      <c r="U11" s="24" t="n">
        <v>2715</v>
      </c>
      <c r="V11" s="34" t="n">
        <f aca="false">IFERROR(U11/U$16,0)</f>
        <v>0.13575</v>
      </c>
      <c r="W11" s="24" t="n">
        <v>2715</v>
      </c>
      <c r="X11" s="34" t="n">
        <f aca="false">IFERROR(W11/W$16,0)</f>
        <v>0.13575</v>
      </c>
      <c r="Y11" s="24" t="n">
        <v>4751</v>
      </c>
      <c r="Z11" s="34" t="n">
        <f aca="false">IFERROR(Y11/Y$16,0)</f>
        <v>0.135746735621018</v>
      </c>
      <c r="AB11" s="24" t="n">
        <f aca="false">SUM(C11,E11,G11,I11,K11,M11,O11,Q11,S11,U11,W11,Y11)</f>
        <v>46763</v>
      </c>
      <c r="AC11" s="34" t="n">
        <f aca="false">IFERROR(AB11/AB$16,0)</f>
        <v>0.132858867817317</v>
      </c>
    </row>
    <row r="12" customFormat="false" ht="15" hidden="false" customHeight="true" outlineLevel="0" collapsed="false">
      <c r="A12" s="5" t="s">
        <v>182</v>
      </c>
      <c r="C12" s="24" t="n">
        <v>40</v>
      </c>
      <c r="D12" s="34" t="n">
        <f aca="false">IFERROR(C12/C$16,0)</f>
        <v>0.00104937299963272</v>
      </c>
      <c r="E12" s="24" t="n">
        <v>0</v>
      </c>
      <c r="F12" s="34" t="n">
        <f aca="false">IFERROR(E12/E$16,0)</f>
        <v>0</v>
      </c>
      <c r="G12" s="24" t="n">
        <v>187</v>
      </c>
      <c r="H12" s="34" t="n">
        <f aca="false">IFERROR(G12/G$16,0)</f>
        <v>0.00469790227358372</v>
      </c>
      <c r="I12" s="24" t="n">
        <v>34</v>
      </c>
      <c r="J12" s="34" t="n">
        <f aca="false">IFERROR(I12/I$16,0)</f>
        <v>0.00271413746307975</v>
      </c>
      <c r="K12" s="24" t="n">
        <v>193</v>
      </c>
      <c r="L12" s="34" t="n">
        <f aca="false">IFERROR(K12/K$16,0)</f>
        <v>0.00471433107794524</v>
      </c>
      <c r="M12" s="24" t="n">
        <v>525</v>
      </c>
      <c r="N12" s="34" t="n">
        <f aca="false">IFERROR(M12/M$16,0)</f>
        <v>0.0114571285162473</v>
      </c>
      <c r="O12" s="24" t="n">
        <v>156</v>
      </c>
      <c r="P12" s="34" t="n">
        <f aca="false">IFERROR(O12/O$16,0)</f>
        <v>0.00471726640459631</v>
      </c>
      <c r="Q12" s="24" t="n">
        <v>118</v>
      </c>
      <c r="R12" s="34" t="n">
        <f aca="false">IFERROR(Q12/Q$16,0)</f>
        <v>0.0047198112075517</v>
      </c>
      <c r="S12" s="24" t="n">
        <v>118</v>
      </c>
      <c r="T12" s="34" t="n">
        <f aca="false">IFERROR(S12/S$16,0)</f>
        <v>0.0047198112075517</v>
      </c>
      <c r="U12" s="24" t="n">
        <v>94</v>
      </c>
      <c r="V12" s="34" t="n">
        <f aca="false">IFERROR(U12/U$16,0)</f>
        <v>0.0047</v>
      </c>
      <c r="W12" s="24" t="n">
        <v>94</v>
      </c>
      <c r="X12" s="34" t="n">
        <f aca="false">IFERROR(W12/W$16,0)</f>
        <v>0.0047</v>
      </c>
      <c r="Y12" s="24" t="n">
        <v>165</v>
      </c>
      <c r="Z12" s="34" t="n">
        <f aca="false">IFERROR(Y12/Y$16,0)</f>
        <v>0.00471442041201177</v>
      </c>
      <c r="AB12" s="24" t="n">
        <f aca="false">SUM(C12,E12,G12,I12,K12,M12,O12,Q12,S12,U12,W12,Y12)</f>
        <v>1724</v>
      </c>
      <c r="AC12" s="34" t="n">
        <f aca="false">IFERROR(AB12/AB$16,0)</f>
        <v>0.00489807514738263</v>
      </c>
    </row>
    <row r="13" customFormat="false" ht="15" hidden="false" customHeight="true" outlineLevel="0" collapsed="false">
      <c r="A13" s="5" t="s">
        <v>183</v>
      </c>
      <c r="C13" s="24" t="n">
        <v>758</v>
      </c>
      <c r="D13" s="34" t="n">
        <f aca="false">IFERROR(C13/C$16,0)</f>
        <v>0.01988561834304</v>
      </c>
      <c r="E13" s="24" t="n">
        <v>471</v>
      </c>
      <c r="F13" s="34" t="n">
        <f aca="false">IFERROR(E13/E$16,0)</f>
        <v>0.0282171099928109</v>
      </c>
      <c r="G13" s="24" t="n">
        <v>729</v>
      </c>
      <c r="H13" s="34" t="n">
        <f aca="false">IFERROR(G13/G$16,0)</f>
        <v>0.0183142821253611</v>
      </c>
      <c r="I13" s="24" t="n">
        <v>426</v>
      </c>
      <c r="J13" s="34" t="n">
        <f aca="false">IFERROR(I13/I$16,0)</f>
        <v>0.0340065458609404</v>
      </c>
      <c r="K13" s="24" t="n">
        <v>770</v>
      </c>
      <c r="L13" s="34" t="n">
        <f aca="false">IFERROR(K13/K$16,0)</f>
        <v>0.0188084711399888</v>
      </c>
      <c r="M13" s="24" t="n">
        <v>434</v>
      </c>
      <c r="N13" s="34" t="n">
        <f aca="false">IFERROR(M13/M$16,0)</f>
        <v>0.00947122624009777</v>
      </c>
      <c r="O13" s="24" t="n">
        <v>622</v>
      </c>
      <c r="P13" s="34" t="n">
        <f aca="false">IFERROR(O13/O$16,0)</f>
        <v>0.0188085878439673</v>
      </c>
      <c r="Q13" s="24" t="n">
        <v>470</v>
      </c>
      <c r="R13" s="34" t="n">
        <f aca="false">IFERROR(Q13/Q$16,0)</f>
        <v>0.0187992480300788</v>
      </c>
      <c r="S13" s="24" t="n">
        <v>470</v>
      </c>
      <c r="T13" s="34" t="n">
        <f aca="false">IFERROR(S13/S$16,0)</f>
        <v>0.0187992480300788</v>
      </c>
      <c r="U13" s="24" t="n">
        <v>376</v>
      </c>
      <c r="V13" s="34" t="n">
        <f aca="false">IFERROR(U13/U$16,0)</f>
        <v>0.0188</v>
      </c>
      <c r="W13" s="24" t="n">
        <v>376</v>
      </c>
      <c r="X13" s="34" t="n">
        <f aca="false">IFERROR(W13/W$16,0)</f>
        <v>0.0188</v>
      </c>
      <c r="Y13" s="24" t="n">
        <v>658</v>
      </c>
      <c r="Z13" s="34" t="n">
        <f aca="false">IFERROR(Y13/Y$16,0)</f>
        <v>0.0188005371582045</v>
      </c>
      <c r="AB13" s="24" t="n">
        <f aca="false">SUM(C13,E13,G13,I13,K13,M13,O13,Q13,S13,U13,W13,Y13)</f>
        <v>6560</v>
      </c>
      <c r="AC13" s="34" t="n">
        <f aca="false">IFERROR(AB13/AB$16,0)</f>
        <v>0.0186376873357483</v>
      </c>
    </row>
    <row r="14" customFormat="false" ht="15" hidden="false" customHeight="true" outlineLevel="0" collapsed="false">
      <c r="A14" s="5" t="s">
        <v>185</v>
      </c>
      <c r="C14" s="24" t="n">
        <v>3280</v>
      </c>
      <c r="D14" s="34" t="n">
        <f aca="false">IFERROR(C14/C$16,0)</f>
        <v>0.086048585969883</v>
      </c>
      <c r="E14" s="24" t="n">
        <v>419</v>
      </c>
      <c r="F14" s="34" t="n">
        <f aca="false">IFERROR(E14/E$16,0)</f>
        <v>0.0251018451953031</v>
      </c>
      <c r="G14" s="24" t="n">
        <v>2754</v>
      </c>
      <c r="H14" s="34" t="n">
        <f aca="false">IFERROR(G14/G$16,0)</f>
        <v>0.0691872880291421</v>
      </c>
      <c r="I14" s="24" t="n">
        <v>4574</v>
      </c>
      <c r="J14" s="34" t="n">
        <f aca="false">IFERROR(I14/I$16,0)</f>
        <v>0.36513131635667</v>
      </c>
      <c r="K14" s="24" t="n">
        <v>18088</v>
      </c>
      <c r="L14" s="34" t="n">
        <f aca="false">IFERROR(K14/K$16,0)</f>
        <v>0.441828085688463</v>
      </c>
      <c r="M14" s="24" t="n">
        <v>23139</v>
      </c>
      <c r="N14" s="34" t="n">
        <f aca="false">IFERROR(M14/M$16,0)</f>
        <v>0.504964755690374</v>
      </c>
      <c r="O14" s="24" t="n">
        <v>14611</v>
      </c>
      <c r="P14" s="34" t="n">
        <f aca="false">IFERROR(O14/O$16,0)</f>
        <v>0.441820381009979</v>
      </c>
      <c r="Q14" s="24" t="n">
        <v>11046</v>
      </c>
      <c r="R14" s="34" t="n">
        <f aca="false">IFERROR(Q14/Q$16,0)</f>
        <v>0.441822327106916</v>
      </c>
      <c r="S14" s="24" t="n">
        <v>11046</v>
      </c>
      <c r="T14" s="34" t="n">
        <f aca="false">IFERROR(S14/S$16,0)</f>
        <v>0.441822327106916</v>
      </c>
      <c r="U14" s="24" t="n">
        <v>8837</v>
      </c>
      <c r="V14" s="34" t="n">
        <f aca="false">IFERROR(U14/U$16,0)</f>
        <v>0.44185</v>
      </c>
      <c r="W14" s="24" t="n">
        <v>8837</v>
      </c>
      <c r="X14" s="34" t="n">
        <f aca="false">IFERROR(W14/W$16,0)</f>
        <v>0.44185</v>
      </c>
      <c r="Y14" s="24" t="n">
        <v>15464</v>
      </c>
      <c r="Z14" s="34" t="n">
        <f aca="false">IFERROR(Y14/Y$16,0)</f>
        <v>0.441841195462728</v>
      </c>
      <c r="AB14" s="24" t="n">
        <f aca="false">SUM(C14,E14,G14,I14,K14,M14,O14,Q14,S14,U14,W14,Y14)</f>
        <v>122095</v>
      </c>
      <c r="AC14" s="34" t="n">
        <f aca="false">IFERROR(AB14/AB$16,0)</f>
        <v>0.346885432203992</v>
      </c>
    </row>
    <row r="15" customFormat="false" ht="15" hidden="false" customHeight="true" outlineLevel="0" collapsed="false">
      <c r="A15" s="5" t="s">
        <v>186</v>
      </c>
      <c r="C15" s="24" t="n">
        <v>-1646</v>
      </c>
      <c r="D15" s="34" t="n">
        <f aca="false">IFERROR(C15/C$16,0)</f>
        <v>-0.0431816989348864</v>
      </c>
      <c r="E15" s="24" t="n">
        <v>0</v>
      </c>
      <c r="F15" s="34" t="n">
        <f aca="false">IFERROR(E15/E$16,0)</f>
        <v>0</v>
      </c>
      <c r="G15" s="24" t="n">
        <v>0</v>
      </c>
      <c r="H15" s="34" t="n">
        <f aca="false">IFERROR(G15/G$16,0)</f>
        <v>0</v>
      </c>
      <c r="I15" s="24" t="n">
        <v>0</v>
      </c>
      <c r="J15" s="34" t="n">
        <f aca="false">IFERROR(I15/I$16,0)</f>
        <v>0</v>
      </c>
      <c r="K15" s="24" t="n">
        <v>0</v>
      </c>
      <c r="L15" s="34" t="n">
        <f aca="false">IFERROR(K15/K$16,0)</f>
        <v>0</v>
      </c>
      <c r="M15" s="24" t="n">
        <v>0</v>
      </c>
      <c r="N15" s="34" t="n">
        <f aca="false">IFERROR(M15/M$16,0)</f>
        <v>0</v>
      </c>
      <c r="O15" s="24" t="n">
        <v>0</v>
      </c>
      <c r="P15" s="34" t="n">
        <f aca="false">IFERROR(O15/O$16,0)</f>
        <v>0</v>
      </c>
      <c r="Q15" s="24" t="n">
        <v>0</v>
      </c>
      <c r="R15" s="34" t="n">
        <f aca="false">IFERROR(Q15/Q$16,0)</f>
        <v>0</v>
      </c>
      <c r="S15" s="24" t="n">
        <v>0</v>
      </c>
      <c r="T15" s="34" t="n">
        <f aca="false">IFERROR(S15/S$16,0)</f>
        <v>0</v>
      </c>
      <c r="U15" s="24" t="n">
        <v>0</v>
      </c>
      <c r="V15" s="34" t="n">
        <f aca="false">IFERROR(U15/U$16,0)</f>
        <v>0</v>
      </c>
      <c r="W15" s="24" t="n">
        <v>0</v>
      </c>
      <c r="X15" s="34" t="n">
        <f aca="false">IFERROR(W15/W$16,0)</f>
        <v>0</v>
      </c>
      <c r="Y15" s="24" t="n">
        <v>0</v>
      </c>
      <c r="Z15" s="34" t="n">
        <f aca="false">IFERROR(Y15/Y$16,0)</f>
        <v>0</v>
      </c>
      <c r="AB15" s="24" t="n">
        <f aca="false">SUM(C15,E15,G15,I15,K15,M15,O15,Q15,S15,U15,W15,Y15)</f>
        <v>-1646</v>
      </c>
      <c r="AC15" s="34" t="n">
        <f aca="false">IFERROR(AB15/AB$16,0)</f>
        <v>-0.00467646849918318</v>
      </c>
    </row>
    <row r="16" customFormat="false" ht="15" hidden="false" customHeight="true" outlineLevel="0" collapsed="false">
      <c r="A16" s="6" t="s">
        <v>138</v>
      </c>
      <c r="C16" s="27" t="n">
        <f aca="false">SUM(C9:C15)</f>
        <v>38118</v>
      </c>
      <c r="D16" s="35" t="n">
        <f aca="false">IFERROR(C16/C$16,0)</f>
        <v>1</v>
      </c>
      <c r="E16" s="27" t="n">
        <f aca="false">SUM(E9:E15)</f>
        <v>16692</v>
      </c>
      <c r="F16" s="35" t="n">
        <f aca="false">IFERROR(E16/E$16,0)</f>
        <v>1</v>
      </c>
      <c r="G16" s="27" t="n">
        <f aca="false">SUM(G9:G15)</f>
        <v>39805</v>
      </c>
      <c r="H16" s="35" t="n">
        <f aca="false">IFERROR(G16/G$16,0)</f>
        <v>1</v>
      </c>
      <c r="I16" s="27" t="n">
        <f aca="false">SUM(I9:I15)</f>
        <v>12527</v>
      </c>
      <c r="J16" s="35" t="n">
        <f aca="false">IFERROR(I16/I$16,0)</f>
        <v>1</v>
      </c>
      <c r="K16" s="27" t="n">
        <f aca="false">SUM(K9:K15)</f>
        <v>40939</v>
      </c>
      <c r="L16" s="35" t="n">
        <f aca="false">IFERROR(K16/K$16,0)</f>
        <v>1</v>
      </c>
      <c r="M16" s="27" t="n">
        <f aca="false">SUM(M9:M15)</f>
        <v>45823</v>
      </c>
      <c r="N16" s="35" t="n">
        <f aca="false">IFERROR(M16/M$16,0)</f>
        <v>1</v>
      </c>
      <c r="O16" s="27" t="n">
        <f aca="false">SUM(O9:O15)</f>
        <v>33070</v>
      </c>
      <c r="P16" s="35" t="n">
        <f aca="false">IFERROR(O16/O$16,0)</f>
        <v>1</v>
      </c>
      <c r="Q16" s="27" t="n">
        <f aca="false">SUM(Q9:Q15)</f>
        <v>25001</v>
      </c>
      <c r="R16" s="35" t="n">
        <f aca="false">IFERROR(Q16/Q$16,0)</f>
        <v>1</v>
      </c>
      <c r="S16" s="27" t="n">
        <f aca="false">SUM(S9:S15)</f>
        <v>25001</v>
      </c>
      <c r="T16" s="35" t="n">
        <f aca="false">IFERROR(S16/S$16,0)</f>
        <v>1</v>
      </c>
      <c r="U16" s="27" t="n">
        <f aca="false">SUM(U9:U15)</f>
        <v>20000</v>
      </c>
      <c r="V16" s="35" t="n">
        <f aca="false">IFERROR(U16/U$16,0)</f>
        <v>1</v>
      </c>
      <c r="W16" s="27" t="n">
        <f aca="false">SUM(W9:W15)</f>
        <v>20000</v>
      </c>
      <c r="X16" s="35" t="n">
        <f aca="false">IFERROR(W16/W$16,0)</f>
        <v>1</v>
      </c>
      <c r="Y16" s="27" t="n">
        <f aca="false">SUM(Y9:Y15)</f>
        <v>34999</v>
      </c>
      <c r="Z16" s="35" t="n">
        <f aca="false">IFERROR(Y16/Y$16,0)</f>
        <v>1</v>
      </c>
      <c r="AB16" s="27" t="n">
        <f aca="false">SUM(AB9:AB15)</f>
        <v>351975</v>
      </c>
      <c r="AC16" s="35" t="n">
        <f aca="false">IFERROR(AB16/AB$16,0)</f>
        <v>1</v>
      </c>
    </row>
    <row r="18" customFormat="false" ht="15" hidden="false" customHeight="true" outlineLevel="0" collapsed="false">
      <c r="A18" s="6" t="s">
        <v>187</v>
      </c>
    </row>
    <row r="19" customFormat="false" ht="15" hidden="false" customHeight="true" outlineLevel="0" collapsed="false">
      <c r="A19" s="5" t="s">
        <v>188</v>
      </c>
      <c r="C19" s="24" t="n">
        <v>18631</v>
      </c>
      <c r="D19" s="34" t="n">
        <f aca="false">IFERROR(C19/C$9,0)</f>
        <v>0.657340436792153</v>
      </c>
      <c r="E19" s="24" t="n">
        <v>8386</v>
      </c>
      <c r="F19" s="34" t="n">
        <f aca="false">IFERROR(E19/E$9,0)</f>
        <v>0.919618379208247</v>
      </c>
      <c r="G19" s="24" t="n">
        <v>14740</v>
      </c>
      <c r="H19" s="34" t="n">
        <f aca="false">IFERROR(G19/G$9,0)</f>
        <v>0.671526195899772</v>
      </c>
      <c r="I19" s="24" t="n">
        <v>4280</v>
      </c>
      <c r="J19" s="34" t="n">
        <f aca="false">IFERROR(I19/I$9,0)</f>
        <v>0.921420882669537</v>
      </c>
      <c r="K19" s="24" t="n">
        <v>11232</v>
      </c>
      <c r="L19" s="34" t="n">
        <f aca="false">IFERROR(K19/K$9,0)</f>
        <v>0.788708658099853</v>
      </c>
      <c r="M19" s="24" t="n">
        <v>10735</v>
      </c>
      <c r="N19" s="34" t="n">
        <f aca="false">IFERROR(M19/M$9,0)</f>
        <v>0.697530864197531</v>
      </c>
      <c r="O19" s="24" t="n">
        <v>7478</v>
      </c>
      <c r="P19" s="34" t="n">
        <f aca="false">IFERROR(O19/O$9,0)</f>
        <v>0.650034770514604</v>
      </c>
      <c r="Q19" s="24" t="n">
        <v>5653</v>
      </c>
      <c r="R19" s="34" t="n">
        <f aca="false">IFERROR(Q19/Q$9,0)</f>
        <v>0.649994250891112</v>
      </c>
      <c r="S19" s="24" t="n">
        <v>5653</v>
      </c>
      <c r="T19" s="34" t="n">
        <f aca="false">IFERROR(S19/S$9,0)</f>
        <v>0.649994250891112</v>
      </c>
      <c r="U19" s="24" t="n">
        <v>4522</v>
      </c>
      <c r="V19" s="34" t="n">
        <f aca="false">IFERROR(U19/U$9,0)</f>
        <v>0.649992812994107</v>
      </c>
      <c r="W19" s="24" t="n">
        <v>4522</v>
      </c>
      <c r="X19" s="34" t="n">
        <f aca="false">IFERROR(W19/W$9,0)</f>
        <v>0.649992812994107</v>
      </c>
      <c r="Y19" s="24" t="n">
        <v>7914</v>
      </c>
      <c r="Z19" s="34" t="n">
        <f aca="false">IFERROR(Y19/Y$9,0)</f>
        <v>0.650020533880904</v>
      </c>
      <c r="AB19" s="24" t="n">
        <f aca="false">SUM(C19,E19,G19,I19,K19,M19,O19,Q19,S19,U19,W19,Y19)</f>
        <v>103746</v>
      </c>
      <c r="AC19" s="34" t="n">
        <f aca="false">IFERROR(AB19/AB$9,0)</f>
        <v>0.69780393475702</v>
      </c>
    </row>
    <row r="20" customFormat="false" ht="15" hidden="false" customHeight="true" outlineLevel="0" collapsed="false">
      <c r="A20" s="5" t="s">
        <v>189</v>
      </c>
      <c r="C20" s="24" t="n">
        <v>1198</v>
      </c>
      <c r="D20" s="34" t="n">
        <f aca="false">IFERROR(C20/C$10,0)</f>
        <v>0.199933244325768</v>
      </c>
      <c r="E20" s="24" t="n">
        <v>895</v>
      </c>
      <c r="F20" s="34" t="n">
        <f aca="false">IFERROR(E20/E$10,0)</f>
        <v>0.19704975781594</v>
      </c>
      <c r="G20" s="24" t="n">
        <v>1888</v>
      </c>
      <c r="H20" s="34" t="n">
        <f aca="false">IFERROR(G20/G$10,0)</f>
        <v>0.483235218837983</v>
      </c>
      <c r="I20" s="24" t="n">
        <v>0</v>
      </c>
      <c r="J20" s="34" t="n">
        <f aca="false">IFERROR(I20/I$10,0)</f>
        <v>0</v>
      </c>
      <c r="K20" s="24" t="n">
        <v>0</v>
      </c>
      <c r="L20" s="34" t="n">
        <f aca="false">IFERROR(K20/K$10,0)</f>
        <v>0</v>
      </c>
      <c r="M20" s="24" t="n">
        <v>0</v>
      </c>
      <c r="N20" s="34" t="n">
        <f aca="false">IFERROR(M20/M$10,0)</f>
        <v>0</v>
      </c>
      <c r="O20" s="24" t="n">
        <v>506</v>
      </c>
      <c r="P20" s="34" t="n">
        <f aca="false">IFERROR(O20/O$10,0)</f>
        <v>0.299763033175355</v>
      </c>
      <c r="Q20" s="24" t="n">
        <v>383</v>
      </c>
      <c r="R20" s="34" t="n">
        <f aca="false">IFERROR(Q20/Q$10,0)</f>
        <v>0.300156739811912</v>
      </c>
      <c r="S20" s="24" t="n">
        <v>383</v>
      </c>
      <c r="T20" s="34" t="n">
        <f aca="false">IFERROR(S20/S$10,0)</f>
        <v>0.300156739811912</v>
      </c>
      <c r="U20" s="24" t="n">
        <v>306</v>
      </c>
      <c r="V20" s="34" t="n">
        <f aca="false">IFERROR(U20/U$10,0)</f>
        <v>0.299706170421156</v>
      </c>
      <c r="W20" s="24" t="n">
        <v>306</v>
      </c>
      <c r="X20" s="34" t="n">
        <f aca="false">IFERROR(W20/W$10,0)</f>
        <v>0.299706170421156</v>
      </c>
      <c r="Y20" s="24" t="n">
        <v>536</v>
      </c>
      <c r="Z20" s="34" t="n">
        <f aca="false">IFERROR(Y20/Y$10,0)</f>
        <v>0.300111982082867</v>
      </c>
      <c r="AB20" s="24" t="n">
        <f aca="false">SUM(C20,E20,G20,I20,K20,M20,O20,Q20,S20,U20,W20,Y20)</f>
        <v>6401</v>
      </c>
      <c r="AC20" s="34" t="n">
        <f aca="false">IFERROR(AB20/AB$10,0)</f>
        <v>0.230218673572148</v>
      </c>
    </row>
    <row r="21" customFormat="false" ht="15" hidden="false" customHeight="true" outlineLevel="0" collapsed="false">
      <c r="A21" s="5" t="s">
        <v>190</v>
      </c>
      <c r="C21" s="24" t="n">
        <v>243</v>
      </c>
      <c r="D21" s="34" t="n">
        <f aca="false">IFERROR(C21/C$11,0)</f>
        <v>0.179866765358993</v>
      </c>
      <c r="E21" s="24" t="n">
        <v>931</v>
      </c>
      <c r="F21" s="34" t="n">
        <f aca="false">IFERROR(E21/E$11,0)</f>
        <v>0.434843531060252</v>
      </c>
      <c r="G21" s="24" t="n">
        <v>723</v>
      </c>
      <c r="H21" s="34" t="n">
        <f aca="false">IFERROR(G21/G$11,0)</f>
        <v>0.0703444249854057</v>
      </c>
      <c r="I21" s="24" t="n">
        <v>0</v>
      </c>
      <c r="J21" s="34" t="n">
        <f aca="false">IFERROR(I21/I$11,0)</f>
        <v>0</v>
      </c>
      <c r="K21" s="24" t="n">
        <v>1308</v>
      </c>
      <c r="L21" s="34" t="n">
        <f aca="false">IFERROR(K21/K$11,0)</f>
        <v>0.235378801511607</v>
      </c>
      <c r="M21" s="24" t="n">
        <v>5238</v>
      </c>
      <c r="N21" s="34" t="n">
        <f aca="false">IFERROR(M21/M$11,0)</f>
        <v>1.2646064703042</v>
      </c>
      <c r="O21" s="24" t="n">
        <v>0</v>
      </c>
      <c r="P21" s="34" t="n">
        <f aca="false">IFERROR(O21/O$11,0)</f>
        <v>0</v>
      </c>
      <c r="Q21" s="24" t="n">
        <v>0</v>
      </c>
      <c r="R21" s="34" t="n">
        <f aca="false">IFERROR(Q21/Q$11,0)</f>
        <v>0</v>
      </c>
      <c r="S21" s="24" t="n">
        <v>0</v>
      </c>
      <c r="T21" s="34" t="n">
        <f aca="false">IFERROR(S21/S$11,0)</f>
        <v>0</v>
      </c>
      <c r="U21" s="24" t="n">
        <v>0</v>
      </c>
      <c r="V21" s="34" t="n">
        <f aca="false">IFERROR(U21/U$11,0)</f>
        <v>0</v>
      </c>
      <c r="W21" s="24" t="n">
        <v>0</v>
      </c>
      <c r="X21" s="34" t="n">
        <f aca="false">IFERROR(W21/W$11,0)</f>
        <v>0</v>
      </c>
      <c r="Y21" s="24" t="n">
        <v>0</v>
      </c>
      <c r="Z21" s="34" t="n">
        <f aca="false">IFERROR(Y21/Y$11,0)</f>
        <v>0</v>
      </c>
      <c r="AB21" s="24" t="n">
        <f aca="false">SUM(C21,E21,G21,I21,K21,M21,O21,Q21,S21,U21,W21,Y21)</f>
        <v>8443</v>
      </c>
      <c r="AC21" s="34" t="n">
        <f aca="false">IFERROR(AB21/AB$11,0)</f>
        <v>0.180548724418878</v>
      </c>
    </row>
    <row r="22" customFormat="false" ht="15" hidden="false" customHeight="true" outlineLevel="0" collapsed="false">
      <c r="A22" s="5" t="s">
        <v>191</v>
      </c>
      <c r="C22" s="24" t="n">
        <v>8</v>
      </c>
      <c r="D22" s="34" t="n">
        <f aca="false">IFERROR(C22/C$12,0)</f>
        <v>0.2</v>
      </c>
      <c r="E22" s="24" t="n">
        <v>707</v>
      </c>
      <c r="F22" s="34" t="n">
        <f aca="false">IFERROR(E22/E$12,0)</f>
        <v>0</v>
      </c>
      <c r="G22" s="24" t="n">
        <v>239</v>
      </c>
      <c r="H22" s="34" t="n">
        <f aca="false">IFERROR(G22/G$12,0)</f>
        <v>1.27807486631016</v>
      </c>
      <c r="I22" s="24" t="n">
        <v>0</v>
      </c>
      <c r="J22" s="34" t="n">
        <f aca="false">IFERROR(I22/I$12,0)</f>
        <v>0</v>
      </c>
      <c r="K22" s="24" t="n">
        <v>0</v>
      </c>
      <c r="L22" s="34" t="n">
        <f aca="false">IFERROR(K22/K$12,0)</f>
        <v>0</v>
      </c>
      <c r="M22" s="24" t="n">
        <v>180</v>
      </c>
      <c r="N22" s="34" t="n">
        <f aca="false">IFERROR(M22/M$12,0)</f>
        <v>0.342857142857143</v>
      </c>
      <c r="O22" s="24" t="n">
        <v>47</v>
      </c>
      <c r="P22" s="34" t="n">
        <f aca="false">IFERROR(O22/O$12,0)</f>
        <v>0.301282051282051</v>
      </c>
      <c r="Q22" s="24" t="n">
        <v>35</v>
      </c>
      <c r="R22" s="34" t="n">
        <f aca="false">IFERROR(Q22/Q$12,0)</f>
        <v>0.296610169491525</v>
      </c>
      <c r="S22" s="24" t="n">
        <v>35</v>
      </c>
      <c r="T22" s="34" t="n">
        <f aca="false">IFERROR(S22/S$12,0)</f>
        <v>0.296610169491525</v>
      </c>
      <c r="U22" s="24" t="n">
        <v>29</v>
      </c>
      <c r="V22" s="34" t="n">
        <f aca="false">IFERROR(U22/U$12,0)</f>
        <v>0.308510638297872</v>
      </c>
      <c r="W22" s="24" t="n">
        <v>29</v>
      </c>
      <c r="X22" s="34" t="n">
        <f aca="false">IFERROR(W22/W$12,0)</f>
        <v>0.308510638297872</v>
      </c>
      <c r="Y22" s="24" t="n">
        <v>49</v>
      </c>
      <c r="Z22" s="34" t="n">
        <f aca="false">IFERROR(Y22/Y$12,0)</f>
        <v>0.296969696969697</v>
      </c>
      <c r="AB22" s="24" t="n">
        <f aca="false">SUM(C22,E22,G22,I22,K22,M22,O22,Q22,S22,U22,W22,Y22)</f>
        <v>1358</v>
      </c>
      <c r="AC22" s="34" t="n">
        <f aca="false">IFERROR(AB22/AB$12,0)</f>
        <v>0.787703016241299</v>
      </c>
    </row>
    <row r="23" customFormat="false" ht="15" hidden="false" customHeight="true" outlineLevel="0" collapsed="false">
      <c r="A23" s="5" t="s">
        <v>192</v>
      </c>
      <c r="C23" s="24" t="n">
        <v>190</v>
      </c>
      <c r="D23" s="34" t="n">
        <f aca="false">IFERROR(C23/C$13,0)</f>
        <v>0.25065963060686</v>
      </c>
      <c r="E23" s="24" t="n">
        <v>888</v>
      </c>
      <c r="F23" s="34" t="n">
        <f aca="false">IFERROR(E23/E$13,0)</f>
        <v>1.88535031847134</v>
      </c>
      <c r="G23" s="24" t="n">
        <v>699</v>
      </c>
      <c r="H23" s="34" t="n">
        <f aca="false">IFERROR(G23/G$13,0)</f>
        <v>0.958847736625514</v>
      </c>
      <c r="I23" s="24" t="n">
        <v>252</v>
      </c>
      <c r="J23" s="34" t="n">
        <f aca="false">IFERROR(I23/I$13,0)</f>
        <v>0.591549295774648</v>
      </c>
      <c r="K23" s="24" t="n">
        <v>404</v>
      </c>
      <c r="L23" s="34" t="n">
        <f aca="false">IFERROR(K23/K$13,0)</f>
        <v>0.524675324675325</v>
      </c>
      <c r="M23" s="24" t="n">
        <v>551</v>
      </c>
      <c r="N23" s="34" t="n">
        <f aca="false">IFERROR(M23/M$13,0)</f>
        <v>1.26958525345622</v>
      </c>
      <c r="O23" s="24" t="n">
        <v>0</v>
      </c>
      <c r="P23" s="34" t="n">
        <f aca="false">IFERROR(O23/O$13,0)</f>
        <v>0</v>
      </c>
      <c r="Q23" s="24" t="n">
        <v>0</v>
      </c>
      <c r="R23" s="34" t="n">
        <f aca="false">IFERROR(Q23/Q$13,0)</f>
        <v>0</v>
      </c>
      <c r="S23" s="24" t="n">
        <v>0</v>
      </c>
      <c r="T23" s="34" t="n">
        <f aca="false">IFERROR(S23/S$13,0)</f>
        <v>0</v>
      </c>
      <c r="U23" s="24" t="n">
        <v>0</v>
      </c>
      <c r="V23" s="34" t="n">
        <f aca="false">IFERROR(U23/U$13,0)</f>
        <v>0</v>
      </c>
      <c r="W23" s="24" t="n">
        <v>0</v>
      </c>
      <c r="X23" s="34" t="n">
        <f aca="false">IFERROR(W23/W$13,0)</f>
        <v>0</v>
      </c>
      <c r="Y23" s="24" t="n">
        <v>0</v>
      </c>
      <c r="Z23" s="34" t="n">
        <f aca="false">IFERROR(Y23/Y$13,0)</f>
        <v>0</v>
      </c>
      <c r="AB23" s="24" t="n">
        <f aca="false">SUM(C23,E23,G23,I23,K23,M23,O23,Q23,S23,U23,W23,Y23)</f>
        <v>2984</v>
      </c>
      <c r="AC23" s="34" t="n">
        <f aca="false">IFERROR(AB23/AB$13,0)</f>
        <v>0.454878048780488</v>
      </c>
    </row>
    <row r="24" customFormat="false" ht="15" hidden="false" customHeight="true" outlineLevel="0" collapsed="false">
      <c r="A24" s="6" t="s">
        <v>139</v>
      </c>
      <c r="C24" s="27" t="n">
        <f aca="false">SUM(C19:C23)</f>
        <v>20270</v>
      </c>
      <c r="D24" s="35" t="n">
        <f aca="false">IFERROR(C24/C$16,0)</f>
        <v>0.531769767563881</v>
      </c>
      <c r="E24" s="27" t="n">
        <f aca="false">SUM(E19:E23)</f>
        <v>11807</v>
      </c>
      <c r="F24" s="35" t="n">
        <f aca="false">IFERROR(E24/E$16,0)</f>
        <v>0.707344835849509</v>
      </c>
      <c r="G24" s="27" t="n">
        <f aca="false">SUM(G19:G23)</f>
        <v>18289</v>
      </c>
      <c r="H24" s="35" t="n">
        <f aca="false">IFERROR(G24/G$16,0)</f>
        <v>0.459464891345308</v>
      </c>
      <c r="I24" s="27" t="n">
        <f aca="false">SUM(I19:I23)</f>
        <v>4532</v>
      </c>
      <c r="J24" s="35" t="n">
        <f aca="false">IFERROR(I24/I$16,0)</f>
        <v>0.361778558314042</v>
      </c>
      <c r="K24" s="27" t="n">
        <f aca="false">SUM(K19:K23)</f>
        <v>12944</v>
      </c>
      <c r="L24" s="35" t="n">
        <f aca="false">IFERROR(K24/K$16,0)</f>
        <v>0.31617772783898</v>
      </c>
      <c r="M24" s="27" t="n">
        <f aca="false">SUM(M19:M23)</f>
        <v>16704</v>
      </c>
      <c r="N24" s="35" t="n">
        <f aca="false">IFERROR(M24/M$16,0)</f>
        <v>0.364533094734086</v>
      </c>
      <c r="O24" s="27" t="n">
        <f aca="false">SUM(O19:O23)</f>
        <v>8031</v>
      </c>
      <c r="P24" s="35" t="n">
        <f aca="false">IFERROR(O24/O$16,0)</f>
        <v>0.242848503175083</v>
      </c>
      <c r="Q24" s="27" t="n">
        <f aca="false">SUM(Q19:Q23)</f>
        <v>6071</v>
      </c>
      <c r="R24" s="35" t="n">
        <f aca="false">IFERROR(Q24/Q$16,0)</f>
        <v>0.242830286788528</v>
      </c>
      <c r="S24" s="27" t="n">
        <f aca="false">SUM(S19:S23)</f>
        <v>6071</v>
      </c>
      <c r="T24" s="35" t="n">
        <f aca="false">IFERROR(S24/S$16,0)</f>
        <v>0.242830286788528</v>
      </c>
      <c r="U24" s="27" t="n">
        <f aca="false">SUM(U19:U23)</f>
        <v>4857</v>
      </c>
      <c r="V24" s="35" t="n">
        <f aca="false">IFERROR(U24/U$16,0)</f>
        <v>0.24285</v>
      </c>
      <c r="W24" s="27" t="n">
        <f aca="false">SUM(W19:W23)</f>
        <v>4857</v>
      </c>
      <c r="X24" s="35" t="n">
        <f aca="false">IFERROR(W24/W$16,0)</f>
        <v>0.24285</v>
      </c>
      <c r="Y24" s="27" t="n">
        <f aca="false">SUM(Y19:Y23)</f>
        <v>8499</v>
      </c>
      <c r="Z24" s="35" t="n">
        <f aca="false">IFERROR(Y24/Y$16,0)</f>
        <v>0.242835509585988</v>
      </c>
      <c r="AB24" s="27" t="n">
        <f aca="false">SUM(AB19:AB23)</f>
        <v>122932</v>
      </c>
      <c r="AC24" s="35" t="n">
        <f aca="false">IFERROR(AB24/AB$16,0)</f>
        <v>0.349263442005824</v>
      </c>
    </row>
    <row r="25" customFormat="false" ht="15" hidden="false" customHeight="true" outlineLevel="0" collapsed="false">
      <c r="A25" s="6" t="s">
        <v>140</v>
      </c>
      <c r="C25" s="7" t="n">
        <f aca="false">C16-C24</f>
        <v>17848</v>
      </c>
      <c r="D25" s="8" t="n">
        <f aca="false">IFERROR(C25/C$16,0)</f>
        <v>0.468230232436119</v>
      </c>
      <c r="E25" s="7" t="n">
        <f aca="false">E16-E24</f>
        <v>4885</v>
      </c>
      <c r="F25" s="8" t="n">
        <f aca="false">IFERROR(E25/E$16,0)</f>
        <v>0.292655164150491</v>
      </c>
      <c r="G25" s="7" t="n">
        <f aca="false">G16-G24</f>
        <v>21516</v>
      </c>
      <c r="H25" s="8" t="n">
        <f aca="false">IFERROR(G25/G$16,0)</f>
        <v>0.540535108654692</v>
      </c>
      <c r="I25" s="7" t="n">
        <f aca="false">I16-I24</f>
        <v>7995</v>
      </c>
      <c r="J25" s="8" t="n">
        <f aca="false">IFERROR(I25/I$16,0)</f>
        <v>0.638221441685958</v>
      </c>
      <c r="K25" s="7" t="n">
        <f aca="false">K16-K24</f>
        <v>27995</v>
      </c>
      <c r="L25" s="8" t="n">
        <f aca="false">IFERROR(K25/K$16,0)</f>
        <v>0.68382227216102</v>
      </c>
      <c r="M25" s="7" t="n">
        <f aca="false">M16-M24</f>
        <v>29119</v>
      </c>
      <c r="N25" s="8" t="n">
        <f aca="false">IFERROR(M25/M$16,0)</f>
        <v>0.635466905265915</v>
      </c>
      <c r="O25" s="7" t="n">
        <f aca="false">O16-O24</f>
        <v>25039</v>
      </c>
      <c r="P25" s="8" t="n">
        <f aca="false">IFERROR(O25/O$16,0)</f>
        <v>0.757151496824917</v>
      </c>
      <c r="Q25" s="7" t="n">
        <f aca="false">Q16-Q24</f>
        <v>18930</v>
      </c>
      <c r="R25" s="8" t="n">
        <f aca="false">IFERROR(Q25/Q$16,0)</f>
        <v>0.757169713211472</v>
      </c>
      <c r="S25" s="7" t="n">
        <f aca="false">S16-S24</f>
        <v>18930</v>
      </c>
      <c r="T25" s="8" t="n">
        <f aca="false">IFERROR(S25/S$16,0)</f>
        <v>0.757169713211472</v>
      </c>
      <c r="U25" s="7" t="n">
        <f aca="false">U16-U24</f>
        <v>15143</v>
      </c>
      <c r="V25" s="8" t="n">
        <f aca="false">IFERROR(U25/U$16,0)</f>
        <v>0.75715</v>
      </c>
      <c r="W25" s="7" t="n">
        <f aca="false">W16-W24</f>
        <v>15143</v>
      </c>
      <c r="X25" s="8" t="n">
        <f aca="false">IFERROR(W25/W$16,0)</f>
        <v>0.75715</v>
      </c>
      <c r="Y25" s="7" t="n">
        <f aca="false">Y16-Y24</f>
        <v>26500</v>
      </c>
      <c r="Z25" s="8" t="n">
        <f aca="false">IFERROR(Y25/Y$16,0)</f>
        <v>0.757164490414012</v>
      </c>
      <c r="AB25" s="7" t="n">
        <f aca="false">AB16-AB24</f>
        <v>229043</v>
      </c>
      <c r="AC25" s="8" t="n">
        <f aca="false">IFERROR(AB25/AB$16,0)</f>
        <v>0.650736557994176</v>
      </c>
    </row>
    <row r="27" customFormat="false" ht="15" hidden="false" customHeight="true" outlineLevel="0" collapsed="false">
      <c r="A27" s="6" t="s">
        <v>194</v>
      </c>
    </row>
    <row r="28" customFormat="false" ht="15" hidden="false" customHeight="true" outlineLevel="0" collapsed="false">
      <c r="A28" s="5" t="s">
        <v>195</v>
      </c>
      <c r="C28" s="24" t="n">
        <v>1230</v>
      </c>
      <c r="D28" s="34" t="n">
        <f aca="false">IFERROR(C28/C$16,0)</f>
        <v>0.0322682197387061</v>
      </c>
      <c r="E28" s="24" t="n">
        <v>615</v>
      </c>
      <c r="F28" s="34" t="n">
        <f aca="false">IFERROR(E28/E$16,0)</f>
        <v>0.036843997124371</v>
      </c>
      <c r="G28" s="24" t="n">
        <v>1277</v>
      </c>
      <c r="H28" s="34" t="n">
        <f aca="false">IFERROR(G28/G$16,0)</f>
        <v>0.0320813968094461</v>
      </c>
      <c r="I28" s="24" t="n">
        <v>1132</v>
      </c>
      <c r="J28" s="34" t="n">
        <f aca="false">IFERROR(I28/I$16,0)</f>
        <v>0.0903648120060669</v>
      </c>
      <c r="K28" s="24" t="n">
        <v>1657</v>
      </c>
      <c r="L28" s="34" t="n">
        <f aca="false">IFERROR(K28/K$16,0)</f>
        <v>0.04047485282982</v>
      </c>
      <c r="M28" s="24" t="n">
        <v>1377</v>
      </c>
      <c r="N28" s="34" t="n">
        <f aca="false">IFERROR(M28/M$16,0)</f>
        <v>0.0300504113654715</v>
      </c>
      <c r="O28" s="24" t="n">
        <v>1657</v>
      </c>
      <c r="P28" s="34" t="n">
        <f aca="false">IFERROR(O28/O$16,0)</f>
        <v>0.0501058361052313</v>
      </c>
      <c r="Q28" s="24" t="n">
        <v>1657</v>
      </c>
      <c r="R28" s="34" t="n">
        <f aca="false">IFERROR(Q28/Q$16,0)</f>
        <v>0.0662773489060438</v>
      </c>
      <c r="S28" s="24" t="n">
        <v>1657</v>
      </c>
      <c r="T28" s="34" t="n">
        <f aca="false">IFERROR(S28/S$16,0)</f>
        <v>0.0662773489060438</v>
      </c>
      <c r="U28" s="24" t="n">
        <v>1657</v>
      </c>
      <c r="V28" s="34" t="n">
        <f aca="false">IFERROR(U28/U$16,0)</f>
        <v>0.08285</v>
      </c>
      <c r="W28" s="24" t="n">
        <v>1657</v>
      </c>
      <c r="X28" s="34" t="n">
        <f aca="false">IFERROR(W28/W$16,0)</f>
        <v>0.08285</v>
      </c>
      <c r="Y28" s="24" t="n">
        <v>1657</v>
      </c>
      <c r="Z28" s="34" t="n">
        <f aca="false">IFERROR(Y28/Y$16,0)</f>
        <v>0.0473442098345667</v>
      </c>
      <c r="AB28" s="24" t="n">
        <f aca="false">SUM(C28,E28,G28,I28,K28,M28,O28,Q28,S28,U28,W28,Y28)</f>
        <v>17230</v>
      </c>
      <c r="AC28" s="34" t="n">
        <f aca="false">IFERROR(AB28/AB$16,0)</f>
        <v>0.0489523403650827</v>
      </c>
    </row>
    <row r="29" customFormat="false" ht="15" hidden="false" customHeight="true" outlineLevel="0" collapsed="false">
      <c r="A29" s="5" t="s">
        <v>196</v>
      </c>
      <c r="C29" s="24" t="n">
        <v>1097</v>
      </c>
      <c r="D29" s="34" t="n">
        <f aca="false">IFERROR(C29/C$16,0)</f>
        <v>0.0287790545149273</v>
      </c>
      <c r="E29" s="24" t="n">
        <v>2016</v>
      </c>
      <c r="F29" s="34" t="n">
        <f aca="false">IFERROR(E29/E$16,0)</f>
        <v>0.12077641984184</v>
      </c>
      <c r="G29" s="24" t="n">
        <v>1928</v>
      </c>
      <c r="H29" s="34" t="n">
        <f aca="false">IFERROR(G29/G$16,0)</f>
        <v>0.0484361261148097</v>
      </c>
      <c r="I29" s="24" t="n">
        <v>584</v>
      </c>
      <c r="J29" s="34" t="n">
        <f aca="false">IFERROR(I29/I$16,0)</f>
        <v>0.0466193023070168</v>
      </c>
      <c r="K29" s="24" t="n">
        <v>0</v>
      </c>
      <c r="L29" s="34" t="n">
        <f aca="false">IFERROR(K29/K$16,0)</f>
        <v>0</v>
      </c>
      <c r="M29" s="24" t="n">
        <v>-1</v>
      </c>
      <c r="N29" s="34" t="n">
        <f aca="false">IFERROR(M29/M$16,0)</f>
        <v>-2.18231019357091E-005</v>
      </c>
      <c r="O29" s="24" t="n">
        <v>0</v>
      </c>
      <c r="P29" s="34" t="n">
        <f aca="false">IFERROR(O29/O$16,0)</f>
        <v>0</v>
      </c>
      <c r="Q29" s="24" t="n">
        <v>0</v>
      </c>
      <c r="R29" s="34" t="n">
        <f aca="false">IFERROR(Q29/Q$16,0)</f>
        <v>0</v>
      </c>
      <c r="S29" s="24" t="n">
        <v>0</v>
      </c>
      <c r="T29" s="34" t="n">
        <f aca="false">IFERROR(S29/S$16,0)</f>
        <v>0</v>
      </c>
      <c r="U29" s="24" t="n">
        <v>0</v>
      </c>
      <c r="V29" s="34" t="n">
        <f aca="false">IFERROR(U29/U$16,0)</f>
        <v>0</v>
      </c>
      <c r="W29" s="24" t="n">
        <v>0</v>
      </c>
      <c r="X29" s="34" t="n">
        <f aca="false">IFERROR(W29/W$16,0)</f>
        <v>0</v>
      </c>
      <c r="Y29" s="24" t="n">
        <v>0</v>
      </c>
      <c r="Z29" s="34" t="n">
        <f aca="false">IFERROR(Y29/Y$16,0)</f>
        <v>0</v>
      </c>
      <c r="AB29" s="24" t="n">
        <f aca="false">SUM(C29,E29,G29,I29,K29,M29,O29,Q29,S29,U29,W29,Y29)</f>
        <v>5624</v>
      </c>
      <c r="AC29" s="34" t="n">
        <f aca="false">IFERROR(AB29/AB$16,0)</f>
        <v>0.0159784075573549</v>
      </c>
    </row>
    <row r="30" customFormat="false" ht="15" hidden="false" customHeight="true" outlineLevel="0" collapsed="false">
      <c r="A30" s="5" t="s">
        <v>197</v>
      </c>
      <c r="C30" s="24" t="n">
        <v>1384</v>
      </c>
      <c r="D30" s="34" t="n">
        <f aca="false">IFERROR(C30/C$16,0)</f>
        <v>0.0363083057872921</v>
      </c>
      <c r="E30" s="24" t="n">
        <v>1502</v>
      </c>
      <c r="F30" s="34" t="n">
        <f aca="false">IFERROR(E30/E$16,0)</f>
        <v>0.0899832254972442</v>
      </c>
      <c r="G30" s="24" t="n">
        <v>5284</v>
      </c>
      <c r="H30" s="34" t="n">
        <f aca="false">IFERROR(G30/G$16,0)</f>
        <v>0.132747142318804</v>
      </c>
      <c r="I30" s="24" t="n">
        <v>0</v>
      </c>
      <c r="J30" s="34" t="n">
        <f aca="false">IFERROR(I30/I$16,0)</f>
        <v>0</v>
      </c>
      <c r="K30" s="24" t="n">
        <v>8918</v>
      </c>
      <c r="L30" s="34" t="n">
        <f aca="false">IFERROR(K30/K$16,0)</f>
        <v>0.217836293021324</v>
      </c>
      <c r="M30" s="24" t="n">
        <v>10928</v>
      </c>
      <c r="N30" s="34" t="n">
        <f aca="false">IFERROR(M30/M$16,0)</f>
        <v>0.23848285795343</v>
      </c>
      <c r="O30" s="24" t="n">
        <v>5384</v>
      </c>
      <c r="P30" s="34" t="n">
        <f aca="false">IFERROR(O30/O$16,0)</f>
        <v>0.162806168732991</v>
      </c>
      <c r="Q30" s="24" t="n">
        <v>2500</v>
      </c>
      <c r="R30" s="34" t="n">
        <f aca="false">IFERROR(Q30/Q$16,0)</f>
        <v>0.0999960001599936</v>
      </c>
      <c r="S30" s="24" t="n">
        <v>2500</v>
      </c>
      <c r="T30" s="34" t="n">
        <f aca="false">IFERROR(S30/S$16,0)</f>
        <v>0.0999960001599936</v>
      </c>
      <c r="U30" s="24" t="n">
        <v>2000</v>
      </c>
      <c r="V30" s="34" t="n">
        <f aca="false">IFERROR(U30/U$16,0)</f>
        <v>0.1</v>
      </c>
      <c r="W30" s="24" t="n">
        <v>2000</v>
      </c>
      <c r="X30" s="34" t="n">
        <f aca="false">IFERROR(W30/W$16,0)</f>
        <v>0.1</v>
      </c>
      <c r="Y30" s="24" t="n">
        <v>3500</v>
      </c>
      <c r="Z30" s="34" t="n">
        <f aca="false">IFERROR(Y30/Y$16,0)</f>
        <v>0.100002857224492</v>
      </c>
      <c r="AB30" s="24" t="n">
        <f aca="false">SUM(C30,E30,G30,I30,K30,M30,O30,Q30,S30,U30,W30,Y30)</f>
        <v>45900</v>
      </c>
      <c r="AC30" s="34" t="n">
        <f aca="false">IFERROR(AB30/AB$16,0)</f>
        <v>0.130406989132751</v>
      </c>
    </row>
    <row r="31" customFormat="false" ht="15" hidden="false" customHeight="true" outlineLevel="0" collapsed="false">
      <c r="A31" s="5" t="s">
        <v>198</v>
      </c>
      <c r="C31" s="24" t="n">
        <v>303</v>
      </c>
      <c r="D31" s="34" t="n">
        <f aca="false">IFERROR(C31/C$16,0)</f>
        <v>0.00794900047221785</v>
      </c>
      <c r="E31" s="24" t="n">
        <v>1318</v>
      </c>
      <c r="F31" s="34" t="n">
        <f aca="false">IFERROR(E31/E$16,0)</f>
        <v>0.0789599808291397</v>
      </c>
      <c r="G31" s="24" t="n">
        <v>842</v>
      </c>
      <c r="H31" s="34" t="n">
        <f aca="false">IFERROR(G31/G$16,0)</f>
        <v>0.0211531214671524</v>
      </c>
      <c r="I31" s="24" t="n">
        <v>479</v>
      </c>
      <c r="J31" s="34" t="n">
        <f aca="false">IFERROR(I31/I$16,0)</f>
        <v>0.038237407200447</v>
      </c>
      <c r="K31" s="24" t="n">
        <v>1667</v>
      </c>
      <c r="L31" s="34" t="n">
        <f aca="false">IFERROR(K31/K$16,0)</f>
        <v>0.0407191186887809</v>
      </c>
      <c r="M31" s="24" t="n">
        <v>1248</v>
      </c>
      <c r="N31" s="34" t="n">
        <f aca="false">IFERROR(M31/M$16,0)</f>
        <v>0.027235231215765</v>
      </c>
      <c r="O31" s="24" t="n">
        <v>257</v>
      </c>
      <c r="P31" s="34" t="n">
        <f aca="false">IFERROR(O31/O$16,0)</f>
        <v>0.00777139401270033</v>
      </c>
      <c r="Q31" s="24" t="n">
        <v>257</v>
      </c>
      <c r="R31" s="34" t="n">
        <f aca="false">IFERROR(Q31/Q$16,0)</f>
        <v>0.0102795888164473</v>
      </c>
      <c r="S31" s="24" t="n">
        <v>257</v>
      </c>
      <c r="T31" s="34" t="n">
        <f aca="false">IFERROR(S31/S$16,0)</f>
        <v>0.0102795888164473</v>
      </c>
      <c r="U31" s="24" t="n">
        <v>257</v>
      </c>
      <c r="V31" s="34" t="n">
        <f aca="false">IFERROR(U31/U$16,0)</f>
        <v>0.01285</v>
      </c>
      <c r="W31" s="24" t="n">
        <v>257</v>
      </c>
      <c r="X31" s="34" t="n">
        <f aca="false">IFERROR(W31/W$16,0)</f>
        <v>0.01285</v>
      </c>
      <c r="Y31" s="24" t="n">
        <v>257</v>
      </c>
      <c r="Z31" s="34" t="n">
        <f aca="false">IFERROR(Y31/Y$16,0)</f>
        <v>0.00734306694476985</v>
      </c>
      <c r="AB31" s="24" t="n">
        <f aca="false">SUM(C31,E31,G31,I31,K31,M31,O31,Q31,S31,U31,W31,Y31)</f>
        <v>7399</v>
      </c>
      <c r="AC31" s="34" t="n">
        <f aca="false">IFERROR(AB31/AB$16,0)</f>
        <v>0.0210213793593295</v>
      </c>
    </row>
    <row r="32" customFormat="false" ht="15" hidden="false" customHeight="true" outlineLevel="0" collapsed="false">
      <c r="A32" s="5" t="s">
        <v>199</v>
      </c>
      <c r="C32" s="24" t="n">
        <v>313</v>
      </c>
      <c r="D32" s="34" t="n">
        <f aca="false">IFERROR(C32/C$16,0)</f>
        <v>0.00821134372212603</v>
      </c>
      <c r="E32" s="24" t="n">
        <v>311</v>
      </c>
      <c r="F32" s="34" t="n">
        <f aca="false">IFERROR(E32/E$16,0)</f>
        <v>0.0186316798466331</v>
      </c>
      <c r="G32" s="24" t="n">
        <v>380</v>
      </c>
      <c r="H32" s="34" t="n">
        <f aca="false">IFERROR(G32/G$16,0)</f>
        <v>0.00954653937947494</v>
      </c>
      <c r="I32" s="24" t="n">
        <v>380</v>
      </c>
      <c r="J32" s="34" t="n">
        <f aca="false">IFERROR(I32/I$16,0)</f>
        <v>0.0303344775285384</v>
      </c>
      <c r="K32" s="24" t="n">
        <v>551</v>
      </c>
      <c r="L32" s="34" t="n">
        <f aca="false">IFERROR(K32/K$16,0)</f>
        <v>0.0134590488287452</v>
      </c>
      <c r="M32" s="24" t="n">
        <v>1598</v>
      </c>
      <c r="N32" s="34" t="n">
        <f aca="false">IFERROR(M32/M$16,0)</f>
        <v>0.0348733168932632</v>
      </c>
      <c r="O32" s="24" t="n">
        <v>58</v>
      </c>
      <c r="P32" s="34" t="n">
        <f aca="false">IFERROR(O32/O$16,0)</f>
        <v>0.00175385545811914</v>
      </c>
      <c r="Q32" s="24" t="n">
        <v>58</v>
      </c>
      <c r="R32" s="34" t="n">
        <f aca="false">IFERROR(Q32/Q$16,0)</f>
        <v>0.00231990720371185</v>
      </c>
      <c r="S32" s="24" t="n">
        <v>58</v>
      </c>
      <c r="T32" s="34" t="n">
        <f aca="false">IFERROR(S32/S$16,0)</f>
        <v>0.00231990720371185</v>
      </c>
      <c r="U32" s="24" t="n">
        <v>58</v>
      </c>
      <c r="V32" s="34" t="n">
        <f aca="false">IFERROR(U32/U$16,0)</f>
        <v>0.0029</v>
      </c>
      <c r="W32" s="24" t="n">
        <v>58</v>
      </c>
      <c r="X32" s="34" t="n">
        <f aca="false">IFERROR(W32/W$16,0)</f>
        <v>0.0029</v>
      </c>
      <c r="Y32" s="24" t="n">
        <v>58</v>
      </c>
      <c r="Z32" s="34" t="n">
        <f aca="false">IFERROR(Y32/Y$16,0)</f>
        <v>0.00165719020543444</v>
      </c>
      <c r="AB32" s="24" t="n">
        <f aca="false">SUM(C32,E32,G32,I32,K32,M32,O32,Q32,S32,U32,W32,Y32)</f>
        <v>3881</v>
      </c>
      <c r="AC32" s="34" t="n">
        <f aca="false">IFERROR(AB32/AB$16,0)</f>
        <v>0.0110263513033596</v>
      </c>
    </row>
    <row r="33" customFormat="false" ht="15" hidden="false" customHeight="true" outlineLevel="0" collapsed="false">
      <c r="A33" s="6" t="s">
        <v>141</v>
      </c>
      <c r="C33" s="27" t="n">
        <f aca="false">SUM(C28:C32)</f>
        <v>4327</v>
      </c>
      <c r="D33" s="35" t="n">
        <f aca="false">IFERROR(C33/C$16,0)</f>
        <v>0.113515924235269</v>
      </c>
      <c r="E33" s="27" t="n">
        <f aca="false">SUM(E28:E32)</f>
        <v>5762</v>
      </c>
      <c r="F33" s="35" t="n">
        <f aca="false">IFERROR(E33/E$16,0)</f>
        <v>0.345195303139228</v>
      </c>
      <c r="G33" s="27" t="n">
        <f aca="false">SUM(G28:G32)</f>
        <v>9711</v>
      </c>
      <c r="H33" s="35" t="n">
        <f aca="false">IFERROR(G33/G$16,0)</f>
        <v>0.243964326089687</v>
      </c>
      <c r="I33" s="27" t="n">
        <f aca="false">SUM(I28:I32)</f>
        <v>2575</v>
      </c>
      <c r="J33" s="35" t="n">
        <f aca="false">IFERROR(I33/I$16,0)</f>
        <v>0.205555999042069</v>
      </c>
      <c r="K33" s="27" t="n">
        <f aca="false">SUM(K28:K32)</f>
        <v>12793</v>
      </c>
      <c r="L33" s="35" t="n">
        <f aca="false">IFERROR(K33/K$16,0)</f>
        <v>0.312489313368671</v>
      </c>
      <c r="M33" s="27" t="n">
        <f aca="false">SUM(M28:M32)</f>
        <v>15150</v>
      </c>
      <c r="N33" s="35" t="n">
        <f aca="false">IFERROR(M33/M$16,0)</f>
        <v>0.330619994325994</v>
      </c>
      <c r="O33" s="27" t="n">
        <f aca="false">SUM(O28:O32)</f>
        <v>7356</v>
      </c>
      <c r="P33" s="35" t="n">
        <f aca="false">IFERROR(O33/O$16,0)</f>
        <v>0.222437254309041</v>
      </c>
      <c r="Q33" s="27" t="n">
        <f aca="false">SUM(Q28:Q32)</f>
        <v>4472</v>
      </c>
      <c r="R33" s="35" t="n">
        <f aca="false">IFERROR(Q33/Q$16,0)</f>
        <v>0.178872845086197</v>
      </c>
      <c r="S33" s="27" t="n">
        <f aca="false">SUM(S28:S32)</f>
        <v>4472</v>
      </c>
      <c r="T33" s="35" t="n">
        <f aca="false">IFERROR(S33/S$16,0)</f>
        <v>0.178872845086197</v>
      </c>
      <c r="U33" s="27" t="n">
        <f aca="false">SUM(U28:U32)</f>
        <v>3972</v>
      </c>
      <c r="V33" s="35" t="n">
        <f aca="false">IFERROR(U33/U$16,0)</f>
        <v>0.1986</v>
      </c>
      <c r="W33" s="27" t="n">
        <f aca="false">SUM(W28:W32)</f>
        <v>3972</v>
      </c>
      <c r="X33" s="35" t="n">
        <f aca="false">IFERROR(W33/W$16,0)</f>
        <v>0.1986</v>
      </c>
      <c r="Y33" s="27" t="n">
        <f aca="false">SUM(Y28:Y32)</f>
        <v>5472</v>
      </c>
      <c r="Z33" s="35" t="n">
        <f aca="false">IFERROR(Y33/Y$16,0)</f>
        <v>0.156347324209263</v>
      </c>
      <c r="AB33" s="27" t="n">
        <f aca="false">SUM(AB28:AB32)</f>
        <v>80034</v>
      </c>
      <c r="AC33" s="35" t="n">
        <f aca="false">IFERROR(AB33/AB$16,0)</f>
        <v>0.227385467717878</v>
      </c>
    </row>
    <row r="35" customFormat="false" ht="15" hidden="false" customHeight="true" outlineLevel="0" collapsed="false">
      <c r="A35" s="6" t="s">
        <v>200</v>
      </c>
      <c r="C35" s="7" t="n">
        <f aca="false">C24+C33</f>
        <v>24597</v>
      </c>
      <c r="D35" s="8" t="n">
        <f aca="false">IFERROR(C35/C$16,0)</f>
        <v>0.64528569179915</v>
      </c>
      <c r="E35" s="7" t="n">
        <f aca="false">E24+E33</f>
        <v>17569</v>
      </c>
      <c r="F35" s="8" t="n">
        <f aca="false">IFERROR(E35/E$16,0)</f>
        <v>1.05254013898874</v>
      </c>
      <c r="G35" s="7" t="n">
        <f aca="false">G24+G33</f>
        <v>28000</v>
      </c>
      <c r="H35" s="8" t="n">
        <f aca="false">IFERROR(G35/G$16,0)</f>
        <v>0.703429217434996</v>
      </c>
      <c r="I35" s="7" t="n">
        <f aca="false">I24+I33</f>
        <v>7107</v>
      </c>
      <c r="J35" s="8" t="n">
        <f aca="false">IFERROR(I35/I$16,0)</f>
        <v>0.567334557356111</v>
      </c>
      <c r="K35" s="7" t="n">
        <f aca="false">K24+K33</f>
        <v>25737</v>
      </c>
      <c r="L35" s="8" t="n">
        <f aca="false">IFERROR(K35/K$16,0)</f>
        <v>0.62866704120765</v>
      </c>
      <c r="M35" s="7" t="n">
        <f aca="false">M24+M33</f>
        <v>31854</v>
      </c>
      <c r="N35" s="8" t="n">
        <f aca="false">IFERROR(M35/M$16,0)</f>
        <v>0.695153089060079</v>
      </c>
      <c r="O35" s="7" t="n">
        <f aca="false">O24+O33</f>
        <v>15387</v>
      </c>
      <c r="P35" s="8" t="n">
        <f aca="false">IFERROR(O35/O$16,0)</f>
        <v>0.465285757484125</v>
      </c>
      <c r="Q35" s="7" t="n">
        <f aca="false">Q24+Q33</f>
        <v>10543</v>
      </c>
      <c r="R35" s="8" t="n">
        <f aca="false">IFERROR(Q35/Q$16,0)</f>
        <v>0.421703131874725</v>
      </c>
      <c r="S35" s="7" t="n">
        <f aca="false">S24+S33</f>
        <v>10543</v>
      </c>
      <c r="T35" s="8" t="n">
        <f aca="false">IFERROR(S35/S$16,0)</f>
        <v>0.421703131874725</v>
      </c>
      <c r="U35" s="7" t="n">
        <f aca="false">U24+U33</f>
        <v>8829</v>
      </c>
      <c r="V35" s="8" t="n">
        <f aca="false">IFERROR(U35/U$16,0)</f>
        <v>0.44145</v>
      </c>
      <c r="W35" s="7" t="n">
        <f aca="false">W24+W33</f>
        <v>8829</v>
      </c>
      <c r="X35" s="8" t="n">
        <f aca="false">IFERROR(W35/W$16,0)</f>
        <v>0.44145</v>
      </c>
      <c r="Y35" s="7" t="n">
        <f aca="false">Y24+Y33</f>
        <v>13971</v>
      </c>
      <c r="Z35" s="8" t="n">
        <f aca="false">IFERROR(Y35/Y$16,0)</f>
        <v>0.399182833795251</v>
      </c>
      <c r="AB35" s="7" t="n">
        <f aca="false">AB24+AB33</f>
        <v>202966</v>
      </c>
      <c r="AC35" s="8" t="n">
        <f aca="false">IFERROR(AB35/AB$16,0)</f>
        <v>0.576648909723702</v>
      </c>
    </row>
    <row r="36" customFormat="false" ht="15" hidden="false" customHeight="true" outlineLevel="0" collapsed="false">
      <c r="A36" s="6" t="s">
        <v>201</v>
      </c>
      <c r="C36" s="7" t="n">
        <f aca="false">C25-C33</f>
        <v>13521</v>
      </c>
      <c r="D36" s="8" t="n">
        <f aca="false">IFERROR(C36/C$16,0)</f>
        <v>0.35471430820085</v>
      </c>
      <c r="E36" s="7" t="n">
        <f aca="false">E25-E33</f>
        <v>-877</v>
      </c>
      <c r="F36" s="8" t="n">
        <f aca="false">IFERROR(E36/E$16,0)</f>
        <v>-0.0525401389887371</v>
      </c>
      <c r="G36" s="7" t="n">
        <f aca="false">G25-G33</f>
        <v>11805</v>
      </c>
      <c r="H36" s="8" t="n">
        <f aca="false">IFERROR(G36/G$16,0)</f>
        <v>0.296570782565004</v>
      </c>
      <c r="I36" s="7" t="n">
        <f aca="false">I25-I33</f>
        <v>5420</v>
      </c>
      <c r="J36" s="8" t="n">
        <f aca="false">IFERROR(I36/I$16,0)</f>
        <v>0.432665442643889</v>
      </c>
      <c r="K36" s="7" t="n">
        <f aca="false">K25-K33</f>
        <v>15202</v>
      </c>
      <c r="L36" s="8" t="n">
        <f aca="false">IFERROR(K36/K$16,0)</f>
        <v>0.37133295879235</v>
      </c>
      <c r="M36" s="7" t="n">
        <f aca="false">M25-M33</f>
        <v>13969</v>
      </c>
      <c r="N36" s="8" t="n">
        <f aca="false">IFERROR(M36/M$16,0)</f>
        <v>0.304846910939921</v>
      </c>
      <c r="O36" s="7" t="n">
        <f aca="false">O25-O33</f>
        <v>17683</v>
      </c>
      <c r="P36" s="8" t="n">
        <f aca="false">IFERROR(O36/O$16,0)</f>
        <v>0.534714242515875</v>
      </c>
      <c r="Q36" s="7" t="n">
        <f aca="false">Q25-Q33</f>
        <v>14458</v>
      </c>
      <c r="R36" s="8" t="n">
        <f aca="false">IFERROR(Q36/Q$16,0)</f>
        <v>0.578296868125275</v>
      </c>
      <c r="S36" s="7" t="n">
        <f aca="false">S25-S33</f>
        <v>14458</v>
      </c>
      <c r="T36" s="8" t="n">
        <f aca="false">IFERROR(S36/S$16,0)</f>
        <v>0.578296868125275</v>
      </c>
      <c r="U36" s="7" t="n">
        <f aca="false">U25-U33</f>
        <v>11171</v>
      </c>
      <c r="V36" s="8" t="n">
        <f aca="false">IFERROR(U36/U$16,0)</f>
        <v>0.55855</v>
      </c>
      <c r="W36" s="7" t="n">
        <f aca="false">W25-W33</f>
        <v>11171</v>
      </c>
      <c r="X36" s="8" t="n">
        <f aca="false">IFERROR(W36/W$16,0)</f>
        <v>0.55855</v>
      </c>
      <c r="Y36" s="7" t="n">
        <f aca="false">Y25-Y33</f>
        <v>21028</v>
      </c>
      <c r="Z36" s="8" t="n">
        <f aca="false">IFERROR(Y36/Y$16,0)</f>
        <v>0.600817166204749</v>
      </c>
      <c r="AB36" s="7" t="n">
        <f aca="false">AB25-AB33</f>
        <v>149009</v>
      </c>
      <c r="AC36" s="8" t="n">
        <f aca="false">IFERROR(AB36/AB$16,0)</f>
        <v>0.423351090276298</v>
      </c>
    </row>
    <row r="38" customFormat="false" ht="15" hidden="false" customHeight="true" outlineLevel="0" collapsed="false">
      <c r="A38" s="6" t="s">
        <v>202</v>
      </c>
    </row>
    <row r="39" customFormat="false" ht="15" hidden="false" customHeight="true" outlineLevel="0" collapsed="false">
      <c r="A39" s="5" t="s">
        <v>203</v>
      </c>
      <c r="C39" s="24" t="n">
        <v>1631</v>
      </c>
      <c r="D39" s="34" t="n">
        <f aca="false">IFERROR(C39/C$16,0)</f>
        <v>0.0427881840600241</v>
      </c>
      <c r="E39" s="24" t="n">
        <v>1306</v>
      </c>
      <c r="F39" s="34" t="n">
        <f aca="false">IFERROR(E39/E$16,0)</f>
        <v>0.0782410735681764</v>
      </c>
      <c r="G39" s="24" t="n">
        <v>3262</v>
      </c>
      <c r="H39" s="34" t="n">
        <f aca="false">IFERROR(G39/G$16,0)</f>
        <v>0.081949503831177</v>
      </c>
      <c r="I39" s="24" t="n">
        <v>580</v>
      </c>
      <c r="J39" s="34" t="n">
        <f aca="false">IFERROR(I39/I$16,0)</f>
        <v>0.0462999920172428</v>
      </c>
      <c r="K39" s="24" t="n">
        <v>947</v>
      </c>
      <c r="L39" s="34" t="n">
        <f aca="false">IFERROR(K39/K$16,0)</f>
        <v>0.0231319768435966</v>
      </c>
      <c r="M39" s="24" t="n">
        <v>929</v>
      </c>
      <c r="N39" s="34" t="n">
        <f aca="false">IFERROR(M39/M$16,0)</f>
        <v>0.0202736616982738</v>
      </c>
      <c r="O39" s="24" t="n">
        <v>1262</v>
      </c>
      <c r="P39" s="34" t="n">
        <f aca="false">IFERROR(O39/O$16,0)</f>
        <v>0.0381614756576958</v>
      </c>
      <c r="Q39" s="24" t="n">
        <v>1262</v>
      </c>
      <c r="R39" s="34" t="n">
        <f aca="false">IFERROR(Q39/Q$16,0)</f>
        <v>0.0504779808807648</v>
      </c>
      <c r="S39" s="24" t="n">
        <v>1262</v>
      </c>
      <c r="T39" s="34" t="n">
        <f aca="false">IFERROR(S39/S$16,0)</f>
        <v>0.0504779808807648</v>
      </c>
      <c r="U39" s="24" t="n">
        <v>1262</v>
      </c>
      <c r="V39" s="34" t="n">
        <f aca="false">IFERROR(U39/U$16,0)</f>
        <v>0.0631</v>
      </c>
      <c r="W39" s="24" t="n">
        <v>1262</v>
      </c>
      <c r="X39" s="34" t="n">
        <f aca="false">IFERROR(W39/W$16,0)</f>
        <v>0.0631</v>
      </c>
      <c r="Y39" s="24" t="n">
        <v>1262</v>
      </c>
      <c r="Z39" s="34" t="n">
        <f aca="false">IFERROR(Y39/Y$16,0)</f>
        <v>0.0360581730906597</v>
      </c>
      <c r="AB39" s="24" t="n">
        <f aca="false">SUM(C39,E39,G39,I39,K39,M39,O39,Q39,S39,U39,W39,Y39)</f>
        <v>16227</v>
      </c>
      <c r="AC39" s="34" t="n">
        <f aca="false">IFERROR(AB39/AB$16,0)</f>
        <v>0.0461027061581078</v>
      </c>
    </row>
    <row r="40" customFormat="false" ht="15" hidden="false" customHeight="true" outlineLevel="0" collapsed="false">
      <c r="A40" s="5" t="s">
        <v>204</v>
      </c>
      <c r="C40" s="24" t="n">
        <v>0</v>
      </c>
      <c r="D40" s="34" t="n">
        <f aca="false">IFERROR(C40/C$16,0)</f>
        <v>0</v>
      </c>
      <c r="E40" s="24" t="n">
        <v>1112</v>
      </c>
      <c r="F40" s="34" t="n">
        <f aca="false">IFERROR(E40/E$16,0)</f>
        <v>0.0666187395159358</v>
      </c>
      <c r="G40" s="24" t="n">
        <v>256</v>
      </c>
      <c r="H40" s="34" t="n">
        <f aca="false">IFERROR(G40/G$16,0)</f>
        <v>0.00643135284511996</v>
      </c>
      <c r="I40" s="24" t="n">
        <v>0</v>
      </c>
      <c r="J40" s="34" t="n">
        <f aca="false">IFERROR(I40/I$16,0)</f>
        <v>0</v>
      </c>
      <c r="K40" s="24" t="n">
        <v>1445</v>
      </c>
      <c r="L40" s="34" t="n">
        <f aca="false">IFERROR(K40/K$16,0)</f>
        <v>0.035296416619849</v>
      </c>
      <c r="M40" s="24" t="n">
        <v>0</v>
      </c>
      <c r="N40" s="34" t="n">
        <f aca="false">IFERROR(M40/M$16,0)</f>
        <v>0</v>
      </c>
      <c r="O40" s="24" t="n">
        <v>1445</v>
      </c>
      <c r="P40" s="34" t="n">
        <f aca="false">IFERROR(O40/O$16,0)</f>
        <v>0.0436951920169338</v>
      </c>
      <c r="Q40" s="24" t="n">
        <v>1445</v>
      </c>
      <c r="R40" s="34" t="n">
        <f aca="false">IFERROR(Q40/Q$16,0)</f>
        <v>0.0577976880924763</v>
      </c>
      <c r="S40" s="24" t="n">
        <v>1445</v>
      </c>
      <c r="T40" s="34" t="n">
        <f aca="false">IFERROR(S40/S$16,0)</f>
        <v>0.0577976880924763</v>
      </c>
      <c r="U40" s="24" t="n">
        <v>1445</v>
      </c>
      <c r="V40" s="34" t="n">
        <f aca="false">IFERROR(U40/U$16,0)</f>
        <v>0.07225</v>
      </c>
      <c r="W40" s="24" t="n">
        <v>1445</v>
      </c>
      <c r="X40" s="34" t="n">
        <f aca="false">IFERROR(W40/W$16,0)</f>
        <v>0.07225</v>
      </c>
      <c r="Y40" s="24" t="n">
        <v>1445</v>
      </c>
      <c r="Z40" s="34" t="n">
        <f aca="false">IFERROR(Y40/Y$16,0)</f>
        <v>0.0412868939112546</v>
      </c>
      <c r="AB40" s="24" t="n">
        <f aca="false">SUM(C40,E40,G40,I40,K40,M40,O40,Q40,S40,U40,W40,Y40)</f>
        <v>11483</v>
      </c>
      <c r="AC40" s="34" t="n">
        <f aca="false">IFERROR(AB40/AB$16,0)</f>
        <v>0.0326244761701825</v>
      </c>
    </row>
    <row r="41" customFormat="false" ht="15" hidden="false" customHeight="true" outlineLevel="0" collapsed="false">
      <c r="A41" s="5" t="s">
        <v>205</v>
      </c>
      <c r="C41" s="24" t="n">
        <v>827</v>
      </c>
      <c r="D41" s="34" t="n">
        <f aca="false">IFERROR(C41/C$16,0)</f>
        <v>0.0216957867674065</v>
      </c>
      <c r="E41" s="24" t="n">
        <v>1090</v>
      </c>
      <c r="F41" s="34" t="n">
        <f aca="false">IFERROR(E41/E$16,0)</f>
        <v>0.0653007428708363</v>
      </c>
      <c r="G41" s="24" t="n">
        <v>1821</v>
      </c>
      <c r="H41" s="34" t="n">
        <f aca="false">IFERROR(G41/G$16,0)</f>
        <v>0.045748021605326</v>
      </c>
      <c r="I41" s="24" t="n">
        <v>1386</v>
      </c>
      <c r="J41" s="34" t="n">
        <f aca="false">IFERROR(I41/I$16,0)</f>
        <v>0.110641015406721</v>
      </c>
      <c r="K41" s="24" t="n">
        <v>674</v>
      </c>
      <c r="L41" s="34" t="n">
        <f aca="false">IFERROR(K41/K$16,0)</f>
        <v>0.0164635188939642</v>
      </c>
      <c r="M41" s="24" t="n">
        <v>697</v>
      </c>
      <c r="N41" s="34" t="n">
        <f aca="false">IFERROR(M41/M$16,0)</f>
        <v>0.0152107020491893</v>
      </c>
      <c r="O41" s="24" t="n">
        <v>674</v>
      </c>
      <c r="P41" s="34" t="n">
        <f aca="false">IFERROR(O41/O$16,0)</f>
        <v>0.0203810099788328</v>
      </c>
      <c r="Q41" s="24" t="n">
        <v>674</v>
      </c>
      <c r="R41" s="34" t="n">
        <f aca="false">IFERROR(Q41/Q$16,0)</f>
        <v>0.0269589216431343</v>
      </c>
      <c r="S41" s="24" t="n">
        <v>674</v>
      </c>
      <c r="T41" s="34" t="n">
        <f aca="false">IFERROR(S41/S$16,0)</f>
        <v>0.0269589216431343</v>
      </c>
      <c r="U41" s="24" t="n">
        <v>674</v>
      </c>
      <c r="V41" s="34" t="n">
        <f aca="false">IFERROR(U41/U$16,0)</f>
        <v>0.0337</v>
      </c>
      <c r="W41" s="24" t="n">
        <v>674</v>
      </c>
      <c r="X41" s="34" t="n">
        <f aca="false">IFERROR(W41/W$16,0)</f>
        <v>0.0337</v>
      </c>
      <c r="Y41" s="24" t="n">
        <v>674</v>
      </c>
      <c r="Z41" s="34" t="n">
        <f aca="false">IFERROR(Y41/Y$16,0)</f>
        <v>0.0192576930769451</v>
      </c>
      <c r="AB41" s="24" t="n">
        <f aca="false">SUM(C41,E41,G41,I41,K41,M41,O41,Q41,S41,U41,W41,Y41)</f>
        <v>10539</v>
      </c>
      <c r="AC41" s="34" t="n">
        <f aca="false">IFERROR(AB41/AB$16,0)</f>
        <v>0.0299424675047944</v>
      </c>
    </row>
    <row r="42" customFormat="false" ht="15" hidden="false" customHeight="true" outlineLevel="0" collapsed="false">
      <c r="A42" s="5" t="s">
        <v>206</v>
      </c>
      <c r="C42" s="24" t="n">
        <v>3621</v>
      </c>
      <c r="D42" s="34" t="n">
        <f aca="false">IFERROR(C42/C$16,0)</f>
        <v>0.0949944907917519</v>
      </c>
      <c r="E42" s="24" t="n">
        <v>3804</v>
      </c>
      <c r="F42" s="34" t="n">
        <f aca="false">IFERROR(E42/E$16,0)</f>
        <v>0.227893601725377</v>
      </c>
      <c r="G42" s="24" t="n">
        <v>5208</v>
      </c>
      <c r="H42" s="34" t="n">
        <f aca="false">IFERROR(G42/G$16,0)</f>
        <v>0.130837834442909</v>
      </c>
      <c r="I42" s="24" t="n">
        <v>2705</v>
      </c>
      <c r="J42" s="34" t="n">
        <f aca="false">IFERROR(I42/I$16,0)</f>
        <v>0.215933583459727</v>
      </c>
      <c r="K42" s="24" t="n">
        <v>4709</v>
      </c>
      <c r="L42" s="34" t="n">
        <f aca="false">IFERROR(K42/K$16,0)</f>
        <v>0.115024792984685</v>
      </c>
      <c r="M42" s="24" t="n">
        <v>2584</v>
      </c>
      <c r="N42" s="34" t="n">
        <f aca="false">IFERROR(M42/M$16,0)</f>
        <v>0.0563908954018724</v>
      </c>
      <c r="O42" s="24" t="n">
        <v>3340</v>
      </c>
      <c r="P42" s="34" t="n">
        <f aca="false">IFERROR(O42/O$16,0)</f>
        <v>0.100997883277895</v>
      </c>
      <c r="Q42" s="24" t="n">
        <v>2979</v>
      </c>
      <c r="R42" s="34" t="n">
        <f aca="false">IFERROR(Q42/Q$16,0)</f>
        <v>0.119155233790648</v>
      </c>
      <c r="S42" s="24" t="n">
        <v>2857</v>
      </c>
      <c r="T42" s="34" t="n">
        <f aca="false">IFERROR(S42/S$16,0)</f>
        <v>0.114275428982841</v>
      </c>
      <c r="U42" s="24" t="n">
        <v>2748</v>
      </c>
      <c r="V42" s="34" t="n">
        <f aca="false">IFERROR(U42/U$16,0)</f>
        <v>0.1374</v>
      </c>
      <c r="W42" s="24" t="n">
        <v>2707</v>
      </c>
      <c r="X42" s="34" t="n">
        <f aca="false">IFERROR(W42/W$16,0)</f>
        <v>0.13535</v>
      </c>
      <c r="Y42" s="24" t="n">
        <v>2718</v>
      </c>
      <c r="Z42" s="34" t="n">
        <f aca="false">IFERROR(Y42/Y$16,0)</f>
        <v>0.0776593616960485</v>
      </c>
      <c r="AB42" s="24" t="n">
        <f aca="false">SUM(C42,E42,G42,I42,K42,M42,O42,Q42,S42,U42,W42,Y42)</f>
        <v>39980</v>
      </c>
      <c r="AC42" s="34" t="n">
        <f aca="false">IFERROR(AB42/AB$16,0)</f>
        <v>0.113587612756588</v>
      </c>
    </row>
    <row r="43" customFormat="false" ht="15" hidden="false" customHeight="true" outlineLevel="0" collapsed="false">
      <c r="A43" s="5" t="s">
        <v>207</v>
      </c>
      <c r="C43" s="24" t="n">
        <v>0</v>
      </c>
      <c r="D43" s="34" t="n">
        <f aca="false">IFERROR(C43/C$16,0)</f>
        <v>0</v>
      </c>
      <c r="E43" s="24" t="n">
        <v>0</v>
      </c>
      <c r="F43" s="34" t="n">
        <f aca="false">IFERROR(E43/E$16,0)</f>
        <v>0</v>
      </c>
      <c r="G43" s="24" t="n">
        <v>520</v>
      </c>
      <c r="H43" s="34" t="n">
        <f aca="false">IFERROR(G43/G$16,0)</f>
        <v>0.0130636854666499</v>
      </c>
      <c r="I43" s="24" t="n">
        <v>1875</v>
      </c>
      <c r="J43" s="34" t="n">
        <f aca="false">IFERROR(I43/I$16,0)</f>
        <v>0.149676698331604</v>
      </c>
      <c r="K43" s="24" t="n">
        <v>0</v>
      </c>
      <c r="L43" s="34" t="n">
        <f aca="false">IFERROR(K43/K$16,0)</f>
        <v>0</v>
      </c>
      <c r="M43" s="24" t="n">
        <v>0</v>
      </c>
      <c r="N43" s="34" t="n">
        <f aca="false">IFERROR(M43/M$16,0)</f>
        <v>0</v>
      </c>
      <c r="O43" s="24" t="n">
        <v>0</v>
      </c>
      <c r="P43" s="34" t="n">
        <f aca="false">IFERROR(O43/O$16,0)</f>
        <v>0</v>
      </c>
      <c r="Q43" s="24" t="n">
        <v>0</v>
      </c>
      <c r="R43" s="34" t="n">
        <f aca="false">IFERROR(Q43/Q$16,0)</f>
        <v>0</v>
      </c>
      <c r="S43" s="24" t="n">
        <v>0</v>
      </c>
      <c r="T43" s="34" t="n">
        <f aca="false">IFERROR(S43/S$16,0)</f>
        <v>0</v>
      </c>
      <c r="U43" s="24" t="n">
        <v>0</v>
      </c>
      <c r="V43" s="34" t="n">
        <f aca="false">IFERROR(U43/U$16,0)</f>
        <v>0</v>
      </c>
      <c r="W43" s="24" t="n">
        <v>0</v>
      </c>
      <c r="X43" s="34" t="n">
        <f aca="false">IFERROR(W43/W$16,0)</f>
        <v>0</v>
      </c>
      <c r="Y43" s="24" t="n">
        <v>0</v>
      </c>
      <c r="Z43" s="34" t="n">
        <f aca="false">IFERROR(Y43/Y$16,0)</f>
        <v>0</v>
      </c>
      <c r="AB43" s="24" t="n">
        <f aca="false">SUM(C43,E43,G43,I43,K43,M43,O43,Q43,S43,U43,W43,Y43)</f>
        <v>2395</v>
      </c>
      <c r="AC43" s="34" t="n">
        <f aca="false">IFERROR(AB43/AB$16,0)</f>
        <v>0.00680446054407273</v>
      </c>
    </row>
    <row r="44" customFormat="false" ht="15" hidden="false" customHeight="true" outlineLevel="0" collapsed="false">
      <c r="A44" s="6" t="s">
        <v>209</v>
      </c>
      <c r="C44" s="27" t="n">
        <f aca="false">SUM(C39:C43)</f>
        <v>6079</v>
      </c>
      <c r="D44" s="35" t="n">
        <f aca="false">IFERROR(C44/C$16,0)</f>
        <v>0.159478461619183</v>
      </c>
      <c r="E44" s="27" t="n">
        <f aca="false">SUM(E39:E43)</f>
        <v>7312</v>
      </c>
      <c r="F44" s="35" t="n">
        <f aca="false">IFERROR(E44/E$16,0)</f>
        <v>0.438054157680326</v>
      </c>
      <c r="G44" s="27" t="n">
        <f aca="false">SUM(G39:G43)</f>
        <v>11067</v>
      </c>
      <c r="H44" s="35" t="n">
        <f aca="false">IFERROR(G44/G$16,0)</f>
        <v>0.278030398191182</v>
      </c>
      <c r="I44" s="27" t="n">
        <f aca="false">SUM(I39:I43)</f>
        <v>6546</v>
      </c>
      <c r="J44" s="35" t="n">
        <f aca="false">IFERROR(I44/I$16,0)</f>
        <v>0.522551289215295</v>
      </c>
      <c r="K44" s="27" t="n">
        <f aca="false">SUM(K39:K43)</f>
        <v>7775</v>
      </c>
      <c r="L44" s="35" t="n">
        <f aca="false">IFERROR(K44/K$16,0)</f>
        <v>0.189916705342094</v>
      </c>
      <c r="M44" s="27" t="n">
        <f aca="false">SUM(M39:M43)</f>
        <v>4210</v>
      </c>
      <c r="N44" s="35" t="n">
        <f aca="false">IFERROR(M44/M$16,0)</f>
        <v>0.0918752591493355</v>
      </c>
      <c r="O44" s="27" t="n">
        <f aca="false">SUM(O39:O43)</f>
        <v>6721</v>
      </c>
      <c r="P44" s="35" t="n">
        <f aca="false">IFERROR(O44/O$16,0)</f>
        <v>0.203235560931358</v>
      </c>
      <c r="Q44" s="27" t="n">
        <f aca="false">SUM(Q39:Q43)</f>
        <v>6360</v>
      </c>
      <c r="R44" s="35" t="n">
        <f aca="false">IFERROR(Q44/Q$16,0)</f>
        <v>0.254389824407024</v>
      </c>
      <c r="S44" s="27" t="n">
        <f aca="false">SUM(S39:S43)</f>
        <v>6238</v>
      </c>
      <c r="T44" s="35" t="n">
        <f aca="false">IFERROR(S44/S$16,0)</f>
        <v>0.249510019599216</v>
      </c>
      <c r="U44" s="27" t="n">
        <f aca="false">SUM(U39:U43)</f>
        <v>6129</v>
      </c>
      <c r="V44" s="35" t="n">
        <f aca="false">IFERROR(U44/U$16,0)</f>
        <v>0.30645</v>
      </c>
      <c r="W44" s="27" t="n">
        <f aca="false">SUM(W39:W43)</f>
        <v>6088</v>
      </c>
      <c r="X44" s="35" t="n">
        <f aca="false">IFERROR(W44/W$16,0)</f>
        <v>0.3044</v>
      </c>
      <c r="Y44" s="27" t="n">
        <f aca="false">SUM(Y39:Y43)</f>
        <v>6099</v>
      </c>
      <c r="Z44" s="35" t="n">
        <f aca="false">IFERROR(Y44/Y$16,0)</f>
        <v>0.174262121774908</v>
      </c>
      <c r="AB44" s="27" t="n">
        <f aca="false">SUM(AB39:AB43)</f>
        <v>80624</v>
      </c>
      <c r="AC44" s="35" t="n">
        <f aca="false">IFERROR(AB44/AB$16,0)</f>
        <v>0.229061723133745</v>
      </c>
    </row>
    <row r="46" customFormat="false" ht="15" hidden="false" customHeight="true" outlineLevel="0" collapsed="false">
      <c r="A46" s="6" t="s">
        <v>210</v>
      </c>
    </row>
    <row r="47" customFormat="false" ht="15" hidden="false" customHeight="true" outlineLevel="0" collapsed="false">
      <c r="A47" s="5" t="s">
        <v>211</v>
      </c>
      <c r="C47" s="24" t="n">
        <v>479</v>
      </c>
      <c r="D47" s="34" t="n">
        <f aca="false">IFERROR(C47/C$16,0)</f>
        <v>0.0125662416706018</v>
      </c>
      <c r="E47" s="24" t="n">
        <v>433</v>
      </c>
      <c r="F47" s="34" t="n">
        <f aca="false">IFERROR(E47/E$16,0)</f>
        <v>0.0259405703330937</v>
      </c>
      <c r="G47" s="24" t="n">
        <v>479</v>
      </c>
      <c r="H47" s="34" t="n">
        <f aca="false">IFERROR(G47/G$16,0)</f>
        <v>0.0120336641125487</v>
      </c>
      <c r="I47" s="24" t="n">
        <v>464</v>
      </c>
      <c r="J47" s="34" t="n">
        <f aca="false">IFERROR(I47/I$16,0)</f>
        <v>0.0370399936137942</v>
      </c>
      <c r="K47" s="24" t="n">
        <v>479</v>
      </c>
      <c r="L47" s="34" t="n">
        <f aca="false">IFERROR(K47/K$16,0)</f>
        <v>0.0117003346442268</v>
      </c>
      <c r="M47" s="24" t="n">
        <v>479</v>
      </c>
      <c r="N47" s="34" t="n">
        <f aca="false">IFERROR(M47/M$16,0)</f>
        <v>0.0104532658272047</v>
      </c>
      <c r="O47" s="24" t="n">
        <v>479</v>
      </c>
      <c r="P47" s="34" t="n">
        <f aca="false">IFERROR(O47/O$16,0)</f>
        <v>0.0144844269730874</v>
      </c>
      <c r="Q47" s="24" t="n">
        <v>479</v>
      </c>
      <c r="R47" s="34" t="n">
        <f aca="false">IFERROR(Q47/Q$16,0)</f>
        <v>0.0191592336306548</v>
      </c>
      <c r="S47" s="24" t="n">
        <v>479</v>
      </c>
      <c r="T47" s="34" t="n">
        <f aca="false">IFERROR(S47/S$16,0)</f>
        <v>0.0191592336306548</v>
      </c>
      <c r="U47" s="24" t="n">
        <v>479</v>
      </c>
      <c r="V47" s="34" t="n">
        <f aca="false">IFERROR(U47/U$16,0)</f>
        <v>0.02395</v>
      </c>
      <c r="W47" s="24" t="n">
        <v>479</v>
      </c>
      <c r="X47" s="34" t="n">
        <f aca="false">IFERROR(W47/W$16,0)</f>
        <v>0.02395</v>
      </c>
      <c r="Y47" s="24" t="n">
        <v>479</v>
      </c>
      <c r="Z47" s="34" t="n">
        <f aca="false">IFERROR(Y47/Y$16,0)</f>
        <v>0.0136861053172948</v>
      </c>
      <c r="AB47" s="24" t="n">
        <f aca="false">SUM(C47,E47,G47,I47,K47,M47,O47,Q47,S47,U47,W47,Y47)</f>
        <v>5687</v>
      </c>
      <c r="AC47" s="34" t="n">
        <f aca="false">IFERROR(AB47/AB$16,0)</f>
        <v>0.0161573975424391</v>
      </c>
    </row>
    <row r="48" customFormat="false" ht="15" hidden="false" customHeight="true" outlineLevel="0" collapsed="false">
      <c r="A48" s="5" t="s">
        <v>212</v>
      </c>
      <c r="C48" s="24" t="n">
        <v>2509</v>
      </c>
      <c r="D48" s="34" t="n">
        <f aca="false">IFERROR(C48/C$16,0)</f>
        <v>0.0658219214019623</v>
      </c>
      <c r="E48" s="24" t="n">
        <v>1020</v>
      </c>
      <c r="F48" s="34" t="n">
        <f aca="false">IFERROR(E48/E$16,0)</f>
        <v>0.0611071171818835</v>
      </c>
      <c r="G48" s="24" t="n">
        <v>2388</v>
      </c>
      <c r="H48" s="34" t="n">
        <f aca="false">IFERROR(G48/G$16,0)</f>
        <v>0.0599924632583846</v>
      </c>
      <c r="I48" s="24" t="n">
        <v>735</v>
      </c>
      <c r="J48" s="34" t="n">
        <f aca="false">IFERROR(I48/I$16,0)</f>
        <v>0.0586732657459887</v>
      </c>
      <c r="K48" s="24" t="n">
        <v>2456</v>
      </c>
      <c r="L48" s="34" t="n">
        <f aca="false">IFERROR(K48/K$16,0)</f>
        <v>0.0599916949607953</v>
      </c>
      <c r="M48" s="24" t="n">
        <v>2749</v>
      </c>
      <c r="N48" s="34" t="n">
        <f aca="false">IFERROR(M48/M$16,0)</f>
        <v>0.0599917072212644</v>
      </c>
      <c r="O48" s="24" t="n">
        <v>1984</v>
      </c>
      <c r="P48" s="34" t="n">
        <f aca="false">IFERROR(O48/O$16,0)</f>
        <v>0.0599939522225582</v>
      </c>
      <c r="Q48" s="24" t="n">
        <v>1500</v>
      </c>
      <c r="R48" s="34" t="n">
        <f aca="false">IFERROR(Q48/Q$16,0)</f>
        <v>0.0599976000959962</v>
      </c>
      <c r="S48" s="24" t="n">
        <v>1500</v>
      </c>
      <c r="T48" s="34" t="n">
        <f aca="false">IFERROR(S48/S$16,0)</f>
        <v>0.0599976000959962</v>
      </c>
      <c r="U48" s="24" t="n">
        <v>1200</v>
      </c>
      <c r="V48" s="34" t="n">
        <f aca="false">IFERROR(U48/U$16,0)</f>
        <v>0.06</v>
      </c>
      <c r="W48" s="24" t="n">
        <v>1200</v>
      </c>
      <c r="X48" s="34" t="n">
        <f aca="false">IFERROR(W48/W$16,0)</f>
        <v>0.06</v>
      </c>
      <c r="Y48" s="24" t="n">
        <v>2100</v>
      </c>
      <c r="Z48" s="34" t="n">
        <f aca="false">IFERROR(Y48/Y$16,0)</f>
        <v>0.0600017143346953</v>
      </c>
      <c r="AB48" s="24" t="n">
        <f aca="false">SUM(C48,E48,G48,I48,K48,M48,O48,Q48,S48,U48,W48,Y48)</f>
        <v>21341</v>
      </c>
      <c r="AC48" s="34" t="n">
        <f aca="false">IFERROR(AB48/AB$16,0)</f>
        <v>0.0606321471695433</v>
      </c>
    </row>
    <row r="49" customFormat="false" ht="15" hidden="false" customHeight="true" outlineLevel="0" collapsed="false">
      <c r="A49" s="5" t="s">
        <v>213</v>
      </c>
      <c r="C49" s="24" t="n">
        <v>1669</v>
      </c>
      <c r="D49" s="34" t="n">
        <f aca="false">IFERROR(C49/C$16,0)</f>
        <v>0.0437850884096752</v>
      </c>
      <c r="E49" s="24" t="n">
        <v>223</v>
      </c>
      <c r="F49" s="34" t="n">
        <f aca="false">IFERROR(E49/E$16,0)</f>
        <v>0.0133596932662353</v>
      </c>
      <c r="G49" s="24" t="n">
        <v>627</v>
      </c>
      <c r="H49" s="34" t="n">
        <f aca="false">IFERROR(G49/G$16,0)</f>
        <v>0.0157517899761337</v>
      </c>
      <c r="I49" s="24" t="n">
        <v>-128</v>
      </c>
      <c r="J49" s="34" t="n">
        <f aca="false">IFERROR(I49/I$16,0)</f>
        <v>-0.0102179292727708</v>
      </c>
      <c r="K49" s="24" t="n">
        <v>0</v>
      </c>
      <c r="L49" s="34" t="n">
        <f aca="false">IFERROR(K49/K$16,0)</f>
        <v>0</v>
      </c>
      <c r="M49" s="24" t="n">
        <v>1306</v>
      </c>
      <c r="N49" s="34" t="n">
        <f aca="false">IFERROR(M49/M$16,0)</f>
        <v>0.0285009711280361</v>
      </c>
      <c r="O49" s="24" t="n">
        <v>661</v>
      </c>
      <c r="P49" s="34" t="n">
        <f aca="false">IFERROR(O49/O$16,0)</f>
        <v>0.0199879044451164</v>
      </c>
      <c r="Q49" s="24" t="n">
        <v>500</v>
      </c>
      <c r="R49" s="34" t="n">
        <f aca="false">IFERROR(Q49/Q$16,0)</f>
        <v>0.0199992000319987</v>
      </c>
      <c r="S49" s="24" t="n">
        <v>500</v>
      </c>
      <c r="T49" s="34" t="n">
        <f aca="false">IFERROR(S49/S$16,0)</f>
        <v>0.0199992000319987</v>
      </c>
      <c r="U49" s="24" t="n">
        <v>400</v>
      </c>
      <c r="V49" s="34" t="n">
        <f aca="false">IFERROR(U49/U$16,0)</f>
        <v>0.02</v>
      </c>
      <c r="W49" s="24" t="n">
        <v>400</v>
      </c>
      <c r="X49" s="34" t="n">
        <f aca="false">IFERROR(W49/W$16,0)</f>
        <v>0.02</v>
      </c>
      <c r="Y49" s="24" t="n">
        <v>700</v>
      </c>
      <c r="Z49" s="34" t="n">
        <f aca="false">IFERROR(Y49/Y$16,0)</f>
        <v>0.0200005714448984</v>
      </c>
      <c r="AB49" s="24" t="n">
        <f aca="false">SUM(C49,E49,G49,I49,K49,M49,O49,Q49,S49,U49,W49,Y49)</f>
        <v>6858</v>
      </c>
      <c r="AC49" s="34" t="n">
        <f aca="false">IFERROR(AB49/AB$16,0)</f>
        <v>0.0194843383763051</v>
      </c>
    </row>
    <row r="50" customFormat="false" ht="15" hidden="false" customHeight="true" outlineLevel="0" collapsed="false">
      <c r="A50" s="5" t="s">
        <v>143</v>
      </c>
      <c r="C50" s="24" t="n">
        <v>4000</v>
      </c>
      <c r="D50" s="34" t="n">
        <f aca="false">IFERROR(C50/C$16,0)</f>
        <v>0.104937299963272</v>
      </c>
      <c r="E50" s="24" t="n">
        <v>4000</v>
      </c>
      <c r="F50" s="34" t="n">
        <f aca="false">IFERROR(E50/E$16,0)</f>
        <v>0.239635753654445</v>
      </c>
      <c r="G50" s="24" t="n">
        <v>4000</v>
      </c>
      <c r="H50" s="34" t="n">
        <f aca="false">IFERROR(G50/G$16,0)</f>
        <v>0.100489888204999</v>
      </c>
      <c r="I50" s="24" t="n">
        <v>4000</v>
      </c>
      <c r="J50" s="34" t="n">
        <f aca="false">IFERROR(I50/I$16,0)</f>
        <v>0.319310289774088</v>
      </c>
      <c r="K50" s="24" t="n">
        <v>4000</v>
      </c>
      <c r="L50" s="34" t="n">
        <f aca="false">IFERROR(K50/K$16,0)</f>
        <v>0.0977063435843572</v>
      </c>
      <c r="M50" s="24" t="n">
        <v>4000</v>
      </c>
      <c r="N50" s="34" t="n">
        <f aca="false">IFERROR(M50/M$16,0)</f>
        <v>0.0872924077428366</v>
      </c>
      <c r="O50" s="24" t="n">
        <v>4000</v>
      </c>
      <c r="P50" s="34" t="n">
        <f aca="false">IFERROR(O50/O$16,0)</f>
        <v>0.120955548835803</v>
      </c>
      <c r="Q50" s="24" t="n">
        <v>4000</v>
      </c>
      <c r="R50" s="34" t="n">
        <f aca="false">IFERROR(Q50/Q$16,0)</f>
        <v>0.15999360025599</v>
      </c>
      <c r="S50" s="24" t="n">
        <v>4000</v>
      </c>
      <c r="T50" s="34" t="n">
        <f aca="false">IFERROR(S50/S$16,0)</f>
        <v>0.15999360025599</v>
      </c>
      <c r="U50" s="24" t="n">
        <v>4000</v>
      </c>
      <c r="V50" s="34" t="n">
        <f aca="false">IFERROR(U50/U$16,0)</f>
        <v>0.2</v>
      </c>
      <c r="W50" s="24" t="n">
        <v>4000</v>
      </c>
      <c r="X50" s="34" t="n">
        <f aca="false">IFERROR(W50/W$16,0)</f>
        <v>0.2</v>
      </c>
      <c r="Y50" s="24" t="n">
        <v>4000</v>
      </c>
      <c r="Z50" s="34" t="n">
        <f aca="false">IFERROR(Y50/Y$16,0)</f>
        <v>0.114288979685134</v>
      </c>
      <c r="AB50" s="24" t="n">
        <f aca="false">SUM(C50,E50,G50,I50,K50,M50,O50,Q50,S50,U50,W50,Y50)</f>
        <v>48000</v>
      </c>
      <c r="AC50" s="34" t="n">
        <f aca="false">IFERROR(AB50/AB$16,0)</f>
        <v>0.13637332196889</v>
      </c>
    </row>
    <row r="51" customFormat="false" ht="15" hidden="false" customHeight="true" outlineLevel="0" collapsed="false">
      <c r="A51" s="5" t="s">
        <v>215</v>
      </c>
      <c r="C51" s="24" t="n">
        <v>0</v>
      </c>
      <c r="D51" s="34" t="n">
        <f aca="false">IFERROR(C51/C$16,0)</f>
        <v>0</v>
      </c>
      <c r="E51" s="24" t="n">
        <v>0</v>
      </c>
      <c r="F51" s="34" t="n">
        <f aca="false">IFERROR(E51/E$16,0)</f>
        <v>0</v>
      </c>
      <c r="G51" s="24" t="n">
        <v>0</v>
      </c>
      <c r="H51" s="34" t="n">
        <f aca="false">IFERROR(G51/G$16,0)</f>
        <v>0</v>
      </c>
      <c r="I51" s="24" t="n">
        <v>0</v>
      </c>
      <c r="J51" s="34" t="n">
        <f aca="false">IFERROR(I51/I$16,0)</f>
        <v>0</v>
      </c>
      <c r="K51" s="24" t="n">
        <v>0</v>
      </c>
      <c r="L51" s="34" t="n">
        <f aca="false">IFERROR(K51/K$16,0)</f>
        <v>0</v>
      </c>
      <c r="M51" s="24" t="n">
        <v>0</v>
      </c>
      <c r="N51" s="34" t="n">
        <f aca="false">IFERROR(M51/M$16,0)</f>
        <v>0</v>
      </c>
      <c r="O51" s="24" t="n">
        <v>0</v>
      </c>
      <c r="P51" s="34" t="n">
        <f aca="false">IFERROR(O51/O$16,0)</f>
        <v>0</v>
      </c>
      <c r="Q51" s="24" t="n">
        <v>0</v>
      </c>
      <c r="R51" s="34" t="n">
        <f aca="false">IFERROR(Q51/Q$16,0)</f>
        <v>0</v>
      </c>
      <c r="S51" s="24" t="n">
        <v>0</v>
      </c>
      <c r="T51" s="34" t="n">
        <f aca="false">IFERROR(S51/S$16,0)</f>
        <v>0</v>
      </c>
      <c r="U51" s="24" t="n">
        <v>0</v>
      </c>
      <c r="V51" s="34" t="n">
        <f aca="false">IFERROR(U51/U$16,0)</f>
        <v>0</v>
      </c>
      <c r="W51" s="24" t="n">
        <v>0</v>
      </c>
      <c r="X51" s="34" t="n">
        <f aca="false">IFERROR(W51/W$16,0)</f>
        <v>0</v>
      </c>
      <c r="Y51" s="24" t="n">
        <v>0</v>
      </c>
      <c r="Z51" s="34" t="n">
        <f aca="false">IFERROR(Y51/Y$16,0)</f>
        <v>0</v>
      </c>
      <c r="AB51" s="24" t="n">
        <f aca="false">SUM(C51,E51,G51,I51,K51,M51,O51,Q51,S51,U51,W51,Y51)</f>
        <v>0</v>
      </c>
      <c r="AC51" s="34" t="n">
        <f aca="false">IFERROR(AB51/AB$16,0)</f>
        <v>0</v>
      </c>
    </row>
    <row r="52" customFormat="false" ht="15" hidden="false" customHeight="true" outlineLevel="0" collapsed="false">
      <c r="A52" s="5" t="s">
        <v>216</v>
      </c>
      <c r="C52" s="24" t="n">
        <v>0</v>
      </c>
      <c r="D52" s="34" t="n">
        <f aca="false">IFERROR(C52/C$16,0)</f>
        <v>0</v>
      </c>
      <c r="E52" s="24" t="n">
        <v>0</v>
      </c>
      <c r="F52" s="34" t="n">
        <f aca="false">IFERROR(E52/E$16,0)</f>
        <v>0</v>
      </c>
      <c r="G52" s="24" t="n">
        <v>0</v>
      </c>
      <c r="H52" s="34" t="n">
        <f aca="false">IFERROR(G52/G$16,0)</f>
        <v>0</v>
      </c>
      <c r="I52" s="24" t="n">
        <v>0</v>
      </c>
      <c r="J52" s="34" t="n">
        <f aca="false">IFERROR(I52/I$16,0)</f>
        <v>0</v>
      </c>
      <c r="K52" s="24" t="n">
        <v>0</v>
      </c>
      <c r="L52" s="34" t="n">
        <f aca="false">IFERROR(K52/K$16,0)</f>
        <v>0</v>
      </c>
      <c r="M52" s="24" t="n">
        <v>0</v>
      </c>
      <c r="N52" s="34" t="n">
        <f aca="false">IFERROR(M52/M$16,0)</f>
        <v>0</v>
      </c>
      <c r="O52" s="24" t="n">
        <v>0</v>
      </c>
      <c r="P52" s="34" t="n">
        <f aca="false">IFERROR(O52/O$16,0)</f>
        <v>0</v>
      </c>
      <c r="Q52" s="24" t="n">
        <v>0</v>
      </c>
      <c r="R52" s="34" t="n">
        <f aca="false">IFERROR(Q52/Q$16,0)</f>
        <v>0</v>
      </c>
      <c r="S52" s="24" t="n">
        <v>0</v>
      </c>
      <c r="T52" s="34" t="n">
        <f aca="false">IFERROR(S52/S$16,0)</f>
        <v>0</v>
      </c>
      <c r="U52" s="24" t="n">
        <v>0</v>
      </c>
      <c r="V52" s="34" t="n">
        <f aca="false">IFERROR(U52/U$16,0)</f>
        <v>0</v>
      </c>
      <c r="W52" s="24" t="n">
        <v>0</v>
      </c>
      <c r="X52" s="34" t="n">
        <f aca="false">IFERROR(W52/W$16,0)</f>
        <v>0</v>
      </c>
      <c r="Y52" s="24" t="n">
        <v>0</v>
      </c>
      <c r="Z52" s="34" t="n">
        <f aca="false">IFERROR(Y52/Y$16,0)</f>
        <v>0</v>
      </c>
      <c r="AB52" s="24" t="n">
        <f aca="false">SUM(C52,E52,G52,I52,K52,M52,O52,Q52,S52,U52,W52,Y52)</f>
        <v>0</v>
      </c>
      <c r="AC52" s="34" t="n">
        <f aca="false">IFERROR(AB52/AB$16,0)</f>
        <v>0</v>
      </c>
    </row>
    <row r="53" customFormat="false" ht="15" hidden="false" customHeight="true" outlineLevel="0" collapsed="false">
      <c r="A53" s="6" t="s">
        <v>217</v>
      </c>
      <c r="C53" s="27" t="n">
        <f aca="false">SUM(C47:C52)</f>
        <v>8657</v>
      </c>
      <c r="D53" s="35" t="n">
        <f aca="false">IFERROR(C53/C$16,0)</f>
        <v>0.227110551445511</v>
      </c>
      <c r="E53" s="27" t="n">
        <f aca="false">SUM(E47:E52)</f>
        <v>5676</v>
      </c>
      <c r="F53" s="35" t="n">
        <f aca="false">IFERROR(E53/E$16,0)</f>
        <v>0.340043134435658</v>
      </c>
      <c r="G53" s="27" t="n">
        <f aca="false">SUM(G47:G52)</f>
        <v>7494</v>
      </c>
      <c r="H53" s="35" t="n">
        <f aca="false">IFERROR(G53/G$16,0)</f>
        <v>0.188267805552066</v>
      </c>
      <c r="I53" s="27" t="n">
        <f aca="false">SUM(I47:I52)</f>
        <v>5071</v>
      </c>
      <c r="J53" s="35" t="n">
        <f aca="false">IFERROR(I53/I$16,0)</f>
        <v>0.4048056198611</v>
      </c>
      <c r="K53" s="27" t="n">
        <f aca="false">SUM(K47:K52)</f>
        <v>6935</v>
      </c>
      <c r="L53" s="35" t="n">
        <f aca="false">IFERROR(K53/K$16,0)</f>
        <v>0.169398373189379</v>
      </c>
      <c r="M53" s="27" t="n">
        <f aca="false">SUM(M47:M52)</f>
        <v>8534</v>
      </c>
      <c r="N53" s="35" t="n">
        <f aca="false">IFERROR(M53/M$16,0)</f>
        <v>0.186238351919342</v>
      </c>
      <c r="O53" s="27" t="n">
        <f aca="false">SUM(O47:O52)</f>
        <v>7124</v>
      </c>
      <c r="P53" s="35" t="n">
        <f aca="false">IFERROR(O53/O$16,0)</f>
        <v>0.215421832476565</v>
      </c>
      <c r="Q53" s="27" t="n">
        <f aca="false">SUM(Q47:Q52)</f>
        <v>6479</v>
      </c>
      <c r="R53" s="35" t="n">
        <f aca="false">IFERROR(Q53/Q$16,0)</f>
        <v>0.259149634014639</v>
      </c>
      <c r="S53" s="27" t="n">
        <f aca="false">SUM(S47:S52)</f>
        <v>6479</v>
      </c>
      <c r="T53" s="35" t="n">
        <f aca="false">IFERROR(S53/S$16,0)</f>
        <v>0.259149634014639</v>
      </c>
      <c r="U53" s="27" t="n">
        <f aca="false">SUM(U47:U52)</f>
        <v>6079</v>
      </c>
      <c r="V53" s="35" t="n">
        <f aca="false">IFERROR(U53/U$16,0)</f>
        <v>0.30395</v>
      </c>
      <c r="W53" s="27" t="n">
        <f aca="false">SUM(W47:W52)</f>
        <v>6079</v>
      </c>
      <c r="X53" s="35" t="n">
        <f aca="false">IFERROR(W53/W$16,0)</f>
        <v>0.30395</v>
      </c>
      <c r="Y53" s="27" t="n">
        <f aca="false">SUM(Y47:Y52)</f>
        <v>7279</v>
      </c>
      <c r="Z53" s="35" t="n">
        <f aca="false">IFERROR(Y53/Y$16,0)</f>
        <v>0.207977370782022</v>
      </c>
      <c r="AB53" s="27" t="n">
        <f aca="false">SUM(AB47:AB52)</f>
        <v>81886</v>
      </c>
      <c r="AC53" s="35" t="n">
        <f aca="false">IFERROR(AB53/AB$16,0)</f>
        <v>0.232647205057177</v>
      </c>
    </row>
    <row r="55" customFormat="false" ht="15" hidden="false" customHeight="true" outlineLevel="0" collapsed="false">
      <c r="A55" s="6" t="s">
        <v>218</v>
      </c>
      <c r="C55" s="27" t="n">
        <f aca="false">C36-C44-C53</f>
        <v>-1215</v>
      </c>
      <c r="D55" s="35" t="n">
        <f aca="false">IFERROR(C55/C$16,0)</f>
        <v>-0.0318747048638439</v>
      </c>
      <c r="E55" s="27" t="n">
        <f aca="false">E36-E44-E53</f>
        <v>-13865</v>
      </c>
      <c r="F55" s="35" t="n">
        <f aca="false">IFERROR(E55/E$16,0)</f>
        <v>-0.830637431104721</v>
      </c>
      <c r="G55" s="27" t="n">
        <f aca="false">G36-G44-G53</f>
        <v>-6756</v>
      </c>
      <c r="H55" s="35" t="n">
        <f aca="false">IFERROR(G55/G$16,0)</f>
        <v>-0.169727421178244</v>
      </c>
      <c r="I55" s="27" t="n">
        <f aca="false">I36-I44-I53</f>
        <v>-6197</v>
      </c>
      <c r="J55" s="35" t="n">
        <f aca="false">IFERROR(I55/I$16,0)</f>
        <v>-0.494691466432506</v>
      </c>
      <c r="K55" s="27" t="n">
        <f aca="false">K36-K44-K53</f>
        <v>492</v>
      </c>
      <c r="L55" s="35" t="n">
        <f aca="false">IFERROR(K55/K$16,0)</f>
        <v>0.0120178802608759</v>
      </c>
      <c r="M55" s="27" t="n">
        <f aca="false">M36-M44-M53</f>
        <v>1225</v>
      </c>
      <c r="N55" s="35" t="n">
        <f aca="false">IFERROR(M55/M$16,0)</f>
        <v>0.0267332998712437</v>
      </c>
      <c r="O55" s="27" t="n">
        <f aca="false">O36-O44-O53</f>
        <v>3838</v>
      </c>
      <c r="P55" s="35" t="n">
        <f aca="false">IFERROR(O55/O$16,0)</f>
        <v>0.116056849107953</v>
      </c>
      <c r="Q55" s="27" t="n">
        <f aca="false">Q36-Q44-Q53</f>
        <v>1619</v>
      </c>
      <c r="R55" s="35" t="n">
        <f aca="false">IFERROR(Q55/Q$16,0)</f>
        <v>0.0647574097036119</v>
      </c>
      <c r="S55" s="27" t="n">
        <f aca="false">S36-S44-S53</f>
        <v>1741</v>
      </c>
      <c r="T55" s="35" t="n">
        <f aca="false">IFERROR(S55/S$16,0)</f>
        <v>0.0696372145114196</v>
      </c>
      <c r="U55" s="27" t="n">
        <f aca="false">U36-U44-U53</f>
        <v>-1037</v>
      </c>
      <c r="V55" s="35" t="n">
        <f aca="false">IFERROR(U55/U$16,0)</f>
        <v>-0.05185</v>
      </c>
      <c r="W55" s="27" t="n">
        <f aca="false">W36-W44-W53</f>
        <v>-996</v>
      </c>
      <c r="X55" s="35" t="n">
        <f aca="false">IFERROR(W55/W$16,0)</f>
        <v>-0.0498</v>
      </c>
      <c r="Y55" s="27" t="n">
        <f aca="false">Y36-Y44-Y53</f>
        <v>7650</v>
      </c>
      <c r="Z55" s="35" t="n">
        <f aca="false">IFERROR(Y55/Y$16,0)</f>
        <v>0.218577673647819</v>
      </c>
      <c r="AB55" s="27" t="n">
        <f aca="false">AB36-AB44-AB53</f>
        <v>-13501</v>
      </c>
      <c r="AC55" s="35" t="n">
        <f aca="false">IFERROR(AB55/AB$16,0)</f>
        <v>-0.0383578379146246</v>
      </c>
    </row>
    <row r="57" customFormat="false" ht="15" hidden="false" customHeight="true" outlineLevel="0" collapsed="false">
      <c r="A57" s="5" t="s">
        <v>219</v>
      </c>
      <c r="C57" s="24" t="n">
        <v>0</v>
      </c>
      <c r="D57" s="34" t="n">
        <f aca="false">IFERROR(C57/C$16,0)</f>
        <v>0</v>
      </c>
      <c r="E57" s="24" t="n">
        <v>0</v>
      </c>
      <c r="F57" s="34" t="n">
        <f aca="false">IFERROR(E57/E$16,0)</f>
        <v>0</v>
      </c>
      <c r="G57" s="24" t="n">
        <v>0</v>
      </c>
      <c r="H57" s="34" t="n">
        <f aca="false">IFERROR(G57/G$16,0)</f>
        <v>0</v>
      </c>
      <c r="I57" s="24" t="n">
        <v>0</v>
      </c>
      <c r="J57" s="34" t="n">
        <f aca="false">IFERROR(I57/I$16,0)</f>
        <v>0</v>
      </c>
      <c r="K57" s="24" t="n">
        <v>0</v>
      </c>
      <c r="L57" s="34" t="n">
        <f aca="false">IFERROR(K57/K$16,0)</f>
        <v>0</v>
      </c>
      <c r="M57" s="24" t="n">
        <v>0</v>
      </c>
      <c r="N57" s="34" t="n">
        <f aca="false">IFERROR(M57/M$16,0)</f>
        <v>0</v>
      </c>
      <c r="O57" s="24" t="n">
        <v>0</v>
      </c>
      <c r="P57" s="34" t="n">
        <f aca="false">IFERROR(O57/O$16,0)</f>
        <v>0</v>
      </c>
      <c r="Q57" s="24" t="n">
        <v>0</v>
      </c>
      <c r="R57" s="34" t="n">
        <f aca="false">IFERROR(Q57/Q$16,0)</f>
        <v>0</v>
      </c>
      <c r="S57" s="24" t="n">
        <v>0</v>
      </c>
      <c r="T57" s="34" t="n">
        <f aca="false">IFERROR(S57/S$16,0)</f>
        <v>0</v>
      </c>
      <c r="U57" s="24" t="n">
        <v>0</v>
      </c>
      <c r="V57" s="34" t="n">
        <f aca="false">IFERROR(U57/U$16,0)</f>
        <v>0</v>
      </c>
      <c r="W57" s="24" t="n">
        <v>0</v>
      </c>
      <c r="X57" s="34" t="n">
        <f aca="false">IFERROR(W57/W$16,0)</f>
        <v>0</v>
      </c>
      <c r="Y57" s="24" t="n">
        <v>0</v>
      </c>
      <c r="Z57" s="34" t="n">
        <f aca="false">IFERROR(Y57/Y$16,0)</f>
        <v>0</v>
      </c>
      <c r="AB57" s="24" t="n">
        <f aca="false">SUM(C57,E57,G57,I57,K57,M57,O57,Q57,S57,U57,W57,Y57)</f>
        <v>0</v>
      </c>
      <c r="AC57" s="34" t="n">
        <f aca="false">IFERROR(AB57/AB$16,0)</f>
        <v>0</v>
      </c>
    </row>
    <row r="59" customFormat="false" ht="15" hidden="false" customHeight="true" outlineLevel="0" collapsed="false">
      <c r="A59" s="6" t="s">
        <v>220</v>
      </c>
      <c r="C59" s="7" t="n">
        <f aca="false">C55-C57</f>
        <v>-1215</v>
      </c>
      <c r="D59" s="8" t="n">
        <f aca="false">IFERROR(C59/C$16,0)</f>
        <v>-0.0318747048638439</v>
      </c>
      <c r="E59" s="7" t="n">
        <f aca="false">E55-E57</f>
        <v>-13865</v>
      </c>
      <c r="F59" s="8" t="n">
        <f aca="false">IFERROR(E59/E$16,0)</f>
        <v>-0.830637431104721</v>
      </c>
      <c r="G59" s="7" t="n">
        <f aca="false">G55-G57</f>
        <v>-6756</v>
      </c>
      <c r="H59" s="8" t="n">
        <f aca="false">IFERROR(G59/G$16,0)</f>
        <v>-0.169727421178244</v>
      </c>
      <c r="I59" s="7" t="n">
        <f aca="false">I55-I57</f>
        <v>-6197</v>
      </c>
      <c r="J59" s="8" t="n">
        <f aca="false">IFERROR(I59/I$16,0)</f>
        <v>-0.494691466432506</v>
      </c>
      <c r="K59" s="7" t="n">
        <f aca="false">K55-K57</f>
        <v>492</v>
      </c>
      <c r="L59" s="8" t="n">
        <f aca="false">IFERROR(K59/K$16,0)</f>
        <v>0.0120178802608759</v>
      </c>
      <c r="M59" s="7" t="n">
        <f aca="false">M55-M57</f>
        <v>1225</v>
      </c>
      <c r="N59" s="8" t="n">
        <f aca="false">IFERROR(M59/M$16,0)</f>
        <v>0.0267332998712437</v>
      </c>
      <c r="O59" s="7" t="n">
        <f aca="false">O55-O57</f>
        <v>3838</v>
      </c>
      <c r="P59" s="8" t="n">
        <f aca="false">IFERROR(O59/O$16,0)</f>
        <v>0.116056849107953</v>
      </c>
      <c r="Q59" s="7" t="n">
        <f aca="false">Q55-Q57</f>
        <v>1619</v>
      </c>
      <c r="R59" s="8" t="n">
        <f aca="false">IFERROR(Q59/Q$16,0)</f>
        <v>0.0647574097036119</v>
      </c>
      <c r="S59" s="7" t="n">
        <f aca="false">S55-S57</f>
        <v>1741</v>
      </c>
      <c r="T59" s="8" t="n">
        <f aca="false">IFERROR(S59/S$16,0)</f>
        <v>0.0696372145114196</v>
      </c>
      <c r="U59" s="7" t="n">
        <f aca="false">U55-U57</f>
        <v>-1037</v>
      </c>
      <c r="V59" s="8" t="n">
        <f aca="false">IFERROR(U59/U$16,0)</f>
        <v>-0.05185</v>
      </c>
      <c r="W59" s="7" t="n">
        <f aca="false">W55-W57</f>
        <v>-996</v>
      </c>
      <c r="X59" s="8" t="n">
        <f aca="false">IFERROR(W59/W$16,0)</f>
        <v>-0.0498</v>
      </c>
      <c r="Y59" s="7" t="n">
        <f aca="false">Y55-Y57</f>
        <v>7650</v>
      </c>
      <c r="Z59" s="8" t="n">
        <f aca="false">IFERROR(Y59/Y$16,0)</f>
        <v>0.218577673647819</v>
      </c>
      <c r="AB59" s="7" t="n">
        <f aca="false">AB55-AB57</f>
        <v>-13501</v>
      </c>
      <c r="AC59" s="8" t="n">
        <f aca="false">IFERROR(AB59/AB$16,0)</f>
        <v>-0.0383578379146246</v>
      </c>
    </row>
    <row r="61" customFormat="false" ht="15" hidden="false" customHeight="true" outlineLevel="0" collapsed="false">
      <c r="A61" s="5" t="s">
        <v>221</v>
      </c>
      <c r="C61" s="24" t="n">
        <v>0</v>
      </c>
      <c r="D61" s="34" t="n">
        <f aca="false">IFERROR(C61/C$16,0)</f>
        <v>0</v>
      </c>
      <c r="E61" s="24" t="n">
        <v>0</v>
      </c>
      <c r="F61" s="34" t="n">
        <f aca="false">IFERROR(E61/E$16,0)</f>
        <v>0</v>
      </c>
      <c r="G61" s="24" t="n">
        <v>0</v>
      </c>
      <c r="H61" s="34" t="n">
        <f aca="false">IFERROR(G61/G$16,0)</f>
        <v>0</v>
      </c>
      <c r="I61" s="24" t="n">
        <v>0</v>
      </c>
      <c r="J61" s="34" t="n">
        <f aca="false">IFERROR(I61/I$16,0)</f>
        <v>0</v>
      </c>
      <c r="K61" s="24" t="n">
        <v>0</v>
      </c>
      <c r="L61" s="34" t="n">
        <f aca="false">IFERROR(K61/K$16,0)</f>
        <v>0</v>
      </c>
      <c r="M61" s="24" t="n">
        <v>0</v>
      </c>
      <c r="N61" s="34" t="n">
        <f aca="false">IFERROR(M61/M$16,0)</f>
        <v>0</v>
      </c>
      <c r="O61" s="24" t="n">
        <v>0</v>
      </c>
      <c r="P61" s="34" t="n">
        <f aca="false">IFERROR(O61/O$16,0)</f>
        <v>0</v>
      </c>
      <c r="Q61" s="24" t="n">
        <v>0</v>
      </c>
      <c r="R61" s="34" t="n">
        <f aca="false">IFERROR(Q61/Q$16,0)</f>
        <v>0</v>
      </c>
      <c r="S61" s="24" t="n">
        <v>0</v>
      </c>
      <c r="T61" s="34" t="n">
        <f aca="false">IFERROR(S61/S$16,0)</f>
        <v>0</v>
      </c>
      <c r="U61" s="24" t="n">
        <v>0</v>
      </c>
      <c r="V61" s="34" t="n">
        <f aca="false">IFERROR(U61/U$16,0)</f>
        <v>0</v>
      </c>
      <c r="W61" s="24" t="n">
        <v>0</v>
      </c>
      <c r="X61" s="34" t="n">
        <f aca="false">IFERROR(W61/W$16,0)</f>
        <v>0</v>
      </c>
      <c r="Y61" s="24" t="n">
        <v>0</v>
      </c>
      <c r="Z61" s="34" t="n">
        <f aca="false">IFERROR(Y61/Y$16,0)</f>
        <v>0</v>
      </c>
      <c r="AB61" s="24" t="n">
        <f aca="false">SUM(C61,E61,G61,I61,K61,M61,O61,Q61,S61,U61,W61,Y61)</f>
        <v>0</v>
      </c>
      <c r="AC61" s="34" t="n">
        <f aca="false">IFERROR(AB61/AB$16,0)</f>
        <v>0</v>
      </c>
    </row>
    <row r="62" customFormat="false" ht="15" hidden="false" customHeight="true" outlineLevel="0" collapsed="false">
      <c r="A62" s="5" t="s">
        <v>222</v>
      </c>
      <c r="C62" s="24" t="n">
        <v>239</v>
      </c>
      <c r="D62" s="34" t="n">
        <f aca="false">IFERROR(C62/C$16,0)</f>
        <v>0.0062700036728055</v>
      </c>
      <c r="E62" s="24" t="n">
        <v>375</v>
      </c>
      <c r="F62" s="34" t="n">
        <f aca="false">IFERROR(E62/E$16,0)</f>
        <v>0.0224658519051042</v>
      </c>
      <c r="G62" s="24" t="n">
        <v>500</v>
      </c>
      <c r="H62" s="34" t="n">
        <f aca="false">IFERROR(G62/G$16,0)</f>
        <v>0.0125612360256249</v>
      </c>
      <c r="I62" s="24" t="n">
        <v>500</v>
      </c>
      <c r="J62" s="34" t="n">
        <f aca="false">IFERROR(I62/I$16,0)</f>
        <v>0.039913786221761</v>
      </c>
      <c r="K62" s="24" t="n">
        <v>409</v>
      </c>
      <c r="L62" s="34" t="n">
        <f aca="false">IFERROR(K62/K$16,0)</f>
        <v>0.00999047363150053</v>
      </c>
      <c r="M62" s="24" t="n">
        <v>458</v>
      </c>
      <c r="N62" s="34" t="n">
        <f aca="false">IFERROR(M62/M$16,0)</f>
        <v>0.00999498068655479</v>
      </c>
      <c r="O62" s="24" t="n">
        <v>409</v>
      </c>
      <c r="P62" s="34" t="n">
        <f aca="false">IFERROR(O62/O$16,0)</f>
        <v>0.0123677048684608</v>
      </c>
      <c r="Q62" s="24" t="n">
        <v>409</v>
      </c>
      <c r="R62" s="34" t="n">
        <f aca="false">IFERROR(Q62/Q$16,0)</f>
        <v>0.016359345626175</v>
      </c>
      <c r="S62" s="24" t="n">
        <v>409</v>
      </c>
      <c r="T62" s="34" t="n">
        <f aca="false">IFERROR(S62/S$16,0)</f>
        <v>0.016359345626175</v>
      </c>
      <c r="U62" s="24" t="n">
        <v>409</v>
      </c>
      <c r="V62" s="34" t="n">
        <f aca="false">IFERROR(U62/U$16,0)</f>
        <v>0.02045</v>
      </c>
      <c r="W62" s="24" t="n">
        <v>409</v>
      </c>
      <c r="X62" s="34" t="n">
        <f aca="false">IFERROR(W62/W$16,0)</f>
        <v>0.02045</v>
      </c>
      <c r="Y62" s="24" t="n">
        <v>409</v>
      </c>
      <c r="Z62" s="34" t="n">
        <f aca="false">IFERROR(Y62/Y$16,0)</f>
        <v>0.0116860481728049</v>
      </c>
      <c r="AB62" s="24" t="n">
        <f aca="false">SUM(C62,E62,G62,I62,K62,M62,O62,Q62,S62,U62,W62,Y62)</f>
        <v>4935</v>
      </c>
      <c r="AC62" s="34" t="n">
        <f aca="false">IFERROR(AB62/AB$16,0)</f>
        <v>0.0140208821649265</v>
      </c>
    </row>
    <row r="63" customFormat="false" ht="15" hidden="false" customHeight="true" outlineLevel="0" collapsed="false">
      <c r="A63" s="6" t="s">
        <v>223</v>
      </c>
      <c r="C63" s="36" t="n">
        <f aca="false">C59-C61-C62</f>
        <v>-1454</v>
      </c>
      <c r="D63" s="37" t="n">
        <f aca="false">IFERROR(C63/C$16,0)</f>
        <v>-0.0381447085366494</v>
      </c>
      <c r="E63" s="36" t="n">
        <f aca="false">E59-E61-E62</f>
        <v>-14240</v>
      </c>
      <c r="F63" s="37" t="n">
        <f aca="false">IFERROR(E63/E$16,0)</f>
        <v>-0.853103283009825</v>
      </c>
      <c r="G63" s="36" t="n">
        <f aca="false">G59-G61-G62</f>
        <v>-7256</v>
      </c>
      <c r="H63" s="37" t="n">
        <f aca="false">IFERROR(G63/G$16,0)</f>
        <v>-0.182288657203869</v>
      </c>
      <c r="I63" s="36" t="n">
        <f aca="false">I59-I61-I62</f>
        <v>-6697</v>
      </c>
      <c r="J63" s="37" t="n">
        <f aca="false">IFERROR(I63/I$16,0)</f>
        <v>-0.534605252654267</v>
      </c>
      <c r="K63" s="36" t="n">
        <f aca="false">K59-K61-K62</f>
        <v>83</v>
      </c>
      <c r="L63" s="37" t="n">
        <f aca="false">IFERROR(K63/K$16,0)</f>
        <v>0.00202740662937541</v>
      </c>
      <c r="M63" s="36" t="n">
        <f aca="false">M59-M61-M62</f>
        <v>767</v>
      </c>
      <c r="N63" s="37" t="n">
        <f aca="false">IFERROR(M63/M$16,0)</f>
        <v>0.0167383191846889</v>
      </c>
      <c r="O63" s="36" t="n">
        <f aca="false">O59-O61-O62</f>
        <v>3429</v>
      </c>
      <c r="P63" s="37" t="n">
        <f aca="false">IFERROR(O63/O$16,0)</f>
        <v>0.103689144239492</v>
      </c>
      <c r="Q63" s="36" t="n">
        <f aca="false">Q59-Q61-Q62</f>
        <v>1210</v>
      </c>
      <c r="R63" s="37" t="n">
        <f aca="false">IFERROR(Q63/Q$16,0)</f>
        <v>0.0483980640774369</v>
      </c>
      <c r="S63" s="36" t="n">
        <f aca="false">S59-S61-S62</f>
        <v>1332</v>
      </c>
      <c r="T63" s="37" t="n">
        <f aca="false">IFERROR(S63/S$16,0)</f>
        <v>0.0532778688852446</v>
      </c>
      <c r="U63" s="36" t="n">
        <f aca="false">U59-U61-U62</f>
        <v>-1446</v>
      </c>
      <c r="V63" s="37" t="n">
        <f aca="false">IFERROR(U63/U$16,0)</f>
        <v>-0.0723</v>
      </c>
      <c r="W63" s="36" t="n">
        <f aca="false">W59-W61-W62</f>
        <v>-1405</v>
      </c>
      <c r="X63" s="37" t="n">
        <f aca="false">IFERROR(W63/W$16,0)</f>
        <v>-0.07025</v>
      </c>
      <c r="Y63" s="36" t="n">
        <f aca="false">Y59-Y61-Y62</f>
        <v>7241</v>
      </c>
      <c r="Z63" s="37" t="n">
        <f aca="false">IFERROR(Y63/Y$16,0)</f>
        <v>0.206891625475014</v>
      </c>
      <c r="AB63" s="36" t="n">
        <f aca="false">AB59-AB61-AB62</f>
        <v>-18436</v>
      </c>
      <c r="AC63" s="37" t="n">
        <f aca="false">IFERROR(AB63/AB$16,0)</f>
        <v>-0.0523787200795511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379</v>
      </c>
    </row>
    <row r="2" customFormat="false" ht="15" hidden="false" customHeight="true" outlineLevel="0" collapsed="false">
      <c r="A2" s="2" t="s">
        <v>374</v>
      </c>
    </row>
    <row r="3" customFormat="false" ht="15" hidden="false" customHeight="true" outlineLevel="0" collapsed="false">
      <c r="A3" s="2" t="s">
        <v>375</v>
      </c>
    </row>
    <row r="5" customFormat="false" ht="15" hidden="false" customHeight="true" outlineLevel="0" collapsed="false">
      <c r="C5" s="30" t="s">
        <v>241</v>
      </c>
      <c r="D5" s="30"/>
      <c r="E5" s="30" t="s">
        <v>242</v>
      </c>
      <c r="F5" s="30"/>
      <c r="G5" s="30" t="s">
        <v>243</v>
      </c>
      <c r="H5" s="30"/>
      <c r="I5" s="30" t="s">
        <v>244</v>
      </c>
      <c r="J5" s="30"/>
      <c r="K5" s="30" t="s">
        <v>231</v>
      </c>
      <c r="L5" s="30"/>
      <c r="M5" s="30" t="s">
        <v>245</v>
      </c>
      <c r="N5" s="30"/>
      <c r="O5" s="30" t="s">
        <v>246</v>
      </c>
      <c r="P5" s="30"/>
      <c r="Q5" s="30" t="s">
        <v>247</v>
      </c>
      <c r="R5" s="30"/>
      <c r="S5" s="30" t="s">
        <v>248</v>
      </c>
      <c r="T5" s="30"/>
      <c r="U5" s="30" t="s">
        <v>249</v>
      </c>
      <c r="V5" s="30"/>
      <c r="W5" s="30" t="s">
        <v>250</v>
      </c>
      <c r="X5" s="30"/>
      <c r="Y5" s="30" t="s">
        <v>251</v>
      </c>
      <c r="Z5" s="30"/>
      <c r="AB5" s="30" t="s">
        <v>375</v>
      </c>
      <c r="AC5" s="30"/>
    </row>
    <row r="6" customFormat="false" ht="15" hidden="false" customHeight="true" outlineLevel="0" collapsed="false">
      <c r="C6" s="32" t="s">
        <v>376</v>
      </c>
      <c r="D6" s="32"/>
      <c r="E6" s="32" t="s">
        <v>376</v>
      </c>
      <c r="F6" s="32"/>
      <c r="G6" s="32" t="s">
        <v>376</v>
      </c>
      <c r="H6" s="32"/>
      <c r="I6" s="32" t="s">
        <v>376</v>
      </c>
      <c r="J6" s="32"/>
      <c r="K6" s="32" t="s">
        <v>376</v>
      </c>
      <c r="L6" s="32"/>
      <c r="M6" s="32" t="s">
        <v>376</v>
      </c>
      <c r="N6" s="32"/>
      <c r="O6" s="32" t="s">
        <v>377</v>
      </c>
      <c r="P6" s="32"/>
      <c r="Q6" s="32" t="s">
        <v>377</v>
      </c>
      <c r="R6" s="32"/>
      <c r="S6" s="32" t="s">
        <v>377</v>
      </c>
      <c r="T6" s="32"/>
      <c r="U6" s="32" t="s">
        <v>377</v>
      </c>
      <c r="V6" s="32"/>
      <c r="W6" s="32" t="s">
        <v>377</v>
      </c>
      <c r="X6" s="32"/>
      <c r="Y6" s="32" t="s">
        <v>377</v>
      </c>
      <c r="Z6" s="32"/>
      <c r="AB6" s="32" t="s">
        <v>378</v>
      </c>
      <c r="AC6" s="32"/>
    </row>
    <row r="7" customFormat="false" ht="15" hidden="false" customHeight="true" outlineLevel="0" collapsed="false">
      <c r="C7" s="31" t="s">
        <v>176</v>
      </c>
      <c r="D7" s="31" t="s">
        <v>177</v>
      </c>
      <c r="E7" s="31" t="s">
        <v>176</v>
      </c>
      <c r="F7" s="31" t="s">
        <v>177</v>
      </c>
      <c r="G7" s="31" t="s">
        <v>176</v>
      </c>
      <c r="H7" s="31" t="s">
        <v>177</v>
      </c>
      <c r="I7" s="31" t="s">
        <v>176</v>
      </c>
      <c r="J7" s="31" t="s">
        <v>177</v>
      </c>
      <c r="K7" s="31" t="s">
        <v>176</v>
      </c>
      <c r="L7" s="31" t="s">
        <v>177</v>
      </c>
      <c r="M7" s="31" t="s">
        <v>176</v>
      </c>
      <c r="N7" s="31" t="s">
        <v>177</v>
      </c>
      <c r="O7" s="31" t="s">
        <v>176</v>
      </c>
      <c r="P7" s="31" t="s">
        <v>177</v>
      </c>
      <c r="Q7" s="31" t="s">
        <v>176</v>
      </c>
      <c r="R7" s="31" t="s">
        <v>177</v>
      </c>
      <c r="S7" s="31" t="s">
        <v>176</v>
      </c>
      <c r="T7" s="31" t="s">
        <v>177</v>
      </c>
      <c r="U7" s="31" t="s">
        <v>176</v>
      </c>
      <c r="V7" s="31" t="s">
        <v>177</v>
      </c>
      <c r="W7" s="31" t="s">
        <v>176</v>
      </c>
      <c r="X7" s="31" t="s">
        <v>177</v>
      </c>
      <c r="Y7" s="31" t="s">
        <v>176</v>
      </c>
      <c r="Z7" s="31" t="s">
        <v>177</v>
      </c>
      <c r="AB7" s="31" t="s">
        <v>176</v>
      </c>
      <c r="AC7" s="31" t="s">
        <v>177</v>
      </c>
    </row>
    <row r="8" customFormat="false" ht="15" hidden="false" customHeight="true" outlineLevel="0" collapsed="false">
      <c r="A8" s="6" t="s">
        <v>178</v>
      </c>
    </row>
    <row r="9" customFormat="false" ht="15" hidden="false" customHeight="true" outlineLevel="0" collapsed="false">
      <c r="A9" s="5" t="s">
        <v>179</v>
      </c>
      <c r="C9" s="24" t="n">
        <v>7659</v>
      </c>
      <c r="D9" s="34" t="n">
        <f aca="false">IFERROR(C9/C$16,0)</f>
        <v>0.428547448522829</v>
      </c>
      <c r="E9" s="24" t="n">
        <v>9205</v>
      </c>
      <c r="F9" s="34" t="n">
        <f aca="false">IFERROR(E9/E$16,0)</f>
        <v>0.516062118069182</v>
      </c>
      <c r="G9" s="24" t="n">
        <v>12511</v>
      </c>
      <c r="H9" s="34" t="n">
        <f aca="false">IFERROR(G9/G$16,0)</f>
        <v>0.472969907757447</v>
      </c>
      <c r="I9" s="24" t="n">
        <v>9497</v>
      </c>
      <c r="J9" s="34" t="n">
        <f aca="false">IFERROR(I9/I$16,0)</f>
        <v>0.461445022107769</v>
      </c>
      <c r="K9" s="24" t="n">
        <v>10762</v>
      </c>
      <c r="L9" s="34" t="n">
        <f aca="false">IFERROR(K9/K$16,0)</f>
        <v>0.432608433492785</v>
      </c>
      <c r="M9" s="24" t="n">
        <v>10511</v>
      </c>
      <c r="N9" s="34" t="n">
        <f aca="false">IFERROR(M9/M$16,0)</f>
        <v>0.388447466646957</v>
      </c>
      <c r="O9" s="24" t="n">
        <v>11085</v>
      </c>
      <c r="P9" s="34" t="n">
        <f aca="false">IFERROR(O9/O$16,0)</f>
        <v>0.43184385835054</v>
      </c>
      <c r="Q9" s="24" t="n">
        <v>11085</v>
      </c>
      <c r="R9" s="34" t="n">
        <f aca="false">IFERROR(Q9/Q$16,0)</f>
        <v>0.43184385835054</v>
      </c>
      <c r="S9" s="24" t="n">
        <v>11085</v>
      </c>
      <c r="T9" s="34" t="n">
        <f aca="false">IFERROR(S9/S$16,0)</f>
        <v>0.43184385835054</v>
      </c>
      <c r="U9" s="24" t="n">
        <v>11085</v>
      </c>
      <c r="V9" s="34" t="n">
        <f aca="false">IFERROR(U9/U$16,0)</f>
        <v>0.43184385835054</v>
      </c>
      <c r="W9" s="24" t="n">
        <v>11085</v>
      </c>
      <c r="X9" s="34" t="n">
        <f aca="false">IFERROR(W9/W$16,0)</f>
        <v>0.43184385835054</v>
      </c>
      <c r="Y9" s="24" t="n">
        <v>11085</v>
      </c>
      <c r="Z9" s="34" t="n">
        <f aca="false">IFERROR(Y9/Y$16,0)</f>
        <v>0.43184385835054</v>
      </c>
      <c r="AB9" s="24" t="n">
        <f aca="false">SUM(C9,E9,G9,I9,K9,M9,O9,Q9,S9,U9,W9,Y9)</f>
        <v>126655</v>
      </c>
      <c r="AC9" s="34" t="n">
        <f aca="false">IFERROR(AB9/AB$16,0)</f>
        <v>0.438720158508029</v>
      </c>
    </row>
    <row r="10" customFormat="false" ht="15" hidden="false" customHeight="true" outlineLevel="0" collapsed="false">
      <c r="A10" s="5" t="s">
        <v>180</v>
      </c>
      <c r="C10" s="24" t="n">
        <v>9236</v>
      </c>
      <c r="D10" s="34" t="n">
        <f aca="false">IFERROR(C10/C$16,0)</f>
        <v>0.516786034019696</v>
      </c>
      <c r="E10" s="24" t="n">
        <v>9081</v>
      </c>
      <c r="F10" s="34" t="n">
        <f aca="false">IFERROR(E10/E$16,0)</f>
        <v>0.50911027639177</v>
      </c>
      <c r="G10" s="24" t="n">
        <v>13436</v>
      </c>
      <c r="H10" s="34" t="n">
        <f aca="false">IFERROR(G10/G$16,0)</f>
        <v>0.507938908211099</v>
      </c>
      <c r="I10" s="24" t="n">
        <v>10789</v>
      </c>
      <c r="J10" s="34" t="n">
        <f aca="false">IFERROR(I10/I$16,0)</f>
        <v>0.524221369224042</v>
      </c>
      <c r="K10" s="24" t="n">
        <v>13103</v>
      </c>
      <c r="L10" s="34" t="n">
        <f aca="false">IFERROR(K10/K$16,0)</f>
        <v>0.526711420187322</v>
      </c>
      <c r="M10" s="24" t="n">
        <v>14448</v>
      </c>
      <c r="N10" s="34" t="n">
        <f aca="false">IFERROR(M10/M$16,0)</f>
        <v>0.533944343841236</v>
      </c>
      <c r="O10" s="24" t="n">
        <v>13496</v>
      </c>
      <c r="P10" s="34" t="n">
        <f aca="false">IFERROR(O10/O$16,0)</f>
        <v>0.525770384510499</v>
      </c>
      <c r="Q10" s="24" t="n">
        <v>13496</v>
      </c>
      <c r="R10" s="34" t="n">
        <f aca="false">IFERROR(Q10/Q$16,0)</f>
        <v>0.525770384510499</v>
      </c>
      <c r="S10" s="24" t="n">
        <v>13496</v>
      </c>
      <c r="T10" s="34" t="n">
        <f aca="false">IFERROR(S10/S$16,0)</f>
        <v>0.525770384510499</v>
      </c>
      <c r="U10" s="24" t="n">
        <v>13496</v>
      </c>
      <c r="V10" s="34" t="n">
        <f aca="false">IFERROR(U10/U$16,0)</f>
        <v>0.525770384510499</v>
      </c>
      <c r="W10" s="24" t="n">
        <v>13496</v>
      </c>
      <c r="X10" s="34" t="n">
        <f aca="false">IFERROR(W10/W$16,0)</f>
        <v>0.525770384510499</v>
      </c>
      <c r="Y10" s="24" t="n">
        <v>13496</v>
      </c>
      <c r="Z10" s="34" t="n">
        <f aca="false">IFERROR(Y10/Y$16,0)</f>
        <v>0.525770384510499</v>
      </c>
      <c r="AB10" s="24" t="n">
        <f aca="false">SUM(C10,E10,G10,I10,K10,M10,O10,Q10,S10,U10,W10,Y10)</f>
        <v>151069</v>
      </c>
      <c r="AC10" s="34" t="n">
        <f aca="false">IFERROR(AB10/AB$16,0)</f>
        <v>0.523287794604631</v>
      </c>
    </row>
    <row r="11" customFormat="false" ht="15" hidden="false" customHeight="true" outlineLevel="0" collapsed="false">
      <c r="A11" s="5" t="s">
        <v>181</v>
      </c>
      <c r="C11" s="24" t="n">
        <v>800</v>
      </c>
      <c r="D11" s="34" t="n">
        <f aca="false">IFERROR(C11/C$16,0)</f>
        <v>0.044762757385855</v>
      </c>
      <c r="E11" s="24" t="n">
        <v>295</v>
      </c>
      <c r="F11" s="34" t="n">
        <f aca="false">IFERROR(E11/E$16,0)</f>
        <v>0.0165386556035208</v>
      </c>
      <c r="G11" s="24" t="n">
        <v>1354</v>
      </c>
      <c r="H11" s="34" t="n">
        <f aca="false">IFERROR(G11/G$16,0)</f>
        <v>0.0511870557991834</v>
      </c>
      <c r="I11" s="24" t="n">
        <v>1490</v>
      </c>
      <c r="J11" s="34" t="n">
        <f aca="false">IFERROR(I11/I$16,0)</f>
        <v>0.072396870900345</v>
      </c>
      <c r="K11" s="24" t="n">
        <v>591</v>
      </c>
      <c r="L11" s="34" t="n">
        <f aca="false">IFERROR(K11/K$16,0)</f>
        <v>0.0237568838686337</v>
      </c>
      <c r="M11" s="24" t="n">
        <v>984</v>
      </c>
      <c r="N11" s="34" t="n">
        <f aca="false">IFERROR(M11/M$16,0)</f>
        <v>0.0363649802283898</v>
      </c>
      <c r="O11" s="24" t="n">
        <v>609</v>
      </c>
      <c r="P11" s="34" t="n">
        <f aca="false">IFERROR(O11/O$16,0)</f>
        <v>0.0237251158985547</v>
      </c>
      <c r="Q11" s="24" t="n">
        <v>609</v>
      </c>
      <c r="R11" s="34" t="n">
        <f aca="false">IFERROR(Q11/Q$16,0)</f>
        <v>0.0237251158985547</v>
      </c>
      <c r="S11" s="24" t="n">
        <v>609</v>
      </c>
      <c r="T11" s="34" t="n">
        <f aca="false">IFERROR(S11/S$16,0)</f>
        <v>0.0237251158985547</v>
      </c>
      <c r="U11" s="24" t="n">
        <v>609</v>
      </c>
      <c r="V11" s="34" t="n">
        <f aca="false">IFERROR(U11/U$16,0)</f>
        <v>0.0237251158985547</v>
      </c>
      <c r="W11" s="24" t="n">
        <v>609</v>
      </c>
      <c r="X11" s="34" t="n">
        <f aca="false">IFERROR(W11/W$16,0)</f>
        <v>0.0237251158985547</v>
      </c>
      <c r="Y11" s="24" t="n">
        <v>609</v>
      </c>
      <c r="Z11" s="34" t="n">
        <f aca="false">IFERROR(Y11/Y$16,0)</f>
        <v>0.0237251158985547</v>
      </c>
      <c r="AB11" s="24" t="n">
        <f aca="false">SUM(C11,E11,G11,I11,K11,M11,O11,Q11,S11,U11,W11,Y11)</f>
        <v>9168</v>
      </c>
      <c r="AC11" s="34" t="n">
        <f aca="false">IFERROR(AB11/AB$16,0)</f>
        <v>0.0317570282515622</v>
      </c>
    </row>
    <row r="12" customFormat="false" ht="15" hidden="false" customHeight="true" outlineLevel="0" collapsed="false">
      <c r="A12" s="5" t="s">
        <v>182</v>
      </c>
      <c r="C12" s="24" t="n">
        <v>54</v>
      </c>
      <c r="D12" s="34" t="n">
        <f aca="false">IFERROR(C12/C$16,0)</f>
        <v>0.00302148612354521</v>
      </c>
      <c r="E12" s="24" t="n">
        <v>240</v>
      </c>
      <c r="F12" s="34" t="n">
        <f aca="false">IFERROR(E12/E$16,0)</f>
        <v>0.0134551774401525</v>
      </c>
      <c r="G12" s="24" t="n">
        <v>174</v>
      </c>
      <c r="H12" s="34" t="n">
        <f aca="false">IFERROR(G12/G$16,0)</f>
        <v>0.00657795251776803</v>
      </c>
      <c r="I12" s="24" t="n">
        <v>333</v>
      </c>
      <c r="J12" s="34" t="n">
        <f aca="false">IFERROR(I12/I$16,0)</f>
        <v>0.0161799718186677</v>
      </c>
      <c r="K12" s="24" t="n">
        <v>597</v>
      </c>
      <c r="L12" s="34" t="n">
        <f aca="false">IFERROR(K12/K$16,0)</f>
        <v>0.0239980705068939</v>
      </c>
      <c r="M12" s="24" t="n">
        <v>743</v>
      </c>
      <c r="N12" s="34" t="n">
        <f aca="false">IFERROR(M12/M$16,0)</f>
        <v>0.0274585165748919</v>
      </c>
      <c r="O12" s="24" t="n">
        <v>615</v>
      </c>
      <c r="P12" s="34" t="n">
        <f aca="false">IFERROR(O12/O$16,0)</f>
        <v>0.0239588608827769</v>
      </c>
      <c r="Q12" s="24" t="n">
        <v>615</v>
      </c>
      <c r="R12" s="34" t="n">
        <f aca="false">IFERROR(Q12/Q$16,0)</f>
        <v>0.0239588608827769</v>
      </c>
      <c r="S12" s="24" t="n">
        <v>615</v>
      </c>
      <c r="T12" s="34" t="n">
        <f aca="false">IFERROR(S12/S$16,0)</f>
        <v>0.0239588608827769</v>
      </c>
      <c r="U12" s="24" t="n">
        <v>615</v>
      </c>
      <c r="V12" s="34" t="n">
        <f aca="false">IFERROR(U12/U$16,0)</f>
        <v>0.0239588608827769</v>
      </c>
      <c r="W12" s="24" t="n">
        <v>615</v>
      </c>
      <c r="X12" s="34" t="n">
        <f aca="false">IFERROR(W12/W$16,0)</f>
        <v>0.0239588608827769</v>
      </c>
      <c r="Y12" s="24" t="n">
        <v>615</v>
      </c>
      <c r="Z12" s="34" t="n">
        <f aca="false">IFERROR(Y12/Y$16,0)</f>
        <v>0.0239588608827769</v>
      </c>
      <c r="AB12" s="24" t="n">
        <f aca="false">SUM(C12,E12,G12,I12,K12,M12,O12,Q12,S12,U12,W12,Y12)</f>
        <v>5831</v>
      </c>
      <c r="AC12" s="34" t="n">
        <f aca="false">IFERROR(AB12/AB$16,0)</f>
        <v>0.0201979964806784</v>
      </c>
    </row>
    <row r="13" customFormat="false" ht="15" hidden="false" customHeight="true" outlineLevel="0" collapsed="false">
      <c r="A13" s="5" t="s">
        <v>183</v>
      </c>
      <c r="C13" s="24" t="n">
        <v>0</v>
      </c>
      <c r="D13" s="34" t="n">
        <f aca="false">IFERROR(C13/C$16,0)</f>
        <v>0</v>
      </c>
      <c r="E13" s="24" t="n">
        <v>12</v>
      </c>
      <c r="F13" s="34" t="n">
        <f aca="false">IFERROR(E13/E$16,0)</f>
        <v>0.000672758872007625</v>
      </c>
      <c r="G13" s="24" t="n">
        <v>1</v>
      </c>
      <c r="H13" s="34" t="n">
        <f aca="false">IFERROR(G13/G$16,0)</f>
        <v>3.78043248147588E-005</v>
      </c>
      <c r="I13" s="24" t="n">
        <v>496</v>
      </c>
      <c r="J13" s="34" t="n">
        <f aca="false">IFERROR(I13/I$16,0)</f>
        <v>0.0240998979641417</v>
      </c>
      <c r="K13" s="24" t="n">
        <v>1015</v>
      </c>
      <c r="L13" s="34" t="n">
        <f aca="false">IFERROR(K13/K$16,0)</f>
        <v>0.040800739639024</v>
      </c>
      <c r="M13" s="24" t="n">
        <v>1101</v>
      </c>
      <c r="N13" s="34" t="n">
        <f aca="false">IFERROR(M13/M$16,0)</f>
        <v>0.0406888650726191</v>
      </c>
      <c r="O13" s="24" t="n">
        <v>1045</v>
      </c>
      <c r="P13" s="34" t="n">
        <f aca="false">IFERROR(O13/O$16,0)</f>
        <v>0.0407105847520355</v>
      </c>
      <c r="Q13" s="24" t="n">
        <v>1045</v>
      </c>
      <c r="R13" s="34" t="n">
        <f aca="false">IFERROR(Q13/Q$16,0)</f>
        <v>0.0407105847520355</v>
      </c>
      <c r="S13" s="24" t="n">
        <v>1045</v>
      </c>
      <c r="T13" s="34" t="n">
        <f aca="false">IFERROR(S13/S$16,0)</f>
        <v>0.0407105847520355</v>
      </c>
      <c r="U13" s="24" t="n">
        <v>1045</v>
      </c>
      <c r="V13" s="34" t="n">
        <f aca="false">IFERROR(U13/U$16,0)</f>
        <v>0.0407105847520355</v>
      </c>
      <c r="W13" s="24" t="n">
        <v>1045</v>
      </c>
      <c r="X13" s="34" t="n">
        <f aca="false">IFERROR(W13/W$16,0)</f>
        <v>0.0407105847520355</v>
      </c>
      <c r="Y13" s="24" t="n">
        <v>1045</v>
      </c>
      <c r="Z13" s="34" t="n">
        <f aca="false">IFERROR(Y13/Y$16,0)</f>
        <v>0.0407105847520355</v>
      </c>
      <c r="AB13" s="24" t="n">
        <f aca="false">SUM(C13,E13,G13,I13,K13,M13,O13,Q13,S13,U13,W13,Y13)</f>
        <v>8895</v>
      </c>
      <c r="AC13" s="34" t="n">
        <f aca="false">IFERROR(AB13/AB$16,0)</f>
        <v>0.0308113837584692</v>
      </c>
    </row>
    <row r="14" customFormat="false" ht="15" hidden="false" customHeight="true" outlineLevel="0" collapsed="false">
      <c r="A14" s="5" t="s">
        <v>185</v>
      </c>
      <c r="C14" s="24" t="n">
        <v>854</v>
      </c>
      <c r="D14" s="34" t="n">
        <f aca="false">IFERROR(C14/C$16,0)</f>
        <v>0.0477842435094002</v>
      </c>
      <c r="E14" s="24" t="n">
        <v>28</v>
      </c>
      <c r="F14" s="34" t="n">
        <f aca="false">IFERROR(E14/E$16,0)</f>
        <v>0.00156977070135112</v>
      </c>
      <c r="G14" s="24" t="n">
        <v>1473</v>
      </c>
      <c r="H14" s="34" t="n">
        <f aca="false">IFERROR(G14/G$16,0)</f>
        <v>0.0556857704521397</v>
      </c>
      <c r="I14" s="24" t="n">
        <v>664</v>
      </c>
      <c r="J14" s="34" t="n">
        <f aca="false">IFERROR(I14/I$16,0)</f>
        <v>0.0322627666294155</v>
      </c>
      <c r="K14" s="24" t="n">
        <v>330</v>
      </c>
      <c r="L14" s="34" t="n">
        <f aca="false">IFERROR(K14/K$16,0)</f>
        <v>0.0132652651043132</v>
      </c>
      <c r="M14" s="24" t="n">
        <v>259</v>
      </c>
      <c r="N14" s="34" t="n">
        <f aca="false">IFERROR(M14/M$16,0)</f>
        <v>0.00957167670645626</v>
      </c>
      <c r="O14" s="24" t="n">
        <v>340</v>
      </c>
      <c r="P14" s="34" t="n">
        <f aca="false">IFERROR(O14/O$16,0)</f>
        <v>0.0132455491059254</v>
      </c>
      <c r="Q14" s="24" t="n">
        <v>340</v>
      </c>
      <c r="R14" s="34" t="n">
        <f aca="false">IFERROR(Q14/Q$16,0)</f>
        <v>0.0132455491059254</v>
      </c>
      <c r="S14" s="24" t="n">
        <v>340</v>
      </c>
      <c r="T14" s="34" t="n">
        <f aca="false">IFERROR(S14/S$16,0)</f>
        <v>0.0132455491059254</v>
      </c>
      <c r="U14" s="24" t="n">
        <v>340</v>
      </c>
      <c r="V14" s="34" t="n">
        <f aca="false">IFERROR(U14/U$16,0)</f>
        <v>0.0132455491059254</v>
      </c>
      <c r="W14" s="24" t="n">
        <v>340</v>
      </c>
      <c r="X14" s="34" t="n">
        <f aca="false">IFERROR(W14/W$16,0)</f>
        <v>0.0132455491059254</v>
      </c>
      <c r="Y14" s="24" t="n">
        <v>340</v>
      </c>
      <c r="Z14" s="34" t="n">
        <f aca="false">IFERROR(Y14/Y$16,0)</f>
        <v>0.0132455491059254</v>
      </c>
      <c r="AB14" s="24" t="n">
        <f aca="false">SUM(C14,E14,G14,I14,K14,M14,O14,Q14,S14,U14,W14,Y14)</f>
        <v>5648</v>
      </c>
      <c r="AC14" s="34" t="n">
        <f aca="false">IFERROR(AB14/AB$16,0)</f>
        <v>0.0195641029193743</v>
      </c>
    </row>
    <row r="15" customFormat="false" ht="15" hidden="false" customHeight="true" outlineLevel="0" collapsed="false">
      <c r="A15" s="5" t="s">
        <v>186</v>
      </c>
      <c r="C15" s="24" t="n">
        <v>-731</v>
      </c>
      <c r="D15" s="34" t="n">
        <f aca="false">IFERROR(C15/C$16,0)</f>
        <v>-0.040901969561325</v>
      </c>
      <c r="E15" s="24" t="n">
        <v>-1024</v>
      </c>
      <c r="F15" s="34" t="n">
        <f aca="false">IFERROR(E15/E$16,0)</f>
        <v>-0.057408757077984</v>
      </c>
      <c r="G15" s="24" t="n">
        <v>-2497</v>
      </c>
      <c r="H15" s="34" t="n">
        <f aca="false">IFERROR(G15/G$16,0)</f>
        <v>-0.0943973990624527</v>
      </c>
      <c r="I15" s="24" t="n">
        <v>-2688</v>
      </c>
      <c r="J15" s="34" t="n">
        <f aca="false">IFERROR(I15/I$16,0)</f>
        <v>-0.130605898644381</v>
      </c>
      <c r="K15" s="24" t="n">
        <v>-1521</v>
      </c>
      <c r="L15" s="34" t="n">
        <f aca="false">IFERROR(K15/K$16,0)</f>
        <v>-0.0611408127989709</v>
      </c>
      <c r="M15" s="24" t="n">
        <v>-987</v>
      </c>
      <c r="N15" s="34" t="n">
        <f aca="false">IFERROR(M15/M$16,0)</f>
        <v>-0.0364758490705495</v>
      </c>
      <c r="O15" s="24" t="n">
        <v>-1521</v>
      </c>
      <c r="P15" s="34" t="n">
        <f aca="false">IFERROR(O15/O$16,0)</f>
        <v>-0.0592543535003311</v>
      </c>
      <c r="Q15" s="24" t="n">
        <v>-1521</v>
      </c>
      <c r="R15" s="34" t="n">
        <f aca="false">IFERROR(Q15/Q$16,0)</f>
        <v>-0.0592543535003311</v>
      </c>
      <c r="S15" s="24" t="n">
        <v>-1521</v>
      </c>
      <c r="T15" s="34" t="n">
        <f aca="false">IFERROR(S15/S$16,0)</f>
        <v>-0.0592543535003311</v>
      </c>
      <c r="U15" s="24" t="n">
        <v>-1521</v>
      </c>
      <c r="V15" s="34" t="n">
        <f aca="false">IFERROR(U15/U$16,0)</f>
        <v>-0.0592543535003311</v>
      </c>
      <c r="W15" s="24" t="n">
        <v>-1521</v>
      </c>
      <c r="X15" s="34" t="n">
        <f aca="false">IFERROR(W15/W$16,0)</f>
        <v>-0.0592543535003311</v>
      </c>
      <c r="Y15" s="24" t="n">
        <v>-1521</v>
      </c>
      <c r="Z15" s="34" t="n">
        <f aca="false">IFERROR(Y15/Y$16,0)</f>
        <v>-0.0592543535003311</v>
      </c>
      <c r="AB15" s="24" t="n">
        <f aca="false">SUM(C15,E15,G15,I15,K15,M15,O15,Q15,S15,U15,W15,Y15)</f>
        <v>-18574</v>
      </c>
      <c r="AC15" s="34" t="n">
        <f aca="false">IFERROR(AB15/AB$16,0)</f>
        <v>-0.064338464522744</v>
      </c>
    </row>
    <row r="16" customFormat="false" ht="15" hidden="false" customHeight="true" outlineLevel="0" collapsed="false">
      <c r="A16" s="6" t="s">
        <v>138</v>
      </c>
      <c r="C16" s="27" t="n">
        <f aca="false">SUM(C9:C15)</f>
        <v>17872</v>
      </c>
      <c r="D16" s="35" t="n">
        <f aca="false">IFERROR(C16/C$16,0)</f>
        <v>1</v>
      </c>
      <c r="E16" s="27" t="n">
        <f aca="false">SUM(E9:E15)</f>
        <v>17837</v>
      </c>
      <c r="F16" s="35" t="n">
        <f aca="false">IFERROR(E16/E$16,0)</f>
        <v>1</v>
      </c>
      <c r="G16" s="27" t="n">
        <f aca="false">SUM(G9:G15)</f>
        <v>26452</v>
      </c>
      <c r="H16" s="35" t="n">
        <f aca="false">IFERROR(G16/G$16,0)</f>
        <v>1</v>
      </c>
      <c r="I16" s="27" t="n">
        <f aca="false">SUM(I9:I15)</f>
        <v>20581</v>
      </c>
      <c r="J16" s="35" t="n">
        <f aca="false">IFERROR(I16/I$16,0)</f>
        <v>1</v>
      </c>
      <c r="K16" s="27" t="n">
        <f aca="false">SUM(K9:K15)</f>
        <v>24877</v>
      </c>
      <c r="L16" s="35" t="n">
        <f aca="false">IFERROR(K16/K$16,0)</f>
        <v>1</v>
      </c>
      <c r="M16" s="27" t="n">
        <f aca="false">SUM(M9:M15)</f>
        <v>27059</v>
      </c>
      <c r="N16" s="35" t="n">
        <f aca="false">IFERROR(M16/M$16,0)</f>
        <v>1</v>
      </c>
      <c r="O16" s="27" t="n">
        <f aca="false">SUM(O9:O15)</f>
        <v>25669</v>
      </c>
      <c r="P16" s="35" t="n">
        <f aca="false">IFERROR(O16/O$16,0)</f>
        <v>1</v>
      </c>
      <c r="Q16" s="27" t="n">
        <f aca="false">SUM(Q9:Q15)</f>
        <v>25669</v>
      </c>
      <c r="R16" s="35" t="n">
        <f aca="false">IFERROR(Q16/Q$16,0)</f>
        <v>1</v>
      </c>
      <c r="S16" s="27" t="n">
        <f aca="false">SUM(S9:S15)</f>
        <v>25669</v>
      </c>
      <c r="T16" s="35" t="n">
        <f aca="false">IFERROR(S16/S$16,0)</f>
        <v>1</v>
      </c>
      <c r="U16" s="27" t="n">
        <f aca="false">SUM(U9:U15)</f>
        <v>25669</v>
      </c>
      <c r="V16" s="35" t="n">
        <f aca="false">IFERROR(U16/U$16,0)</f>
        <v>1</v>
      </c>
      <c r="W16" s="27" t="n">
        <f aca="false">SUM(W9:W15)</f>
        <v>25669</v>
      </c>
      <c r="X16" s="35" t="n">
        <f aca="false">IFERROR(W16/W$16,0)</f>
        <v>1</v>
      </c>
      <c r="Y16" s="27" t="n">
        <f aca="false">SUM(Y9:Y15)</f>
        <v>25669</v>
      </c>
      <c r="Z16" s="35" t="n">
        <f aca="false">IFERROR(Y16/Y$16,0)</f>
        <v>1</v>
      </c>
      <c r="AB16" s="27" t="n">
        <f aca="false">SUM(AB9:AB15)</f>
        <v>288692</v>
      </c>
      <c r="AC16" s="35" t="n">
        <f aca="false">IFERROR(AB16/AB$16,0)</f>
        <v>1</v>
      </c>
    </row>
    <row r="18" customFormat="false" ht="15" hidden="false" customHeight="true" outlineLevel="0" collapsed="false">
      <c r="A18" s="6" t="s">
        <v>187</v>
      </c>
    </row>
    <row r="19" customFormat="false" ht="15" hidden="false" customHeight="true" outlineLevel="0" collapsed="false">
      <c r="A19" s="5" t="s">
        <v>188</v>
      </c>
      <c r="C19" s="24" t="n">
        <v>1608</v>
      </c>
      <c r="D19" s="34" t="n">
        <f aca="false">IFERROR(C19/C$9,0)</f>
        <v>0.209949079514297</v>
      </c>
      <c r="E19" s="24" t="n">
        <v>2865</v>
      </c>
      <c r="F19" s="34" t="n">
        <f aca="false">IFERROR(E19/E$9,0)</f>
        <v>0.311243889190657</v>
      </c>
      <c r="G19" s="24" t="n">
        <v>4719</v>
      </c>
      <c r="H19" s="34" t="n">
        <f aca="false">IFERROR(G19/G$9,0)</f>
        <v>0.377188074494445</v>
      </c>
      <c r="I19" s="24" t="n">
        <v>3179</v>
      </c>
      <c r="J19" s="34" t="n">
        <f aca="false">IFERROR(I19/I$9,0)</f>
        <v>0.334737285458566</v>
      </c>
      <c r="K19" s="24" t="n">
        <v>7902</v>
      </c>
      <c r="L19" s="34" t="n">
        <f aca="false">IFERROR(K19/K$9,0)</f>
        <v>0.734250139379298</v>
      </c>
      <c r="M19" s="24" t="n">
        <v>7534</v>
      </c>
      <c r="N19" s="34" t="n">
        <f aca="false">IFERROR(M19/M$9,0)</f>
        <v>0.716772904576158</v>
      </c>
      <c r="O19" s="24" t="n">
        <v>5809</v>
      </c>
      <c r="P19" s="34" t="n">
        <f aca="false">IFERROR(O19/O$9,0)</f>
        <v>0.52404149751917</v>
      </c>
      <c r="Q19" s="24" t="n">
        <v>6414</v>
      </c>
      <c r="R19" s="34" t="n">
        <f aca="false">IFERROR(Q19/Q$9,0)</f>
        <v>0.578619756427605</v>
      </c>
      <c r="S19" s="24" t="n">
        <v>5856</v>
      </c>
      <c r="T19" s="34" t="n">
        <f aca="false">IFERROR(S19/S$9,0)</f>
        <v>0.528281461434371</v>
      </c>
      <c r="U19" s="24" t="n">
        <v>6026</v>
      </c>
      <c r="V19" s="34" t="n">
        <f aca="false">IFERROR(U19/U$9,0)</f>
        <v>0.54361750112765</v>
      </c>
      <c r="W19" s="24" t="n">
        <v>6099</v>
      </c>
      <c r="X19" s="34" t="n">
        <f aca="false">IFERROR(W19/W$9,0)</f>
        <v>0.550202976995941</v>
      </c>
      <c r="Y19" s="24" t="n">
        <v>5994</v>
      </c>
      <c r="Z19" s="34" t="n">
        <f aca="false">IFERROR(Y19/Y$9,0)</f>
        <v>0.540730717185386</v>
      </c>
      <c r="AB19" s="24" t="n">
        <f aca="false">SUM(C19,E19,G19,I19,K19,M19,O19,Q19,S19,U19,W19,Y19)</f>
        <v>64005</v>
      </c>
      <c r="AC19" s="34" t="n">
        <f aca="false">IFERROR(AB19/AB$9,0)</f>
        <v>0.505349176897872</v>
      </c>
    </row>
    <row r="20" customFormat="false" ht="15" hidden="false" customHeight="true" outlineLevel="0" collapsed="false">
      <c r="A20" s="5" t="s">
        <v>189</v>
      </c>
      <c r="C20" s="24" t="n">
        <v>1549</v>
      </c>
      <c r="D20" s="34" t="n">
        <f aca="false">IFERROR(C20/C$10,0)</f>
        <v>0.167713295799047</v>
      </c>
      <c r="E20" s="24" t="n">
        <v>2446</v>
      </c>
      <c r="F20" s="34" t="n">
        <f aca="false">IFERROR(E20/E$10,0)</f>
        <v>0.269353595419007</v>
      </c>
      <c r="G20" s="24" t="n">
        <v>2186</v>
      </c>
      <c r="H20" s="34" t="n">
        <f aca="false">IFERROR(G20/G$10,0)</f>
        <v>0.162697231318845</v>
      </c>
      <c r="I20" s="24" t="n">
        <v>2267</v>
      </c>
      <c r="J20" s="34" t="n">
        <f aca="false">IFERROR(I20/I$10,0)</f>
        <v>0.210121419964779</v>
      </c>
      <c r="K20" s="24" t="n">
        <v>2981</v>
      </c>
      <c r="L20" s="34" t="n">
        <f aca="false">IFERROR(K20/K$10,0)</f>
        <v>0.227505151492025</v>
      </c>
      <c r="M20" s="24" t="n">
        <v>3628</v>
      </c>
      <c r="N20" s="34" t="n">
        <f aca="false">IFERROR(M20/M$10,0)</f>
        <v>0.251107419712071</v>
      </c>
      <c r="O20" s="24" t="n">
        <v>2865</v>
      </c>
      <c r="P20" s="34" t="n">
        <f aca="false">IFERROR(O20/O$10,0)</f>
        <v>0.212285121517487</v>
      </c>
      <c r="Q20" s="24" t="n">
        <v>2873</v>
      </c>
      <c r="R20" s="34" t="n">
        <f aca="false">IFERROR(Q20/Q$10,0)</f>
        <v>0.21287788974511</v>
      </c>
      <c r="S20" s="24" t="n">
        <v>2808</v>
      </c>
      <c r="T20" s="34" t="n">
        <f aca="false">IFERROR(S20/S$10,0)</f>
        <v>0.208061647895673</v>
      </c>
      <c r="U20" s="24" t="n">
        <v>2849</v>
      </c>
      <c r="V20" s="34" t="n">
        <f aca="false">IFERROR(U20/U$10,0)</f>
        <v>0.211099585062241</v>
      </c>
      <c r="W20" s="24" t="n">
        <v>2843</v>
      </c>
      <c r="X20" s="34" t="n">
        <f aca="false">IFERROR(W20/W$10,0)</f>
        <v>0.210655008891523</v>
      </c>
      <c r="Y20" s="24" t="n">
        <v>2833</v>
      </c>
      <c r="Z20" s="34" t="n">
        <f aca="false">IFERROR(Y20/Y$10,0)</f>
        <v>0.209914048606995</v>
      </c>
      <c r="AB20" s="24" t="n">
        <f aca="false">SUM(C20,E20,G20,I20,K20,M20,O20,Q20,S20,U20,W20,Y20)</f>
        <v>32128</v>
      </c>
      <c r="AC20" s="34" t="n">
        <f aca="false">IFERROR(AB20/AB$10,0)</f>
        <v>0.212671031118231</v>
      </c>
    </row>
    <row r="21" customFormat="false" ht="15" hidden="false" customHeight="true" outlineLevel="0" collapsed="false">
      <c r="A21" s="5" t="s">
        <v>190</v>
      </c>
      <c r="C21" s="24" t="n">
        <v>294</v>
      </c>
      <c r="D21" s="34" t="n">
        <f aca="false">IFERROR(C21/C$11,0)</f>
        <v>0.3675</v>
      </c>
      <c r="E21" s="24" t="n">
        <v>111</v>
      </c>
      <c r="F21" s="34" t="n">
        <f aca="false">IFERROR(E21/E$11,0)</f>
        <v>0.376271186440678</v>
      </c>
      <c r="G21" s="24" t="n">
        <v>235</v>
      </c>
      <c r="H21" s="34" t="n">
        <f aca="false">IFERROR(G21/G$11,0)</f>
        <v>0.173559822747415</v>
      </c>
      <c r="I21" s="24" t="n">
        <v>238</v>
      </c>
      <c r="J21" s="34" t="n">
        <f aca="false">IFERROR(I21/I$11,0)</f>
        <v>0.159731543624161</v>
      </c>
      <c r="K21" s="24" t="n">
        <v>22</v>
      </c>
      <c r="L21" s="34" t="n">
        <f aca="false">IFERROR(K21/K$11,0)</f>
        <v>0.0372250423011844</v>
      </c>
      <c r="M21" s="24" t="n">
        <v>1711</v>
      </c>
      <c r="N21" s="34" t="n">
        <f aca="false">IFERROR(M21/M$11,0)</f>
        <v>1.73882113821138</v>
      </c>
      <c r="O21" s="24" t="n">
        <v>91</v>
      </c>
      <c r="P21" s="34" t="n">
        <f aca="false">IFERROR(O21/O$11,0)</f>
        <v>0.149425287356322</v>
      </c>
      <c r="Q21" s="24" t="n">
        <v>67</v>
      </c>
      <c r="R21" s="34" t="n">
        <f aca="false">IFERROR(Q21/Q$11,0)</f>
        <v>0.110016420361248</v>
      </c>
      <c r="S21" s="24" t="n">
        <v>82</v>
      </c>
      <c r="T21" s="34" t="n">
        <f aca="false">IFERROR(S21/S$11,0)</f>
        <v>0.134646962233169</v>
      </c>
      <c r="U21" s="24" t="n">
        <v>80</v>
      </c>
      <c r="V21" s="34" t="n">
        <f aca="false">IFERROR(U21/U$11,0)</f>
        <v>0.13136288998358</v>
      </c>
      <c r="W21" s="24" t="n">
        <v>76</v>
      </c>
      <c r="X21" s="34" t="n">
        <f aca="false">IFERROR(W21/W$11,0)</f>
        <v>0.124794745484401</v>
      </c>
      <c r="Y21" s="24" t="n">
        <v>79</v>
      </c>
      <c r="Z21" s="34" t="n">
        <f aca="false">IFERROR(Y21/Y$11,0)</f>
        <v>0.129720853858785</v>
      </c>
      <c r="AB21" s="24" t="n">
        <f aca="false">SUM(C21,E21,G21,I21,K21,M21,O21,Q21,S21,U21,W21,Y21)</f>
        <v>3086</v>
      </c>
      <c r="AC21" s="34" t="n">
        <f aca="false">IFERROR(AB21/AB$11,0)</f>
        <v>0.336605584642234</v>
      </c>
    </row>
    <row r="22" customFormat="false" ht="15" hidden="false" customHeight="true" outlineLevel="0" collapsed="false">
      <c r="A22" s="5" t="s">
        <v>191</v>
      </c>
      <c r="C22" s="24" t="n">
        <v>82</v>
      </c>
      <c r="D22" s="34" t="n">
        <f aca="false">IFERROR(C22/C$12,0)</f>
        <v>1.51851851851852</v>
      </c>
      <c r="E22" s="24" t="n">
        <v>153</v>
      </c>
      <c r="F22" s="34" t="n">
        <f aca="false">IFERROR(E22/E$12,0)</f>
        <v>0.6375</v>
      </c>
      <c r="G22" s="24" t="n">
        <v>43</v>
      </c>
      <c r="H22" s="34" t="n">
        <f aca="false">IFERROR(G22/G$12,0)</f>
        <v>0.247126436781609</v>
      </c>
      <c r="I22" s="24" t="n">
        <v>86</v>
      </c>
      <c r="J22" s="34" t="n">
        <f aca="false">IFERROR(I22/I$12,0)</f>
        <v>0.258258258258258</v>
      </c>
      <c r="K22" s="24" t="n">
        <v>176</v>
      </c>
      <c r="L22" s="34" t="n">
        <f aca="false">IFERROR(K22/K$12,0)</f>
        <v>0.294807370184255</v>
      </c>
      <c r="M22" s="24" t="n">
        <v>146</v>
      </c>
      <c r="N22" s="34" t="n">
        <f aca="false">IFERROR(M22/M$12,0)</f>
        <v>0.19650067294751</v>
      </c>
      <c r="O22" s="24" t="n">
        <v>172</v>
      </c>
      <c r="P22" s="34" t="n">
        <f aca="false">IFERROR(O22/O$12,0)</f>
        <v>0.279674796747967</v>
      </c>
      <c r="Q22" s="24" t="n">
        <v>174</v>
      </c>
      <c r="R22" s="34" t="n">
        <f aca="false">IFERROR(Q22/Q$12,0)</f>
        <v>0.282926829268293</v>
      </c>
      <c r="S22" s="24" t="n">
        <v>172</v>
      </c>
      <c r="T22" s="34" t="n">
        <f aca="false">IFERROR(S22/S$12,0)</f>
        <v>0.279674796747967</v>
      </c>
      <c r="U22" s="24" t="n">
        <v>172</v>
      </c>
      <c r="V22" s="34" t="n">
        <f aca="false">IFERROR(U22/U$12,0)</f>
        <v>0.279674796747967</v>
      </c>
      <c r="W22" s="24" t="n">
        <v>173</v>
      </c>
      <c r="X22" s="34" t="n">
        <f aca="false">IFERROR(W22/W$12,0)</f>
        <v>0.28130081300813</v>
      </c>
      <c r="Y22" s="24" t="n">
        <v>172</v>
      </c>
      <c r="Z22" s="34" t="n">
        <f aca="false">IFERROR(Y22/Y$12,0)</f>
        <v>0.279674796747967</v>
      </c>
      <c r="AB22" s="24" t="n">
        <f aca="false">SUM(C22,E22,G22,I22,K22,M22,O22,Q22,S22,U22,W22,Y22)</f>
        <v>1721</v>
      </c>
      <c r="AC22" s="34" t="n">
        <f aca="false">IFERROR(AB22/AB$12,0)</f>
        <v>0.295146630080604</v>
      </c>
    </row>
    <row r="23" customFormat="false" ht="15" hidden="false" customHeight="true" outlineLevel="0" collapsed="false">
      <c r="A23" s="5" t="s">
        <v>192</v>
      </c>
      <c r="C23" s="24" t="n">
        <v>301</v>
      </c>
      <c r="D23" s="34" t="n">
        <f aca="false">IFERROR(C23/C$13,0)</f>
        <v>0</v>
      </c>
      <c r="E23" s="24" t="n">
        <v>0</v>
      </c>
      <c r="F23" s="34" t="n">
        <f aca="false">IFERROR(E23/E$13,0)</f>
        <v>0</v>
      </c>
      <c r="G23" s="24" t="n">
        <v>0</v>
      </c>
      <c r="H23" s="34" t="n">
        <f aca="false">IFERROR(G23/G$13,0)</f>
        <v>0</v>
      </c>
      <c r="I23" s="24" t="n">
        <v>268</v>
      </c>
      <c r="J23" s="34" t="n">
        <f aca="false">IFERROR(I23/I$13,0)</f>
        <v>0.540322580645161</v>
      </c>
      <c r="K23" s="24" t="n">
        <v>290</v>
      </c>
      <c r="L23" s="34" t="n">
        <f aca="false">IFERROR(K23/K$13,0)</f>
        <v>0.285714285714286</v>
      </c>
      <c r="M23" s="24" t="n">
        <v>595</v>
      </c>
      <c r="N23" s="34" t="n">
        <f aca="false">IFERROR(M23/M$13,0)</f>
        <v>0.540417801998184</v>
      </c>
      <c r="O23" s="24" t="n">
        <v>386</v>
      </c>
      <c r="P23" s="34" t="n">
        <f aca="false">IFERROR(O23/O$13,0)</f>
        <v>0.369377990430622</v>
      </c>
      <c r="Q23" s="24" t="n">
        <v>358</v>
      </c>
      <c r="R23" s="34" t="n">
        <f aca="false">IFERROR(Q23/Q$13,0)</f>
        <v>0.342583732057416</v>
      </c>
      <c r="S23" s="24" t="n">
        <v>377</v>
      </c>
      <c r="T23" s="34" t="n">
        <f aca="false">IFERROR(S23/S$13,0)</f>
        <v>0.360765550239234</v>
      </c>
      <c r="U23" s="24" t="n">
        <v>373</v>
      </c>
      <c r="V23" s="34" t="n">
        <f aca="false">IFERROR(U23/U$13,0)</f>
        <v>0.356937799043062</v>
      </c>
      <c r="W23" s="24" t="n">
        <v>369</v>
      </c>
      <c r="X23" s="34" t="n">
        <f aca="false">IFERROR(W23/W$13,0)</f>
        <v>0.35311004784689</v>
      </c>
      <c r="Y23" s="24" t="n">
        <v>373</v>
      </c>
      <c r="Z23" s="34" t="n">
        <f aca="false">IFERROR(Y23/Y$13,0)</f>
        <v>0.356937799043062</v>
      </c>
      <c r="AB23" s="24" t="n">
        <f aca="false">SUM(C23,E23,G23,I23,K23,M23,O23,Q23,S23,U23,W23,Y23)</f>
        <v>3690</v>
      </c>
      <c r="AC23" s="34" t="n">
        <f aca="false">IFERROR(AB23/AB$13,0)</f>
        <v>0.414839797639123</v>
      </c>
    </row>
    <row r="24" customFormat="false" ht="15" hidden="false" customHeight="true" outlineLevel="0" collapsed="false">
      <c r="A24" s="6" t="s">
        <v>139</v>
      </c>
      <c r="C24" s="27" t="n">
        <f aca="false">SUM(C19:C23)</f>
        <v>3834</v>
      </c>
      <c r="D24" s="35" t="n">
        <f aca="false">IFERROR(C24/C$16,0)</f>
        <v>0.21452551477171</v>
      </c>
      <c r="E24" s="27" t="n">
        <f aca="false">SUM(E19:E23)</f>
        <v>5575</v>
      </c>
      <c r="F24" s="35" t="n">
        <f aca="false">IFERROR(E24/E$16,0)</f>
        <v>0.312552559286876</v>
      </c>
      <c r="G24" s="27" t="n">
        <f aca="false">SUM(G19:G23)</f>
        <v>7183</v>
      </c>
      <c r="H24" s="35" t="n">
        <f aca="false">IFERROR(G24/G$16,0)</f>
        <v>0.271548465144413</v>
      </c>
      <c r="I24" s="27" t="n">
        <f aca="false">SUM(I19:I23)</f>
        <v>6038</v>
      </c>
      <c r="J24" s="35" t="n">
        <f aca="false">IFERROR(I24/I$16,0)</f>
        <v>0.293377386910257</v>
      </c>
      <c r="K24" s="27" t="n">
        <f aca="false">SUM(K19:K23)</f>
        <v>11371</v>
      </c>
      <c r="L24" s="35" t="n">
        <f aca="false">IFERROR(K24/K$16,0)</f>
        <v>0.457088877276199</v>
      </c>
      <c r="M24" s="27" t="n">
        <f aca="false">SUM(M19:M23)</f>
        <v>13614</v>
      </c>
      <c r="N24" s="35" t="n">
        <f aca="false">IFERROR(M24/M$16,0)</f>
        <v>0.503122805720832</v>
      </c>
      <c r="O24" s="27" t="n">
        <f aca="false">SUM(O19:O23)</f>
        <v>9323</v>
      </c>
      <c r="P24" s="35" t="n">
        <f aca="false">IFERROR(O24/O$16,0)</f>
        <v>0.36320074798395</v>
      </c>
      <c r="Q24" s="27" t="n">
        <f aca="false">SUM(Q19:Q23)</f>
        <v>9886</v>
      </c>
      <c r="R24" s="35" t="n">
        <f aca="false">IFERROR(Q24/Q$16,0)</f>
        <v>0.385133819003467</v>
      </c>
      <c r="S24" s="27" t="n">
        <f aca="false">SUM(S19:S23)</f>
        <v>9295</v>
      </c>
      <c r="T24" s="35" t="n">
        <f aca="false">IFERROR(S24/S$16,0)</f>
        <v>0.362109938057579</v>
      </c>
      <c r="U24" s="27" t="n">
        <f aca="false">SUM(U19:U23)</f>
        <v>9500</v>
      </c>
      <c r="V24" s="35" t="n">
        <f aca="false">IFERROR(U24/U$16,0)</f>
        <v>0.370096225018505</v>
      </c>
      <c r="W24" s="27" t="n">
        <f aca="false">SUM(W19:W23)</f>
        <v>9560</v>
      </c>
      <c r="X24" s="35" t="n">
        <f aca="false">IFERROR(W24/W$16,0)</f>
        <v>0.372433674860727</v>
      </c>
      <c r="Y24" s="27" t="n">
        <f aca="false">SUM(Y19:Y23)</f>
        <v>9451</v>
      </c>
      <c r="Z24" s="35" t="n">
        <f aca="false">IFERROR(Y24/Y$16,0)</f>
        <v>0.368187307647357</v>
      </c>
      <c r="AB24" s="27" t="n">
        <f aca="false">SUM(AB19:AB23)</f>
        <v>104630</v>
      </c>
      <c r="AC24" s="35" t="n">
        <f aca="false">IFERROR(AB24/AB$16,0)</f>
        <v>0.362427777700802</v>
      </c>
    </row>
    <row r="25" customFormat="false" ht="15" hidden="false" customHeight="true" outlineLevel="0" collapsed="false">
      <c r="A25" s="6" t="s">
        <v>140</v>
      </c>
      <c r="C25" s="7" t="n">
        <f aca="false">C16-C24</f>
        <v>14038</v>
      </c>
      <c r="D25" s="8" t="n">
        <f aca="false">IFERROR(C25/C$16,0)</f>
        <v>0.78547448522829</v>
      </c>
      <c r="E25" s="7" t="n">
        <f aca="false">E16-E24</f>
        <v>12262</v>
      </c>
      <c r="F25" s="8" t="n">
        <f aca="false">IFERROR(E25/E$16,0)</f>
        <v>0.687447440713124</v>
      </c>
      <c r="G25" s="7" t="n">
        <f aca="false">G16-G24</f>
        <v>19269</v>
      </c>
      <c r="H25" s="8" t="n">
        <f aca="false">IFERROR(G25/G$16,0)</f>
        <v>0.728451534855587</v>
      </c>
      <c r="I25" s="7" t="n">
        <f aca="false">I16-I24</f>
        <v>14543</v>
      </c>
      <c r="J25" s="8" t="n">
        <f aca="false">IFERROR(I25/I$16,0)</f>
        <v>0.706622613089743</v>
      </c>
      <c r="K25" s="7" t="n">
        <f aca="false">K16-K24</f>
        <v>13506</v>
      </c>
      <c r="L25" s="8" t="n">
        <f aca="false">IFERROR(K25/K$16,0)</f>
        <v>0.542911122723801</v>
      </c>
      <c r="M25" s="7" t="n">
        <f aca="false">M16-M24</f>
        <v>13445</v>
      </c>
      <c r="N25" s="8" t="n">
        <f aca="false">IFERROR(M25/M$16,0)</f>
        <v>0.496877194279168</v>
      </c>
      <c r="O25" s="7" t="n">
        <f aca="false">O16-O24</f>
        <v>16346</v>
      </c>
      <c r="P25" s="8" t="n">
        <f aca="false">IFERROR(O25/O$16,0)</f>
        <v>0.636799252016051</v>
      </c>
      <c r="Q25" s="7" t="n">
        <f aca="false">Q16-Q24</f>
        <v>15783</v>
      </c>
      <c r="R25" s="8" t="n">
        <f aca="false">IFERROR(Q25/Q$16,0)</f>
        <v>0.614866180996533</v>
      </c>
      <c r="S25" s="7" t="n">
        <f aca="false">S16-S24</f>
        <v>16374</v>
      </c>
      <c r="T25" s="8" t="n">
        <f aca="false">IFERROR(S25/S$16,0)</f>
        <v>0.637890061942421</v>
      </c>
      <c r="U25" s="7" t="n">
        <f aca="false">U16-U24</f>
        <v>16169</v>
      </c>
      <c r="V25" s="8" t="n">
        <f aca="false">IFERROR(U25/U$16,0)</f>
        <v>0.629903774981495</v>
      </c>
      <c r="W25" s="7" t="n">
        <f aca="false">W16-W24</f>
        <v>16109</v>
      </c>
      <c r="X25" s="8" t="n">
        <f aca="false">IFERROR(W25/W$16,0)</f>
        <v>0.627566325139273</v>
      </c>
      <c r="Y25" s="7" t="n">
        <f aca="false">Y16-Y24</f>
        <v>16218</v>
      </c>
      <c r="Z25" s="8" t="n">
        <f aca="false">IFERROR(Y25/Y$16,0)</f>
        <v>0.631812692352643</v>
      </c>
      <c r="AB25" s="7" t="n">
        <f aca="false">AB16-AB24</f>
        <v>184062</v>
      </c>
      <c r="AC25" s="8" t="n">
        <f aca="false">IFERROR(AB25/AB$16,0)</f>
        <v>0.637572222299198</v>
      </c>
    </row>
    <row r="27" customFormat="false" ht="15" hidden="false" customHeight="true" outlineLevel="0" collapsed="false">
      <c r="A27" s="6" t="s">
        <v>194</v>
      </c>
    </row>
    <row r="28" customFormat="false" ht="15" hidden="false" customHeight="true" outlineLevel="0" collapsed="false">
      <c r="A28" s="5" t="s">
        <v>195</v>
      </c>
      <c r="C28" s="24" t="n">
        <v>1230</v>
      </c>
      <c r="D28" s="34" t="n">
        <f aca="false">IFERROR(C28/C$16,0)</f>
        <v>0.068822739480752</v>
      </c>
      <c r="E28" s="24" t="n">
        <v>479</v>
      </c>
      <c r="F28" s="34" t="n">
        <f aca="false">IFERROR(E28/E$16,0)</f>
        <v>0.026854291640971</v>
      </c>
      <c r="G28" s="24" t="n">
        <v>868</v>
      </c>
      <c r="H28" s="34" t="n">
        <f aca="false">IFERROR(G28/G$16,0)</f>
        <v>0.0328141539392106</v>
      </c>
      <c r="I28" s="24" t="n">
        <v>1132</v>
      </c>
      <c r="J28" s="34" t="n">
        <f aca="false">IFERROR(I28/I$16,0)</f>
        <v>0.0550021864826782</v>
      </c>
      <c r="K28" s="24" t="n">
        <v>1657</v>
      </c>
      <c r="L28" s="34" t="n">
        <f aca="false">IFERROR(K28/K$16,0)</f>
        <v>0.0666077099328697</v>
      </c>
      <c r="M28" s="24" t="n">
        <v>1377</v>
      </c>
      <c r="N28" s="34" t="n">
        <f aca="false">IFERROR(M28/M$16,0)</f>
        <v>0.0508887985513138</v>
      </c>
      <c r="O28" s="24" t="n">
        <v>1657</v>
      </c>
      <c r="P28" s="34" t="n">
        <f aca="false">IFERROR(O28/O$16,0)</f>
        <v>0.0645525731427013</v>
      </c>
      <c r="Q28" s="24" t="n">
        <v>1657</v>
      </c>
      <c r="R28" s="34" t="n">
        <f aca="false">IFERROR(Q28/Q$16,0)</f>
        <v>0.0645525731427013</v>
      </c>
      <c r="S28" s="24" t="n">
        <v>1657</v>
      </c>
      <c r="T28" s="34" t="n">
        <f aca="false">IFERROR(S28/S$16,0)</f>
        <v>0.0645525731427013</v>
      </c>
      <c r="U28" s="24" t="n">
        <v>1657</v>
      </c>
      <c r="V28" s="34" t="n">
        <f aca="false">IFERROR(U28/U$16,0)</f>
        <v>0.0645525731427013</v>
      </c>
      <c r="W28" s="24" t="n">
        <v>1657</v>
      </c>
      <c r="X28" s="34" t="n">
        <f aca="false">IFERROR(W28/W$16,0)</f>
        <v>0.0645525731427013</v>
      </c>
      <c r="Y28" s="24" t="n">
        <v>1657</v>
      </c>
      <c r="Z28" s="34" t="n">
        <f aca="false">IFERROR(Y28/Y$16,0)</f>
        <v>0.0645525731427013</v>
      </c>
      <c r="AB28" s="24" t="n">
        <f aca="false">SUM(C28,E28,G28,I28,K28,M28,O28,Q28,S28,U28,W28,Y28)</f>
        <v>16685</v>
      </c>
      <c r="AC28" s="34" t="n">
        <f aca="false">IFERROR(AB28/AB$16,0)</f>
        <v>0.0577951588544192</v>
      </c>
    </row>
    <row r="29" customFormat="false" ht="15" hidden="false" customHeight="true" outlineLevel="0" collapsed="false">
      <c r="A29" s="5" t="s">
        <v>196</v>
      </c>
      <c r="C29" s="24" t="n">
        <v>2558</v>
      </c>
      <c r="D29" s="34" t="n">
        <f aca="false">IFERROR(C29/C$16,0)</f>
        <v>0.143128916741271</v>
      </c>
      <c r="E29" s="24" t="n">
        <v>2016</v>
      </c>
      <c r="F29" s="34" t="n">
        <f aca="false">IFERROR(E29/E$16,0)</f>
        <v>0.113023490497281</v>
      </c>
      <c r="G29" s="24" t="n">
        <v>2550</v>
      </c>
      <c r="H29" s="34" t="n">
        <f aca="false">IFERROR(G29/G$16,0)</f>
        <v>0.096401028277635</v>
      </c>
      <c r="I29" s="24" t="n">
        <v>3413</v>
      </c>
      <c r="J29" s="34" t="n">
        <f aca="false">IFERROR(I29/I$16,0)</f>
        <v>0.165832564015354</v>
      </c>
      <c r="K29" s="24" t="n">
        <v>2266</v>
      </c>
      <c r="L29" s="34" t="n">
        <f aca="false">IFERROR(K29/K$16,0)</f>
        <v>0.0910881537162841</v>
      </c>
      <c r="M29" s="24" t="n">
        <v>2637</v>
      </c>
      <c r="N29" s="34" t="n">
        <f aca="false">IFERROR(M29/M$16,0)</f>
        <v>0.0974537122583983</v>
      </c>
      <c r="O29" s="24" t="n">
        <v>2266</v>
      </c>
      <c r="P29" s="34" t="n">
        <f aca="false">IFERROR(O29/O$16,0)</f>
        <v>0.088277689041256</v>
      </c>
      <c r="Q29" s="24" t="n">
        <v>2266</v>
      </c>
      <c r="R29" s="34" t="n">
        <f aca="false">IFERROR(Q29/Q$16,0)</f>
        <v>0.088277689041256</v>
      </c>
      <c r="S29" s="24" t="n">
        <v>2266</v>
      </c>
      <c r="T29" s="34" t="n">
        <f aca="false">IFERROR(S29/S$16,0)</f>
        <v>0.088277689041256</v>
      </c>
      <c r="U29" s="24" t="n">
        <v>2266</v>
      </c>
      <c r="V29" s="34" t="n">
        <f aca="false">IFERROR(U29/U$16,0)</f>
        <v>0.088277689041256</v>
      </c>
      <c r="W29" s="24" t="n">
        <v>2266</v>
      </c>
      <c r="X29" s="34" t="n">
        <f aca="false">IFERROR(W29/W$16,0)</f>
        <v>0.088277689041256</v>
      </c>
      <c r="Y29" s="24" t="n">
        <v>2266</v>
      </c>
      <c r="Z29" s="34" t="n">
        <f aca="false">IFERROR(Y29/Y$16,0)</f>
        <v>0.088277689041256</v>
      </c>
      <c r="AB29" s="24" t="n">
        <f aca="false">SUM(C29,E29,G29,I29,K29,M29,O29,Q29,S29,U29,W29,Y29)</f>
        <v>29036</v>
      </c>
      <c r="AC29" s="34" t="n">
        <f aca="false">IFERROR(AB29/AB$16,0)</f>
        <v>0.100577778393582</v>
      </c>
    </row>
    <row r="30" customFormat="false" ht="15" hidden="false" customHeight="true" outlineLevel="0" collapsed="false">
      <c r="A30" s="5" t="s">
        <v>197</v>
      </c>
      <c r="C30" s="24" t="n">
        <v>10115</v>
      </c>
      <c r="D30" s="34" t="n">
        <f aca="false">IFERROR(C30/C$16,0)</f>
        <v>0.565969113697404</v>
      </c>
      <c r="E30" s="24" t="n">
        <v>8428</v>
      </c>
      <c r="F30" s="34" t="n">
        <f aca="false">IFERROR(E30/E$16,0)</f>
        <v>0.472500981106688</v>
      </c>
      <c r="G30" s="24" t="n">
        <v>7366</v>
      </c>
      <c r="H30" s="34" t="n">
        <f aca="false">IFERROR(G30/G$16,0)</f>
        <v>0.278466656585513</v>
      </c>
      <c r="I30" s="24" t="n">
        <v>6693</v>
      </c>
      <c r="J30" s="34" t="n">
        <f aca="false">IFERROR(I30/I$16,0)</f>
        <v>0.325202857004033</v>
      </c>
      <c r="K30" s="24" t="n">
        <v>8447</v>
      </c>
      <c r="L30" s="34" t="n">
        <f aca="false">IFERROR(K30/K$16,0)</f>
        <v>0.339550588897375</v>
      </c>
      <c r="M30" s="24" t="n">
        <v>9291</v>
      </c>
      <c r="N30" s="34" t="n">
        <f aca="false">IFERROR(M30/M$16,0)</f>
        <v>0.343360804168669</v>
      </c>
      <c r="O30" s="24" t="n">
        <v>8447</v>
      </c>
      <c r="P30" s="34" t="n">
        <f aca="false">IFERROR(O30/O$16,0)</f>
        <v>0.329073980287506</v>
      </c>
      <c r="Q30" s="24" t="n">
        <v>8447</v>
      </c>
      <c r="R30" s="34" t="n">
        <f aca="false">IFERROR(Q30/Q$16,0)</f>
        <v>0.329073980287506</v>
      </c>
      <c r="S30" s="24" t="n">
        <v>8447</v>
      </c>
      <c r="T30" s="34" t="n">
        <f aca="false">IFERROR(S30/S$16,0)</f>
        <v>0.329073980287506</v>
      </c>
      <c r="U30" s="24" t="n">
        <v>8447</v>
      </c>
      <c r="V30" s="34" t="n">
        <f aca="false">IFERROR(U30/U$16,0)</f>
        <v>0.329073980287506</v>
      </c>
      <c r="W30" s="24" t="n">
        <v>8447</v>
      </c>
      <c r="X30" s="34" t="n">
        <f aca="false">IFERROR(W30/W$16,0)</f>
        <v>0.329073980287506</v>
      </c>
      <c r="Y30" s="24" t="n">
        <v>8447</v>
      </c>
      <c r="Z30" s="34" t="n">
        <f aca="false">IFERROR(Y30/Y$16,0)</f>
        <v>0.329073980287506</v>
      </c>
      <c r="AB30" s="24" t="n">
        <f aca="false">SUM(C30,E30,G30,I30,K30,M30,O30,Q30,S30,U30,W30,Y30)</f>
        <v>101022</v>
      </c>
      <c r="AC30" s="34" t="n">
        <f aca="false">IFERROR(AB30/AB$16,0)</f>
        <v>0.34993002923531</v>
      </c>
    </row>
    <row r="31" customFormat="false" ht="15" hidden="false" customHeight="true" outlineLevel="0" collapsed="false">
      <c r="A31" s="5" t="s">
        <v>198</v>
      </c>
      <c r="C31" s="24" t="n">
        <v>3006</v>
      </c>
      <c r="D31" s="34" t="n">
        <f aca="false">IFERROR(C31/C$16,0)</f>
        <v>0.16819606087735</v>
      </c>
      <c r="E31" s="24" t="n">
        <v>650</v>
      </c>
      <c r="F31" s="34" t="n">
        <f aca="false">IFERROR(E31/E$16,0)</f>
        <v>0.0364411055670797</v>
      </c>
      <c r="G31" s="24" t="n">
        <v>2488</v>
      </c>
      <c r="H31" s="34" t="n">
        <f aca="false">IFERROR(G31/G$16,0)</f>
        <v>0.0940571601391199</v>
      </c>
      <c r="I31" s="24" t="n">
        <v>1488</v>
      </c>
      <c r="J31" s="34" t="n">
        <f aca="false">IFERROR(I31/I$16,0)</f>
        <v>0.0722996938924251</v>
      </c>
      <c r="K31" s="24" t="n">
        <v>1840</v>
      </c>
      <c r="L31" s="34" t="n">
        <f aca="false">IFERROR(K31/K$16,0)</f>
        <v>0.0739639023998071</v>
      </c>
      <c r="M31" s="24" t="n">
        <v>3015</v>
      </c>
      <c r="N31" s="34" t="n">
        <f aca="false">IFERROR(M31/M$16,0)</f>
        <v>0.111423186370524</v>
      </c>
      <c r="O31" s="24" t="n">
        <v>1840</v>
      </c>
      <c r="P31" s="34" t="n">
        <f aca="false">IFERROR(O31/O$16,0)</f>
        <v>0.0716817951614788</v>
      </c>
      <c r="Q31" s="24" t="n">
        <v>1840</v>
      </c>
      <c r="R31" s="34" t="n">
        <f aca="false">IFERROR(Q31/Q$16,0)</f>
        <v>0.0716817951614788</v>
      </c>
      <c r="S31" s="24" t="n">
        <v>1840</v>
      </c>
      <c r="T31" s="34" t="n">
        <f aca="false">IFERROR(S31/S$16,0)</f>
        <v>0.0716817951614788</v>
      </c>
      <c r="U31" s="24" t="n">
        <v>1840</v>
      </c>
      <c r="V31" s="34" t="n">
        <f aca="false">IFERROR(U31/U$16,0)</f>
        <v>0.0716817951614788</v>
      </c>
      <c r="W31" s="24" t="n">
        <v>1840</v>
      </c>
      <c r="X31" s="34" t="n">
        <f aca="false">IFERROR(W31/W$16,0)</f>
        <v>0.0716817951614788</v>
      </c>
      <c r="Y31" s="24" t="n">
        <v>1840</v>
      </c>
      <c r="Z31" s="34" t="n">
        <f aca="false">IFERROR(Y31/Y$16,0)</f>
        <v>0.0716817951614788</v>
      </c>
      <c r="AB31" s="24" t="n">
        <f aca="false">SUM(C31,E31,G31,I31,K31,M31,O31,Q31,S31,U31,W31,Y31)</f>
        <v>23527</v>
      </c>
      <c r="AC31" s="34" t="n">
        <f aca="false">IFERROR(AB31/AB$16,0)</f>
        <v>0.0814951574688596</v>
      </c>
    </row>
    <row r="32" customFormat="false" ht="15" hidden="false" customHeight="true" outlineLevel="0" collapsed="false">
      <c r="A32" s="5" t="s">
        <v>199</v>
      </c>
      <c r="C32" s="24" t="n">
        <v>0</v>
      </c>
      <c r="D32" s="34" t="n">
        <f aca="false">IFERROR(C32/C$16,0)</f>
        <v>0</v>
      </c>
      <c r="E32" s="24" t="n">
        <v>0</v>
      </c>
      <c r="F32" s="34" t="n">
        <f aca="false">IFERROR(E32/E$16,0)</f>
        <v>0</v>
      </c>
      <c r="G32" s="24" t="n">
        <v>0</v>
      </c>
      <c r="H32" s="34" t="n">
        <f aca="false">IFERROR(G32/G$16,0)</f>
        <v>0</v>
      </c>
      <c r="I32" s="24" t="n">
        <v>0</v>
      </c>
      <c r="J32" s="34" t="n">
        <f aca="false">IFERROR(I32/I$16,0)</f>
        <v>0</v>
      </c>
      <c r="K32" s="24" t="n">
        <v>0</v>
      </c>
      <c r="L32" s="34" t="n">
        <f aca="false">IFERROR(K32/K$16,0)</f>
        <v>0</v>
      </c>
      <c r="M32" s="24" t="n">
        <v>0</v>
      </c>
      <c r="N32" s="34" t="n">
        <f aca="false">IFERROR(M32/M$16,0)</f>
        <v>0</v>
      </c>
      <c r="O32" s="24" t="n">
        <v>0</v>
      </c>
      <c r="P32" s="34" t="n">
        <f aca="false">IFERROR(O32/O$16,0)</f>
        <v>0</v>
      </c>
      <c r="Q32" s="24" t="n">
        <v>0</v>
      </c>
      <c r="R32" s="34" t="n">
        <f aca="false">IFERROR(Q32/Q$16,0)</f>
        <v>0</v>
      </c>
      <c r="S32" s="24" t="n">
        <v>0</v>
      </c>
      <c r="T32" s="34" t="n">
        <f aca="false">IFERROR(S32/S$16,0)</f>
        <v>0</v>
      </c>
      <c r="U32" s="24" t="n">
        <v>0</v>
      </c>
      <c r="V32" s="34" t="n">
        <f aca="false">IFERROR(U32/U$16,0)</f>
        <v>0</v>
      </c>
      <c r="W32" s="24" t="n">
        <v>0</v>
      </c>
      <c r="X32" s="34" t="n">
        <f aca="false">IFERROR(W32/W$16,0)</f>
        <v>0</v>
      </c>
      <c r="Y32" s="24" t="n">
        <v>0</v>
      </c>
      <c r="Z32" s="34" t="n">
        <f aca="false">IFERROR(Y32/Y$16,0)</f>
        <v>0</v>
      </c>
      <c r="AB32" s="24" t="n">
        <f aca="false">SUM(C32,E32,G32,I32,K32,M32,O32,Q32,S32,U32,W32,Y32)</f>
        <v>0</v>
      </c>
      <c r="AC32" s="34" t="n">
        <f aca="false">IFERROR(AB32/AB$16,0)</f>
        <v>0</v>
      </c>
    </row>
    <row r="33" customFormat="false" ht="15" hidden="false" customHeight="true" outlineLevel="0" collapsed="false">
      <c r="A33" s="6" t="s">
        <v>141</v>
      </c>
      <c r="C33" s="27" t="n">
        <f aca="false">SUM(C28:C32)</f>
        <v>16909</v>
      </c>
      <c r="D33" s="35" t="n">
        <f aca="false">IFERROR(C33/C$16,0)</f>
        <v>0.946116830796777</v>
      </c>
      <c r="E33" s="27" t="n">
        <f aca="false">SUM(E28:E32)</f>
        <v>11573</v>
      </c>
      <c r="F33" s="35" t="n">
        <f aca="false">IFERROR(E33/E$16,0)</f>
        <v>0.64881986881202</v>
      </c>
      <c r="G33" s="27" t="n">
        <f aca="false">SUM(G28:G32)</f>
        <v>13272</v>
      </c>
      <c r="H33" s="35" t="n">
        <f aca="false">IFERROR(G33/G$16,0)</f>
        <v>0.501738998941479</v>
      </c>
      <c r="I33" s="27" t="n">
        <f aca="false">SUM(I28:I32)</f>
        <v>12726</v>
      </c>
      <c r="J33" s="35" t="n">
        <f aca="false">IFERROR(I33/I$16,0)</f>
        <v>0.61833730139449</v>
      </c>
      <c r="K33" s="27" t="n">
        <f aca="false">SUM(K28:K32)</f>
        <v>14210</v>
      </c>
      <c r="L33" s="35" t="n">
        <f aca="false">IFERROR(K33/K$16,0)</f>
        <v>0.571210354946336</v>
      </c>
      <c r="M33" s="27" t="n">
        <f aca="false">SUM(M28:M32)</f>
        <v>16320</v>
      </c>
      <c r="N33" s="35" t="n">
        <f aca="false">IFERROR(M33/M$16,0)</f>
        <v>0.603126501348904</v>
      </c>
      <c r="O33" s="27" t="n">
        <f aca="false">SUM(O28:O32)</f>
        <v>14210</v>
      </c>
      <c r="P33" s="35" t="n">
        <f aca="false">IFERROR(O33/O$16,0)</f>
        <v>0.553586037632943</v>
      </c>
      <c r="Q33" s="27" t="n">
        <f aca="false">SUM(Q28:Q32)</f>
        <v>14210</v>
      </c>
      <c r="R33" s="35" t="n">
        <f aca="false">IFERROR(Q33/Q$16,0)</f>
        <v>0.553586037632943</v>
      </c>
      <c r="S33" s="27" t="n">
        <f aca="false">SUM(S28:S32)</f>
        <v>14210</v>
      </c>
      <c r="T33" s="35" t="n">
        <f aca="false">IFERROR(S33/S$16,0)</f>
        <v>0.553586037632943</v>
      </c>
      <c r="U33" s="27" t="n">
        <f aca="false">SUM(U28:U32)</f>
        <v>14210</v>
      </c>
      <c r="V33" s="35" t="n">
        <f aca="false">IFERROR(U33/U$16,0)</f>
        <v>0.553586037632943</v>
      </c>
      <c r="W33" s="27" t="n">
        <f aca="false">SUM(W28:W32)</f>
        <v>14210</v>
      </c>
      <c r="X33" s="35" t="n">
        <f aca="false">IFERROR(W33/W$16,0)</f>
        <v>0.553586037632943</v>
      </c>
      <c r="Y33" s="27" t="n">
        <f aca="false">SUM(Y28:Y32)</f>
        <v>14210</v>
      </c>
      <c r="Z33" s="35" t="n">
        <f aca="false">IFERROR(Y33/Y$16,0)</f>
        <v>0.553586037632943</v>
      </c>
      <c r="AB33" s="27" t="n">
        <f aca="false">SUM(AB28:AB32)</f>
        <v>170270</v>
      </c>
      <c r="AC33" s="35" t="n">
        <f aca="false">IFERROR(AB33/AB$16,0)</f>
        <v>0.589798123952171</v>
      </c>
    </row>
    <row r="35" customFormat="false" ht="15" hidden="false" customHeight="true" outlineLevel="0" collapsed="false">
      <c r="A35" s="6" t="s">
        <v>200</v>
      </c>
      <c r="C35" s="7" t="n">
        <f aca="false">C24+C33</f>
        <v>20743</v>
      </c>
      <c r="D35" s="8" t="n">
        <f aca="false">IFERROR(C35/C$16,0)</f>
        <v>1.16064234556849</v>
      </c>
      <c r="E35" s="7" t="n">
        <f aca="false">E24+E33</f>
        <v>17148</v>
      </c>
      <c r="F35" s="8" t="n">
        <f aca="false">IFERROR(E35/E$16,0)</f>
        <v>0.961372428098896</v>
      </c>
      <c r="G35" s="7" t="n">
        <f aca="false">G24+G33</f>
        <v>20455</v>
      </c>
      <c r="H35" s="8" t="n">
        <f aca="false">IFERROR(G35/G$16,0)</f>
        <v>0.773287464085891</v>
      </c>
      <c r="I35" s="7" t="n">
        <f aca="false">I24+I33</f>
        <v>18764</v>
      </c>
      <c r="J35" s="8" t="n">
        <f aca="false">IFERROR(I35/I$16,0)</f>
        <v>0.911714688304747</v>
      </c>
      <c r="K35" s="7" t="n">
        <f aca="false">K24+K33</f>
        <v>25581</v>
      </c>
      <c r="L35" s="8" t="n">
        <f aca="false">IFERROR(K35/K$16,0)</f>
        <v>1.02829923222253</v>
      </c>
      <c r="M35" s="7" t="n">
        <f aca="false">M24+M33</f>
        <v>29934</v>
      </c>
      <c r="N35" s="8" t="n">
        <f aca="false">IFERROR(M35/M$16,0)</f>
        <v>1.10624930706974</v>
      </c>
      <c r="O35" s="7" t="n">
        <f aca="false">O24+O33</f>
        <v>23533</v>
      </c>
      <c r="P35" s="8" t="n">
        <f aca="false">IFERROR(O35/O$16,0)</f>
        <v>0.916786785616892</v>
      </c>
      <c r="Q35" s="7" t="n">
        <f aca="false">Q24+Q33</f>
        <v>24096</v>
      </c>
      <c r="R35" s="8" t="n">
        <f aca="false">IFERROR(Q35/Q$16,0)</f>
        <v>0.93871985663641</v>
      </c>
      <c r="S35" s="7" t="n">
        <f aca="false">S24+S33</f>
        <v>23505</v>
      </c>
      <c r="T35" s="8" t="n">
        <f aca="false">IFERROR(S35/S$16,0)</f>
        <v>0.915695975690522</v>
      </c>
      <c r="U35" s="7" t="n">
        <f aca="false">U24+U33</f>
        <v>23710</v>
      </c>
      <c r="V35" s="8" t="n">
        <f aca="false">IFERROR(U35/U$16,0)</f>
        <v>0.923682262651447</v>
      </c>
      <c r="W35" s="7" t="n">
        <f aca="false">W24+W33</f>
        <v>23770</v>
      </c>
      <c r="X35" s="8" t="n">
        <f aca="false">IFERROR(W35/W$16,0)</f>
        <v>0.926019712493669</v>
      </c>
      <c r="Y35" s="7" t="n">
        <f aca="false">Y24+Y33</f>
        <v>23661</v>
      </c>
      <c r="Z35" s="8" t="n">
        <f aca="false">IFERROR(Y35/Y$16,0)</f>
        <v>0.921773345280299</v>
      </c>
      <c r="AB35" s="7" t="n">
        <f aca="false">AB24+AB33</f>
        <v>274900</v>
      </c>
      <c r="AC35" s="8" t="n">
        <f aca="false">IFERROR(AB35/AB$16,0)</f>
        <v>0.952225901652973</v>
      </c>
    </row>
    <row r="36" customFormat="false" ht="15" hidden="false" customHeight="true" outlineLevel="0" collapsed="false">
      <c r="A36" s="6" t="s">
        <v>201</v>
      </c>
      <c r="C36" s="7" t="n">
        <f aca="false">C25-C33</f>
        <v>-2871</v>
      </c>
      <c r="D36" s="8" t="n">
        <f aca="false">IFERROR(C36/C$16,0)</f>
        <v>-0.160642345568487</v>
      </c>
      <c r="E36" s="7" t="n">
        <f aca="false">E25-E33</f>
        <v>689</v>
      </c>
      <c r="F36" s="8" t="n">
        <f aca="false">IFERROR(E36/E$16,0)</f>
        <v>0.0386275719011045</v>
      </c>
      <c r="G36" s="7" t="n">
        <f aca="false">G25-G33</f>
        <v>5997</v>
      </c>
      <c r="H36" s="8" t="n">
        <f aca="false">IFERROR(G36/G$16,0)</f>
        <v>0.226712535914109</v>
      </c>
      <c r="I36" s="7" t="n">
        <f aca="false">I25-I33</f>
        <v>1817</v>
      </c>
      <c r="J36" s="8" t="n">
        <f aca="false">IFERROR(I36/I$16,0)</f>
        <v>0.0882853116952529</v>
      </c>
      <c r="K36" s="7" t="n">
        <f aca="false">K25-K33</f>
        <v>-704</v>
      </c>
      <c r="L36" s="8" t="n">
        <f aca="false">IFERROR(K36/K$16,0)</f>
        <v>-0.0282992322225349</v>
      </c>
      <c r="M36" s="7" t="n">
        <f aca="false">M25-M33</f>
        <v>-2875</v>
      </c>
      <c r="N36" s="8" t="n">
        <f aca="false">IFERROR(M36/M$16,0)</f>
        <v>-0.106249307069737</v>
      </c>
      <c r="O36" s="7" t="n">
        <f aca="false">O25-O33</f>
        <v>2136</v>
      </c>
      <c r="P36" s="8" t="n">
        <f aca="false">IFERROR(O36/O$16,0)</f>
        <v>0.083213214383108</v>
      </c>
      <c r="Q36" s="7" t="n">
        <f aca="false">Q25-Q33</f>
        <v>1573</v>
      </c>
      <c r="R36" s="8" t="n">
        <f aca="false">IFERROR(Q36/Q$16,0)</f>
        <v>0.0612801433635903</v>
      </c>
      <c r="S36" s="7" t="n">
        <f aca="false">S25-S33</f>
        <v>2164</v>
      </c>
      <c r="T36" s="8" t="n">
        <f aca="false">IFERROR(S36/S$16,0)</f>
        <v>0.0843040243094784</v>
      </c>
      <c r="U36" s="7" t="n">
        <f aca="false">U25-U33</f>
        <v>1959</v>
      </c>
      <c r="V36" s="8" t="n">
        <f aca="false">IFERROR(U36/U$16,0)</f>
        <v>0.0763177373485527</v>
      </c>
      <c r="W36" s="7" t="n">
        <f aca="false">W25-W33</f>
        <v>1899</v>
      </c>
      <c r="X36" s="8" t="n">
        <f aca="false">IFERROR(W36/W$16,0)</f>
        <v>0.0739802875063306</v>
      </c>
      <c r="Y36" s="7" t="n">
        <f aca="false">Y25-Y33</f>
        <v>2008</v>
      </c>
      <c r="Z36" s="8" t="n">
        <f aca="false">IFERROR(Y36/Y$16,0)</f>
        <v>0.0782266547197008</v>
      </c>
      <c r="AB36" s="7" t="n">
        <f aca="false">AB25-AB33</f>
        <v>13792</v>
      </c>
      <c r="AC36" s="8" t="n">
        <f aca="false">IFERROR(AB36/AB$16,0)</f>
        <v>0.0477740983470273</v>
      </c>
    </row>
    <row r="38" customFormat="false" ht="15" hidden="false" customHeight="true" outlineLevel="0" collapsed="false">
      <c r="A38" s="6" t="s">
        <v>202</v>
      </c>
    </row>
    <row r="39" customFormat="false" ht="15" hidden="false" customHeight="true" outlineLevel="0" collapsed="false">
      <c r="A39" s="5" t="s">
        <v>203</v>
      </c>
      <c r="C39" s="24" t="n">
        <v>3310</v>
      </c>
      <c r="D39" s="34" t="n">
        <f aca="false">IFERROR(C39/C$16,0)</f>
        <v>0.185205908683975</v>
      </c>
      <c r="E39" s="24" t="n">
        <v>5119</v>
      </c>
      <c r="F39" s="34" t="n">
        <f aca="false">IFERROR(E39/E$16,0)</f>
        <v>0.286987722150586</v>
      </c>
      <c r="G39" s="24" t="n">
        <v>1987</v>
      </c>
      <c r="H39" s="34" t="n">
        <f aca="false">IFERROR(G39/G$16,0)</f>
        <v>0.0751171934069258</v>
      </c>
      <c r="I39" s="24" t="n">
        <v>4160</v>
      </c>
      <c r="J39" s="34" t="n">
        <f aca="false">IFERROR(I39/I$16,0)</f>
        <v>0.202128176473446</v>
      </c>
      <c r="K39" s="24" t="n">
        <v>3982</v>
      </c>
      <c r="L39" s="34" t="n">
        <f aca="false">IFERROR(K39/K$16,0)</f>
        <v>0.160067532258713</v>
      </c>
      <c r="M39" s="24" t="n">
        <v>3744</v>
      </c>
      <c r="N39" s="34" t="n">
        <f aca="false">IFERROR(M39/M$16,0)</f>
        <v>0.138364315015337</v>
      </c>
      <c r="O39" s="24" t="n">
        <v>3982</v>
      </c>
      <c r="P39" s="34" t="n">
        <f aca="false">IFERROR(O39/O$16,0)</f>
        <v>0.155128754528809</v>
      </c>
      <c r="Q39" s="24" t="n">
        <v>3982</v>
      </c>
      <c r="R39" s="34" t="n">
        <f aca="false">IFERROR(Q39/Q$16,0)</f>
        <v>0.155128754528809</v>
      </c>
      <c r="S39" s="24" t="n">
        <v>3982</v>
      </c>
      <c r="T39" s="34" t="n">
        <f aca="false">IFERROR(S39/S$16,0)</f>
        <v>0.155128754528809</v>
      </c>
      <c r="U39" s="24" t="n">
        <v>3982</v>
      </c>
      <c r="V39" s="34" t="n">
        <f aca="false">IFERROR(U39/U$16,0)</f>
        <v>0.155128754528809</v>
      </c>
      <c r="W39" s="24" t="n">
        <v>3982</v>
      </c>
      <c r="X39" s="34" t="n">
        <f aca="false">IFERROR(W39/W$16,0)</f>
        <v>0.155128754528809</v>
      </c>
      <c r="Y39" s="24" t="n">
        <v>3982</v>
      </c>
      <c r="Z39" s="34" t="n">
        <f aca="false">IFERROR(Y39/Y$16,0)</f>
        <v>0.155128754528809</v>
      </c>
      <c r="AB39" s="24" t="n">
        <f aca="false">SUM(C39,E39,G39,I39,K39,M39,O39,Q39,S39,U39,W39,Y39)</f>
        <v>46194</v>
      </c>
      <c r="AC39" s="34" t="n">
        <f aca="false">IFERROR(AB39/AB$16,0)</f>
        <v>0.160011361589514</v>
      </c>
    </row>
    <row r="40" customFormat="false" ht="15" hidden="false" customHeight="true" outlineLevel="0" collapsed="false">
      <c r="A40" s="5" t="s">
        <v>204</v>
      </c>
      <c r="C40" s="24" t="n">
        <v>25</v>
      </c>
      <c r="D40" s="34" t="n">
        <f aca="false">IFERROR(C40/C$16,0)</f>
        <v>0.00139883616830797</v>
      </c>
      <c r="E40" s="24" t="n">
        <v>0</v>
      </c>
      <c r="F40" s="34" t="n">
        <f aca="false">IFERROR(E40/E$16,0)</f>
        <v>0</v>
      </c>
      <c r="G40" s="24" t="n">
        <v>0</v>
      </c>
      <c r="H40" s="34" t="n">
        <f aca="false">IFERROR(G40/G$16,0)</f>
        <v>0</v>
      </c>
      <c r="I40" s="24" t="n">
        <v>0</v>
      </c>
      <c r="J40" s="34" t="n">
        <f aca="false">IFERROR(I40/I$16,0)</f>
        <v>0</v>
      </c>
      <c r="K40" s="24" t="n">
        <v>0</v>
      </c>
      <c r="L40" s="34" t="n">
        <f aca="false">IFERROR(K40/K$16,0)</f>
        <v>0</v>
      </c>
      <c r="M40" s="24" t="n">
        <v>0</v>
      </c>
      <c r="N40" s="34" t="n">
        <f aca="false">IFERROR(M40/M$16,0)</f>
        <v>0</v>
      </c>
      <c r="O40" s="24" t="n">
        <v>0</v>
      </c>
      <c r="P40" s="34" t="n">
        <f aca="false">IFERROR(O40/O$16,0)</f>
        <v>0</v>
      </c>
      <c r="Q40" s="24" t="n">
        <v>0</v>
      </c>
      <c r="R40" s="34" t="n">
        <f aca="false">IFERROR(Q40/Q$16,0)</f>
        <v>0</v>
      </c>
      <c r="S40" s="24" t="n">
        <v>0</v>
      </c>
      <c r="T40" s="34" t="n">
        <f aca="false">IFERROR(S40/S$16,0)</f>
        <v>0</v>
      </c>
      <c r="U40" s="24" t="n">
        <v>0</v>
      </c>
      <c r="V40" s="34" t="n">
        <f aca="false">IFERROR(U40/U$16,0)</f>
        <v>0</v>
      </c>
      <c r="W40" s="24" t="n">
        <v>0</v>
      </c>
      <c r="X40" s="34" t="n">
        <f aca="false">IFERROR(W40/W$16,0)</f>
        <v>0</v>
      </c>
      <c r="Y40" s="24" t="n">
        <v>0</v>
      </c>
      <c r="Z40" s="34" t="n">
        <f aca="false">IFERROR(Y40/Y$16,0)</f>
        <v>0</v>
      </c>
      <c r="AB40" s="24" t="n">
        <f aca="false">SUM(C40,E40,G40,I40,K40,M40,O40,Q40,S40,U40,W40,Y40)</f>
        <v>25</v>
      </c>
      <c r="AC40" s="34" t="n">
        <f aca="false">IFERROR(AB40/AB$16,0)</f>
        <v>8.65974810524711E-005</v>
      </c>
    </row>
    <row r="41" customFormat="false" ht="15" hidden="false" customHeight="true" outlineLevel="0" collapsed="false">
      <c r="A41" s="5" t="s">
        <v>205</v>
      </c>
      <c r="C41" s="24" t="n">
        <v>1883</v>
      </c>
      <c r="D41" s="34" t="n">
        <f aca="false">IFERROR(C41/C$16,0)</f>
        <v>0.105360340196956</v>
      </c>
      <c r="E41" s="24" t="n">
        <v>402</v>
      </c>
      <c r="F41" s="34" t="n">
        <f aca="false">IFERROR(E41/E$16,0)</f>
        <v>0.0225374222122554</v>
      </c>
      <c r="G41" s="24" t="n">
        <v>714</v>
      </c>
      <c r="H41" s="34" t="n">
        <f aca="false">IFERROR(G41/G$16,0)</f>
        <v>0.0269922879177378</v>
      </c>
      <c r="I41" s="24" t="n">
        <v>1340</v>
      </c>
      <c r="J41" s="34" t="n">
        <f aca="false">IFERROR(I41/I$16,0)</f>
        <v>0.0651085953063505</v>
      </c>
      <c r="K41" s="24" t="n">
        <v>628</v>
      </c>
      <c r="L41" s="34" t="n">
        <f aca="false">IFERROR(K41/K$16,0)</f>
        <v>0.0252442014712385</v>
      </c>
      <c r="M41" s="24" t="n">
        <v>1047</v>
      </c>
      <c r="N41" s="34" t="n">
        <f aca="false">IFERROR(M41/M$16,0)</f>
        <v>0.038693225913744</v>
      </c>
      <c r="O41" s="24" t="n">
        <v>628</v>
      </c>
      <c r="P41" s="34" t="n">
        <f aca="false">IFERROR(O41/O$16,0)</f>
        <v>0.0244653083485917</v>
      </c>
      <c r="Q41" s="24" t="n">
        <v>628</v>
      </c>
      <c r="R41" s="34" t="n">
        <f aca="false">IFERROR(Q41/Q$16,0)</f>
        <v>0.0244653083485917</v>
      </c>
      <c r="S41" s="24" t="n">
        <v>628</v>
      </c>
      <c r="T41" s="34" t="n">
        <f aca="false">IFERROR(S41/S$16,0)</f>
        <v>0.0244653083485917</v>
      </c>
      <c r="U41" s="24" t="n">
        <v>628</v>
      </c>
      <c r="V41" s="34" t="n">
        <f aca="false">IFERROR(U41/U$16,0)</f>
        <v>0.0244653083485917</v>
      </c>
      <c r="W41" s="24" t="n">
        <v>628</v>
      </c>
      <c r="X41" s="34" t="n">
        <f aca="false">IFERROR(W41/W$16,0)</f>
        <v>0.0244653083485917</v>
      </c>
      <c r="Y41" s="24" t="n">
        <v>628</v>
      </c>
      <c r="Z41" s="34" t="n">
        <f aca="false">IFERROR(Y41/Y$16,0)</f>
        <v>0.0244653083485917</v>
      </c>
      <c r="AB41" s="24" t="n">
        <f aca="false">SUM(C41,E41,G41,I41,K41,M41,O41,Q41,S41,U41,W41,Y41)</f>
        <v>9782</v>
      </c>
      <c r="AC41" s="34" t="n">
        <f aca="false">IFERROR(AB41/AB$16,0)</f>
        <v>0.0338838623862109</v>
      </c>
    </row>
    <row r="42" customFormat="false" ht="15" hidden="false" customHeight="true" outlineLevel="0" collapsed="false">
      <c r="A42" s="5" t="s">
        <v>206</v>
      </c>
      <c r="C42" s="24" t="n">
        <v>1662</v>
      </c>
      <c r="D42" s="34" t="n">
        <f aca="false">IFERROR(C42/C$16,0)</f>
        <v>0.0929946284691137</v>
      </c>
      <c r="E42" s="24" t="n">
        <v>1547</v>
      </c>
      <c r="F42" s="34" t="n">
        <f aca="false">IFERROR(E42/E$16,0)</f>
        <v>0.0867298312496496</v>
      </c>
      <c r="G42" s="24" t="n">
        <v>4317</v>
      </c>
      <c r="H42" s="34" t="n">
        <f aca="false">IFERROR(G42/G$16,0)</f>
        <v>0.163201270225314</v>
      </c>
      <c r="I42" s="24" t="n">
        <v>1832</v>
      </c>
      <c r="J42" s="34" t="n">
        <f aca="false">IFERROR(I42/I$16,0)</f>
        <v>0.0890141392546524</v>
      </c>
      <c r="K42" s="24" t="n">
        <v>2670</v>
      </c>
      <c r="L42" s="34" t="n">
        <f aca="false">IFERROR(K42/K$16,0)</f>
        <v>0.107328054025807</v>
      </c>
      <c r="M42" s="24" t="n">
        <v>3672</v>
      </c>
      <c r="N42" s="34" t="n">
        <f aca="false">IFERROR(M42/M$16,0)</f>
        <v>0.135703462803503</v>
      </c>
      <c r="O42" s="24" t="n">
        <v>3392</v>
      </c>
      <c r="P42" s="34" t="n">
        <f aca="false">IFERROR(O42/O$16,0)</f>
        <v>0.132143831080291</v>
      </c>
      <c r="Q42" s="24" t="n">
        <v>3392</v>
      </c>
      <c r="R42" s="34" t="n">
        <f aca="false">IFERROR(Q42/Q$16,0)</f>
        <v>0.132143831080291</v>
      </c>
      <c r="S42" s="24" t="n">
        <v>3392</v>
      </c>
      <c r="T42" s="34" t="n">
        <f aca="false">IFERROR(S42/S$16,0)</f>
        <v>0.132143831080291</v>
      </c>
      <c r="U42" s="24" t="n">
        <v>3392</v>
      </c>
      <c r="V42" s="34" t="n">
        <f aca="false">IFERROR(U42/U$16,0)</f>
        <v>0.132143831080291</v>
      </c>
      <c r="W42" s="24" t="n">
        <v>3392</v>
      </c>
      <c r="X42" s="34" t="n">
        <f aca="false">IFERROR(W42/W$16,0)</f>
        <v>0.132143831080291</v>
      </c>
      <c r="Y42" s="24" t="n">
        <v>3392</v>
      </c>
      <c r="Z42" s="34" t="n">
        <f aca="false">IFERROR(Y42/Y$16,0)</f>
        <v>0.132143831080291</v>
      </c>
      <c r="AB42" s="24" t="n">
        <f aca="false">SUM(C42,E42,G42,I42,K42,M42,O42,Q42,S42,U42,W42,Y42)</f>
        <v>36052</v>
      </c>
      <c r="AC42" s="34" t="n">
        <f aca="false">IFERROR(AB42/AB$16,0)</f>
        <v>0.124880495476148</v>
      </c>
    </row>
    <row r="43" customFormat="false" ht="15" hidden="false" customHeight="true" outlineLevel="0" collapsed="false">
      <c r="A43" s="5" t="s">
        <v>207</v>
      </c>
      <c r="C43" s="24" t="n">
        <v>0</v>
      </c>
      <c r="D43" s="34" t="n">
        <f aca="false">IFERROR(C43/C$16,0)</f>
        <v>0</v>
      </c>
      <c r="E43" s="24" t="n">
        <v>73</v>
      </c>
      <c r="F43" s="34" t="n">
        <f aca="false">IFERROR(E43/E$16,0)</f>
        <v>0.00409261647137972</v>
      </c>
      <c r="G43" s="24" t="n">
        <v>36</v>
      </c>
      <c r="H43" s="34" t="n">
        <f aca="false">IFERROR(G43/G$16,0)</f>
        <v>0.00136095569333132</v>
      </c>
      <c r="I43" s="24" t="n">
        <v>73</v>
      </c>
      <c r="J43" s="34" t="n">
        <f aca="false">IFERROR(I43/I$16,0)</f>
        <v>0.0035469607890773</v>
      </c>
      <c r="K43" s="24" t="n">
        <v>73</v>
      </c>
      <c r="L43" s="34" t="n">
        <f aca="false">IFERROR(K43/K$16,0)</f>
        <v>0.00293443743216626</v>
      </c>
      <c r="M43" s="24" t="n">
        <v>73</v>
      </c>
      <c r="N43" s="34" t="n">
        <f aca="false">IFERROR(M43/M$16,0)</f>
        <v>0.00269780849255331</v>
      </c>
      <c r="O43" s="24" t="n">
        <v>73</v>
      </c>
      <c r="P43" s="34" t="n">
        <f aca="false">IFERROR(O43/O$16,0)</f>
        <v>0.00284389730803693</v>
      </c>
      <c r="Q43" s="24" t="n">
        <v>73</v>
      </c>
      <c r="R43" s="34" t="n">
        <f aca="false">IFERROR(Q43/Q$16,0)</f>
        <v>0.00284389730803693</v>
      </c>
      <c r="S43" s="24" t="n">
        <v>73</v>
      </c>
      <c r="T43" s="34" t="n">
        <f aca="false">IFERROR(S43/S$16,0)</f>
        <v>0.00284389730803693</v>
      </c>
      <c r="U43" s="24" t="n">
        <v>73</v>
      </c>
      <c r="V43" s="34" t="n">
        <f aca="false">IFERROR(U43/U$16,0)</f>
        <v>0.00284389730803693</v>
      </c>
      <c r="W43" s="24" t="n">
        <v>73</v>
      </c>
      <c r="X43" s="34" t="n">
        <f aca="false">IFERROR(W43/W$16,0)</f>
        <v>0.00284389730803693</v>
      </c>
      <c r="Y43" s="24" t="n">
        <v>73</v>
      </c>
      <c r="Z43" s="34" t="n">
        <f aca="false">IFERROR(Y43/Y$16,0)</f>
        <v>0.00284389730803693</v>
      </c>
      <c r="AB43" s="24" t="n">
        <f aca="false">SUM(C43,E43,G43,I43,K43,M43,O43,Q43,S43,U43,W43,Y43)</f>
        <v>766</v>
      </c>
      <c r="AC43" s="34" t="n">
        <f aca="false">IFERROR(AB43/AB$16,0)</f>
        <v>0.00265334681944772</v>
      </c>
    </row>
    <row r="44" customFormat="false" ht="15" hidden="false" customHeight="true" outlineLevel="0" collapsed="false">
      <c r="A44" s="6" t="s">
        <v>209</v>
      </c>
      <c r="C44" s="27" t="n">
        <f aca="false">SUM(C39:C43)</f>
        <v>6880</v>
      </c>
      <c r="D44" s="35" t="n">
        <f aca="false">IFERROR(C44/C$16,0)</f>
        <v>0.384959713518353</v>
      </c>
      <c r="E44" s="27" t="n">
        <f aca="false">SUM(E39:E43)</f>
        <v>7141</v>
      </c>
      <c r="F44" s="35" t="n">
        <f aca="false">IFERROR(E44/E$16,0)</f>
        <v>0.400347592083871</v>
      </c>
      <c r="G44" s="27" t="n">
        <f aca="false">SUM(G39:G43)</f>
        <v>7054</v>
      </c>
      <c r="H44" s="35" t="n">
        <f aca="false">IFERROR(G44/G$16,0)</f>
        <v>0.266671707243309</v>
      </c>
      <c r="I44" s="27" t="n">
        <f aca="false">SUM(I39:I43)</f>
        <v>7405</v>
      </c>
      <c r="J44" s="35" t="n">
        <f aca="false">IFERROR(I44/I$16,0)</f>
        <v>0.359797871823527</v>
      </c>
      <c r="K44" s="27" t="n">
        <f aca="false">SUM(K39:K43)</f>
        <v>7353</v>
      </c>
      <c r="L44" s="35" t="n">
        <f aca="false">IFERROR(K44/K$16,0)</f>
        <v>0.295574225187925</v>
      </c>
      <c r="M44" s="27" t="n">
        <f aca="false">SUM(M39:M43)</f>
        <v>8536</v>
      </c>
      <c r="N44" s="35" t="n">
        <f aca="false">IFERROR(M44/M$16,0)</f>
        <v>0.315458812225138</v>
      </c>
      <c r="O44" s="27" t="n">
        <f aca="false">SUM(O39:O43)</f>
        <v>8075</v>
      </c>
      <c r="P44" s="35" t="n">
        <f aca="false">IFERROR(O44/O$16,0)</f>
        <v>0.314581791265729</v>
      </c>
      <c r="Q44" s="27" t="n">
        <f aca="false">SUM(Q39:Q43)</f>
        <v>8075</v>
      </c>
      <c r="R44" s="35" t="n">
        <f aca="false">IFERROR(Q44/Q$16,0)</f>
        <v>0.314581791265729</v>
      </c>
      <c r="S44" s="27" t="n">
        <f aca="false">SUM(S39:S43)</f>
        <v>8075</v>
      </c>
      <c r="T44" s="35" t="n">
        <f aca="false">IFERROR(S44/S$16,0)</f>
        <v>0.314581791265729</v>
      </c>
      <c r="U44" s="27" t="n">
        <f aca="false">SUM(U39:U43)</f>
        <v>8075</v>
      </c>
      <c r="V44" s="35" t="n">
        <f aca="false">IFERROR(U44/U$16,0)</f>
        <v>0.314581791265729</v>
      </c>
      <c r="W44" s="27" t="n">
        <f aca="false">SUM(W39:W43)</f>
        <v>8075</v>
      </c>
      <c r="X44" s="35" t="n">
        <f aca="false">IFERROR(W44/W$16,0)</f>
        <v>0.314581791265729</v>
      </c>
      <c r="Y44" s="27" t="n">
        <f aca="false">SUM(Y39:Y43)</f>
        <v>8075</v>
      </c>
      <c r="Z44" s="35" t="n">
        <f aca="false">IFERROR(Y44/Y$16,0)</f>
        <v>0.314581791265729</v>
      </c>
      <c r="AB44" s="27" t="n">
        <f aca="false">SUM(AB39:AB43)</f>
        <v>92819</v>
      </c>
      <c r="AC44" s="35" t="n">
        <f aca="false">IFERROR(AB44/AB$16,0)</f>
        <v>0.321515663752373</v>
      </c>
    </row>
    <row r="46" customFormat="false" ht="15" hidden="false" customHeight="true" outlineLevel="0" collapsed="false">
      <c r="A46" s="6" t="s">
        <v>210</v>
      </c>
    </row>
    <row r="47" customFormat="false" ht="15" hidden="false" customHeight="true" outlineLevel="0" collapsed="false">
      <c r="A47" s="5" t="s">
        <v>211</v>
      </c>
      <c r="C47" s="24" t="n">
        <v>249</v>
      </c>
      <c r="D47" s="34" t="n">
        <f aca="false">IFERROR(C47/C$16,0)</f>
        <v>0.0139324082363474</v>
      </c>
      <c r="E47" s="24" t="n">
        <v>225</v>
      </c>
      <c r="F47" s="34" t="n">
        <f aca="false">IFERROR(E47/E$16,0)</f>
        <v>0.012614228850143</v>
      </c>
      <c r="G47" s="24" t="n">
        <v>249</v>
      </c>
      <c r="H47" s="34" t="n">
        <f aca="false">IFERROR(G47/G$16,0)</f>
        <v>0.00941327687887494</v>
      </c>
      <c r="I47" s="24" t="n">
        <v>241</v>
      </c>
      <c r="J47" s="34" t="n">
        <f aca="false">IFERROR(I47/I$16,0)</f>
        <v>0.0117098294543511</v>
      </c>
      <c r="K47" s="24" t="n">
        <v>249</v>
      </c>
      <c r="L47" s="34" t="n">
        <f aca="false">IFERROR(K47/K$16,0)</f>
        <v>0.0100092454878</v>
      </c>
      <c r="M47" s="24" t="n">
        <v>241</v>
      </c>
      <c r="N47" s="34" t="n">
        <f aca="false">IFERROR(M47/M$16,0)</f>
        <v>0.00890646365349791</v>
      </c>
      <c r="O47" s="24" t="n">
        <v>249</v>
      </c>
      <c r="P47" s="34" t="n">
        <f aca="false">IFERROR(O47/O$16,0)</f>
        <v>0.00970041684522186</v>
      </c>
      <c r="Q47" s="24" t="n">
        <v>249</v>
      </c>
      <c r="R47" s="34" t="n">
        <f aca="false">IFERROR(Q47/Q$16,0)</f>
        <v>0.00970041684522186</v>
      </c>
      <c r="S47" s="24" t="n">
        <v>249</v>
      </c>
      <c r="T47" s="34" t="n">
        <f aca="false">IFERROR(S47/S$16,0)</f>
        <v>0.00970041684522186</v>
      </c>
      <c r="U47" s="24" t="n">
        <v>249</v>
      </c>
      <c r="V47" s="34" t="n">
        <f aca="false">IFERROR(U47/U$16,0)</f>
        <v>0.00970041684522186</v>
      </c>
      <c r="W47" s="24" t="n">
        <v>249</v>
      </c>
      <c r="X47" s="34" t="n">
        <f aca="false">IFERROR(W47/W$16,0)</f>
        <v>0.00970041684522186</v>
      </c>
      <c r="Y47" s="24" t="n">
        <v>249</v>
      </c>
      <c r="Z47" s="34" t="n">
        <f aca="false">IFERROR(Y47/Y$16,0)</f>
        <v>0.00970041684522186</v>
      </c>
      <c r="AB47" s="24" t="n">
        <f aca="false">SUM(C47,E47,G47,I47,K47,M47,O47,Q47,S47,U47,W47,Y47)</f>
        <v>2948</v>
      </c>
      <c r="AC47" s="34" t="n">
        <f aca="false">IFERROR(AB47/AB$16,0)</f>
        <v>0.0102115749657074</v>
      </c>
    </row>
    <row r="48" customFormat="false" ht="15" hidden="false" customHeight="true" outlineLevel="0" collapsed="false">
      <c r="A48" s="5" t="s">
        <v>212</v>
      </c>
      <c r="C48" s="24" t="n">
        <v>1116</v>
      </c>
      <c r="D48" s="34" t="n">
        <f aca="false">IFERROR(C48/C$16,0)</f>
        <v>0.0624440465532677</v>
      </c>
      <c r="E48" s="24" t="n">
        <v>1070</v>
      </c>
      <c r="F48" s="34" t="n">
        <f aca="false">IFERROR(E48/E$16,0)</f>
        <v>0.0599876660873465</v>
      </c>
      <c r="G48" s="24" t="n">
        <v>1587</v>
      </c>
      <c r="H48" s="34" t="n">
        <f aca="false">IFERROR(G48/G$16,0)</f>
        <v>0.0599954634810222</v>
      </c>
      <c r="I48" s="24" t="n">
        <v>1251</v>
      </c>
      <c r="J48" s="34" t="n">
        <f aca="false">IFERROR(I48/I$16,0)</f>
        <v>0.0607842184539138</v>
      </c>
      <c r="K48" s="24" t="n">
        <v>1493</v>
      </c>
      <c r="L48" s="34" t="n">
        <f aca="false">IFERROR(K48/K$16,0)</f>
        <v>0.0600152751537565</v>
      </c>
      <c r="M48" s="24" t="n">
        <v>1624</v>
      </c>
      <c r="N48" s="34" t="n">
        <f aca="false">IFERROR(M48/M$16,0)</f>
        <v>0.0600169998891312</v>
      </c>
      <c r="O48" s="24" t="n">
        <v>1540</v>
      </c>
      <c r="P48" s="34" t="n">
        <f aca="false">IFERROR(O48/O$16,0)</f>
        <v>0.0599945459503682</v>
      </c>
      <c r="Q48" s="24" t="n">
        <v>1540</v>
      </c>
      <c r="R48" s="34" t="n">
        <f aca="false">IFERROR(Q48/Q$16,0)</f>
        <v>0.0599945459503682</v>
      </c>
      <c r="S48" s="24" t="n">
        <v>1540</v>
      </c>
      <c r="T48" s="34" t="n">
        <f aca="false">IFERROR(S48/S$16,0)</f>
        <v>0.0599945459503682</v>
      </c>
      <c r="U48" s="24" t="n">
        <v>1540</v>
      </c>
      <c r="V48" s="34" t="n">
        <f aca="false">IFERROR(U48/U$16,0)</f>
        <v>0.0599945459503682</v>
      </c>
      <c r="W48" s="24" t="n">
        <v>1540</v>
      </c>
      <c r="X48" s="34" t="n">
        <f aca="false">IFERROR(W48/W$16,0)</f>
        <v>0.0599945459503682</v>
      </c>
      <c r="Y48" s="24" t="n">
        <v>1540</v>
      </c>
      <c r="Z48" s="34" t="n">
        <f aca="false">IFERROR(Y48/Y$16,0)</f>
        <v>0.0599945459503682</v>
      </c>
      <c r="AB48" s="24" t="n">
        <f aca="false">SUM(C48,E48,G48,I48,K48,M48,O48,Q48,S48,U48,W48,Y48)</f>
        <v>17381</v>
      </c>
      <c r="AC48" s="34" t="n">
        <f aca="false">IFERROR(AB48/AB$16,0)</f>
        <v>0.06020603272692</v>
      </c>
    </row>
    <row r="49" customFormat="false" ht="15" hidden="false" customHeight="true" outlineLevel="0" collapsed="false">
      <c r="A49" s="5" t="s">
        <v>213</v>
      </c>
      <c r="C49" s="24" t="n">
        <v>522</v>
      </c>
      <c r="D49" s="34" t="n">
        <f aca="false">IFERROR(C49/C$16,0)</f>
        <v>0.0292076991942704</v>
      </c>
      <c r="E49" s="24" t="n">
        <v>1062</v>
      </c>
      <c r="F49" s="34" t="n">
        <f aca="false">IFERROR(E49/E$16,0)</f>
        <v>0.0595391601726748</v>
      </c>
      <c r="G49" s="24" t="n">
        <v>1577</v>
      </c>
      <c r="H49" s="34" t="n">
        <f aca="false">IFERROR(G49/G$16,0)</f>
        <v>0.0596174202328746</v>
      </c>
      <c r="I49" s="24" t="n">
        <v>629</v>
      </c>
      <c r="J49" s="34" t="n">
        <f aca="false">IFERROR(I49/I$16,0)</f>
        <v>0.0305621689908168</v>
      </c>
      <c r="K49" s="24" t="n">
        <v>1784</v>
      </c>
      <c r="L49" s="34" t="n">
        <f aca="false">IFERROR(K49/K$16,0)</f>
        <v>0.0717128271093781</v>
      </c>
      <c r="M49" s="24" t="n">
        <v>1369</v>
      </c>
      <c r="N49" s="34" t="n">
        <f aca="false">IFERROR(M49/M$16,0)</f>
        <v>0.0505931483055545</v>
      </c>
      <c r="O49" s="24" t="n">
        <v>1618</v>
      </c>
      <c r="P49" s="34" t="n">
        <f aca="false">IFERROR(O49/O$16,0)</f>
        <v>0.0630332307452569</v>
      </c>
      <c r="Q49" s="24" t="n">
        <v>1618</v>
      </c>
      <c r="R49" s="34" t="n">
        <f aca="false">IFERROR(Q49/Q$16,0)</f>
        <v>0.0630332307452569</v>
      </c>
      <c r="S49" s="24" t="n">
        <v>1618</v>
      </c>
      <c r="T49" s="34" t="n">
        <f aca="false">IFERROR(S49/S$16,0)</f>
        <v>0.0630332307452569</v>
      </c>
      <c r="U49" s="24" t="n">
        <v>1618</v>
      </c>
      <c r="V49" s="34" t="n">
        <f aca="false">IFERROR(U49/U$16,0)</f>
        <v>0.0630332307452569</v>
      </c>
      <c r="W49" s="24" t="n">
        <v>1618</v>
      </c>
      <c r="X49" s="34" t="n">
        <f aca="false">IFERROR(W49/W$16,0)</f>
        <v>0.0630332307452569</v>
      </c>
      <c r="Y49" s="24" t="n">
        <v>1618</v>
      </c>
      <c r="Z49" s="34" t="n">
        <f aca="false">IFERROR(Y49/Y$16,0)</f>
        <v>0.0630332307452569</v>
      </c>
      <c r="AB49" s="24" t="n">
        <f aca="false">SUM(C49,E49,G49,I49,K49,M49,O49,Q49,S49,U49,W49,Y49)</f>
        <v>16651</v>
      </c>
      <c r="AC49" s="34" t="n">
        <f aca="false">IFERROR(AB49/AB$16,0)</f>
        <v>0.0576773862801879</v>
      </c>
    </row>
    <row r="50" customFormat="false" ht="15" hidden="false" customHeight="true" outlineLevel="0" collapsed="false">
      <c r="A50" s="5" t="s">
        <v>143</v>
      </c>
      <c r="C50" s="24" t="n">
        <v>4000</v>
      </c>
      <c r="D50" s="34" t="n">
        <f aca="false">IFERROR(C50/C$16,0)</f>
        <v>0.223813786929275</v>
      </c>
      <c r="E50" s="24" t="n">
        <v>4000</v>
      </c>
      <c r="F50" s="34" t="n">
        <f aca="false">IFERROR(E50/E$16,0)</f>
        <v>0.224252957335875</v>
      </c>
      <c r="G50" s="24" t="n">
        <v>4000</v>
      </c>
      <c r="H50" s="34" t="n">
        <f aca="false">IFERROR(G50/G$16,0)</f>
        <v>0.151217299259035</v>
      </c>
      <c r="I50" s="24" t="n">
        <v>4000</v>
      </c>
      <c r="J50" s="34" t="n">
        <f aca="false">IFERROR(I50/I$16,0)</f>
        <v>0.194354015839852</v>
      </c>
      <c r="K50" s="24" t="n">
        <v>4000</v>
      </c>
      <c r="L50" s="34" t="n">
        <f aca="false">IFERROR(K50/K$16,0)</f>
        <v>0.160791092173494</v>
      </c>
      <c r="M50" s="24" t="n">
        <v>4000</v>
      </c>
      <c r="N50" s="34" t="n">
        <f aca="false">IFERROR(M50/M$16,0)</f>
        <v>0.147825122879633</v>
      </c>
      <c r="O50" s="24" t="n">
        <v>4000</v>
      </c>
      <c r="P50" s="34" t="n">
        <f aca="false">IFERROR(O50/O$16,0)</f>
        <v>0.155829989481476</v>
      </c>
      <c r="Q50" s="24" t="n">
        <v>4000</v>
      </c>
      <c r="R50" s="34" t="n">
        <f aca="false">IFERROR(Q50/Q$16,0)</f>
        <v>0.155829989481476</v>
      </c>
      <c r="S50" s="24" t="n">
        <v>4000</v>
      </c>
      <c r="T50" s="34" t="n">
        <f aca="false">IFERROR(S50/S$16,0)</f>
        <v>0.155829989481476</v>
      </c>
      <c r="U50" s="24" t="n">
        <v>4000</v>
      </c>
      <c r="V50" s="34" t="n">
        <f aca="false">IFERROR(U50/U$16,0)</f>
        <v>0.155829989481476</v>
      </c>
      <c r="W50" s="24" t="n">
        <v>4000</v>
      </c>
      <c r="X50" s="34" t="n">
        <f aca="false">IFERROR(W50/W$16,0)</f>
        <v>0.155829989481476</v>
      </c>
      <c r="Y50" s="24" t="n">
        <v>4000</v>
      </c>
      <c r="Z50" s="34" t="n">
        <f aca="false">IFERROR(Y50/Y$16,0)</f>
        <v>0.155829989481476</v>
      </c>
      <c r="AB50" s="24" t="n">
        <f aca="false">SUM(C50,E50,G50,I50,K50,M50,O50,Q50,S50,U50,W50,Y50)</f>
        <v>48000</v>
      </c>
      <c r="AC50" s="34" t="n">
        <f aca="false">IFERROR(AB50/AB$16,0)</f>
        <v>0.166267163620745</v>
      </c>
    </row>
    <row r="51" customFormat="false" ht="15" hidden="false" customHeight="true" outlineLevel="0" collapsed="false">
      <c r="A51" s="5" t="s">
        <v>215</v>
      </c>
      <c r="C51" s="24" t="n">
        <v>0</v>
      </c>
      <c r="D51" s="34" t="n">
        <f aca="false">IFERROR(C51/C$16,0)</f>
        <v>0</v>
      </c>
      <c r="E51" s="24" t="n">
        <v>0</v>
      </c>
      <c r="F51" s="34" t="n">
        <f aca="false">IFERROR(E51/E$16,0)</f>
        <v>0</v>
      </c>
      <c r="G51" s="24" t="n">
        <v>0</v>
      </c>
      <c r="H51" s="34" t="n">
        <f aca="false">IFERROR(G51/G$16,0)</f>
        <v>0</v>
      </c>
      <c r="I51" s="24" t="n">
        <v>0</v>
      </c>
      <c r="J51" s="34" t="n">
        <f aca="false">IFERROR(I51/I$16,0)</f>
        <v>0</v>
      </c>
      <c r="K51" s="24" t="n">
        <v>0</v>
      </c>
      <c r="L51" s="34" t="n">
        <f aca="false">IFERROR(K51/K$16,0)</f>
        <v>0</v>
      </c>
      <c r="M51" s="24" t="n">
        <v>0</v>
      </c>
      <c r="N51" s="34" t="n">
        <f aca="false">IFERROR(M51/M$16,0)</f>
        <v>0</v>
      </c>
      <c r="O51" s="24" t="n">
        <v>0</v>
      </c>
      <c r="P51" s="34" t="n">
        <f aca="false">IFERROR(O51/O$16,0)</f>
        <v>0</v>
      </c>
      <c r="Q51" s="24" t="n">
        <v>0</v>
      </c>
      <c r="R51" s="34" t="n">
        <f aca="false">IFERROR(Q51/Q$16,0)</f>
        <v>0</v>
      </c>
      <c r="S51" s="24" t="n">
        <v>0</v>
      </c>
      <c r="T51" s="34" t="n">
        <f aca="false">IFERROR(S51/S$16,0)</f>
        <v>0</v>
      </c>
      <c r="U51" s="24" t="n">
        <v>0</v>
      </c>
      <c r="V51" s="34" t="n">
        <f aca="false">IFERROR(U51/U$16,0)</f>
        <v>0</v>
      </c>
      <c r="W51" s="24" t="n">
        <v>0</v>
      </c>
      <c r="X51" s="34" t="n">
        <f aca="false">IFERROR(W51/W$16,0)</f>
        <v>0</v>
      </c>
      <c r="Y51" s="24" t="n">
        <v>0</v>
      </c>
      <c r="Z51" s="34" t="n">
        <f aca="false">IFERROR(Y51/Y$16,0)</f>
        <v>0</v>
      </c>
      <c r="AB51" s="24" t="n">
        <f aca="false">SUM(C51,E51,G51,I51,K51,M51,O51,Q51,S51,U51,W51,Y51)</f>
        <v>0</v>
      </c>
      <c r="AC51" s="34" t="n">
        <f aca="false">IFERROR(AB51/AB$16,0)</f>
        <v>0</v>
      </c>
    </row>
    <row r="52" customFormat="false" ht="15" hidden="false" customHeight="true" outlineLevel="0" collapsed="false">
      <c r="A52" s="5" t="s">
        <v>216</v>
      </c>
      <c r="C52" s="24" t="n">
        <v>0</v>
      </c>
      <c r="D52" s="34" t="n">
        <f aca="false">IFERROR(C52/C$16,0)</f>
        <v>0</v>
      </c>
      <c r="E52" s="24" t="n">
        <v>0</v>
      </c>
      <c r="F52" s="34" t="n">
        <f aca="false">IFERROR(E52/E$16,0)</f>
        <v>0</v>
      </c>
      <c r="G52" s="24" t="n">
        <v>0</v>
      </c>
      <c r="H52" s="34" t="n">
        <f aca="false">IFERROR(G52/G$16,0)</f>
        <v>0</v>
      </c>
      <c r="I52" s="24" t="n">
        <v>0</v>
      </c>
      <c r="J52" s="34" t="n">
        <f aca="false">IFERROR(I52/I$16,0)</f>
        <v>0</v>
      </c>
      <c r="K52" s="24" t="n">
        <v>0</v>
      </c>
      <c r="L52" s="34" t="n">
        <f aca="false">IFERROR(K52/K$16,0)</f>
        <v>0</v>
      </c>
      <c r="M52" s="24" t="n">
        <v>0</v>
      </c>
      <c r="N52" s="34" t="n">
        <f aca="false">IFERROR(M52/M$16,0)</f>
        <v>0</v>
      </c>
      <c r="O52" s="24" t="n">
        <v>0</v>
      </c>
      <c r="P52" s="34" t="n">
        <f aca="false">IFERROR(O52/O$16,0)</f>
        <v>0</v>
      </c>
      <c r="Q52" s="24" t="n">
        <v>0</v>
      </c>
      <c r="R52" s="34" t="n">
        <f aca="false">IFERROR(Q52/Q$16,0)</f>
        <v>0</v>
      </c>
      <c r="S52" s="24" t="n">
        <v>0</v>
      </c>
      <c r="T52" s="34" t="n">
        <f aca="false">IFERROR(S52/S$16,0)</f>
        <v>0</v>
      </c>
      <c r="U52" s="24" t="n">
        <v>0</v>
      </c>
      <c r="V52" s="34" t="n">
        <f aca="false">IFERROR(U52/U$16,0)</f>
        <v>0</v>
      </c>
      <c r="W52" s="24" t="n">
        <v>0</v>
      </c>
      <c r="X52" s="34" t="n">
        <f aca="false">IFERROR(W52/W$16,0)</f>
        <v>0</v>
      </c>
      <c r="Y52" s="24" t="n">
        <v>0</v>
      </c>
      <c r="Z52" s="34" t="n">
        <f aca="false">IFERROR(Y52/Y$16,0)</f>
        <v>0</v>
      </c>
      <c r="AB52" s="24" t="n">
        <f aca="false">SUM(C52,E52,G52,I52,K52,M52,O52,Q52,S52,U52,W52,Y52)</f>
        <v>0</v>
      </c>
      <c r="AC52" s="34" t="n">
        <f aca="false">IFERROR(AB52/AB$16,0)</f>
        <v>0</v>
      </c>
    </row>
    <row r="53" customFormat="false" ht="15" hidden="false" customHeight="true" outlineLevel="0" collapsed="false">
      <c r="A53" s="6" t="s">
        <v>217</v>
      </c>
      <c r="C53" s="27" t="n">
        <f aca="false">SUM(C47:C52)</f>
        <v>5887</v>
      </c>
      <c r="D53" s="35" t="n">
        <f aca="false">IFERROR(C53/C$16,0)</f>
        <v>0.32939794091316</v>
      </c>
      <c r="E53" s="27" t="n">
        <f aca="false">SUM(E47:E52)</f>
        <v>6357</v>
      </c>
      <c r="F53" s="35" t="n">
        <f aca="false">IFERROR(E53/E$16,0)</f>
        <v>0.356394012446039</v>
      </c>
      <c r="G53" s="27" t="n">
        <f aca="false">SUM(G47:G52)</f>
        <v>7413</v>
      </c>
      <c r="H53" s="35" t="n">
        <f aca="false">IFERROR(G53/G$16,0)</f>
        <v>0.280243459851807</v>
      </c>
      <c r="I53" s="27" t="n">
        <f aca="false">SUM(I47:I52)</f>
        <v>6121</v>
      </c>
      <c r="J53" s="35" t="n">
        <f aca="false">IFERROR(I53/I$16,0)</f>
        <v>0.297410232738934</v>
      </c>
      <c r="K53" s="27" t="n">
        <f aca="false">SUM(K47:K52)</f>
        <v>7526</v>
      </c>
      <c r="L53" s="35" t="n">
        <f aca="false">IFERROR(K53/K$16,0)</f>
        <v>0.302528439924428</v>
      </c>
      <c r="M53" s="27" t="n">
        <f aca="false">SUM(M47:M52)</f>
        <v>7234</v>
      </c>
      <c r="N53" s="35" t="n">
        <f aca="false">IFERROR(M53/M$16,0)</f>
        <v>0.267341734727817</v>
      </c>
      <c r="O53" s="27" t="n">
        <f aca="false">SUM(O47:O52)</f>
        <v>7407</v>
      </c>
      <c r="P53" s="35" t="n">
        <f aca="false">IFERROR(O53/O$16,0)</f>
        <v>0.288558183022323</v>
      </c>
      <c r="Q53" s="27" t="n">
        <f aca="false">SUM(Q47:Q52)</f>
        <v>7407</v>
      </c>
      <c r="R53" s="35" t="n">
        <f aca="false">IFERROR(Q53/Q$16,0)</f>
        <v>0.288558183022323</v>
      </c>
      <c r="S53" s="27" t="n">
        <f aca="false">SUM(S47:S52)</f>
        <v>7407</v>
      </c>
      <c r="T53" s="35" t="n">
        <f aca="false">IFERROR(S53/S$16,0)</f>
        <v>0.288558183022323</v>
      </c>
      <c r="U53" s="27" t="n">
        <f aca="false">SUM(U47:U52)</f>
        <v>7407</v>
      </c>
      <c r="V53" s="35" t="n">
        <f aca="false">IFERROR(U53/U$16,0)</f>
        <v>0.288558183022323</v>
      </c>
      <c r="W53" s="27" t="n">
        <f aca="false">SUM(W47:W52)</f>
        <v>7407</v>
      </c>
      <c r="X53" s="35" t="n">
        <f aca="false">IFERROR(W53/W$16,0)</f>
        <v>0.288558183022323</v>
      </c>
      <c r="Y53" s="27" t="n">
        <f aca="false">SUM(Y47:Y52)</f>
        <v>7407</v>
      </c>
      <c r="Z53" s="35" t="n">
        <f aca="false">IFERROR(Y53/Y$16,0)</f>
        <v>0.288558183022323</v>
      </c>
      <c r="AB53" s="27" t="n">
        <f aca="false">SUM(AB47:AB52)</f>
        <v>84980</v>
      </c>
      <c r="AC53" s="35" t="n">
        <f aca="false">IFERROR(AB53/AB$16,0)</f>
        <v>0.29436215759356</v>
      </c>
    </row>
    <row r="55" customFormat="false" ht="15" hidden="false" customHeight="true" outlineLevel="0" collapsed="false">
      <c r="A55" s="6" t="s">
        <v>218</v>
      </c>
      <c r="C55" s="27" t="n">
        <f aca="false">C36-C44-C53</f>
        <v>-15638</v>
      </c>
      <c r="D55" s="35" t="n">
        <f aca="false">IFERROR(C55/C$16,0)</f>
        <v>-0.875</v>
      </c>
      <c r="E55" s="27" t="n">
        <f aca="false">E36-E44-E53</f>
        <v>-12809</v>
      </c>
      <c r="F55" s="35" t="n">
        <f aca="false">IFERROR(E55/E$16,0)</f>
        <v>-0.718114032628805</v>
      </c>
      <c r="G55" s="27" t="n">
        <f aca="false">G36-G44-G53</f>
        <v>-8470</v>
      </c>
      <c r="H55" s="35" t="n">
        <f aca="false">IFERROR(G55/G$16,0)</f>
        <v>-0.320202631181007</v>
      </c>
      <c r="I55" s="27" t="n">
        <f aca="false">I36-I44-I53</f>
        <v>-11709</v>
      </c>
      <c r="J55" s="35" t="n">
        <f aca="false">IFERROR(I55/I$16,0)</f>
        <v>-0.568922792867208</v>
      </c>
      <c r="K55" s="27" t="n">
        <f aca="false">K36-K44-K53</f>
        <v>-15583</v>
      </c>
      <c r="L55" s="35" t="n">
        <f aca="false">IFERROR(K55/K$16,0)</f>
        <v>-0.626401897334888</v>
      </c>
      <c r="M55" s="27" t="n">
        <f aca="false">M36-M44-M53</f>
        <v>-18645</v>
      </c>
      <c r="N55" s="35" t="n">
        <f aca="false">IFERROR(M55/M$16,0)</f>
        <v>-0.689049854022691</v>
      </c>
      <c r="O55" s="27" t="n">
        <f aca="false">O36-O44-O53</f>
        <v>-13346</v>
      </c>
      <c r="P55" s="35" t="n">
        <f aca="false">IFERROR(O55/O$16,0)</f>
        <v>-0.519926759904944</v>
      </c>
      <c r="Q55" s="27" t="n">
        <f aca="false">Q36-Q44-Q53</f>
        <v>-13909</v>
      </c>
      <c r="R55" s="35" t="n">
        <f aca="false">IFERROR(Q55/Q$16,0)</f>
        <v>-0.541859830924461</v>
      </c>
      <c r="S55" s="27" t="n">
        <f aca="false">S36-S44-S53</f>
        <v>-13318</v>
      </c>
      <c r="T55" s="35" t="n">
        <f aca="false">IFERROR(S55/S$16,0)</f>
        <v>-0.518835949978573</v>
      </c>
      <c r="U55" s="27" t="n">
        <f aca="false">U36-U44-U53</f>
        <v>-13523</v>
      </c>
      <c r="V55" s="35" t="n">
        <f aca="false">IFERROR(U55/U$16,0)</f>
        <v>-0.526822236939499</v>
      </c>
      <c r="W55" s="27" t="n">
        <f aca="false">W36-W44-W53</f>
        <v>-13583</v>
      </c>
      <c r="X55" s="35" t="n">
        <f aca="false">IFERROR(W55/W$16,0)</f>
        <v>-0.529159686781721</v>
      </c>
      <c r="Y55" s="27" t="n">
        <f aca="false">Y36-Y44-Y53</f>
        <v>-13474</v>
      </c>
      <c r="Z55" s="35" t="n">
        <f aca="false">IFERROR(Y55/Y$16,0)</f>
        <v>-0.524913319568351</v>
      </c>
      <c r="AB55" s="27" t="n">
        <f aca="false">AB36-AB44-AB53</f>
        <v>-164007</v>
      </c>
      <c r="AC55" s="35" t="n">
        <f aca="false">IFERROR(AB55/AB$16,0)</f>
        <v>-0.568103722998905</v>
      </c>
    </row>
    <row r="57" customFormat="false" ht="15" hidden="false" customHeight="true" outlineLevel="0" collapsed="false">
      <c r="A57" s="5" t="s">
        <v>219</v>
      </c>
      <c r="C57" s="24" t="n">
        <v>0</v>
      </c>
      <c r="D57" s="34" t="n">
        <f aca="false">IFERROR(C57/C$16,0)</f>
        <v>0</v>
      </c>
      <c r="E57" s="24" t="n">
        <v>0</v>
      </c>
      <c r="F57" s="34" t="n">
        <f aca="false">IFERROR(E57/E$16,0)</f>
        <v>0</v>
      </c>
      <c r="G57" s="24" t="n">
        <v>0</v>
      </c>
      <c r="H57" s="34" t="n">
        <f aca="false">IFERROR(G57/G$16,0)</f>
        <v>0</v>
      </c>
      <c r="I57" s="24" t="n">
        <v>0</v>
      </c>
      <c r="J57" s="34" t="n">
        <f aca="false">IFERROR(I57/I$16,0)</f>
        <v>0</v>
      </c>
      <c r="K57" s="24" t="n">
        <v>0</v>
      </c>
      <c r="L57" s="34" t="n">
        <f aca="false">IFERROR(K57/K$16,0)</f>
        <v>0</v>
      </c>
      <c r="M57" s="24" t="n">
        <v>0</v>
      </c>
      <c r="N57" s="34" t="n">
        <f aca="false">IFERROR(M57/M$16,0)</f>
        <v>0</v>
      </c>
      <c r="O57" s="24" t="n">
        <v>0</v>
      </c>
      <c r="P57" s="34" t="n">
        <f aca="false">IFERROR(O57/O$16,0)</f>
        <v>0</v>
      </c>
      <c r="Q57" s="24" t="n">
        <v>0</v>
      </c>
      <c r="R57" s="34" t="n">
        <f aca="false">IFERROR(Q57/Q$16,0)</f>
        <v>0</v>
      </c>
      <c r="S57" s="24" t="n">
        <v>0</v>
      </c>
      <c r="T57" s="34" t="n">
        <f aca="false">IFERROR(S57/S$16,0)</f>
        <v>0</v>
      </c>
      <c r="U57" s="24" t="n">
        <v>0</v>
      </c>
      <c r="V57" s="34" t="n">
        <f aca="false">IFERROR(U57/U$16,0)</f>
        <v>0</v>
      </c>
      <c r="W57" s="24" t="n">
        <v>0</v>
      </c>
      <c r="X57" s="34" t="n">
        <f aca="false">IFERROR(W57/W$16,0)</f>
        <v>0</v>
      </c>
      <c r="Y57" s="24" t="n">
        <v>0</v>
      </c>
      <c r="Z57" s="34" t="n">
        <f aca="false">IFERROR(Y57/Y$16,0)</f>
        <v>0</v>
      </c>
      <c r="AB57" s="24" t="n">
        <f aca="false">SUM(C57,E57,G57,I57,K57,M57,O57,Q57,S57,U57,W57,Y57)</f>
        <v>0</v>
      </c>
      <c r="AC57" s="34" t="n">
        <f aca="false">IFERROR(AB57/AB$16,0)</f>
        <v>0</v>
      </c>
    </row>
    <row r="59" customFormat="false" ht="15" hidden="false" customHeight="true" outlineLevel="0" collapsed="false">
      <c r="A59" s="6" t="s">
        <v>220</v>
      </c>
      <c r="C59" s="7" t="n">
        <f aca="false">C55-C57</f>
        <v>-15638</v>
      </c>
      <c r="D59" s="8" t="n">
        <f aca="false">IFERROR(C59/C$16,0)</f>
        <v>-0.875</v>
      </c>
      <c r="E59" s="7" t="n">
        <f aca="false">E55-E57</f>
        <v>-12809</v>
      </c>
      <c r="F59" s="8" t="n">
        <f aca="false">IFERROR(E59/E$16,0)</f>
        <v>-0.718114032628805</v>
      </c>
      <c r="G59" s="7" t="n">
        <f aca="false">G55-G57</f>
        <v>-8470</v>
      </c>
      <c r="H59" s="8" t="n">
        <f aca="false">IFERROR(G59/G$16,0)</f>
        <v>-0.320202631181007</v>
      </c>
      <c r="I59" s="7" t="n">
        <f aca="false">I55-I57</f>
        <v>-11709</v>
      </c>
      <c r="J59" s="8" t="n">
        <f aca="false">IFERROR(I59/I$16,0)</f>
        <v>-0.568922792867208</v>
      </c>
      <c r="K59" s="7" t="n">
        <f aca="false">K55-K57</f>
        <v>-15583</v>
      </c>
      <c r="L59" s="8" t="n">
        <f aca="false">IFERROR(K59/K$16,0)</f>
        <v>-0.626401897334888</v>
      </c>
      <c r="M59" s="7" t="n">
        <f aca="false">M55-M57</f>
        <v>-18645</v>
      </c>
      <c r="N59" s="8" t="n">
        <f aca="false">IFERROR(M59/M$16,0)</f>
        <v>-0.689049854022691</v>
      </c>
      <c r="O59" s="7" t="n">
        <f aca="false">O55-O57</f>
        <v>-13346</v>
      </c>
      <c r="P59" s="8" t="n">
        <f aca="false">IFERROR(O59/O$16,0)</f>
        <v>-0.519926759904944</v>
      </c>
      <c r="Q59" s="7" t="n">
        <f aca="false">Q55-Q57</f>
        <v>-13909</v>
      </c>
      <c r="R59" s="8" t="n">
        <f aca="false">IFERROR(Q59/Q$16,0)</f>
        <v>-0.541859830924461</v>
      </c>
      <c r="S59" s="7" t="n">
        <f aca="false">S55-S57</f>
        <v>-13318</v>
      </c>
      <c r="T59" s="8" t="n">
        <f aca="false">IFERROR(S59/S$16,0)</f>
        <v>-0.518835949978573</v>
      </c>
      <c r="U59" s="7" t="n">
        <f aca="false">U55-U57</f>
        <v>-13523</v>
      </c>
      <c r="V59" s="8" t="n">
        <f aca="false">IFERROR(U59/U$16,0)</f>
        <v>-0.526822236939499</v>
      </c>
      <c r="W59" s="7" t="n">
        <f aca="false">W55-W57</f>
        <v>-13583</v>
      </c>
      <c r="X59" s="8" t="n">
        <f aca="false">IFERROR(W59/W$16,0)</f>
        <v>-0.529159686781721</v>
      </c>
      <c r="Y59" s="7" t="n">
        <f aca="false">Y55-Y57</f>
        <v>-13474</v>
      </c>
      <c r="Z59" s="8" t="n">
        <f aca="false">IFERROR(Y59/Y$16,0)</f>
        <v>-0.524913319568351</v>
      </c>
      <c r="AB59" s="7" t="n">
        <f aca="false">AB55-AB57</f>
        <v>-164007</v>
      </c>
      <c r="AC59" s="8" t="n">
        <f aca="false">IFERROR(AB59/AB$16,0)</f>
        <v>-0.568103722998905</v>
      </c>
    </row>
    <row r="61" customFormat="false" ht="15" hidden="false" customHeight="true" outlineLevel="0" collapsed="false">
      <c r="A61" s="5" t="s">
        <v>221</v>
      </c>
      <c r="C61" s="24" t="n">
        <v>0</v>
      </c>
      <c r="D61" s="34" t="n">
        <f aca="false">IFERROR(C61/C$16,0)</f>
        <v>0</v>
      </c>
      <c r="E61" s="24" t="n">
        <v>0</v>
      </c>
      <c r="F61" s="34" t="n">
        <f aca="false">IFERROR(E61/E$16,0)</f>
        <v>0</v>
      </c>
      <c r="G61" s="24" t="n">
        <v>0</v>
      </c>
      <c r="H61" s="34" t="n">
        <f aca="false">IFERROR(G61/G$16,0)</f>
        <v>0</v>
      </c>
      <c r="I61" s="24" t="n">
        <v>0</v>
      </c>
      <c r="J61" s="34" t="n">
        <f aca="false">IFERROR(I61/I$16,0)</f>
        <v>0</v>
      </c>
      <c r="K61" s="24" t="n">
        <v>0</v>
      </c>
      <c r="L61" s="34" t="n">
        <f aca="false">IFERROR(K61/K$16,0)</f>
        <v>0</v>
      </c>
      <c r="M61" s="24" t="n">
        <v>0</v>
      </c>
      <c r="N61" s="34" t="n">
        <f aca="false">IFERROR(M61/M$16,0)</f>
        <v>0</v>
      </c>
      <c r="O61" s="24" t="n">
        <v>0</v>
      </c>
      <c r="P61" s="34" t="n">
        <f aca="false">IFERROR(O61/O$16,0)</f>
        <v>0</v>
      </c>
      <c r="Q61" s="24" t="n">
        <v>0</v>
      </c>
      <c r="R61" s="34" t="n">
        <f aca="false">IFERROR(Q61/Q$16,0)</f>
        <v>0</v>
      </c>
      <c r="S61" s="24" t="n">
        <v>0</v>
      </c>
      <c r="T61" s="34" t="n">
        <f aca="false">IFERROR(S61/S$16,0)</f>
        <v>0</v>
      </c>
      <c r="U61" s="24" t="n">
        <v>0</v>
      </c>
      <c r="V61" s="34" t="n">
        <f aca="false">IFERROR(U61/U$16,0)</f>
        <v>0</v>
      </c>
      <c r="W61" s="24" t="n">
        <v>0</v>
      </c>
      <c r="X61" s="34" t="n">
        <f aca="false">IFERROR(W61/W$16,0)</f>
        <v>0</v>
      </c>
      <c r="Y61" s="24" t="n">
        <v>0</v>
      </c>
      <c r="Z61" s="34" t="n">
        <f aca="false">IFERROR(Y61/Y$16,0)</f>
        <v>0</v>
      </c>
      <c r="AB61" s="24" t="n">
        <f aca="false">SUM(C61,E61,G61,I61,K61,M61,O61,Q61,S61,U61,W61,Y61)</f>
        <v>0</v>
      </c>
      <c r="AC61" s="34" t="n">
        <f aca="false">IFERROR(AB61/AB$16,0)</f>
        <v>0</v>
      </c>
    </row>
    <row r="62" customFormat="false" ht="15" hidden="false" customHeight="true" outlineLevel="0" collapsed="false">
      <c r="A62" s="5" t="s">
        <v>222</v>
      </c>
      <c r="C62" s="24" t="n">
        <v>239</v>
      </c>
      <c r="D62" s="34" t="n">
        <f aca="false">IFERROR(C62/C$16,0)</f>
        <v>0.0133728737690242</v>
      </c>
      <c r="E62" s="24" t="n">
        <v>217</v>
      </c>
      <c r="F62" s="34" t="n">
        <f aca="false">IFERROR(E62/E$16,0)</f>
        <v>0.0121657229354712</v>
      </c>
      <c r="G62" s="24" t="n">
        <v>239</v>
      </c>
      <c r="H62" s="34" t="n">
        <f aca="false">IFERROR(G62/G$16,0)</f>
        <v>0.00903523363072736</v>
      </c>
      <c r="I62" s="24" t="n">
        <v>331</v>
      </c>
      <c r="J62" s="34" t="n">
        <f aca="false">IFERROR(I62/I$16,0)</f>
        <v>0.0160827948107478</v>
      </c>
      <c r="K62" s="24" t="n">
        <v>249</v>
      </c>
      <c r="L62" s="34" t="n">
        <f aca="false">IFERROR(K62/K$16,0)</f>
        <v>0.0100092454878</v>
      </c>
      <c r="M62" s="24" t="n">
        <v>271</v>
      </c>
      <c r="N62" s="34" t="n">
        <f aca="false">IFERROR(M62/M$16,0)</f>
        <v>0.0100151520750952</v>
      </c>
      <c r="O62" s="24" t="n">
        <v>249</v>
      </c>
      <c r="P62" s="34" t="n">
        <f aca="false">IFERROR(O62/O$16,0)</f>
        <v>0.00970041684522186</v>
      </c>
      <c r="Q62" s="24" t="n">
        <v>249</v>
      </c>
      <c r="R62" s="34" t="n">
        <f aca="false">IFERROR(Q62/Q$16,0)</f>
        <v>0.00970041684522186</v>
      </c>
      <c r="S62" s="24" t="n">
        <v>249</v>
      </c>
      <c r="T62" s="34" t="n">
        <f aca="false">IFERROR(S62/S$16,0)</f>
        <v>0.00970041684522186</v>
      </c>
      <c r="U62" s="24" t="n">
        <v>249</v>
      </c>
      <c r="V62" s="34" t="n">
        <f aca="false">IFERROR(U62/U$16,0)</f>
        <v>0.00970041684522186</v>
      </c>
      <c r="W62" s="24" t="n">
        <v>249</v>
      </c>
      <c r="X62" s="34" t="n">
        <f aca="false">IFERROR(W62/W$16,0)</f>
        <v>0.00970041684522186</v>
      </c>
      <c r="Y62" s="24" t="n">
        <v>249</v>
      </c>
      <c r="Z62" s="34" t="n">
        <f aca="false">IFERROR(Y62/Y$16,0)</f>
        <v>0.00970041684522186</v>
      </c>
      <c r="AB62" s="24" t="n">
        <f aca="false">SUM(C62,E62,G62,I62,K62,M62,O62,Q62,S62,U62,W62,Y62)</f>
        <v>3040</v>
      </c>
      <c r="AC62" s="34" t="n">
        <f aca="false">IFERROR(AB62/AB$16,0)</f>
        <v>0.0105302536959805</v>
      </c>
    </row>
    <row r="63" customFormat="false" ht="15" hidden="false" customHeight="true" outlineLevel="0" collapsed="false">
      <c r="A63" s="6" t="s">
        <v>223</v>
      </c>
      <c r="C63" s="36" t="n">
        <f aca="false">C59-C61-C62</f>
        <v>-15877</v>
      </c>
      <c r="D63" s="37" t="n">
        <f aca="false">IFERROR(C63/C$16,0)</f>
        <v>-0.888372873769024</v>
      </c>
      <c r="E63" s="36" t="n">
        <f aca="false">E59-E61-E62</f>
        <v>-13026</v>
      </c>
      <c r="F63" s="37" t="n">
        <f aca="false">IFERROR(E63/E$16,0)</f>
        <v>-0.730279755564277</v>
      </c>
      <c r="G63" s="36" t="n">
        <f aca="false">G59-G61-G62</f>
        <v>-8709</v>
      </c>
      <c r="H63" s="37" t="n">
        <f aca="false">IFERROR(G63/G$16,0)</f>
        <v>-0.329237864811734</v>
      </c>
      <c r="I63" s="36" t="n">
        <f aca="false">I59-I61-I62</f>
        <v>-12040</v>
      </c>
      <c r="J63" s="37" t="n">
        <f aca="false">IFERROR(I63/I$16,0)</f>
        <v>-0.585005587677955</v>
      </c>
      <c r="K63" s="36" t="n">
        <f aca="false">K59-K61-K62</f>
        <v>-15832</v>
      </c>
      <c r="L63" s="37" t="n">
        <f aca="false">IFERROR(K63/K$16,0)</f>
        <v>-0.636411142822688</v>
      </c>
      <c r="M63" s="36" t="n">
        <f aca="false">M59-M61-M62</f>
        <v>-18916</v>
      </c>
      <c r="N63" s="37" t="n">
        <f aca="false">IFERROR(M63/M$16,0)</f>
        <v>-0.699065006097786</v>
      </c>
      <c r="O63" s="36" t="n">
        <f aca="false">O59-O61-O62</f>
        <v>-13595</v>
      </c>
      <c r="P63" s="37" t="n">
        <f aca="false">IFERROR(O63/O$16,0)</f>
        <v>-0.529627176750166</v>
      </c>
      <c r="Q63" s="36" t="n">
        <f aca="false">Q59-Q61-Q62</f>
        <v>-14158</v>
      </c>
      <c r="R63" s="37" t="n">
        <f aca="false">IFERROR(Q63/Q$16,0)</f>
        <v>-0.551560247769683</v>
      </c>
      <c r="S63" s="36" t="n">
        <f aca="false">S59-S61-S62</f>
        <v>-13567</v>
      </c>
      <c r="T63" s="37" t="n">
        <f aca="false">IFERROR(S63/S$16,0)</f>
        <v>-0.528536366823795</v>
      </c>
      <c r="U63" s="36" t="n">
        <f aca="false">U59-U61-U62</f>
        <v>-13772</v>
      </c>
      <c r="V63" s="37" t="n">
        <f aca="false">IFERROR(U63/U$16,0)</f>
        <v>-0.536522653784721</v>
      </c>
      <c r="W63" s="36" t="n">
        <f aca="false">W59-W61-W62</f>
        <v>-13832</v>
      </c>
      <c r="X63" s="37" t="n">
        <f aca="false">IFERROR(W63/W$16,0)</f>
        <v>-0.538860103626943</v>
      </c>
      <c r="Y63" s="36" t="n">
        <f aca="false">Y59-Y61-Y62</f>
        <v>-13723</v>
      </c>
      <c r="Z63" s="37" t="n">
        <f aca="false">IFERROR(Y63/Y$16,0)</f>
        <v>-0.534613736413573</v>
      </c>
      <c r="AB63" s="36" t="n">
        <f aca="false">AB59-AB61-AB62</f>
        <v>-167047</v>
      </c>
      <c r="AC63" s="37" t="n">
        <f aca="false">IFERROR(AB63/AB$16,0)</f>
        <v>-0.578633976694886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H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8" min="2" style="1" width="12"/>
  </cols>
  <sheetData>
    <row r="1" customFormat="false" ht="17.25" hidden="false" customHeight="true" outlineLevel="0" collapsed="false">
      <c r="A1" s="86" t="s">
        <v>157</v>
      </c>
    </row>
    <row r="2" customFormat="false" ht="15" hidden="false" customHeight="true" outlineLevel="0" collapsed="false">
      <c r="A2" s="87" t="s">
        <v>380</v>
      </c>
    </row>
    <row r="4" customFormat="false" ht="15" hidden="false" customHeight="true" outlineLevel="0" collapsed="false">
      <c r="B4" s="88" t="s">
        <v>381</v>
      </c>
      <c r="C4" s="88" t="s">
        <v>382</v>
      </c>
      <c r="D4" s="88" t="s">
        <v>383</v>
      </c>
      <c r="E4" s="88" t="s">
        <v>384</v>
      </c>
      <c r="F4" s="88" t="s">
        <v>385</v>
      </c>
      <c r="G4" s="88" t="s">
        <v>386</v>
      </c>
      <c r="H4" s="88" t="s">
        <v>387</v>
      </c>
    </row>
    <row r="5" customFormat="false" ht="15" hidden="false" customHeight="true" outlineLevel="0" collapsed="false">
      <c r="A5" s="89" t="s">
        <v>388</v>
      </c>
      <c r="B5" s="89"/>
      <c r="C5" s="89"/>
      <c r="D5" s="89"/>
      <c r="E5" s="89"/>
      <c r="F5" s="89"/>
      <c r="G5" s="89"/>
      <c r="H5" s="89"/>
    </row>
    <row r="6" customFormat="false" ht="15" hidden="false" customHeight="true" outlineLevel="0" collapsed="false">
      <c r="A6" s="90" t="s">
        <v>389</v>
      </c>
      <c r="B6" s="91" t="n">
        <v>15610</v>
      </c>
      <c r="C6" s="91" t="n">
        <v>17968</v>
      </c>
      <c r="D6" s="91" t="n">
        <v>26748</v>
      </c>
      <c r="E6" s="91" t="n">
        <v>20641</v>
      </c>
      <c r="F6" s="91" t="n">
        <v>24911</v>
      </c>
      <c r="G6" s="91" t="n">
        <v>27214</v>
      </c>
      <c r="H6" s="91" t="n">
        <f aca="false">SUM(B6:G6)</f>
        <v>133092</v>
      </c>
    </row>
    <row r="7" customFormat="false" ht="15" hidden="false" customHeight="true" outlineLevel="0" collapsed="false">
      <c r="A7" s="90" t="s">
        <v>390</v>
      </c>
      <c r="B7" s="91" t="n">
        <f aca="false">B8-B6</f>
        <v>2993</v>
      </c>
      <c r="C7" s="91" t="n">
        <f aca="false">C8-C6</f>
        <v>893</v>
      </c>
      <c r="D7" s="91" t="n">
        <f aca="false">D8-D6</f>
        <v>2201</v>
      </c>
      <c r="E7" s="91" t="n">
        <f aca="false">E8-E6</f>
        <v>2628</v>
      </c>
      <c r="F7" s="91" t="n">
        <f aca="false">F8-F6</f>
        <v>1487</v>
      </c>
      <c r="G7" s="91" t="n">
        <f aca="false">G8-G6</f>
        <v>832</v>
      </c>
      <c r="H7" s="91" t="n">
        <f aca="false">SUM(B7:G7)</f>
        <v>11034</v>
      </c>
    </row>
    <row r="8" customFormat="false" ht="15" hidden="false" customHeight="true" outlineLevel="0" collapsed="false">
      <c r="A8" s="90" t="s">
        <v>391</v>
      </c>
      <c r="B8" s="91" t="n">
        <f aca="false">SUM('LW 2026 P&amp;L'!C9:C14)</f>
        <v>18603</v>
      </c>
      <c r="C8" s="91" t="n">
        <f aca="false">SUM('LW 2026 P&amp;L'!E9:E14)</f>
        <v>18861</v>
      </c>
      <c r="D8" s="91" t="n">
        <f aca="false">SUM('LW 2026 P&amp;L'!G9:G14)</f>
        <v>28949</v>
      </c>
      <c r="E8" s="91" t="n">
        <f aca="false">SUM('LW 2026 P&amp;L'!I9:I14)</f>
        <v>23269</v>
      </c>
      <c r="F8" s="91" t="n">
        <f aca="false">SUM('LW 2026 P&amp;L'!K9:K14)</f>
        <v>26398</v>
      </c>
      <c r="G8" s="91" t="n">
        <f aca="false">SUM('LW 2026 P&amp;L'!M9:M14)</f>
        <v>28046</v>
      </c>
      <c r="H8" s="91" t="n">
        <f aca="false">SUM(B8:G8)</f>
        <v>144126</v>
      </c>
    </row>
    <row r="9" customFormat="false" ht="15" hidden="false" customHeight="true" outlineLevel="0" collapsed="false">
      <c r="A9" s="90" t="s">
        <v>392</v>
      </c>
      <c r="B9" s="91" t="n">
        <f aca="false">'LW 2026 P&amp;L'!C15</f>
        <v>-731</v>
      </c>
      <c r="C9" s="91" t="n">
        <f aca="false">'LW 2026 P&amp;L'!E15</f>
        <v>-1024</v>
      </c>
      <c r="D9" s="91" t="n">
        <f aca="false">'LW 2026 P&amp;L'!G15</f>
        <v>-2497</v>
      </c>
      <c r="E9" s="91" t="n">
        <f aca="false">'LW 2026 P&amp;L'!I15</f>
        <v>-2688</v>
      </c>
      <c r="F9" s="91" t="n">
        <f aca="false">'LW 2026 P&amp;L'!K15</f>
        <v>-1521</v>
      </c>
      <c r="G9" s="91" t="n">
        <f aca="false">'LW 2026 P&amp;L'!M15</f>
        <v>-987</v>
      </c>
      <c r="H9" s="91" t="n">
        <f aca="false">SUM(B9:G9)</f>
        <v>-9448</v>
      </c>
    </row>
    <row r="10" customFormat="false" ht="15" hidden="false" customHeight="true" outlineLevel="0" collapsed="false">
      <c r="A10" s="92" t="s">
        <v>393</v>
      </c>
      <c r="B10" s="93" t="n">
        <f aca="false">'LW 2026 P&amp;L'!C16</f>
        <v>17872</v>
      </c>
      <c r="C10" s="93" t="n">
        <f aca="false">'LW 2026 P&amp;L'!E16</f>
        <v>17837</v>
      </c>
      <c r="D10" s="93" t="n">
        <f aca="false">'LW 2026 P&amp;L'!G16</f>
        <v>26452</v>
      </c>
      <c r="E10" s="93" t="n">
        <f aca="false">'LW 2026 P&amp;L'!I16</f>
        <v>20581</v>
      </c>
      <c r="F10" s="93" t="n">
        <f aca="false">'LW 2026 P&amp;L'!K16</f>
        <v>24877</v>
      </c>
      <c r="G10" s="93" t="n">
        <f aca="false">'LW 2026 P&amp;L'!M16</f>
        <v>27059</v>
      </c>
      <c r="H10" s="93" t="n">
        <f aca="false">SUM(B10:G10)</f>
        <v>134678</v>
      </c>
    </row>
    <row r="11" customFormat="false" ht="15" hidden="false" customHeight="true" outlineLevel="0" collapsed="false">
      <c r="A11" s="92" t="s">
        <v>394</v>
      </c>
      <c r="B11" s="93" t="n">
        <f aca="false">B10-B6</f>
        <v>2262</v>
      </c>
      <c r="C11" s="93" t="n">
        <f aca="false">C10-C6</f>
        <v>-131</v>
      </c>
      <c r="D11" s="93" t="n">
        <f aca="false">D10-D6</f>
        <v>-296</v>
      </c>
      <c r="E11" s="93" t="n">
        <f aca="false">E10-E6</f>
        <v>-60</v>
      </c>
      <c r="F11" s="93" t="n">
        <f aca="false">F10-F6</f>
        <v>-34</v>
      </c>
      <c r="G11" s="93" t="n">
        <f aca="false">G10-G6</f>
        <v>-155</v>
      </c>
      <c r="H11" s="93" t="n">
        <f aca="false">SUM(B11:G11)</f>
        <v>1586</v>
      </c>
    </row>
    <row r="12" customFormat="false" ht="15" hidden="false" customHeight="true" outlineLevel="0" collapsed="false">
      <c r="A12" s="90" t="s">
        <v>395</v>
      </c>
      <c r="B12" s="94" t="n">
        <f aca="false">B11/B6</f>
        <v>0.144907110826393</v>
      </c>
      <c r="C12" s="94" t="n">
        <f aca="false">C11/C6</f>
        <v>-0.00729073909171861</v>
      </c>
      <c r="D12" s="94" t="n">
        <f aca="false">D11/D6</f>
        <v>-0.0110662479437715</v>
      </c>
      <c r="E12" s="94" t="n">
        <f aca="false">E11/E6</f>
        <v>-0.00290683590911293</v>
      </c>
      <c r="F12" s="94" t="n">
        <f aca="false">F11/F6</f>
        <v>-0.00136485889767573</v>
      </c>
      <c r="G12" s="94" t="n">
        <f aca="false">G11/G6</f>
        <v>-0.00569559785404571</v>
      </c>
      <c r="H12" s="94" t="n">
        <f aca="false">H11/H6</f>
        <v>0.0119165689898717</v>
      </c>
    </row>
    <row r="14" customFormat="false" ht="15" hidden="false" customHeight="true" outlineLevel="0" collapsed="false">
      <c r="A14" s="89" t="s">
        <v>396</v>
      </c>
      <c r="B14" s="89"/>
      <c r="C14" s="89"/>
      <c r="D14" s="89"/>
      <c r="E14" s="89"/>
      <c r="F14" s="89"/>
      <c r="G14" s="89"/>
      <c r="H14" s="89"/>
    </row>
    <row r="15" customFormat="false" ht="15" hidden="false" customHeight="true" outlineLevel="0" collapsed="false">
      <c r="A15" s="90" t="s">
        <v>397</v>
      </c>
      <c r="B15" s="91" t="n">
        <v>6385</v>
      </c>
      <c r="C15" s="91" t="n">
        <v>7122</v>
      </c>
      <c r="D15" s="91" t="n">
        <v>10864</v>
      </c>
      <c r="E15" s="91" t="n">
        <v>8859</v>
      </c>
      <c r="F15" s="91" t="n">
        <v>9977</v>
      </c>
      <c r="G15" s="91" t="n">
        <v>10206</v>
      </c>
      <c r="H15" s="91" t="n">
        <f aca="false">SUM(B15:G15)</f>
        <v>53413</v>
      </c>
    </row>
    <row r="16" customFormat="false" ht="15" hidden="false" customHeight="true" outlineLevel="0" collapsed="false">
      <c r="A16" s="90" t="s">
        <v>398</v>
      </c>
      <c r="B16" s="91" t="n">
        <v>7915</v>
      </c>
      <c r="C16" s="91" t="n">
        <v>8613</v>
      </c>
      <c r="D16" s="91" t="n">
        <v>12973</v>
      </c>
      <c r="E16" s="91" t="n">
        <v>9848</v>
      </c>
      <c r="F16" s="91" t="n">
        <v>12515</v>
      </c>
      <c r="G16" s="91" t="n">
        <v>13997</v>
      </c>
      <c r="H16" s="91" t="n">
        <f aca="false">SUM(B16:G16)</f>
        <v>65861</v>
      </c>
    </row>
    <row r="17" customFormat="false" ht="15" hidden="false" customHeight="true" outlineLevel="0" collapsed="false">
      <c r="A17" s="90" t="s">
        <v>399</v>
      </c>
      <c r="B17" s="91" t="n">
        <v>100</v>
      </c>
      <c r="C17" s="91" t="n">
        <v>286</v>
      </c>
      <c r="D17" s="91" t="n">
        <v>163</v>
      </c>
      <c r="E17" s="91" t="n">
        <v>468</v>
      </c>
      <c r="F17" s="91" t="n">
        <v>588</v>
      </c>
      <c r="G17" s="91" t="n">
        <v>972</v>
      </c>
      <c r="H17" s="91" t="n">
        <f aca="false">SUM(B17:G17)</f>
        <v>2577</v>
      </c>
    </row>
    <row r="18" customFormat="false" ht="15" hidden="false" customHeight="true" outlineLevel="0" collapsed="false">
      <c r="A18" s="90" t="s">
        <v>400</v>
      </c>
      <c r="B18" s="91" t="n">
        <v>52</v>
      </c>
      <c r="C18" s="91" t="n">
        <v>197</v>
      </c>
      <c r="D18" s="91" t="n">
        <v>161</v>
      </c>
      <c r="E18" s="91" t="n">
        <v>333</v>
      </c>
      <c r="F18" s="91" t="n">
        <v>594</v>
      </c>
      <c r="G18" s="91" t="n">
        <v>739</v>
      </c>
      <c r="H18" s="91" t="n">
        <f aca="false">SUM(B18:G18)</f>
        <v>2076</v>
      </c>
    </row>
    <row r="19" customFormat="false" ht="15" hidden="false" customHeight="true" outlineLevel="0" collapsed="false">
      <c r="A19" s="90" t="s">
        <v>401</v>
      </c>
      <c r="B19" s="91" t="n">
        <v>0</v>
      </c>
      <c r="C19" s="91" t="n">
        <v>12</v>
      </c>
      <c r="D19" s="91" t="n">
        <v>0</v>
      </c>
      <c r="E19" s="91" t="n">
        <v>464</v>
      </c>
      <c r="F19" s="91" t="n">
        <v>894</v>
      </c>
      <c r="G19" s="91" t="n">
        <v>978</v>
      </c>
      <c r="H19" s="91" t="n">
        <f aca="false">SUM(B19:G19)</f>
        <v>2348</v>
      </c>
    </row>
    <row r="20" customFormat="false" ht="15" hidden="false" customHeight="true" outlineLevel="0" collapsed="false">
      <c r="A20" s="90" t="s">
        <v>402</v>
      </c>
      <c r="B20" s="91" t="n">
        <v>131</v>
      </c>
      <c r="C20" s="91" t="n">
        <v>143</v>
      </c>
      <c r="D20" s="91" t="n">
        <v>1513</v>
      </c>
      <c r="E20" s="91" t="n">
        <v>614</v>
      </c>
      <c r="F20" s="91" t="n">
        <v>235</v>
      </c>
      <c r="G20" s="91" t="n">
        <v>287</v>
      </c>
      <c r="H20" s="91" t="n">
        <f aca="false">SUM(B20:G20)</f>
        <v>2923</v>
      </c>
    </row>
    <row r="21" customFormat="false" ht="15" hidden="false" customHeight="true" outlineLevel="0" collapsed="false">
      <c r="A21" s="90" t="s">
        <v>403</v>
      </c>
      <c r="B21" s="91" t="n">
        <v>1028</v>
      </c>
      <c r="C21" s="91" t="n">
        <v>1595</v>
      </c>
      <c r="D21" s="91" t="n">
        <v>1075</v>
      </c>
      <c r="E21" s="91" t="n">
        <v>55</v>
      </c>
      <c r="F21" s="91" t="n">
        <v>103</v>
      </c>
      <c r="G21" s="91" t="n">
        <v>35</v>
      </c>
      <c r="H21" s="91" t="n">
        <f aca="false">SUM(B21:G21)</f>
        <v>3891</v>
      </c>
    </row>
    <row r="22" customFormat="false" ht="15" hidden="false" customHeight="true" outlineLevel="0" collapsed="false">
      <c r="A22" s="92" t="s">
        <v>404</v>
      </c>
      <c r="B22" s="93" t="n">
        <f aca="false">B10-SUM(B15:B21)</f>
        <v>2261</v>
      </c>
      <c r="C22" s="93" t="n">
        <f aca="false">C10-SUM(C15:C21)</f>
        <v>-131</v>
      </c>
      <c r="D22" s="93" t="n">
        <f aca="false">D10-SUM(D15:D21)</f>
        <v>-297</v>
      </c>
      <c r="E22" s="93" t="n">
        <f aca="false">E10-SUM(E15:E21)</f>
        <v>-60</v>
      </c>
      <c r="F22" s="93" t="n">
        <f aca="false">F10-SUM(F15:F21)</f>
        <v>-29</v>
      </c>
      <c r="G22" s="93" t="n">
        <f aca="false">G10-SUM(G15:G21)</f>
        <v>-155</v>
      </c>
      <c r="H22" s="93" t="n">
        <f aca="false">SUM(B22:G22)</f>
        <v>1589</v>
      </c>
    </row>
    <row r="23" customFormat="false" ht="15" hidden="false" customHeight="true" outlineLevel="0" collapsed="false">
      <c r="A23" s="95" t="s">
        <v>405</v>
      </c>
      <c r="B23" s="96" t="n">
        <f aca="false">SUM(B15:B22)</f>
        <v>17872</v>
      </c>
      <c r="C23" s="96" t="n">
        <f aca="false">SUM(C15:C22)</f>
        <v>17837</v>
      </c>
      <c r="D23" s="96" t="n">
        <f aca="false">SUM(D15:D22)</f>
        <v>26452</v>
      </c>
      <c r="E23" s="96" t="n">
        <f aca="false">SUM(E15:E22)</f>
        <v>20581</v>
      </c>
      <c r="F23" s="96" t="n">
        <f aca="false">SUM(F15:F22)</f>
        <v>24877</v>
      </c>
      <c r="G23" s="96" t="n">
        <f aca="false">SUM(G15:G22)</f>
        <v>27059</v>
      </c>
      <c r="H23" s="96" t="n">
        <f aca="false">SUM(B23:G23)</f>
        <v>134678</v>
      </c>
    </row>
    <row r="24" customFormat="false" ht="15" hidden="false" customHeight="true" outlineLevel="0" collapsed="false">
      <c r="A24" s="90" t="s">
        <v>406</v>
      </c>
      <c r="B24" s="91" t="n">
        <f aca="false">B23-B10</f>
        <v>0</v>
      </c>
      <c r="C24" s="91" t="n">
        <f aca="false">C23-C10</f>
        <v>0</v>
      </c>
      <c r="D24" s="91" t="n">
        <f aca="false">D23-D10</f>
        <v>0</v>
      </c>
      <c r="E24" s="91" t="n">
        <f aca="false">E23-E10</f>
        <v>0</v>
      </c>
      <c r="F24" s="91" t="n">
        <f aca="false">F23-F10</f>
        <v>0</v>
      </c>
      <c r="G24" s="91" t="n">
        <f aca="false">G23-G10</f>
        <v>0</v>
      </c>
      <c r="H24" s="91" t="n">
        <f aca="false">SUM(B24:G24)</f>
        <v>0</v>
      </c>
    </row>
    <row r="25" customFormat="false" ht="15" hidden="false" customHeight="true" outlineLevel="0" collapsed="false">
      <c r="A25" s="97" t="s">
        <v>407</v>
      </c>
    </row>
    <row r="27" customFormat="false" ht="15" hidden="false" customHeight="true" outlineLevel="0" collapsed="false">
      <c r="A27" s="89" t="s">
        <v>408</v>
      </c>
      <c r="B27" s="89"/>
      <c r="C27" s="89"/>
      <c r="D27" s="89"/>
      <c r="E27" s="89"/>
      <c r="F27" s="89"/>
      <c r="G27" s="89"/>
      <c r="H27" s="89"/>
    </row>
    <row r="28" customFormat="false" ht="15" hidden="false" customHeight="true" outlineLevel="0" collapsed="false">
      <c r="A28" s="90" t="s">
        <v>409</v>
      </c>
      <c r="B28" s="91" t="n">
        <v>6385</v>
      </c>
      <c r="C28" s="91" t="n">
        <v>7122</v>
      </c>
      <c r="D28" s="91" t="n">
        <v>10864</v>
      </c>
      <c r="E28" s="91" t="n">
        <v>8859</v>
      </c>
      <c r="F28" s="91" t="n">
        <v>9977</v>
      </c>
      <c r="G28" s="91" t="n">
        <v>10206</v>
      </c>
      <c r="H28" s="91" t="n">
        <f aca="false">SUM(B28:G28)</f>
        <v>53413</v>
      </c>
    </row>
    <row r="29" customFormat="false" ht="15" hidden="false" customHeight="true" outlineLevel="0" collapsed="false">
      <c r="A29" s="90" t="s">
        <v>410</v>
      </c>
      <c r="B29" s="91" t="n">
        <f aca="false">'LW 2026 P&amp;L'!C9</f>
        <v>7659</v>
      </c>
      <c r="C29" s="91" t="n">
        <f aca="false">'LW 2026 P&amp;L'!E9</f>
        <v>9205</v>
      </c>
      <c r="D29" s="91" t="n">
        <f aca="false">'LW 2026 P&amp;L'!G9</f>
        <v>12511</v>
      </c>
      <c r="E29" s="91" t="n">
        <f aca="false">'LW 2026 P&amp;L'!I9</f>
        <v>9497</v>
      </c>
      <c r="F29" s="91" t="n">
        <f aca="false">'LW 2026 P&amp;L'!K9</f>
        <v>10762</v>
      </c>
      <c r="G29" s="91" t="n">
        <f aca="false">'LW 2026 P&amp;L'!M9</f>
        <v>10511</v>
      </c>
      <c r="H29" s="91" t="n">
        <f aca="false">SUM(B29:G29)</f>
        <v>60145</v>
      </c>
    </row>
    <row r="30" customFormat="false" ht="15" hidden="false" customHeight="true" outlineLevel="0" collapsed="false">
      <c r="A30" s="92" t="s">
        <v>411</v>
      </c>
      <c r="B30" s="93" t="n">
        <f aca="false">B29-B28</f>
        <v>1274</v>
      </c>
      <c r="C30" s="93" t="n">
        <f aca="false">C29-C28</f>
        <v>2083</v>
      </c>
      <c r="D30" s="93" t="n">
        <f aca="false">D29-D28</f>
        <v>1647</v>
      </c>
      <c r="E30" s="93" t="n">
        <f aca="false">E29-E28</f>
        <v>638</v>
      </c>
      <c r="F30" s="93" t="n">
        <f aca="false">F29-F28</f>
        <v>785</v>
      </c>
      <c r="G30" s="93" t="n">
        <f aca="false">G29-G28</f>
        <v>305</v>
      </c>
      <c r="H30" s="93" t="n">
        <f aca="false">SUM(B30:G30)</f>
        <v>6732</v>
      </c>
    </row>
    <row r="31" customFormat="false" ht="15" hidden="false" customHeight="true" outlineLevel="0" collapsed="false">
      <c r="A31" s="90" t="s">
        <v>412</v>
      </c>
      <c r="B31" s="91" t="n">
        <v>7915</v>
      </c>
      <c r="C31" s="91" t="n">
        <v>8613</v>
      </c>
      <c r="D31" s="91" t="n">
        <v>12973</v>
      </c>
      <c r="E31" s="91" t="n">
        <v>9848</v>
      </c>
      <c r="F31" s="91" t="n">
        <v>12515</v>
      </c>
      <c r="G31" s="91" t="n">
        <v>13997</v>
      </c>
      <c r="H31" s="91" t="n">
        <f aca="false">SUM(B31:G31)</f>
        <v>65861</v>
      </c>
    </row>
    <row r="32" customFormat="false" ht="15" hidden="false" customHeight="true" outlineLevel="0" collapsed="false">
      <c r="A32" s="90" t="s">
        <v>413</v>
      </c>
      <c r="B32" s="91" t="n">
        <f aca="false">'LW 2026 P&amp;L'!C10</f>
        <v>9236</v>
      </c>
      <c r="C32" s="91" t="n">
        <f aca="false">'LW 2026 P&amp;L'!E10</f>
        <v>9081</v>
      </c>
      <c r="D32" s="91" t="n">
        <f aca="false">'LW 2026 P&amp;L'!G10</f>
        <v>13436</v>
      </c>
      <c r="E32" s="91" t="n">
        <f aca="false">'LW 2026 P&amp;L'!I10</f>
        <v>10789</v>
      </c>
      <c r="F32" s="91" t="n">
        <f aca="false">'LW 2026 P&amp;L'!K10</f>
        <v>13103</v>
      </c>
      <c r="G32" s="91" t="n">
        <f aca="false">'LW 2026 P&amp;L'!M10</f>
        <v>14448</v>
      </c>
      <c r="H32" s="91" t="n">
        <f aca="false">SUM(B32:G32)</f>
        <v>70093</v>
      </c>
    </row>
    <row r="33" customFormat="false" ht="15" hidden="false" customHeight="true" outlineLevel="0" collapsed="false">
      <c r="A33" s="92" t="s">
        <v>414</v>
      </c>
      <c r="B33" s="93" t="n">
        <f aca="false">B32-B31</f>
        <v>1321</v>
      </c>
      <c r="C33" s="93" t="n">
        <f aca="false">C32-C31</f>
        <v>468</v>
      </c>
      <c r="D33" s="93" t="n">
        <f aca="false">D32-D31</f>
        <v>463</v>
      </c>
      <c r="E33" s="93" t="n">
        <f aca="false">E32-E31</f>
        <v>941</v>
      </c>
      <c r="F33" s="93" t="n">
        <f aca="false">F32-F31</f>
        <v>588</v>
      </c>
      <c r="G33" s="93" t="n">
        <f aca="false">G32-G31</f>
        <v>451</v>
      </c>
      <c r="H33" s="93" t="n">
        <f aca="false">SUM(B33:G33)</f>
        <v>4232</v>
      </c>
    </row>
    <row r="34" customFormat="false" ht="15" hidden="false" customHeight="true" outlineLevel="0" collapsed="false">
      <c r="A34" s="90" t="s">
        <v>415</v>
      </c>
      <c r="B34" s="91" t="n">
        <v>100</v>
      </c>
      <c r="C34" s="91" t="n">
        <v>286</v>
      </c>
      <c r="D34" s="91" t="n">
        <v>163</v>
      </c>
      <c r="E34" s="91" t="n">
        <v>468</v>
      </c>
      <c r="F34" s="91" t="n">
        <v>588</v>
      </c>
      <c r="G34" s="91" t="n">
        <v>972</v>
      </c>
      <c r="H34" s="91" t="n">
        <f aca="false">SUM(B34:G34)</f>
        <v>2577</v>
      </c>
    </row>
    <row r="35" customFormat="false" ht="15" hidden="false" customHeight="true" outlineLevel="0" collapsed="false">
      <c r="A35" s="90" t="s">
        <v>416</v>
      </c>
      <c r="B35" s="91" t="n">
        <f aca="false">'LW 2026 P&amp;L'!C11</f>
        <v>800</v>
      </c>
      <c r="C35" s="91" t="n">
        <f aca="false">'LW 2026 P&amp;L'!E11</f>
        <v>295</v>
      </c>
      <c r="D35" s="91" t="n">
        <f aca="false">'LW 2026 P&amp;L'!G11</f>
        <v>1354</v>
      </c>
      <c r="E35" s="91" t="n">
        <f aca="false">'LW 2026 P&amp;L'!I11</f>
        <v>1490</v>
      </c>
      <c r="F35" s="91" t="n">
        <f aca="false">'LW 2026 P&amp;L'!K11</f>
        <v>591</v>
      </c>
      <c r="G35" s="91" t="n">
        <f aca="false">'LW 2026 P&amp;L'!M11</f>
        <v>984</v>
      </c>
      <c r="H35" s="91" t="n">
        <f aca="false">SUM(B35:G35)</f>
        <v>5514</v>
      </c>
    </row>
    <row r="36" customFormat="false" ht="15" hidden="false" customHeight="true" outlineLevel="0" collapsed="false">
      <c r="A36" s="92" t="s">
        <v>417</v>
      </c>
      <c r="B36" s="93" t="n">
        <f aca="false">B35-B34</f>
        <v>700</v>
      </c>
      <c r="C36" s="93" t="n">
        <f aca="false">C35-C34</f>
        <v>9</v>
      </c>
      <c r="D36" s="93" t="n">
        <f aca="false">D35-D34</f>
        <v>1191</v>
      </c>
      <c r="E36" s="93" t="n">
        <f aca="false">E35-E34</f>
        <v>1022</v>
      </c>
      <c r="F36" s="93" t="n">
        <f aca="false">F35-F34</f>
        <v>3</v>
      </c>
      <c r="G36" s="93" t="n">
        <f aca="false">G35-G34</f>
        <v>12</v>
      </c>
      <c r="H36" s="93" t="n">
        <f aca="false">SUM(B36:G36)</f>
        <v>2937</v>
      </c>
    </row>
    <row r="37" customFormat="false" ht="15" hidden="false" customHeight="true" outlineLevel="0" collapsed="false">
      <c r="A37" s="90" t="s">
        <v>418</v>
      </c>
      <c r="B37" s="91" t="n">
        <v>52</v>
      </c>
      <c r="C37" s="91" t="n">
        <v>197</v>
      </c>
      <c r="D37" s="91" t="n">
        <v>161</v>
      </c>
      <c r="E37" s="91" t="n">
        <v>333</v>
      </c>
      <c r="F37" s="91" t="n">
        <v>594</v>
      </c>
      <c r="G37" s="91" t="n">
        <v>739</v>
      </c>
      <c r="H37" s="91" t="n">
        <f aca="false">SUM(B37:G37)</f>
        <v>2076</v>
      </c>
    </row>
    <row r="38" customFormat="false" ht="15" hidden="false" customHeight="true" outlineLevel="0" collapsed="false">
      <c r="A38" s="90" t="s">
        <v>419</v>
      </c>
      <c r="B38" s="91" t="n">
        <f aca="false">'LW 2026 P&amp;L'!C12</f>
        <v>54</v>
      </c>
      <c r="C38" s="91" t="n">
        <f aca="false">'LW 2026 P&amp;L'!E12</f>
        <v>240</v>
      </c>
      <c r="D38" s="91" t="n">
        <f aca="false">'LW 2026 P&amp;L'!G12</f>
        <v>174</v>
      </c>
      <c r="E38" s="91" t="n">
        <f aca="false">'LW 2026 P&amp;L'!I12</f>
        <v>333</v>
      </c>
      <c r="F38" s="91" t="n">
        <f aca="false">'LW 2026 P&amp;L'!K12</f>
        <v>597</v>
      </c>
      <c r="G38" s="91" t="n">
        <f aca="false">'LW 2026 P&amp;L'!M12</f>
        <v>743</v>
      </c>
      <c r="H38" s="91" t="n">
        <f aca="false">SUM(B38:G38)</f>
        <v>2141</v>
      </c>
    </row>
    <row r="39" customFormat="false" ht="15" hidden="false" customHeight="true" outlineLevel="0" collapsed="false">
      <c r="A39" s="92" t="s">
        <v>420</v>
      </c>
      <c r="B39" s="93" t="n">
        <f aca="false">B38-B37</f>
        <v>2</v>
      </c>
      <c r="C39" s="93" t="n">
        <f aca="false">C38-C37</f>
        <v>43</v>
      </c>
      <c r="D39" s="93" t="n">
        <f aca="false">D38-D37</f>
        <v>13</v>
      </c>
      <c r="E39" s="93" t="n">
        <f aca="false">E38-E37</f>
        <v>0</v>
      </c>
      <c r="F39" s="93" t="n">
        <f aca="false">F38-F37</f>
        <v>3</v>
      </c>
      <c r="G39" s="93" t="n">
        <f aca="false">G38-G37</f>
        <v>4</v>
      </c>
      <c r="H39" s="93" t="n">
        <f aca="false">SUM(B39:G39)</f>
        <v>65</v>
      </c>
    </row>
    <row r="40" customFormat="false" ht="15" hidden="false" customHeight="true" outlineLevel="0" collapsed="false">
      <c r="A40" s="90" t="s">
        <v>421</v>
      </c>
      <c r="B40" s="91" t="n">
        <v>0</v>
      </c>
      <c r="C40" s="91" t="n">
        <v>12</v>
      </c>
      <c r="D40" s="91" t="n">
        <v>0</v>
      </c>
      <c r="E40" s="91" t="n">
        <v>464</v>
      </c>
      <c r="F40" s="91" t="n">
        <v>894</v>
      </c>
      <c r="G40" s="91" t="n">
        <v>978</v>
      </c>
      <c r="H40" s="91" t="n">
        <f aca="false">SUM(B40:G40)</f>
        <v>2348</v>
      </c>
    </row>
    <row r="41" customFormat="false" ht="15" hidden="false" customHeight="true" outlineLevel="0" collapsed="false">
      <c r="A41" s="90" t="s">
        <v>422</v>
      </c>
      <c r="B41" s="91" t="n">
        <f aca="false">'LW 2026 P&amp;L'!C13</f>
        <v>0</v>
      </c>
      <c r="C41" s="91" t="n">
        <f aca="false">'LW 2026 P&amp;L'!E13</f>
        <v>12</v>
      </c>
      <c r="D41" s="91" t="n">
        <f aca="false">'LW 2026 P&amp;L'!G13</f>
        <v>1</v>
      </c>
      <c r="E41" s="91" t="n">
        <f aca="false">'LW 2026 P&amp;L'!I13</f>
        <v>496</v>
      </c>
      <c r="F41" s="91" t="n">
        <f aca="false">'LW 2026 P&amp;L'!K13</f>
        <v>1015</v>
      </c>
      <c r="G41" s="91" t="n">
        <f aca="false">'LW 2026 P&amp;L'!M13</f>
        <v>1101</v>
      </c>
      <c r="H41" s="91" t="n">
        <f aca="false">SUM(B41:G41)</f>
        <v>2625</v>
      </c>
    </row>
    <row r="42" customFormat="false" ht="15" hidden="false" customHeight="true" outlineLevel="0" collapsed="false">
      <c r="A42" s="92" t="s">
        <v>423</v>
      </c>
      <c r="B42" s="93" t="n">
        <f aca="false">B41-B40</f>
        <v>0</v>
      </c>
      <c r="C42" s="93" t="n">
        <f aca="false">C41-C40</f>
        <v>0</v>
      </c>
      <c r="D42" s="93" t="n">
        <f aca="false">D41-D40</f>
        <v>1</v>
      </c>
      <c r="E42" s="93" t="n">
        <f aca="false">E41-E40</f>
        <v>32</v>
      </c>
      <c r="F42" s="93" t="n">
        <f aca="false">F41-F40</f>
        <v>121</v>
      </c>
      <c r="G42" s="93" t="n">
        <f aca="false">G41-G40</f>
        <v>123</v>
      </c>
      <c r="H42" s="93" t="n">
        <f aca="false">SUM(B42:G42)</f>
        <v>277</v>
      </c>
    </row>
    <row r="43" customFormat="false" ht="15" hidden="false" customHeight="true" outlineLevel="0" collapsed="false">
      <c r="A43" s="90" t="s">
        <v>424</v>
      </c>
      <c r="B43" s="91" t="n">
        <v>131</v>
      </c>
      <c r="C43" s="91" t="n">
        <v>143</v>
      </c>
      <c r="D43" s="91" t="n">
        <v>1513</v>
      </c>
      <c r="E43" s="91" t="n">
        <v>614</v>
      </c>
      <c r="F43" s="91" t="n">
        <v>235</v>
      </c>
      <c r="G43" s="91" t="n">
        <v>287</v>
      </c>
      <c r="H43" s="91" t="n">
        <f aca="false">SUM(B43:G43)</f>
        <v>2923</v>
      </c>
    </row>
    <row r="44" customFormat="false" ht="15" hidden="false" customHeight="true" outlineLevel="0" collapsed="false">
      <c r="A44" s="90" t="s">
        <v>425</v>
      </c>
      <c r="B44" s="91" t="n">
        <v>1028</v>
      </c>
      <c r="C44" s="91" t="n">
        <v>1595</v>
      </c>
      <c r="D44" s="91" t="n">
        <v>1075</v>
      </c>
      <c r="E44" s="91" t="n">
        <v>55</v>
      </c>
      <c r="F44" s="91" t="n">
        <v>103</v>
      </c>
      <c r="G44" s="91" t="n">
        <v>35</v>
      </c>
      <c r="H44" s="91" t="n">
        <f aca="false">SUM(B44:G44)</f>
        <v>3891</v>
      </c>
    </row>
    <row r="45" customFormat="false" ht="15" hidden="false" customHeight="true" outlineLevel="0" collapsed="false">
      <c r="A45" s="90" t="s">
        <v>426</v>
      </c>
      <c r="B45" s="91" t="n">
        <f aca="false">'LW 2026 P&amp;L'!C14</f>
        <v>854</v>
      </c>
      <c r="C45" s="91" t="n">
        <f aca="false">'LW 2026 P&amp;L'!E14</f>
        <v>28</v>
      </c>
      <c r="D45" s="91" t="n">
        <f aca="false">'LW 2026 P&amp;L'!G14</f>
        <v>1473</v>
      </c>
      <c r="E45" s="91" t="n">
        <f aca="false">'LW 2026 P&amp;L'!I14</f>
        <v>664</v>
      </c>
      <c r="F45" s="91" t="n">
        <f aca="false">'LW 2026 P&amp;L'!K14</f>
        <v>330</v>
      </c>
      <c r="G45" s="91" t="n">
        <f aca="false">'LW 2026 P&amp;L'!M14</f>
        <v>259</v>
      </c>
      <c r="H45" s="91" t="n">
        <f aca="false">SUM(B45:G45)</f>
        <v>3608</v>
      </c>
    </row>
    <row r="47" customFormat="false" ht="15" hidden="false" customHeight="true" outlineLevel="0" collapsed="false">
      <c r="A47" s="89" t="s">
        <v>427</v>
      </c>
      <c r="B47" s="89"/>
      <c r="C47" s="89"/>
      <c r="D47" s="89"/>
      <c r="E47" s="89"/>
      <c r="F47" s="89"/>
      <c r="G47" s="89"/>
      <c r="H47" s="89"/>
    </row>
    <row r="48" customFormat="false" ht="15" hidden="false" customHeight="true" outlineLevel="0" collapsed="false">
      <c r="A48" s="90" t="s">
        <v>428</v>
      </c>
      <c r="H48" s="91" t="n">
        <v>139215</v>
      </c>
    </row>
    <row r="49" customFormat="false" ht="15" hidden="false" customHeight="true" outlineLevel="0" collapsed="false">
      <c r="A49" s="90" t="s">
        <v>429</v>
      </c>
      <c r="H49" s="91" t="n">
        <v>-6718</v>
      </c>
    </row>
    <row r="50" customFormat="false" ht="15" hidden="false" customHeight="true" outlineLevel="0" collapsed="false">
      <c r="A50" s="90" t="s">
        <v>430</v>
      </c>
      <c r="H50" s="91" t="n">
        <v>132497</v>
      </c>
    </row>
    <row r="51" customFormat="false" ht="15" hidden="false" customHeight="true" outlineLevel="0" collapsed="false">
      <c r="A51" s="90" t="s">
        <v>431</v>
      </c>
      <c r="H51" s="91" t="n">
        <v>595</v>
      </c>
    </row>
    <row r="52" customFormat="false" ht="15" hidden="false" customHeight="true" outlineLevel="0" collapsed="false">
      <c r="A52" s="90" t="s">
        <v>432</v>
      </c>
      <c r="H52" s="91" t="n">
        <v>133092</v>
      </c>
    </row>
    <row r="54" customFormat="false" ht="15" hidden="false" customHeight="true" outlineLevel="0" collapsed="false">
      <c r="A54" s="97" t="s">
        <v>433</v>
      </c>
    </row>
    <row r="56" customFormat="false" ht="15" hidden="false" customHeight="true" outlineLevel="0" collapsed="false">
      <c r="A56" s="89" t="s">
        <v>434</v>
      </c>
      <c r="B56" s="89"/>
      <c r="C56" s="89"/>
      <c r="D56" s="89"/>
      <c r="E56" s="89"/>
      <c r="F56" s="89"/>
      <c r="G56" s="89"/>
      <c r="H56" s="89"/>
    </row>
    <row r="57" customFormat="false" ht="15" hidden="false" customHeight="true" outlineLevel="0" collapsed="false">
      <c r="A57" s="90" t="s">
        <v>435</v>
      </c>
    </row>
    <row r="58" customFormat="false" ht="15" hidden="false" customHeight="true" outlineLevel="0" collapsed="false">
      <c r="A58" s="90" t="s">
        <v>436</v>
      </c>
    </row>
    <row r="59" customFormat="false" ht="15" hidden="false" customHeight="true" outlineLevel="0" collapsed="false">
      <c r="A59" s="90" t="s">
        <v>437</v>
      </c>
    </row>
    <row r="60" customFormat="false" ht="15" hidden="false" customHeight="true" outlineLevel="0" collapsed="false">
      <c r="A60" s="90" t="s">
        <v>438</v>
      </c>
    </row>
    <row r="61" customFormat="false" ht="15" hidden="false" customHeight="true" outlineLevel="0" collapsed="false">
      <c r="A61" s="90" t="s">
        <v>439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AE1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1" min="2" style="0" width="9.5"/>
  </cols>
  <sheetData>
    <row r="1" customFormat="false" ht="17.35" hidden="false" customHeight="false" outlineLevel="0" collapsed="false">
      <c r="A1" s="98" t="s">
        <v>157</v>
      </c>
    </row>
    <row r="2" customFormat="false" ht="15" hidden="false" customHeight="false" outlineLevel="0" collapsed="false">
      <c r="A2" s="99" t="s">
        <v>440</v>
      </c>
    </row>
    <row r="4" customFormat="false" ht="15" hidden="false" customHeight="false" outlineLevel="0" collapsed="false">
      <c r="B4" s="100" t="s">
        <v>441</v>
      </c>
      <c r="E4" s="100" t="s">
        <v>442</v>
      </c>
      <c r="L4" s="100" t="s">
        <v>443</v>
      </c>
      <c r="S4" s="100" t="s">
        <v>444</v>
      </c>
      <c r="Y4" s="100" t="s">
        <v>445</v>
      </c>
    </row>
    <row r="5" customFormat="false" ht="15" hidden="false" customHeight="false" outlineLevel="0" collapsed="false">
      <c r="A5" s="101" t="s">
        <v>446</v>
      </c>
      <c r="B5" s="88" t="s">
        <v>447</v>
      </c>
      <c r="C5" s="88" t="s">
        <v>448</v>
      </c>
      <c r="D5" s="88" t="s">
        <v>449</v>
      </c>
      <c r="E5" s="88" t="s">
        <v>227</v>
      </c>
      <c r="F5" s="88" t="s">
        <v>228</v>
      </c>
      <c r="G5" s="88" t="s">
        <v>229</v>
      </c>
      <c r="H5" s="88" t="s">
        <v>230</v>
      </c>
      <c r="I5" s="88" t="s">
        <v>231</v>
      </c>
      <c r="J5" s="88" t="s">
        <v>232</v>
      </c>
      <c r="K5" s="88" t="s">
        <v>450</v>
      </c>
      <c r="L5" s="88" t="s">
        <v>227</v>
      </c>
      <c r="M5" s="88" t="s">
        <v>228</v>
      </c>
      <c r="N5" s="88" t="s">
        <v>229</v>
      </c>
      <c r="O5" s="88" t="s">
        <v>230</v>
      </c>
      <c r="P5" s="88" t="s">
        <v>231</v>
      </c>
      <c r="Q5" s="88" t="s">
        <v>232</v>
      </c>
      <c r="R5" s="88" t="s">
        <v>451</v>
      </c>
      <c r="S5" s="88" t="s">
        <v>233</v>
      </c>
      <c r="T5" s="88" t="s">
        <v>234</v>
      </c>
      <c r="U5" s="88" t="s">
        <v>235</v>
      </c>
      <c r="V5" s="88" t="s">
        <v>236</v>
      </c>
      <c r="W5" s="88" t="s">
        <v>237</v>
      </c>
      <c r="X5" s="88" t="s">
        <v>238</v>
      </c>
      <c r="Y5" s="88" t="s">
        <v>233</v>
      </c>
      <c r="Z5" s="88" t="s">
        <v>234</v>
      </c>
      <c r="AA5" s="88" t="s">
        <v>235</v>
      </c>
      <c r="AB5" s="88" t="s">
        <v>236</v>
      </c>
      <c r="AC5" s="88" t="s">
        <v>237</v>
      </c>
      <c r="AD5" s="88" t="s">
        <v>238</v>
      </c>
      <c r="AE5" s="88" t="s">
        <v>452</v>
      </c>
    </row>
    <row r="6" customFormat="false" ht="15" hidden="false" customHeight="false" outlineLevel="0" collapsed="false">
      <c r="A6" s="102" t="s">
        <v>453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</row>
    <row r="7" customFormat="false" ht="15" hidden="false" customHeight="false" outlineLevel="0" collapsed="false">
      <c r="A7" s="103" t="s">
        <v>454</v>
      </c>
      <c r="B7" s="104" t="n">
        <v>0.5</v>
      </c>
      <c r="C7" s="105" t="n">
        <f aca="false">IF(K7=0,0,R7/K7)</f>
        <v>5.53445990722333</v>
      </c>
      <c r="D7" s="105" t="n">
        <f aca="false">C7+B7</f>
        <v>6.03445990722333</v>
      </c>
      <c r="E7" s="106" t="n">
        <v>480</v>
      </c>
      <c r="F7" s="106" t="n">
        <v>387</v>
      </c>
      <c r="G7" s="106" t="n">
        <v>528</v>
      </c>
      <c r="H7" s="106" t="n">
        <v>436</v>
      </c>
      <c r="I7" s="106" t="n">
        <v>610</v>
      </c>
      <c r="J7" s="106" t="n">
        <v>577</v>
      </c>
      <c r="K7" s="106" t="n">
        <f aca="false">SUM(E7:J7)</f>
        <v>3018</v>
      </c>
      <c r="L7" s="107" t="n">
        <v>2675</v>
      </c>
      <c r="M7" s="107" t="n">
        <v>2166</v>
      </c>
      <c r="N7" s="107" t="n">
        <v>2928</v>
      </c>
      <c r="O7" s="107" t="n">
        <v>2378</v>
      </c>
      <c r="P7" s="107" t="n">
        <v>3352</v>
      </c>
      <c r="Q7" s="107" t="n">
        <v>3204</v>
      </c>
      <c r="R7" s="107" t="n">
        <f aca="false">SUM(L7:Q7)</f>
        <v>16703</v>
      </c>
      <c r="S7" s="108" t="n">
        <v>541</v>
      </c>
      <c r="T7" s="108" t="n">
        <v>541</v>
      </c>
      <c r="U7" s="108" t="n">
        <v>541</v>
      </c>
      <c r="V7" s="108" t="n">
        <v>541</v>
      </c>
      <c r="W7" s="108" t="n">
        <v>541</v>
      </c>
      <c r="X7" s="108" t="n">
        <v>541</v>
      </c>
      <c r="Y7" s="107" t="n">
        <f aca="false">S7*$D7</f>
        <v>3264.64280980782</v>
      </c>
      <c r="Z7" s="107" t="n">
        <f aca="false">T7*$D7</f>
        <v>3264.64280980782</v>
      </c>
      <c r="AA7" s="107" t="n">
        <f aca="false">U7*$D7</f>
        <v>3264.64280980782</v>
      </c>
      <c r="AB7" s="107" t="n">
        <f aca="false">V7*$D7</f>
        <v>3264.64280980782</v>
      </c>
      <c r="AC7" s="107" t="n">
        <f aca="false">W7*$D7</f>
        <v>3264.64280980782</v>
      </c>
      <c r="AD7" s="107" t="n">
        <f aca="false">X7*$D7</f>
        <v>3264.64280980782</v>
      </c>
      <c r="AE7" s="107" t="n">
        <f aca="false">SUM(Y7:AD7)</f>
        <v>19587.8568588469</v>
      </c>
    </row>
    <row r="8" customFormat="false" ht="15" hidden="false" customHeight="false" outlineLevel="0" collapsed="false">
      <c r="A8" s="103" t="s">
        <v>455</v>
      </c>
      <c r="B8" s="104" t="n">
        <v>0.5</v>
      </c>
      <c r="C8" s="105" t="n">
        <f aca="false">IF(K8=0,0,R8/K8)</f>
        <v>3.46032639279685</v>
      </c>
      <c r="D8" s="105" t="n">
        <f aca="false">C8+B8</f>
        <v>3.96032639279685</v>
      </c>
      <c r="E8" s="106" t="n">
        <v>277</v>
      </c>
      <c r="F8" s="106" t="n">
        <v>269</v>
      </c>
      <c r="G8" s="106" t="n">
        <v>401</v>
      </c>
      <c r="H8" s="106" t="n">
        <v>251</v>
      </c>
      <c r="I8" s="106" t="n">
        <v>256</v>
      </c>
      <c r="J8" s="106" t="n">
        <v>323</v>
      </c>
      <c r="K8" s="106" t="n">
        <f aca="false">SUM(E8:J8)</f>
        <v>1777</v>
      </c>
      <c r="L8" s="107" t="n">
        <v>963</v>
      </c>
      <c r="M8" s="107" t="n">
        <v>940</v>
      </c>
      <c r="N8" s="107" t="n">
        <v>1409</v>
      </c>
      <c r="O8" s="107" t="n">
        <v>849</v>
      </c>
      <c r="P8" s="107" t="n">
        <v>868</v>
      </c>
      <c r="Q8" s="107" t="n">
        <v>1120</v>
      </c>
      <c r="R8" s="107" t="n">
        <f aca="false">SUM(L8:Q8)</f>
        <v>6149</v>
      </c>
      <c r="S8" s="108" t="n">
        <v>277</v>
      </c>
      <c r="T8" s="108" t="n">
        <v>277</v>
      </c>
      <c r="U8" s="108" t="n">
        <v>277</v>
      </c>
      <c r="V8" s="108" t="n">
        <v>277</v>
      </c>
      <c r="W8" s="108" t="n">
        <v>277</v>
      </c>
      <c r="X8" s="108" t="n">
        <v>277</v>
      </c>
      <c r="Y8" s="107" t="n">
        <f aca="false">S8*$D8</f>
        <v>1097.01041080473</v>
      </c>
      <c r="Z8" s="107" t="n">
        <f aca="false">T8*$D8</f>
        <v>1097.01041080473</v>
      </c>
      <c r="AA8" s="107" t="n">
        <f aca="false">U8*$D8</f>
        <v>1097.01041080473</v>
      </c>
      <c r="AB8" s="107" t="n">
        <f aca="false">V8*$D8</f>
        <v>1097.01041080473</v>
      </c>
      <c r="AC8" s="107" t="n">
        <f aca="false">W8*$D8</f>
        <v>1097.01041080473</v>
      </c>
      <c r="AD8" s="107" t="n">
        <f aca="false">X8*$D8</f>
        <v>1097.01041080473</v>
      </c>
      <c r="AE8" s="107" t="n">
        <f aca="false">SUM(Y8:AD8)</f>
        <v>6582.06246482836</v>
      </c>
    </row>
    <row r="9" customFormat="false" ht="15" hidden="false" customHeight="false" outlineLevel="0" collapsed="false">
      <c r="A9" s="103" t="s">
        <v>456</v>
      </c>
      <c r="B9" s="104" t="n">
        <v>0.45</v>
      </c>
      <c r="C9" s="105" t="n">
        <f aca="false">IF(K9=0,0,R9/K9)</f>
        <v>5.25669436749769</v>
      </c>
      <c r="D9" s="105" t="n">
        <f aca="false">C9+B9</f>
        <v>5.70669436749769</v>
      </c>
      <c r="E9" s="106" t="n">
        <v>83</v>
      </c>
      <c r="F9" s="106" t="n">
        <v>103</v>
      </c>
      <c r="G9" s="106" t="n">
        <v>199</v>
      </c>
      <c r="H9" s="106" t="n">
        <v>191</v>
      </c>
      <c r="I9" s="106" t="n">
        <v>247</v>
      </c>
      <c r="J9" s="106" t="n">
        <v>260</v>
      </c>
      <c r="K9" s="106" t="n">
        <f aca="false">SUM(E9:J9)</f>
        <v>1083</v>
      </c>
      <c r="L9" s="107" t="n">
        <v>427</v>
      </c>
      <c r="M9" s="107" t="n">
        <v>520</v>
      </c>
      <c r="N9" s="107" t="n">
        <v>1032</v>
      </c>
      <c r="O9" s="107" t="n">
        <v>997</v>
      </c>
      <c r="P9" s="107" t="n">
        <v>1322</v>
      </c>
      <c r="Q9" s="107" t="n">
        <v>1395</v>
      </c>
      <c r="R9" s="107" t="n">
        <f aca="false">SUM(L9:Q9)</f>
        <v>5693</v>
      </c>
      <c r="S9" s="108" t="n">
        <v>233</v>
      </c>
      <c r="T9" s="108" t="n">
        <v>233</v>
      </c>
      <c r="U9" s="108" t="n">
        <v>233</v>
      </c>
      <c r="V9" s="108" t="n">
        <v>233</v>
      </c>
      <c r="W9" s="108" t="n">
        <v>233</v>
      </c>
      <c r="X9" s="108" t="n">
        <v>233</v>
      </c>
      <c r="Y9" s="107" t="n">
        <f aca="false">S9*$D9</f>
        <v>1329.65978762696</v>
      </c>
      <c r="Z9" s="107" t="n">
        <f aca="false">T9*$D9</f>
        <v>1329.65978762696</v>
      </c>
      <c r="AA9" s="107" t="n">
        <f aca="false">U9*$D9</f>
        <v>1329.65978762696</v>
      </c>
      <c r="AB9" s="107" t="n">
        <f aca="false">V9*$D9</f>
        <v>1329.65978762696</v>
      </c>
      <c r="AC9" s="107" t="n">
        <f aca="false">W9*$D9</f>
        <v>1329.65978762696</v>
      </c>
      <c r="AD9" s="107" t="n">
        <f aca="false">X9*$D9</f>
        <v>1329.65978762696</v>
      </c>
      <c r="AE9" s="107" t="n">
        <f aca="false">SUM(Y9:AD9)</f>
        <v>7977.95872576177</v>
      </c>
    </row>
    <row r="10" customFormat="false" ht="15" hidden="false" customHeight="false" outlineLevel="0" collapsed="false">
      <c r="A10" s="103" t="s">
        <v>457</v>
      </c>
      <c r="B10" s="104" t="n">
        <v>0.5</v>
      </c>
      <c r="C10" s="105" t="n">
        <f aca="false">IF(K10=0,0,R10/K10)</f>
        <v>6.74639175257732</v>
      </c>
      <c r="D10" s="105" t="n">
        <f aca="false">C10+B10</f>
        <v>7.24639175257732</v>
      </c>
      <c r="E10" s="106" t="n">
        <v>38</v>
      </c>
      <c r="F10" s="106" t="n">
        <v>60</v>
      </c>
      <c r="G10" s="106" t="n">
        <v>68</v>
      </c>
      <c r="H10" s="106" t="n">
        <v>94</v>
      </c>
      <c r="I10" s="106" t="n">
        <v>88</v>
      </c>
      <c r="J10" s="106" t="n">
        <v>137</v>
      </c>
      <c r="K10" s="106" t="n">
        <f aca="false">SUM(E10:J10)</f>
        <v>485</v>
      </c>
      <c r="L10" s="107" t="n">
        <v>245</v>
      </c>
      <c r="M10" s="107" t="n">
        <v>396</v>
      </c>
      <c r="N10" s="107" t="n">
        <v>443</v>
      </c>
      <c r="O10" s="107" t="n">
        <v>641</v>
      </c>
      <c r="P10" s="107" t="n">
        <v>585</v>
      </c>
      <c r="Q10" s="107" t="n">
        <v>962</v>
      </c>
      <c r="R10" s="107" t="n">
        <f aca="false">SUM(L10:Q10)</f>
        <v>3272</v>
      </c>
      <c r="S10" s="108" t="n">
        <v>106</v>
      </c>
      <c r="T10" s="108" t="n">
        <v>106</v>
      </c>
      <c r="U10" s="108" t="n">
        <v>106</v>
      </c>
      <c r="V10" s="108" t="n">
        <v>106</v>
      </c>
      <c r="W10" s="108" t="n">
        <v>106</v>
      </c>
      <c r="X10" s="108" t="n">
        <v>106</v>
      </c>
      <c r="Y10" s="107" t="n">
        <f aca="false">S10*$D10</f>
        <v>768.117525773196</v>
      </c>
      <c r="Z10" s="107" t="n">
        <f aca="false">T10*$D10</f>
        <v>768.117525773196</v>
      </c>
      <c r="AA10" s="107" t="n">
        <f aca="false">U10*$D10</f>
        <v>768.117525773196</v>
      </c>
      <c r="AB10" s="107" t="n">
        <f aca="false">V10*$D10</f>
        <v>768.117525773196</v>
      </c>
      <c r="AC10" s="107" t="n">
        <f aca="false">W10*$D10</f>
        <v>768.117525773196</v>
      </c>
      <c r="AD10" s="107" t="n">
        <f aca="false">X10*$D10</f>
        <v>768.117525773196</v>
      </c>
      <c r="AE10" s="107" t="n">
        <f aca="false">SUM(Y10:AD10)</f>
        <v>4608.70515463918</v>
      </c>
    </row>
    <row r="11" customFormat="false" ht="15" hidden="false" customHeight="false" outlineLevel="0" collapsed="false">
      <c r="A11" s="103" t="s">
        <v>458</v>
      </c>
      <c r="B11" s="104" t="n">
        <v>0</v>
      </c>
      <c r="C11" s="105" t="n">
        <f aca="false">IF(K11=0,0,R11/K11)</f>
        <v>2.8422131147541</v>
      </c>
      <c r="D11" s="105" t="n">
        <f aca="false">C11+B11</f>
        <v>2.8422131147541</v>
      </c>
      <c r="E11" s="106" t="n">
        <v>33</v>
      </c>
      <c r="F11" s="106" t="n">
        <v>22</v>
      </c>
      <c r="G11" s="106" t="n">
        <v>441</v>
      </c>
      <c r="H11" s="106" t="n">
        <v>148</v>
      </c>
      <c r="I11" s="106" t="n">
        <v>93</v>
      </c>
      <c r="J11" s="106" t="n">
        <v>239</v>
      </c>
      <c r="K11" s="106" t="n">
        <f aca="false">SUM(E11:J11)</f>
        <v>976</v>
      </c>
      <c r="L11" s="107" t="n">
        <v>109</v>
      </c>
      <c r="M11" s="107" t="n">
        <v>74</v>
      </c>
      <c r="N11" s="107" t="n">
        <v>1436</v>
      </c>
      <c r="O11" s="107" t="n">
        <v>66</v>
      </c>
      <c r="P11" s="107" t="n">
        <v>300</v>
      </c>
      <c r="Q11" s="107" t="n">
        <v>789</v>
      </c>
      <c r="R11" s="107" t="n">
        <f aca="false">SUM(L11:Q11)</f>
        <v>2774</v>
      </c>
      <c r="S11" s="108" t="n">
        <v>160</v>
      </c>
      <c r="T11" s="108" t="n">
        <v>160</v>
      </c>
      <c r="U11" s="108" t="n">
        <v>160</v>
      </c>
      <c r="V11" s="108" t="n">
        <v>160</v>
      </c>
      <c r="W11" s="108" t="n">
        <v>160</v>
      </c>
      <c r="X11" s="108" t="n">
        <v>160</v>
      </c>
      <c r="Y11" s="107" t="n">
        <f aca="false">S11*$D11</f>
        <v>454.754098360656</v>
      </c>
      <c r="Z11" s="107" t="n">
        <f aca="false">T11*$D11</f>
        <v>454.754098360656</v>
      </c>
      <c r="AA11" s="107" t="n">
        <f aca="false">U11*$D11</f>
        <v>454.754098360656</v>
      </c>
      <c r="AB11" s="107" t="n">
        <f aca="false">V11*$D11</f>
        <v>454.754098360656</v>
      </c>
      <c r="AC11" s="107" t="n">
        <f aca="false">W11*$D11</f>
        <v>454.754098360656</v>
      </c>
      <c r="AD11" s="107" t="n">
        <f aca="false">X11*$D11</f>
        <v>454.754098360656</v>
      </c>
      <c r="AE11" s="107" t="n">
        <f aca="false">SUM(Y11:AD11)</f>
        <v>2728.52459016393</v>
      </c>
    </row>
    <row r="12" customFormat="false" ht="15" hidden="false" customHeight="false" outlineLevel="0" collapsed="false">
      <c r="A12" s="103" t="s">
        <v>459</v>
      </c>
      <c r="B12" s="104" t="n">
        <v>0</v>
      </c>
      <c r="C12" s="105" t="n">
        <f aca="false">IF(K12=0,0,R12/K12)</f>
        <v>5.71428571428571</v>
      </c>
      <c r="D12" s="105" t="n">
        <f aca="false">C12+B12</f>
        <v>5.71428571428571</v>
      </c>
      <c r="E12" s="106" t="n">
        <v>58</v>
      </c>
      <c r="F12" s="106" t="n">
        <v>89</v>
      </c>
      <c r="G12" s="106" t="n">
        <v>82</v>
      </c>
      <c r="H12" s="106" t="n">
        <v>51</v>
      </c>
      <c r="I12" s="106" t="n">
        <v>105</v>
      </c>
      <c r="J12" s="106" t="n">
        <v>84</v>
      </c>
      <c r="K12" s="106" t="n">
        <f aca="false">SUM(E12:J12)</f>
        <v>469</v>
      </c>
      <c r="L12" s="107" t="n">
        <v>340</v>
      </c>
      <c r="M12" s="107" t="n">
        <v>528</v>
      </c>
      <c r="N12" s="107" t="n">
        <v>463</v>
      </c>
      <c r="O12" s="107" t="n">
        <v>288</v>
      </c>
      <c r="P12" s="107" t="n">
        <v>581</v>
      </c>
      <c r="Q12" s="107" t="n">
        <v>480</v>
      </c>
      <c r="R12" s="107" t="n">
        <f aca="false">SUM(L12:Q12)</f>
        <v>2680</v>
      </c>
      <c r="S12" s="108" t="n">
        <v>80</v>
      </c>
      <c r="T12" s="108" t="n">
        <v>80</v>
      </c>
      <c r="U12" s="108" t="n">
        <v>80</v>
      </c>
      <c r="V12" s="108" t="n">
        <v>80</v>
      </c>
      <c r="W12" s="108" t="n">
        <v>80</v>
      </c>
      <c r="X12" s="108" t="n">
        <v>80</v>
      </c>
      <c r="Y12" s="107" t="n">
        <f aca="false">S12*$D12</f>
        <v>457.142857142857</v>
      </c>
      <c r="Z12" s="107" t="n">
        <f aca="false">T12*$D12</f>
        <v>457.142857142857</v>
      </c>
      <c r="AA12" s="107" t="n">
        <f aca="false">U12*$D12</f>
        <v>457.142857142857</v>
      </c>
      <c r="AB12" s="107" t="n">
        <f aca="false">V12*$D12</f>
        <v>457.142857142857</v>
      </c>
      <c r="AC12" s="107" t="n">
        <f aca="false">W12*$D12</f>
        <v>457.142857142857</v>
      </c>
      <c r="AD12" s="107" t="n">
        <f aca="false">X12*$D12</f>
        <v>457.142857142857</v>
      </c>
      <c r="AE12" s="107" t="n">
        <f aca="false">SUM(Y12:AD12)</f>
        <v>2742.85714285714</v>
      </c>
    </row>
    <row r="13" customFormat="false" ht="15" hidden="false" customHeight="false" outlineLevel="0" collapsed="false">
      <c r="A13" s="103" t="s">
        <v>460</v>
      </c>
      <c r="B13" s="104" t="n">
        <v>0.25</v>
      </c>
      <c r="C13" s="105" t="n">
        <f aca="false">IF(K13=0,0,R13/K13)</f>
        <v>4.02874432677761</v>
      </c>
      <c r="D13" s="105" t="n">
        <f aca="false">C13+B13</f>
        <v>4.27874432677761</v>
      </c>
      <c r="E13" s="106" t="n">
        <v>92</v>
      </c>
      <c r="F13" s="106" t="n">
        <v>77</v>
      </c>
      <c r="G13" s="106" t="n">
        <v>123</v>
      </c>
      <c r="H13" s="106" t="n">
        <v>110</v>
      </c>
      <c r="I13" s="106" t="n">
        <v>126</v>
      </c>
      <c r="J13" s="106" t="n">
        <v>133</v>
      </c>
      <c r="K13" s="106" t="n">
        <f aca="false">SUM(E13:J13)</f>
        <v>661</v>
      </c>
      <c r="L13" s="107" t="n">
        <v>360</v>
      </c>
      <c r="M13" s="107" t="n">
        <v>315</v>
      </c>
      <c r="N13" s="107" t="n">
        <v>498</v>
      </c>
      <c r="O13" s="107" t="n">
        <v>440</v>
      </c>
      <c r="P13" s="107" t="n">
        <v>505</v>
      </c>
      <c r="Q13" s="107" t="n">
        <v>545</v>
      </c>
      <c r="R13" s="107" t="n">
        <f aca="false">SUM(L13:Q13)</f>
        <v>2663</v>
      </c>
      <c r="S13" s="108" t="n">
        <v>123</v>
      </c>
      <c r="T13" s="108" t="n">
        <v>123</v>
      </c>
      <c r="U13" s="108" t="n">
        <v>123</v>
      </c>
      <c r="V13" s="108" t="n">
        <v>123</v>
      </c>
      <c r="W13" s="108" t="n">
        <v>123</v>
      </c>
      <c r="X13" s="108" t="n">
        <v>123</v>
      </c>
      <c r="Y13" s="107" t="n">
        <f aca="false">S13*$D13</f>
        <v>526.285552193646</v>
      </c>
      <c r="Z13" s="107" t="n">
        <f aca="false">T13*$D13</f>
        <v>526.285552193646</v>
      </c>
      <c r="AA13" s="107" t="n">
        <f aca="false">U13*$D13</f>
        <v>526.285552193646</v>
      </c>
      <c r="AB13" s="107" t="n">
        <f aca="false">V13*$D13</f>
        <v>526.285552193646</v>
      </c>
      <c r="AC13" s="107" t="n">
        <f aca="false">W13*$D13</f>
        <v>526.285552193646</v>
      </c>
      <c r="AD13" s="107" t="n">
        <f aca="false">X13*$D13</f>
        <v>526.285552193646</v>
      </c>
      <c r="AE13" s="107" t="n">
        <f aca="false">SUM(Y13:AD13)</f>
        <v>3157.71331316188</v>
      </c>
    </row>
    <row r="14" customFormat="false" ht="15" hidden="false" customHeight="false" outlineLevel="0" collapsed="false">
      <c r="A14" s="103" t="s">
        <v>461</v>
      </c>
      <c r="B14" s="104" t="n">
        <v>0.5</v>
      </c>
      <c r="C14" s="105" t="n">
        <f aca="false">IF(K14=0,0,R14/K14)</f>
        <v>4.369384359401</v>
      </c>
      <c r="D14" s="105" t="n">
        <f aca="false">C14+B14</f>
        <v>4.869384359401</v>
      </c>
      <c r="E14" s="106" t="n">
        <v>60</v>
      </c>
      <c r="F14" s="106" t="n">
        <v>110</v>
      </c>
      <c r="G14" s="106" t="n">
        <v>128</v>
      </c>
      <c r="H14" s="106" t="n">
        <v>87</v>
      </c>
      <c r="I14" s="106" t="n">
        <v>127</v>
      </c>
      <c r="J14" s="106" t="n">
        <v>89</v>
      </c>
      <c r="K14" s="106" t="n">
        <f aca="false">SUM(E14:J14)</f>
        <v>601</v>
      </c>
      <c r="L14" s="107" t="n">
        <v>263</v>
      </c>
      <c r="M14" s="107" t="n">
        <v>474</v>
      </c>
      <c r="N14" s="107" t="n">
        <v>566</v>
      </c>
      <c r="O14" s="107" t="n">
        <v>375</v>
      </c>
      <c r="P14" s="107" t="n">
        <v>562</v>
      </c>
      <c r="Q14" s="107" t="n">
        <v>386</v>
      </c>
      <c r="R14" s="107" t="n">
        <f aca="false">SUM(L14:Q14)</f>
        <v>2626</v>
      </c>
      <c r="S14" s="108" t="n">
        <v>101</v>
      </c>
      <c r="T14" s="108" t="n">
        <v>101</v>
      </c>
      <c r="U14" s="108" t="n">
        <v>101</v>
      </c>
      <c r="V14" s="108" t="n">
        <v>101</v>
      </c>
      <c r="W14" s="108" t="n">
        <v>101</v>
      </c>
      <c r="X14" s="108" t="n">
        <v>101</v>
      </c>
      <c r="Y14" s="107" t="n">
        <f aca="false">S14*$D14</f>
        <v>491.807820299501</v>
      </c>
      <c r="Z14" s="107" t="n">
        <f aca="false">T14*$D14</f>
        <v>491.807820299501</v>
      </c>
      <c r="AA14" s="107" t="n">
        <f aca="false">U14*$D14</f>
        <v>491.807820299501</v>
      </c>
      <c r="AB14" s="107" t="n">
        <f aca="false">V14*$D14</f>
        <v>491.807820299501</v>
      </c>
      <c r="AC14" s="107" t="n">
        <f aca="false">W14*$D14</f>
        <v>491.807820299501</v>
      </c>
      <c r="AD14" s="107" t="n">
        <f aca="false">X14*$D14</f>
        <v>491.807820299501</v>
      </c>
      <c r="AE14" s="107" t="n">
        <f aca="false">SUM(Y14:AD14)</f>
        <v>2950.846921797</v>
      </c>
    </row>
    <row r="15" customFormat="false" ht="15" hidden="false" customHeight="false" outlineLevel="0" collapsed="false">
      <c r="A15" s="103" t="s">
        <v>462</v>
      </c>
      <c r="B15" s="104" t="n">
        <v>0</v>
      </c>
      <c r="C15" s="105" t="n">
        <f aca="false">IF(K15=0,0,R15/K15)</f>
        <v>6.10991957104558</v>
      </c>
      <c r="D15" s="105" t="n">
        <f aca="false">C15+B15</f>
        <v>6.10991957104558</v>
      </c>
      <c r="E15" s="106" t="n">
        <v>55</v>
      </c>
      <c r="F15" s="106" t="n">
        <v>53</v>
      </c>
      <c r="G15" s="106" t="n">
        <v>61</v>
      </c>
      <c r="H15" s="106" t="n">
        <v>53</v>
      </c>
      <c r="I15" s="106" t="n">
        <v>78</v>
      </c>
      <c r="J15" s="106" t="n">
        <v>73</v>
      </c>
      <c r="K15" s="106" t="n">
        <f aca="false">SUM(E15:J15)</f>
        <v>373</v>
      </c>
      <c r="L15" s="107" t="n">
        <v>348</v>
      </c>
      <c r="M15" s="107" t="n">
        <v>322</v>
      </c>
      <c r="N15" s="107" t="n">
        <v>356</v>
      </c>
      <c r="O15" s="107" t="n">
        <v>331</v>
      </c>
      <c r="P15" s="107" t="n">
        <v>460</v>
      </c>
      <c r="Q15" s="107" t="n">
        <v>462</v>
      </c>
      <c r="R15" s="107" t="n">
        <f aca="false">SUM(L15:Q15)</f>
        <v>2279</v>
      </c>
      <c r="S15" s="108" t="n">
        <v>68</v>
      </c>
      <c r="T15" s="108" t="n">
        <v>68</v>
      </c>
      <c r="U15" s="108" t="n">
        <v>68</v>
      </c>
      <c r="V15" s="108" t="n">
        <v>68</v>
      </c>
      <c r="W15" s="108" t="n">
        <v>68</v>
      </c>
      <c r="X15" s="108" t="n">
        <v>68</v>
      </c>
      <c r="Y15" s="107" t="n">
        <f aca="false">S15*$D15</f>
        <v>415.474530831099</v>
      </c>
      <c r="Z15" s="107" t="n">
        <f aca="false">T15*$D15</f>
        <v>415.474530831099</v>
      </c>
      <c r="AA15" s="107" t="n">
        <f aca="false">U15*$D15</f>
        <v>415.474530831099</v>
      </c>
      <c r="AB15" s="107" t="n">
        <f aca="false">V15*$D15</f>
        <v>415.474530831099</v>
      </c>
      <c r="AC15" s="107" t="n">
        <f aca="false">W15*$D15</f>
        <v>415.474530831099</v>
      </c>
      <c r="AD15" s="107" t="n">
        <f aca="false">X15*$D15</f>
        <v>415.474530831099</v>
      </c>
      <c r="AE15" s="107" t="n">
        <f aca="false">SUM(Y15:AD15)</f>
        <v>2492.8471849866</v>
      </c>
    </row>
    <row r="16" customFormat="false" ht="15" hidden="false" customHeight="false" outlineLevel="0" collapsed="false">
      <c r="A16" s="103" t="s">
        <v>463</v>
      </c>
      <c r="B16" s="104" t="n">
        <v>0</v>
      </c>
      <c r="C16" s="105" t="n">
        <f aca="false">IF(K16=0,0,R16/K16)</f>
        <v>3.98189134808853</v>
      </c>
      <c r="D16" s="105" t="n">
        <f aca="false">C16+B16</f>
        <v>3.98189134808853</v>
      </c>
      <c r="E16" s="106" t="n">
        <v>56</v>
      </c>
      <c r="F16" s="106" t="n">
        <v>137</v>
      </c>
      <c r="G16" s="106" t="n">
        <v>172</v>
      </c>
      <c r="H16" s="106" t="n">
        <v>132</v>
      </c>
      <c r="I16" s="106" t="n">
        <v>0</v>
      </c>
      <c r="J16" s="106" t="n">
        <v>0</v>
      </c>
      <c r="K16" s="106" t="n">
        <f aca="false">SUM(E16:J16)</f>
        <v>497</v>
      </c>
      <c r="L16" s="107" t="n">
        <v>222</v>
      </c>
      <c r="M16" s="107" t="n">
        <v>546</v>
      </c>
      <c r="N16" s="107" t="n">
        <v>686</v>
      </c>
      <c r="O16" s="107" t="n">
        <v>525</v>
      </c>
      <c r="P16" s="107" t="n">
        <v>0</v>
      </c>
      <c r="Q16" s="107" t="n">
        <v>0</v>
      </c>
      <c r="R16" s="107" t="n">
        <f aca="false">SUM(L16:Q16)</f>
        <v>1979</v>
      </c>
      <c r="S16" s="108" t="n">
        <v>44</v>
      </c>
      <c r="T16" s="108" t="n">
        <v>44</v>
      </c>
      <c r="U16" s="108" t="n">
        <v>44</v>
      </c>
      <c r="V16" s="108" t="n">
        <v>44</v>
      </c>
      <c r="W16" s="108" t="n">
        <v>44</v>
      </c>
      <c r="X16" s="108" t="n">
        <v>44</v>
      </c>
      <c r="Y16" s="107" t="n">
        <f aca="false">S16*$D16</f>
        <v>175.203219315895</v>
      </c>
      <c r="Z16" s="107" t="n">
        <f aca="false">T16*$D16</f>
        <v>175.203219315895</v>
      </c>
      <c r="AA16" s="107" t="n">
        <f aca="false">U16*$D16</f>
        <v>175.203219315895</v>
      </c>
      <c r="AB16" s="107" t="n">
        <f aca="false">V16*$D16</f>
        <v>175.203219315895</v>
      </c>
      <c r="AC16" s="107" t="n">
        <f aca="false">W16*$D16</f>
        <v>175.203219315895</v>
      </c>
      <c r="AD16" s="107" t="n">
        <f aca="false">X16*$D16</f>
        <v>175.203219315895</v>
      </c>
      <c r="AE16" s="107" t="n">
        <f aca="false">SUM(Y16:AD16)</f>
        <v>1051.21931589537</v>
      </c>
    </row>
    <row r="17" customFormat="false" ht="15" hidden="false" customHeight="false" outlineLevel="0" collapsed="false">
      <c r="A17" s="103" t="s">
        <v>464</v>
      </c>
      <c r="B17" s="104" t="n">
        <v>0</v>
      </c>
      <c r="C17" s="105" t="n">
        <f aca="false">IF(K17=0,0,R17/K17)</f>
        <v>5.803125</v>
      </c>
      <c r="D17" s="105" t="n">
        <f aca="false">C17+B17</f>
        <v>5.803125</v>
      </c>
      <c r="E17" s="106" t="n">
        <v>34</v>
      </c>
      <c r="F17" s="106" t="n">
        <v>43</v>
      </c>
      <c r="G17" s="106" t="n">
        <v>61</v>
      </c>
      <c r="H17" s="106" t="n">
        <v>54</v>
      </c>
      <c r="I17" s="106" t="n">
        <v>41</v>
      </c>
      <c r="J17" s="106" t="n">
        <v>87</v>
      </c>
      <c r="K17" s="106" t="n">
        <f aca="false">SUM(E17:J17)</f>
        <v>320</v>
      </c>
      <c r="L17" s="107" t="n">
        <v>185</v>
      </c>
      <c r="M17" s="107" t="n">
        <v>258</v>
      </c>
      <c r="N17" s="107" t="n">
        <v>359</v>
      </c>
      <c r="O17" s="107" t="n">
        <v>304</v>
      </c>
      <c r="P17" s="107" t="n">
        <v>235</v>
      </c>
      <c r="Q17" s="107" t="n">
        <v>516</v>
      </c>
      <c r="R17" s="107" t="n">
        <f aca="false">SUM(L17:Q17)</f>
        <v>1857</v>
      </c>
      <c r="S17" s="108" t="n">
        <v>61</v>
      </c>
      <c r="T17" s="108" t="n">
        <v>61</v>
      </c>
      <c r="U17" s="108" t="n">
        <v>61</v>
      </c>
      <c r="V17" s="108" t="n">
        <v>61</v>
      </c>
      <c r="W17" s="108" t="n">
        <v>61</v>
      </c>
      <c r="X17" s="108" t="n">
        <v>61</v>
      </c>
      <c r="Y17" s="107" t="n">
        <f aca="false">S17*$D17</f>
        <v>353.990625</v>
      </c>
      <c r="Z17" s="107" t="n">
        <f aca="false">T17*$D17</f>
        <v>353.990625</v>
      </c>
      <c r="AA17" s="107" t="n">
        <f aca="false">U17*$D17</f>
        <v>353.990625</v>
      </c>
      <c r="AB17" s="107" t="n">
        <f aca="false">V17*$D17</f>
        <v>353.990625</v>
      </c>
      <c r="AC17" s="107" t="n">
        <f aca="false">W17*$D17</f>
        <v>353.990625</v>
      </c>
      <c r="AD17" s="107" t="n">
        <f aca="false">X17*$D17</f>
        <v>353.990625</v>
      </c>
      <c r="AE17" s="107" t="n">
        <f aca="false">SUM(Y17:AD17)</f>
        <v>2123.94375</v>
      </c>
    </row>
    <row r="18" customFormat="false" ht="15" hidden="false" customHeight="false" outlineLevel="0" collapsed="false">
      <c r="A18" s="103" t="s">
        <v>465</v>
      </c>
      <c r="B18" s="104" t="n">
        <v>0</v>
      </c>
      <c r="C18" s="105" t="n">
        <f aca="false">IF(K18=0,0,R18/K18)</f>
        <v>3.97796143250689</v>
      </c>
      <c r="D18" s="105" t="n">
        <f aca="false">C18+B18</f>
        <v>3.97796143250689</v>
      </c>
      <c r="E18" s="106" t="n">
        <v>0</v>
      </c>
      <c r="F18" s="106" t="n">
        <v>0</v>
      </c>
      <c r="G18" s="106" t="n">
        <v>0</v>
      </c>
      <c r="H18" s="106" t="n">
        <v>3</v>
      </c>
      <c r="I18" s="106" t="n">
        <v>167</v>
      </c>
      <c r="J18" s="106" t="n">
        <v>193</v>
      </c>
      <c r="K18" s="106" t="n">
        <f aca="false">SUM(E18:J18)</f>
        <v>363</v>
      </c>
      <c r="L18" s="107" t="n">
        <v>0</v>
      </c>
      <c r="M18" s="107" t="n">
        <v>0</v>
      </c>
      <c r="N18" s="107" t="n">
        <v>0</v>
      </c>
      <c r="O18" s="107" t="n">
        <v>12</v>
      </c>
      <c r="P18" s="107" t="n">
        <v>666</v>
      </c>
      <c r="Q18" s="107" t="n">
        <v>766</v>
      </c>
      <c r="R18" s="107" t="n">
        <f aca="false">SUM(L18:Q18)</f>
        <v>1444</v>
      </c>
      <c r="S18" s="108" t="n">
        <v>121</v>
      </c>
      <c r="T18" s="108" t="n">
        <v>121</v>
      </c>
      <c r="U18" s="108" t="n">
        <v>121</v>
      </c>
      <c r="V18" s="108" t="n">
        <v>121</v>
      </c>
      <c r="W18" s="108" t="n">
        <v>121</v>
      </c>
      <c r="X18" s="108" t="n">
        <v>121</v>
      </c>
      <c r="Y18" s="107" t="n">
        <f aca="false">S18*$D18</f>
        <v>481.333333333333</v>
      </c>
      <c r="Z18" s="107" t="n">
        <f aca="false">T18*$D18</f>
        <v>481.333333333333</v>
      </c>
      <c r="AA18" s="107" t="n">
        <f aca="false">U18*$D18</f>
        <v>481.333333333333</v>
      </c>
      <c r="AB18" s="107" t="n">
        <f aca="false">V18*$D18</f>
        <v>481.333333333333</v>
      </c>
      <c r="AC18" s="107" t="n">
        <f aca="false">W18*$D18</f>
        <v>481.333333333333</v>
      </c>
      <c r="AD18" s="107" t="n">
        <f aca="false">X18*$D18</f>
        <v>481.333333333333</v>
      </c>
      <c r="AE18" s="107" t="n">
        <f aca="false">SUM(Y18:AD18)</f>
        <v>2888</v>
      </c>
    </row>
    <row r="19" customFormat="false" ht="15" hidden="false" customHeight="false" outlineLevel="0" collapsed="false">
      <c r="A19" s="103" t="s">
        <v>466</v>
      </c>
      <c r="B19" s="104" t="n">
        <v>0</v>
      </c>
      <c r="C19" s="105" t="n">
        <f aca="false">IF(K19=0,0,R19/K19)</f>
        <v>3.47721179624665</v>
      </c>
      <c r="D19" s="105" t="n">
        <f aca="false">C19+B19</f>
        <v>3.47721179624665</v>
      </c>
      <c r="E19" s="106" t="n">
        <v>67</v>
      </c>
      <c r="F19" s="106" t="n">
        <v>54</v>
      </c>
      <c r="G19" s="106" t="n">
        <v>73</v>
      </c>
      <c r="H19" s="106" t="n">
        <v>48</v>
      </c>
      <c r="I19" s="106" t="n">
        <v>72</v>
      </c>
      <c r="J19" s="106" t="n">
        <v>59</v>
      </c>
      <c r="K19" s="106" t="n">
        <f aca="false">SUM(E19:J19)</f>
        <v>373</v>
      </c>
      <c r="L19" s="107" t="n">
        <v>225</v>
      </c>
      <c r="M19" s="107" t="n">
        <v>182</v>
      </c>
      <c r="N19" s="107" t="n">
        <v>259</v>
      </c>
      <c r="O19" s="107" t="n">
        <v>164</v>
      </c>
      <c r="P19" s="107" t="n">
        <v>252</v>
      </c>
      <c r="Q19" s="107" t="n">
        <v>215</v>
      </c>
      <c r="R19" s="107" t="n">
        <f aca="false">SUM(L19:Q19)</f>
        <v>1297</v>
      </c>
      <c r="S19" s="108" t="n">
        <v>60</v>
      </c>
      <c r="T19" s="108" t="n">
        <v>60</v>
      </c>
      <c r="U19" s="108" t="n">
        <v>60</v>
      </c>
      <c r="V19" s="108" t="n">
        <v>60</v>
      </c>
      <c r="W19" s="108" t="n">
        <v>60</v>
      </c>
      <c r="X19" s="108" t="n">
        <v>60</v>
      </c>
      <c r="Y19" s="107" t="n">
        <f aca="false">S19*$D19</f>
        <v>208.632707774799</v>
      </c>
      <c r="Z19" s="107" t="n">
        <f aca="false">T19*$D19</f>
        <v>208.632707774799</v>
      </c>
      <c r="AA19" s="107" t="n">
        <f aca="false">U19*$D19</f>
        <v>208.632707774799</v>
      </c>
      <c r="AB19" s="107" t="n">
        <f aca="false">V19*$D19</f>
        <v>208.632707774799</v>
      </c>
      <c r="AC19" s="107" t="n">
        <f aca="false">W19*$D19</f>
        <v>208.632707774799</v>
      </c>
      <c r="AD19" s="107" t="n">
        <f aca="false">X19*$D19</f>
        <v>208.632707774799</v>
      </c>
      <c r="AE19" s="107" t="n">
        <f aca="false">SUM(Y19:AD19)</f>
        <v>1251.79624664879</v>
      </c>
    </row>
    <row r="20" customFormat="false" ht="15" hidden="false" customHeight="false" outlineLevel="0" collapsed="false">
      <c r="A20" s="103" t="s">
        <v>467</v>
      </c>
      <c r="B20" s="104" t="n">
        <v>0</v>
      </c>
      <c r="C20" s="105" t="n">
        <f aca="false">IF(K20=0,0,R20/K20)</f>
        <v>3.57057057057057</v>
      </c>
      <c r="D20" s="105" t="n">
        <f aca="false">C20+B20</f>
        <v>3.57057057057057</v>
      </c>
      <c r="E20" s="106" t="n">
        <v>40</v>
      </c>
      <c r="F20" s="106" t="n">
        <v>44</v>
      </c>
      <c r="G20" s="106" t="n">
        <v>49</v>
      </c>
      <c r="H20" s="106" t="n">
        <v>65</v>
      </c>
      <c r="I20" s="106" t="n">
        <v>74</v>
      </c>
      <c r="J20" s="106" t="n">
        <v>61</v>
      </c>
      <c r="K20" s="106" t="n">
        <f aca="false">SUM(E20:J20)</f>
        <v>333</v>
      </c>
      <c r="L20" s="107" t="n">
        <v>142</v>
      </c>
      <c r="M20" s="107" t="n">
        <v>155</v>
      </c>
      <c r="N20" s="107" t="n">
        <v>173</v>
      </c>
      <c r="O20" s="107" t="n">
        <v>230</v>
      </c>
      <c r="P20" s="107" t="n">
        <v>272</v>
      </c>
      <c r="Q20" s="107" t="n">
        <v>217</v>
      </c>
      <c r="R20" s="107" t="n">
        <f aca="false">SUM(L20:Q20)</f>
        <v>1189</v>
      </c>
      <c r="S20" s="108" t="n">
        <v>67</v>
      </c>
      <c r="T20" s="108" t="n">
        <v>67</v>
      </c>
      <c r="U20" s="108" t="n">
        <v>67</v>
      </c>
      <c r="V20" s="108" t="n">
        <v>67</v>
      </c>
      <c r="W20" s="108" t="n">
        <v>67</v>
      </c>
      <c r="X20" s="108" t="n">
        <v>67</v>
      </c>
      <c r="Y20" s="107" t="n">
        <f aca="false">S20*$D20</f>
        <v>239.228228228228</v>
      </c>
      <c r="Z20" s="107" t="n">
        <f aca="false">T20*$D20</f>
        <v>239.228228228228</v>
      </c>
      <c r="AA20" s="107" t="n">
        <f aca="false">U20*$D20</f>
        <v>239.228228228228</v>
      </c>
      <c r="AB20" s="107" t="n">
        <f aca="false">V20*$D20</f>
        <v>239.228228228228</v>
      </c>
      <c r="AC20" s="107" t="n">
        <f aca="false">W20*$D20</f>
        <v>239.228228228228</v>
      </c>
      <c r="AD20" s="107" t="n">
        <f aca="false">X20*$D20</f>
        <v>239.228228228228</v>
      </c>
      <c r="AE20" s="107" t="n">
        <f aca="false">SUM(Y20:AD20)</f>
        <v>1435.36936936937</v>
      </c>
    </row>
    <row r="21" customFormat="false" ht="15" hidden="false" customHeight="false" outlineLevel="0" collapsed="false">
      <c r="A21" s="103" t="s">
        <v>468</v>
      </c>
      <c r="B21" s="104" t="n">
        <v>0</v>
      </c>
      <c r="C21" s="105" t="n">
        <f aca="false">IF(K21=0,0,R21/K21)</f>
        <v>4.26640926640927</v>
      </c>
      <c r="D21" s="105" t="n">
        <f aca="false">C21+B21</f>
        <v>4.26640926640927</v>
      </c>
      <c r="E21" s="106" t="n">
        <v>36</v>
      </c>
      <c r="F21" s="106" t="n">
        <v>37</v>
      </c>
      <c r="G21" s="106" t="n">
        <v>52</v>
      </c>
      <c r="H21" s="106" t="n">
        <v>49</v>
      </c>
      <c r="I21" s="106" t="n">
        <v>56</v>
      </c>
      <c r="J21" s="106" t="n">
        <v>29</v>
      </c>
      <c r="K21" s="106" t="n">
        <f aca="false">SUM(E21:J21)</f>
        <v>259</v>
      </c>
      <c r="L21" s="107" t="n">
        <v>149</v>
      </c>
      <c r="M21" s="107" t="n">
        <v>160</v>
      </c>
      <c r="N21" s="107" t="n">
        <v>226</v>
      </c>
      <c r="O21" s="107" t="n">
        <v>210</v>
      </c>
      <c r="P21" s="107" t="n">
        <v>234</v>
      </c>
      <c r="Q21" s="107" t="n">
        <v>126</v>
      </c>
      <c r="R21" s="107" t="n">
        <f aca="false">SUM(L21:Q21)</f>
        <v>1105</v>
      </c>
      <c r="S21" s="108" t="n">
        <v>45</v>
      </c>
      <c r="T21" s="108" t="n">
        <v>45</v>
      </c>
      <c r="U21" s="108" t="n">
        <v>45</v>
      </c>
      <c r="V21" s="108" t="n">
        <v>45</v>
      </c>
      <c r="W21" s="108" t="n">
        <v>45</v>
      </c>
      <c r="X21" s="108" t="n">
        <v>45</v>
      </c>
      <c r="Y21" s="107" t="n">
        <f aca="false">S21*$D21</f>
        <v>191.988416988417</v>
      </c>
      <c r="Z21" s="107" t="n">
        <f aca="false">T21*$D21</f>
        <v>191.988416988417</v>
      </c>
      <c r="AA21" s="107" t="n">
        <f aca="false">U21*$D21</f>
        <v>191.988416988417</v>
      </c>
      <c r="AB21" s="107" t="n">
        <f aca="false">V21*$D21</f>
        <v>191.988416988417</v>
      </c>
      <c r="AC21" s="107" t="n">
        <f aca="false">W21*$D21</f>
        <v>191.988416988417</v>
      </c>
      <c r="AD21" s="107" t="n">
        <f aca="false">X21*$D21</f>
        <v>191.988416988417</v>
      </c>
      <c r="AE21" s="107" t="n">
        <f aca="false">SUM(Y21:AD21)</f>
        <v>1151.9305019305</v>
      </c>
    </row>
    <row r="22" customFormat="false" ht="15" hidden="false" customHeight="false" outlineLevel="0" collapsed="false">
      <c r="A22" s="103" t="s">
        <v>469</v>
      </c>
      <c r="B22" s="104" t="n">
        <v>0</v>
      </c>
      <c r="C22" s="105" t="n">
        <f aca="false">IF(K22=0,0,R22/K22)</f>
        <v>9.58260869565218</v>
      </c>
      <c r="D22" s="105" t="n">
        <f aca="false">C22+B22</f>
        <v>9.58260869565218</v>
      </c>
      <c r="E22" s="106" t="n">
        <v>0</v>
      </c>
      <c r="F22" s="106" t="n">
        <v>0</v>
      </c>
      <c r="G22" s="106" t="n">
        <v>17</v>
      </c>
      <c r="H22" s="106" t="n">
        <v>25</v>
      </c>
      <c r="I22" s="106" t="n">
        <v>27</v>
      </c>
      <c r="J22" s="106" t="n">
        <v>46</v>
      </c>
      <c r="K22" s="106" t="n">
        <f aca="false">SUM(E22:J22)</f>
        <v>115</v>
      </c>
      <c r="L22" s="107" t="n">
        <v>0</v>
      </c>
      <c r="M22" s="107" t="n">
        <v>0</v>
      </c>
      <c r="N22" s="107" t="n">
        <v>170</v>
      </c>
      <c r="O22" s="107" t="n">
        <v>222</v>
      </c>
      <c r="P22" s="107" t="n">
        <v>264</v>
      </c>
      <c r="Q22" s="107" t="n">
        <v>446</v>
      </c>
      <c r="R22" s="107" t="n">
        <f aca="false">SUM(L22:Q22)</f>
        <v>1102</v>
      </c>
      <c r="S22" s="108" t="n">
        <v>33</v>
      </c>
      <c r="T22" s="108" t="n">
        <v>33</v>
      </c>
      <c r="U22" s="108" t="n">
        <v>33</v>
      </c>
      <c r="V22" s="108" t="n">
        <v>33</v>
      </c>
      <c r="W22" s="108" t="n">
        <v>33</v>
      </c>
      <c r="X22" s="108" t="n">
        <v>33</v>
      </c>
      <c r="Y22" s="107" t="n">
        <f aca="false">S22*$D22</f>
        <v>316.226086956522</v>
      </c>
      <c r="Z22" s="107" t="n">
        <f aca="false">T22*$D22</f>
        <v>316.226086956522</v>
      </c>
      <c r="AA22" s="107" t="n">
        <f aca="false">U22*$D22</f>
        <v>316.226086956522</v>
      </c>
      <c r="AB22" s="107" t="n">
        <f aca="false">V22*$D22</f>
        <v>316.226086956522</v>
      </c>
      <c r="AC22" s="107" t="n">
        <f aca="false">W22*$D22</f>
        <v>316.226086956522</v>
      </c>
      <c r="AD22" s="107" t="n">
        <f aca="false">X22*$D22</f>
        <v>316.226086956522</v>
      </c>
      <c r="AE22" s="107" t="n">
        <f aca="false">SUM(Y22:AD22)</f>
        <v>1897.35652173913</v>
      </c>
    </row>
    <row r="23" customFormat="false" ht="15" hidden="false" customHeight="false" outlineLevel="0" collapsed="false">
      <c r="A23" s="103" t="s">
        <v>470</v>
      </c>
      <c r="B23" s="104" t="n">
        <v>0.25</v>
      </c>
      <c r="C23" s="105" t="n">
        <f aca="false">IF(K23=0,0,R23/K23)</f>
        <v>6.44375</v>
      </c>
      <c r="D23" s="105" t="n">
        <f aca="false">C23+B23</f>
        <v>6.69375</v>
      </c>
      <c r="E23" s="106" t="n">
        <v>16</v>
      </c>
      <c r="F23" s="106" t="n">
        <v>26</v>
      </c>
      <c r="G23" s="106" t="n">
        <v>28</v>
      </c>
      <c r="H23" s="106" t="n">
        <v>31</v>
      </c>
      <c r="I23" s="106" t="n">
        <v>31</v>
      </c>
      <c r="J23" s="106" t="n">
        <v>28</v>
      </c>
      <c r="K23" s="106" t="n">
        <f aca="false">SUM(E23:J23)</f>
        <v>160</v>
      </c>
      <c r="L23" s="107" t="n">
        <v>102</v>
      </c>
      <c r="M23" s="107" t="n">
        <v>173</v>
      </c>
      <c r="N23" s="107" t="n">
        <v>177</v>
      </c>
      <c r="O23" s="107" t="n">
        <v>198</v>
      </c>
      <c r="P23" s="107" t="n">
        <v>204</v>
      </c>
      <c r="Q23" s="107" t="n">
        <v>177</v>
      </c>
      <c r="R23" s="107" t="n">
        <f aca="false">SUM(L23:Q23)</f>
        <v>1031</v>
      </c>
      <c r="S23" s="108" t="n">
        <v>30</v>
      </c>
      <c r="T23" s="108" t="n">
        <v>30</v>
      </c>
      <c r="U23" s="108" t="n">
        <v>30</v>
      </c>
      <c r="V23" s="108" t="n">
        <v>30</v>
      </c>
      <c r="W23" s="108" t="n">
        <v>30</v>
      </c>
      <c r="X23" s="108" t="n">
        <v>30</v>
      </c>
      <c r="Y23" s="107" t="n">
        <f aca="false">S23*$D23</f>
        <v>200.8125</v>
      </c>
      <c r="Z23" s="107" t="n">
        <f aca="false">T23*$D23</f>
        <v>200.8125</v>
      </c>
      <c r="AA23" s="107" t="n">
        <f aca="false">U23*$D23</f>
        <v>200.8125</v>
      </c>
      <c r="AB23" s="107" t="n">
        <f aca="false">V23*$D23</f>
        <v>200.8125</v>
      </c>
      <c r="AC23" s="107" t="n">
        <f aca="false">W23*$D23</f>
        <v>200.8125</v>
      </c>
      <c r="AD23" s="107" t="n">
        <f aca="false">X23*$D23</f>
        <v>200.8125</v>
      </c>
      <c r="AE23" s="107" t="n">
        <f aca="false">SUM(Y23:AD23)</f>
        <v>1204.875</v>
      </c>
    </row>
    <row r="24" customFormat="false" ht="15" hidden="false" customHeight="false" outlineLevel="0" collapsed="false">
      <c r="A24" s="103" t="s">
        <v>471</v>
      </c>
      <c r="B24" s="104" t="n">
        <v>0</v>
      </c>
      <c r="C24" s="105" t="n">
        <f aca="false">IF(K24=0,0,R24/K24)</f>
        <v>7.84070796460177</v>
      </c>
      <c r="D24" s="105" t="n">
        <f aca="false">C24+B24</f>
        <v>7.84070796460177</v>
      </c>
      <c r="E24" s="106" t="n">
        <v>13</v>
      </c>
      <c r="F24" s="106" t="n">
        <v>28</v>
      </c>
      <c r="G24" s="106" t="n">
        <v>53</v>
      </c>
      <c r="H24" s="106" t="n">
        <v>19</v>
      </c>
      <c r="I24" s="106" t="n">
        <v>0</v>
      </c>
      <c r="J24" s="106" t="n">
        <v>0</v>
      </c>
      <c r="K24" s="106" t="n">
        <f aca="false">SUM(E24:J24)</f>
        <v>113</v>
      </c>
      <c r="L24" s="107" t="n">
        <v>99</v>
      </c>
      <c r="M24" s="107" t="n">
        <v>220</v>
      </c>
      <c r="N24" s="107" t="n">
        <v>420</v>
      </c>
      <c r="O24" s="107" t="n">
        <v>147</v>
      </c>
      <c r="P24" s="107" t="n">
        <v>0</v>
      </c>
      <c r="Q24" s="107" t="n">
        <v>0</v>
      </c>
      <c r="R24" s="107" t="n">
        <f aca="false">SUM(L24:Q24)</f>
        <v>886</v>
      </c>
      <c r="S24" s="108" t="n">
        <v>6</v>
      </c>
      <c r="T24" s="108" t="n">
        <v>6</v>
      </c>
      <c r="U24" s="108" t="n">
        <v>6</v>
      </c>
      <c r="V24" s="108" t="n">
        <v>6</v>
      </c>
      <c r="W24" s="108" t="n">
        <v>6</v>
      </c>
      <c r="X24" s="108" t="n">
        <v>6</v>
      </c>
      <c r="Y24" s="107" t="n">
        <f aca="false">S24*$D24</f>
        <v>47.0442477876106</v>
      </c>
      <c r="Z24" s="107" t="n">
        <f aca="false">T24*$D24</f>
        <v>47.0442477876106</v>
      </c>
      <c r="AA24" s="107" t="n">
        <f aca="false">U24*$D24</f>
        <v>47.0442477876106</v>
      </c>
      <c r="AB24" s="107" t="n">
        <f aca="false">V24*$D24</f>
        <v>47.0442477876106</v>
      </c>
      <c r="AC24" s="107" t="n">
        <f aca="false">W24*$D24</f>
        <v>47.0442477876106</v>
      </c>
      <c r="AD24" s="107" t="n">
        <f aca="false">X24*$D24</f>
        <v>47.0442477876106</v>
      </c>
      <c r="AE24" s="107" t="n">
        <f aca="false">SUM(Y24:AD24)</f>
        <v>282.265486725664</v>
      </c>
    </row>
    <row r="25" customFormat="false" ht="15" hidden="false" customHeight="false" outlineLevel="0" collapsed="false">
      <c r="A25" s="103" t="s">
        <v>472</v>
      </c>
      <c r="B25" s="104" t="n">
        <v>0</v>
      </c>
      <c r="C25" s="105" t="n">
        <f aca="false">IF(K25=0,0,R25/K25)</f>
        <v>4.20635651773376</v>
      </c>
      <c r="D25" s="105" t="n">
        <f aca="false">C25+B25</f>
        <v>4.20635651773376</v>
      </c>
      <c r="E25" s="106" t="n">
        <v>228</v>
      </c>
      <c r="F25" s="106" t="n">
        <v>273</v>
      </c>
      <c r="G25" s="106" t="n">
        <v>358</v>
      </c>
      <c r="H25" s="106" t="n">
        <v>377</v>
      </c>
      <c r="I25" s="106" t="n">
        <v>419</v>
      </c>
      <c r="J25" s="106" t="n">
        <v>516</v>
      </c>
      <c r="K25" s="106" t="n">
        <f aca="false">SUM(E25:J25)</f>
        <v>2171</v>
      </c>
      <c r="L25" s="107" t="n">
        <v>1062</v>
      </c>
      <c r="M25" s="107" t="n">
        <v>1184</v>
      </c>
      <c r="N25" s="107" t="n">
        <v>1372</v>
      </c>
      <c r="O25" s="107" t="n">
        <v>1469</v>
      </c>
      <c r="P25" s="107" t="n">
        <v>1853</v>
      </c>
      <c r="Q25" s="107" t="n">
        <v>2192</v>
      </c>
      <c r="R25" s="107" t="n">
        <f aca="false">SUM(L25:Q25)</f>
        <v>9132</v>
      </c>
      <c r="S25" s="108" t="n">
        <v>437</v>
      </c>
      <c r="T25" s="108" t="n">
        <v>437</v>
      </c>
      <c r="U25" s="108" t="n">
        <v>437</v>
      </c>
      <c r="V25" s="108" t="n">
        <v>437</v>
      </c>
      <c r="W25" s="108" t="n">
        <v>437</v>
      </c>
      <c r="X25" s="108" t="n">
        <v>437</v>
      </c>
      <c r="Y25" s="107" t="n">
        <f aca="false">S25*$D25</f>
        <v>1838.17779824965</v>
      </c>
      <c r="Z25" s="107" t="n">
        <f aca="false">T25*$D25</f>
        <v>1838.17779824965</v>
      </c>
      <c r="AA25" s="107" t="n">
        <f aca="false">U25*$D25</f>
        <v>1838.17779824965</v>
      </c>
      <c r="AB25" s="107" t="n">
        <f aca="false">V25*$D25</f>
        <v>1838.17779824965</v>
      </c>
      <c r="AC25" s="107" t="n">
        <f aca="false">W25*$D25</f>
        <v>1838.17779824965</v>
      </c>
      <c r="AD25" s="107" t="n">
        <f aca="false">X25*$D25</f>
        <v>1838.17779824965</v>
      </c>
      <c r="AE25" s="107" t="n">
        <f aca="false">SUM(Y25:AD25)</f>
        <v>11029.0667894979</v>
      </c>
    </row>
    <row r="26" customFormat="false" ht="15" hidden="false" customHeight="false" outlineLevel="0" collapsed="false">
      <c r="A26" s="109" t="s">
        <v>473</v>
      </c>
      <c r="B26" s="110"/>
      <c r="C26" s="110"/>
      <c r="D26" s="110"/>
      <c r="E26" s="111" t="n">
        <f aca="false">SUM(E7:E25)</f>
        <v>1666</v>
      </c>
      <c r="F26" s="111" t="n">
        <f aca="false">SUM(F7:F25)</f>
        <v>1812</v>
      </c>
      <c r="G26" s="111" t="n">
        <f aca="false">SUM(G7:G25)</f>
        <v>2894</v>
      </c>
      <c r="H26" s="111" t="n">
        <f aca="false">SUM(H7:H25)</f>
        <v>2224</v>
      </c>
      <c r="I26" s="111" t="n">
        <f aca="false">SUM(I7:I25)</f>
        <v>2617</v>
      </c>
      <c r="J26" s="111" t="n">
        <f aca="false">SUM(J7:J25)</f>
        <v>2934</v>
      </c>
      <c r="K26" s="111" t="n">
        <f aca="false">SUM(K7:K25)</f>
        <v>14147</v>
      </c>
      <c r="L26" s="112" t="n">
        <f aca="false">SUM(L7:L25)</f>
        <v>7916</v>
      </c>
      <c r="M26" s="112" t="n">
        <f aca="false">SUM(M7:M25)</f>
        <v>8613</v>
      </c>
      <c r="N26" s="112" t="n">
        <f aca="false">SUM(N7:N25)</f>
        <v>12973</v>
      </c>
      <c r="O26" s="112" t="n">
        <f aca="false">SUM(O7:O25)</f>
        <v>9846</v>
      </c>
      <c r="P26" s="112" t="n">
        <f aca="false">SUM(P7:P25)</f>
        <v>12515</v>
      </c>
      <c r="Q26" s="112" t="n">
        <f aca="false">SUM(Q7:Q25)</f>
        <v>13998</v>
      </c>
      <c r="R26" s="112" t="n">
        <f aca="false">SUM(R7:R25)</f>
        <v>65861</v>
      </c>
      <c r="S26" s="111" t="n">
        <f aca="false">SUM(S7:S25)</f>
        <v>2593</v>
      </c>
      <c r="T26" s="111" t="n">
        <f aca="false">SUM(T7:T25)</f>
        <v>2593</v>
      </c>
      <c r="U26" s="111" t="n">
        <f aca="false">SUM(U7:U25)</f>
        <v>2593</v>
      </c>
      <c r="V26" s="111" t="n">
        <f aca="false">SUM(V7:V25)</f>
        <v>2593</v>
      </c>
      <c r="W26" s="111" t="n">
        <f aca="false">SUM(W7:W25)</f>
        <v>2593</v>
      </c>
      <c r="X26" s="111" t="n">
        <f aca="false">SUM(X7:X25)</f>
        <v>2593</v>
      </c>
      <c r="Y26" s="112" t="n">
        <f aca="false">SUM(Y7:Y25)</f>
        <v>12857.5325564749</v>
      </c>
      <c r="Z26" s="112" t="n">
        <f aca="false">SUM(Z7:Z25)</f>
        <v>12857.5325564749</v>
      </c>
      <c r="AA26" s="112" t="n">
        <f aca="false">SUM(AA7:AA25)</f>
        <v>12857.5325564749</v>
      </c>
      <c r="AB26" s="112" t="n">
        <f aca="false">SUM(AB7:AB25)</f>
        <v>12857.5325564749</v>
      </c>
      <c r="AC26" s="112" t="n">
        <f aca="false">SUM(AC7:AC25)</f>
        <v>12857.5325564749</v>
      </c>
      <c r="AD26" s="112" t="n">
        <f aca="false">SUM(AD7:AD25)</f>
        <v>12857.5325564749</v>
      </c>
      <c r="AE26" s="112" t="n">
        <f aca="false">SUM(AE7:AE25)</f>
        <v>77145.1953388496</v>
      </c>
    </row>
    <row r="28" customFormat="false" ht="15" hidden="false" customHeight="false" outlineLevel="0" collapsed="false">
      <c r="A28" s="102" t="s">
        <v>474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</row>
    <row r="29" customFormat="false" ht="15" hidden="false" customHeight="false" outlineLevel="0" collapsed="false">
      <c r="A29" s="103" t="s">
        <v>475</v>
      </c>
      <c r="B29" s="104" t="n">
        <v>1</v>
      </c>
      <c r="C29" s="105" t="n">
        <f aca="false">IF(K29=0,0,R29/K29)</f>
        <v>11.8166259168704</v>
      </c>
      <c r="D29" s="105" t="n">
        <f aca="false">C29+B29</f>
        <v>12.8166259168704</v>
      </c>
      <c r="E29" s="106" t="n">
        <v>140</v>
      </c>
      <c r="F29" s="106" t="n">
        <v>124</v>
      </c>
      <c r="G29" s="106" t="n">
        <v>157</v>
      </c>
      <c r="H29" s="106" t="n">
        <v>131</v>
      </c>
      <c r="I29" s="106" t="n">
        <v>132</v>
      </c>
      <c r="J29" s="106" t="n">
        <v>134</v>
      </c>
      <c r="K29" s="106" t="n">
        <f aca="false">SUM(E29:J29)</f>
        <v>818</v>
      </c>
      <c r="L29" s="107" t="n">
        <v>1630</v>
      </c>
      <c r="M29" s="107" t="n">
        <v>1467</v>
      </c>
      <c r="N29" s="107" t="n">
        <v>1874</v>
      </c>
      <c r="O29" s="107" t="n">
        <v>1548</v>
      </c>
      <c r="P29" s="107" t="n">
        <v>1548</v>
      </c>
      <c r="Q29" s="107" t="n">
        <v>1599</v>
      </c>
      <c r="R29" s="107" t="n">
        <f aca="false">SUM(L29:Q29)</f>
        <v>9666</v>
      </c>
      <c r="S29" s="108" t="n">
        <v>132</v>
      </c>
      <c r="T29" s="108" t="n">
        <v>132</v>
      </c>
      <c r="U29" s="108" t="n">
        <v>132</v>
      </c>
      <c r="V29" s="108" t="n">
        <v>132</v>
      </c>
      <c r="W29" s="108" t="n">
        <v>132</v>
      </c>
      <c r="X29" s="108" t="n">
        <v>132</v>
      </c>
      <c r="Y29" s="107" t="n">
        <f aca="false">S29*$D29</f>
        <v>1691.7946210269</v>
      </c>
      <c r="Z29" s="107" t="n">
        <f aca="false">T29*$D29</f>
        <v>1691.7946210269</v>
      </c>
      <c r="AA29" s="107" t="n">
        <f aca="false">U29*$D29</f>
        <v>1691.7946210269</v>
      </c>
      <c r="AB29" s="107" t="n">
        <f aca="false">V29*$D29</f>
        <v>1691.7946210269</v>
      </c>
      <c r="AC29" s="107" t="n">
        <f aca="false">W29*$D29</f>
        <v>1691.7946210269</v>
      </c>
      <c r="AD29" s="107" t="n">
        <f aca="false">X29*$D29</f>
        <v>1691.7946210269</v>
      </c>
      <c r="AE29" s="107" t="n">
        <f aca="false">SUM(Y29:AD29)</f>
        <v>10150.7677261614</v>
      </c>
    </row>
    <row r="30" customFormat="false" ht="15" hidden="false" customHeight="false" outlineLevel="0" collapsed="false">
      <c r="A30" s="103" t="s">
        <v>476</v>
      </c>
      <c r="B30" s="104" t="n">
        <v>1</v>
      </c>
      <c r="C30" s="105" t="n">
        <f aca="false">IF(K30=0,0,R30/K30)</f>
        <v>9.77399380804954</v>
      </c>
      <c r="D30" s="105" t="n">
        <f aca="false">C30+B30</f>
        <v>10.7739938080495</v>
      </c>
      <c r="E30" s="106" t="n">
        <v>40</v>
      </c>
      <c r="F30" s="106" t="n">
        <v>39</v>
      </c>
      <c r="G30" s="106" t="n">
        <v>80</v>
      </c>
      <c r="H30" s="106" t="n">
        <v>64</v>
      </c>
      <c r="I30" s="106" t="n">
        <v>38</v>
      </c>
      <c r="J30" s="106" t="n">
        <v>62</v>
      </c>
      <c r="K30" s="106" t="n">
        <f aca="false">SUM(E30:J30)</f>
        <v>323</v>
      </c>
      <c r="L30" s="107" t="n">
        <v>401</v>
      </c>
      <c r="M30" s="107" t="n">
        <v>356</v>
      </c>
      <c r="N30" s="107" t="n">
        <v>796</v>
      </c>
      <c r="O30" s="107" t="n">
        <v>626</v>
      </c>
      <c r="P30" s="107" t="n">
        <v>368</v>
      </c>
      <c r="Q30" s="107" t="n">
        <v>610</v>
      </c>
      <c r="R30" s="107" t="n">
        <f aca="false">SUM(L30:Q30)</f>
        <v>3157</v>
      </c>
      <c r="S30" s="108" t="n">
        <v>55</v>
      </c>
      <c r="T30" s="108" t="n">
        <v>55</v>
      </c>
      <c r="U30" s="108" t="n">
        <v>55</v>
      </c>
      <c r="V30" s="108" t="n">
        <v>55</v>
      </c>
      <c r="W30" s="108" t="n">
        <v>55</v>
      </c>
      <c r="X30" s="108" t="n">
        <v>55</v>
      </c>
      <c r="Y30" s="107" t="n">
        <f aca="false">S30*$D30</f>
        <v>592.569659442725</v>
      </c>
      <c r="Z30" s="107" t="n">
        <f aca="false">T30*$D30</f>
        <v>592.569659442725</v>
      </c>
      <c r="AA30" s="107" t="n">
        <f aca="false">U30*$D30</f>
        <v>592.569659442725</v>
      </c>
      <c r="AB30" s="107" t="n">
        <f aca="false">V30*$D30</f>
        <v>592.569659442725</v>
      </c>
      <c r="AC30" s="107" t="n">
        <f aca="false">W30*$D30</f>
        <v>592.569659442725</v>
      </c>
      <c r="AD30" s="107" t="n">
        <f aca="false">X30*$D30</f>
        <v>592.569659442725</v>
      </c>
      <c r="AE30" s="107" t="n">
        <f aca="false">SUM(Y30:AD30)</f>
        <v>3555.41795665635</v>
      </c>
    </row>
    <row r="31" customFormat="false" ht="15" hidden="false" customHeight="false" outlineLevel="0" collapsed="false">
      <c r="A31" s="103" t="s">
        <v>477</v>
      </c>
      <c r="B31" s="104" t="n">
        <v>0</v>
      </c>
      <c r="C31" s="105" t="n">
        <f aca="false">IF(K31=0,0,R31/K31)</f>
        <v>5.12269938650307</v>
      </c>
      <c r="D31" s="105" t="n">
        <f aca="false">C31+B31</f>
        <v>5.12269938650307</v>
      </c>
      <c r="E31" s="106" t="n">
        <v>61</v>
      </c>
      <c r="F31" s="106" t="n">
        <v>82</v>
      </c>
      <c r="G31" s="106" t="n">
        <v>133</v>
      </c>
      <c r="H31" s="106" t="n">
        <v>48</v>
      </c>
      <c r="I31" s="106" t="n">
        <v>76</v>
      </c>
      <c r="J31" s="106" t="n">
        <v>89</v>
      </c>
      <c r="K31" s="106" t="n">
        <f aca="false">SUM(E31:J31)</f>
        <v>489</v>
      </c>
      <c r="L31" s="107" t="n">
        <v>233</v>
      </c>
      <c r="M31" s="107" t="n">
        <v>337</v>
      </c>
      <c r="N31" s="107" t="n">
        <v>698</v>
      </c>
      <c r="O31" s="107" t="n">
        <v>267</v>
      </c>
      <c r="P31" s="107" t="n">
        <v>442</v>
      </c>
      <c r="Q31" s="107" t="n">
        <v>528</v>
      </c>
      <c r="R31" s="107" t="n">
        <f aca="false">SUM(L31:Q31)</f>
        <v>2505</v>
      </c>
      <c r="S31" s="108" t="n">
        <v>71</v>
      </c>
      <c r="T31" s="108" t="n">
        <v>71</v>
      </c>
      <c r="U31" s="108" t="n">
        <v>71</v>
      </c>
      <c r="V31" s="108" t="n">
        <v>71</v>
      </c>
      <c r="W31" s="108" t="n">
        <v>71</v>
      </c>
      <c r="X31" s="108" t="n">
        <v>71</v>
      </c>
      <c r="Y31" s="107" t="n">
        <f aca="false">S31*$D31</f>
        <v>363.711656441718</v>
      </c>
      <c r="Z31" s="107" t="n">
        <f aca="false">T31*$D31</f>
        <v>363.711656441718</v>
      </c>
      <c r="AA31" s="107" t="n">
        <f aca="false">U31*$D31</f>
        <v>363.711656441718</v>
      </c>
      <c r="AB31" s="107" t="n">
        <f aca="false">V31*$D31</f>
        <v>363.711656441718</v>
      </c>
      <c r="AC31" s="107" t="n">
        <f aca="false">W31*$D31</f>
        <v>363.711656441718</v>
      </c>
      <c r="AD31" s="107" t="n">
        <f aca="false">X31*$D31</f>
        <v>363.711656441718</v>
      </c>
      <c r="AE31" s="107" t="n">
        <f aca="false">SUM(Y31:AD31)</f>
        <v>2182.26993865031</v>
      </c>
    </row>
    <row r="32" customFormat="false" ht="15" hidden="false" customHeight="false" outlineLevel="0" collapsed="false">
      <c r="A32" s="103" t="s">
        <v>478</v>
      </c>
      <c r="B32" s="104" t="n">
        <v>0</v>
      </c>
      <c r="C32" s="105" t="n">
        <f aca="false">IF(K32=0,0,R32/K32)</f>
        <v>13.5776397515528</v>
      </c>
      <c r="D32" s="105" t="n">
        <f aca="false">C32+B32</f>
        <v>13.5776397515528</v>
      </c>
      <c r="E32" s="106" t="n">
        <v>28</v>
      </c>
      <c r="F32" s="106" t="n">
        <v>35</v>
      </c>
      <c r="G32" s="106" t="n">
        <v>22</v>
      </c>
      <c r="H32" s="106" t="n">
        <v>28</v>
      </c>
      <c r="I32" s="106" t="n">
        <v>23</v>
      </c>
      <c r="J32" s="106" t="n">
        <v>25</v>
      </c>
      <c r="K32" s="106" t="n">
        <f aca="false">SUM(E32:J32)</f>
        <v>161</v>
      </c>
      <c r="L32" s="107" t="n">
        <v>376</v>
      </c>
      <c r="M32" s="107" t="n">
        <v>472</v>
      </c>
      <c r="N32" s="107" t="n">
        <v>308</v>
      </c>
      <c r="O32" s="107" t="n">
        <v>359</v>
      </c>
      <c r="P32" s="107" t="n">
        <v>322</v>
      </c>
      <c r="Q32" s="107" t="n">
        <v>349</v>
      </c>
      <c r="R32" s="107" t="n">
        <f aca="false">SUM(L32:Q32)</f>
        <v>2186</v>
      </c>
      <c r="S32" s="108" t="n">
        <v>25</v>
      </c>
      <c r="T32" s="108" t="n">
        <v>25</v>
      </c>
      <c r="U32" s="108" t="n">
        <v>25</v>
      </c>
      <c r="V32" s="108" t="n">
        <v>25</v>
      </c>
      <c r="W32" s="108" t="n">
        <v>25</v>
      </c>
      <c r="X32" s="108" t="n">
        <v>25</v>
      </c>
      <c r="Y32" s="107" t="n">
        <f aca="false">S32*$D32</f>
        <v>339.44099378882</v>
      </c>
      <c r="Z32" s="107" t="n">
        <f aca="false">T32*$D32</f>
        <v>339.44099378882</v>
      </c>
      <c r="AA32" s="107" t="n">
        <f aca="false">U32*$D32</f>
        <v>339.44099378882</v>
      </c>
      <c r="AB32" s="107" t="n">
        <f aca="false">V32*$D32</f>
        <v>339.44099378882</v>
      </c>
      <c r="AC32" s="107" t="n">
        <f aca="false">W32*$D32</f>
        <v>339.44099378882</v>
      </c>
      <c r="AD32" s="107" t="n">
        <f aca="false">X32*$D32</f>
        <v>339.44099378882</v>
      </c>
      <c r="AE32" s="107" t="n">
        <f aca="false">SUM(Y32:AD32)</f>
        <v>2036.64596273292</v>
      </c>
    </row>
    <row r="33" customFormat="false" ht="15" hidden="false" customHeight="false" outlineLevel="0" collapsed="false">
      <c r="A33" s="103" t="s">
        <v>479</v>
      </c>
      <c r="B33" s="104" t="n">
        <v>0</v>
      </c>
      <c r="C33" s="105" t="n">
        <f aca="false">IF(K33=0,0,R33/K33)</f>
        <v>5.06984126984127</v>
      </c>
      <c r="D33" s="105" t="n">
        <f aca="false">C33+B33</f>
        <v>5.06984126984127</v>
      </c>
      <c r="E33" s="106" t="n">
        <v>13</v>
      </c>
      <c r="F33" s="106" t="n">
        <v>49</v>
      </c>
      <c r="G33" s="106" t="n">
        <v>62</v>
      </c>
      <c r="H33" s="106" t="n">
        <v>68</v>
      </c>
      <c r="I33" s="106" t="n">
        <v>72</v>
      </c>
      <c r="J33" s="106" t="n">
        <v>51</v>
      </c>
      <c r="K33" s="106" t="n">
        <f aca="false">SUM(E33:J33)</f>
        <v>315</v>
      </c>
      <c r="L33" s="107" t="n">
        <v>66</v>
      </c>
      <c r="M33" s="107" t="n">
        <v>240</v>
      </c>
      <c r="N33" s="107" t="n">
        <v>323</v>
      </c>
      <c r="O33" s="107" t="n">
        <v>336</v>
      </c>
      <c r="P33" s="107" t="n">
        <v>363</v>
      </c>
      <c r="Q33" s="107" t="n">
        <v>269</v>
      </c>
      <c r="R33" s="107" t="n">
        <f aca="false">SUM(L33:Q33)</f>
        <v>1597</v>
      </c>
      <c r="S33" s="108" t="n">
        <v>64</v>
      </c>
      <c r="T33" s="108" t="n">
        <v>64</v>
      </c>
      <c r="U33" s="108" t="n">
        <v>64</v>
      </c>
      <c r="V33" s="108" t="n">
        <v>64</v>
      </c>
      <c r="W33" s="108" t="n">
        <v>64</v>
      </c>
      <c r="X33" s="108" t="n">
        <v>64</v>
      </c>
      <c r="Y33" s="107" t="n">
        <f aca="false">S33*$D33</f>
        <v>324.469841269841</v>
      </c>
      <c r="Z33" s="107" t="n">
        <f aca="false">T33*$D33</f>
        <v>324.469841269841</v>
      </c>
      <c r="AA33" s="107" t="n">
        <f aca="false">U33*$D33</f>
        <v>324.469841269841</v>
      </c>
      <c r="AB33" s="107" t="n">
        <f aca="false">V33*$D33</f>
        <v>324.469841269841</v>
      </c>
      <c r="AC33" s="107" t="n">
        <f aca="false">W33*$D33</f>
        <v>324.469841269841</v>
      </c>
      <c r="AD33" s="107" t="n">
        <f aca="false">X33*$D33</f>
        <v>324.469841269841</v>
      </c>
      <c r="AE33" s="107" t="n">
        <f aca="false">SUM(Y33:AD33)</f>
        <v>1946.81904761905</v>
      </c>
    </row>
    <row r="34" customFormat="false" ht="15" hidden="false" customHeight="false" outlineLevel="0" collapsed="false">
      <c r="A34" s="103" t="s">
        <v>480</v>
      </c>
      <c r="B34" s="104" t="n">
        <v>0</v>
      </c>
      <c r="C34" s="105" t="n">
        <f aca="false">IF(K34=0,0,R34/K34)</f>
        <v>10.7172413793103</v>
      </c>
      <c r="D34" s="105" t="n">
        <f aca="false">C34+B34</f>
        <v>10.7172413793103</v>
      </c>
      <c r="E34" s="106" t="n">
        <v>21</v>
      </c>
      <c r="F34" s="106" t="n">
        <v>16</v>
      </c>
      <c r="G34" s="106" t="n">
        <v>28</v>
      </c>
      <c r="H34" s="106" t="n">
        <v>24</v>
      </c>
      <c r="I34" s="106" t="n">
        <v>29</v>
      </c>
      <c r="J34" s="106" t="n">
        <v>27</v>
      </c>
      <c r="K34" s="106" t="n">
        <f aca="false">SUM(E34:J34)</f>
        <v>145</v>
      </c>
      <c r="L34" s="107" t="n">
        <v>224</v>
      </c>
      <c r="M34" s="107" t="n">
        <v>178</v>
      </c>
      <c r="N34" s="107" t="n">
        <v>308</v>
      </c>
      <c r="O34" s="107" t="n">
        <v>249</v>
      </c>
      <c r="P34" s="107" t="n">
        <v>303</v>
      </c>
      <c r="Q34" s="107" t="n">
        <v>292</v>
      </c>
      <c r="R34" s="107" t="n">
        <f aca="false">SUM(L34:Q34)</f>
        <v>1554</v>
      </c>
      <c r="S34" s="108" t="n">
        <v>27</v>
      </c>
      <c r="T34" s="108" t="n">
        <v>27</v>
      </c>
      <c r="U34" s="108" t="n">
        <v>27</v>
      </c>
      <c r="V34" s="108" t="n">
        <v>27</v>
      </c>
      <c r="W34" s="108" t="n">
        <v>27</v>
      </c>
      <c r="X34" s="108" t="n">
        <v>27</v>
      </c>
      <c r="Y34" s="107" t="n">
        <f aca="false">S34*$D34</f>
        <v>289.365517241379</v>
      </c>
      <c r="Z34" s="107" t="n">
        <f aca="false">T34*$D34</f>
        <v>289.365517241379</v>
      </c>
      <c r="AA34" s="107" t="n">
        <f aca="false">U34*$D34</f>
        <v>289.365517241379</v>
      </c>
      <c r="AB34" s="107" t="n">
        <f aca="false">V34*$D34</f>
        <v>289.365517241379</v>
      </c>
      <c r="AC34" s="107" t="n">
        <f aca="false">W34*$D34</f>
        <v>289.365517241379</v>
      </c>
      <c r="AD34" s="107" t="n">
        <f aca="false">X34*$D34</f>
        <v>289.365517241379</v>
      </c>
      <c r="AE34" s="107" t="n">
        <f aca="false">SUM(Y34:AD34)</f>
        <v>1736.19310344828</v>
      </c>
    </row>
    <row r="35" customFormat="false" ht="15" hidden="false" customHeight="false" outlineLevel="0" collapsed="false">
      <c r="A35" s="103" t="s">
        <v>481</v>
      </c>
      <c r="B35" s="104" t="n">
        <v>0</v>
      </c>
      <c r="C35" s="105" t="n">
        <f aca="false">IF(K35=0,0,R35/K35)</f>
        <v>12.2380952380952</v>
      </c>
      <c r="D35" s="105" t="n">
        <f aca="false">C35+B35</f>
        <v>12.2380952380952</v>
      </c>
      <c r="E35" s="106" t="n">
        <v>34</v>
      </c>
      <c r="F35" s="106" t="n">
        <v>15</v>
      </c>
      <c r="G35" s="106" t="n">
        <v>15</v>
      </c>
      <c r="H35" s="106" t="n">
        <v>22</v>
      </c>
      <c r="I35" s="106" t="n">
        <v>7</v>
      </c>
      <c r="J35" s="106" t="n">
        <v>12</v>
      </c>
      <c r="K35" s="106" t="n">
        <f aca="false">SUM(E35:J35)</f>
        <v>105</v>
      </c>
      <c r="L35" s="107" t="n">
        <v>418</v>
      </c>
      <c r="M35" s="107" t="n">
        <v>188</v>
      </c>
      <c r="N35" s="107" t="n">
        <v>172</v>
      </c>
      <c r="O35" s="107" t="n">
        <v>270</v>
      </c>
      <c r="P35" s="107" t="n">
        <v>83</v>
      </c>
      <c r="Q35" s="107" t="n">
        <v>154</v>
      </c>
      <c r="R35" s="107" t="n">
        <f aca="false">SUM(L35:Q35)</f>
        <v>1285</v>
      </c>
      <c r="S35" s="108" t="n">
        <v>14</v>
      </c>
      <c r="T35" s="108" t="n">
        <v>14</v>
      </c>
      <c r="U35" s="108" t="n">
        <v>14</v>
      </c>
      <c r="V35" s="108" t="n">
        <v>14</v>
      </c>
      <c r="W35" s="108" t="n">
        <v>14</v>
      </c>
      <c r="X35" s="108" t="n">
        <v>14</v>
      </c>
      <c r="Y35" s="107" t="n">
        <f aca="false">S35*$D35</f>
        <v>171.333333333333</v>
      </c>
      <c r="Z35" s="107" t="n">
        <f aca="false">T35*$D35</f>
        <v>171.333333333333</v>
      </c>
      <c r="AA35" s="107" t="n">
        <f aca="false">U35*$D35</f>
        <v>171.333333333333</v>
      </c>
      <c r="AB35" s="107" t="n">
        <f aca="false">V35*$D35</f>
        <v>171.333333333333</v>
      </c>
      <c r="AC35" s="107" t="n">
        <f aca="false">W35*$D35</f>
        <v>171.333333333333</v>
      </c>
      <c r="AD35" s="107" t="n">
        <f aca="false">X35*$D35</f>
        <v>171.333333333333</v>
      </c>
      <c r="AE35" s="107" t="n">
        <f aca="false">SUM(Y35:AD35)</f>
        <v>1028</v>
      </c>
    </row>
    <row r="36" customFormat="false" ht="15" hidden="false" customHeight="false" outlineLevel="0" collapsed="false">
      <c r="A36" s="103" t="s">
        <v>482</v>
      </c>
      <c r="B36" s="104" t="n">
        <v>0</v>
      </c>
      <c r="C36" s="105" t="n">
        <f aca="false">IF(K36=0,0,R36/K36)</f>
        <v>3.72140762463343</v>
      </c>
      <c r="D36" s="105" t="n">
        <f aca="false">C36+B36</f>
        <v>3.72140762463343</v>
      </c>
      <c r="E36" s="106" t="n">
        <v>45</v>
      </c>
      <c r="F36" s="106" t="n">
        <v>45</v>
      </c>
      <c r="G36" s="106" t="n">
        <v>63</v>
      </c>
      <c r="H36" s="106" t="n">
        <v>59</v>
      </c>
      <c r="I36" s="106" t="n">
        <v>62</v>
      </c>
      <c r="J36" s="106" t="n">
        <v>67</v>
      </c>
      <c r="K36" s="106" t="n">
        <f aca="false">SUM(E36:J36)</f>
        <v>341</v>
      </c>
      <c r="L36" s="107" t="n">
        <v>170</v>
      </c>
      <c r="M36" s="107" t="n">
        <v>165</v>
      </c>
      <c r="N36" s="107" t="n">
        <v>233</v>
      </c>
      <c r="O36" s="107" t="n">
        <v>210</v>
      </c>
      <c r="P36" s="107" t="n">
        <v>235</v>
      </c>
      <c r="Q36" s="107" t="n">
        <v>256</v>
      </c>
      <c r="R36" s="107" t="n">
        <f aca="false">SUM(L36:Q36)</f>
        <v>1269</v>
      </c>
      <c r="S36" s="108" t="n">
        <v>63</v>
      </c>
      <c r="T36" s="108" t="n">
        <v>63</v>
      </c>
      <c r="U36" s="108" t="n">
        <v>63</v>
      </c>
      <c r="V36" s="108" t="n">
        <v>63</v>
      </c>
      <c r="W36" s="108" t="n">
        <v>63</v>
      </c>
      <c r="X36" s="108" t="n">
        <v>63</v>
      </c>
      <c r="Y36" s="107" t="n">
        <f aca="false">S36*$D36</f>
        <v>234.448680351906</v>
      </c>
      <c r="Z36" s="107" t="n">
        <f aca="false">T36*$D36</f>
        <v>234.448680351906</v>
      </c>
      <c r="AA36" s="107" t="n">
        <f aca="false">U36*$D36</f>
        <v>234.448680351906</v>
      </c>
      <c r="AB36" s="107" t="n">
        <f aca="false">V36*$D36</f>
        <v>234.448680351906</v>
      </c>
      <c r="AC36" s="107" t="n">
        <f aca="false">W36*$D36</f>
        <v>234.448680351906</v>
      </c>
      <c r="AD36" s="107" t="n">
        <f aca="false">X36*$D36</f>
        <v>234.448680351906</v>
      </c>
      <c r="AE36" s="107" t="n">
        <f aca="false">SUM(Y36:AD36)</f>
        <v>1406.69208211144</v>
      </c>
    </row>
    <row r="37" customFormat="false" ht="15" hidden="false" customHeight="false" outlineLevel="0" collapsed="false">
      <c r="A37" s="103" t="s">
        <v>483</v>
      </c>
      <c r="B37" s="104" t="n">
        <v>1</v>
      </c>
      <c r="C37" s="105" t="n">
        <f aca="false">IF(K37=0,0,R37/K37)</f>
        <v>6.85185185185185</v>
      </c>
      <c r="D37" s="105" t="n">
        <f aca="false">C37+B37</f>
        <v>7.85185185185185</v>
      </c>
      <c r="E37" s="106" t="n">
        <v>0</v>
      </c>
      <c r="F37" s="106" t="n">
        <v>0</v>
      </c>
      <c r="G37" s="106" t="n">
        <v>0</v>
      </c>
      <c r="H37" s="106" t="n">
        <v>46</v>
      </c>
      <c r="I37" s="106" t="n">
        <v>84</v>
      </c>
      <c r="J37" s="106" t="n">
        <v>32</v>
      </c>
      <c r="K37" s="106" t="n">
        <f aca="false">SUM(E37:J37)</f>
        <v>162</v>
      </c>
      <c r="L37" s="107" t="n">
        <v>0</v>
      </c>
      <c r="M37" s="107" t="n">
        <v>0</v>
      </c>
      <c r="N37" s="107" t="n">
        <v>0</v>
      </c>
      <c r="O37" s="107" t="n">
        <v>302</v>
      </c>
      <c r="P37" s="107" t="n">
        <v>585</v>
      </c>
      <c r="Q37" s="107" t="n">
        <v>223</v>
      </c>
      <c r="R37" s="107" t="n">
        <f aca="false">SUM(L37:Q37)</f>
        <v>1110</v>
      </c>
      <c r="S37" s="108" t="n">
        <v>54</v>
      </c>
      <c r="T37" s="108" t="n">
        <v>54</v>
      </c>
      <c r="U37" s="108" t="n">
        <v>54</v>
      </c>
      <c r="V37" s="108" t="n">
        <v>54</v>
      </c>
      <c r="W37" s="108" t="n">
        <v>54</v>
      </c>
      <c r="X37" s="108" t="n">
        <v>54</v>
      </c>
      <c r="Y37" s="107" t="n">
        <f aca="false">S37*$D37</f>
        <v>424</v>
      </c>
      <c r="Z37" s="107" t="n">
        <f aca="false">T37*$D37</f>
        <v>424</v>
      </c>
      <c r="AA37" s="107" t="n">
        <f aca="false">U37*$D37</f>
        <v>424</v>
      </c>
      <c r="AB37" s="107" t="n">
        <f aca="false">V37*$D37</f>
        <v>424</v>
      </c>
      <c r="AC37" s="107" t="n">
        <f aca="false">W37*$D37</f>
        <v>424</v>
      </c>
      <c r="AD37" s="107" t="n">
        <f aca="false">X37*$D37</f>
        <v>424</v>
      </c>
      <c r="AE37" s="107" t="n">
        <f aca="false">SUM(Y37:AD37)</f>
        <v>2544</v>
      </c>
    </row>
    <row r="38" customFormat="false" ht="15" hidden="false" customHeight="false" outlineLevel="0" collapsed="false">
      <c r="A38" s="103" t="s">
        <v>484</v>
      </c>
      <c r="B38" s="104" t="n">
        <v>1</v>
      </c>
      <c r="C38" s="105" t="n">
        <f aca="false">IF(K38=0,0,R38/K38)</f>
        <v>7.76470588235294</v>
      </c>
      <c r="D38" s="105" t="n">
        <f aca="false">C38+B38</f>
        <v>8.76470588235294</v>
      </c>
      <c r="E38" s="106" t="n">
        <v>26</v>
      </c>
      <c r="F38" s="106" t="n">
        <v>11</v>
      </c>
      <c r="G38" s="106" t="n">
        <v>25</v>
      </c>
      <c r="H38" s="106" t="n">
        <v>27</v>
      </c>
      <c r="I38" s="106" t="n">
        <v>21</v>
      </c>
      <c r="J38" s="106" t="n">
        <v>26</v>
      </c>
      <c r="K38" s="106" t="n">
        <f aca="false">SUM(E38:J38)</f>
        <v>136</v>
      </c>
      <c r="L38" s="107" t="n">
        <v>208</v>
      </c>
      <c r="M38" s="107" t="n">
        <v>83</v>
      </c>
      <c r="N38" s="107" t="n">
        <v>194</v>
      </c>
      <c r="O38" s="107" t="n">
        <v>198</v>
      </c>
      <c r="P38" s="107" t="n">
        <v>164</v>
      </c>
      <c r="Q38" s="107" t="n">
        <v>209</v>
      </c>
      <c r="R38" s="107" t="n">
        <f aca="false">SUM(L38:Q38)</f>
        <v>1056</v>
      </c>
      <c r="S38" s="108" t="n">
        <v>25</v>
      </c>
      <c r="T38" s="108" t="n">
        <v>25</v>
      </c>
      <c r="U38" s="108" t="n">
        <v>25</v>
      </c>
      <c r="V38" s="108" t="n">
        <v>25</v>
      </c>
      <c r="W38" s="108" t="n">
        <v>25</v>
      </c>
      <c r="X38" s="108" t="n">
        <v>25</v>
      </c>
      <c r="Y38" s="107" t="n">
        <f aca="false">S38*$D38</f>
        <v>219.117647058824</v>
      </c>
      <c r="Z38" s="107" t="n">
        <f aca="false">T38*$D38</f>
        <v>219.117647058824</v>
      </c>
      <c r="AA38" s="107" t="n">
        <f aca="false">U38*$D38</f>
        <v>219.117647058824</v>
      </c>
      <c r="AB38" s="107" t="n">
        <f aca="false">V38*$D38</f>
        <v>219.117647058824</v>
      </c>
      <c r="AC38" s="107" t="n">
        <f aca="false">W38*$D38</f>
        <v>219.117647058824</v>
      </c>
      <c r="AD38" s="107" t="n">
        <f aca="false">X38*$D38</f>
        <v>219.117647058824</v>
      </c>
      <c r="AE38" s="107" t="n">
        <f aca="false">SUM(Y38:AD38)</f>
        <v>1314.70588235294</v>
      </c>
    </row>
    <row r="39" customFormat="false" ht="15" hidden="false" customHeight="false" outlineLevel="0" collapsed="false">
      <c r="A39" s="103" t="s">
        <v>485</v>
      </c>
      <c r="B39" s="104" t="n">
        <v>0</v>
      </c>
      <c r="C39" s="105" t="n">
        <f aca="false">IF(K39=0,0,R39/K39)</f>
        <v>5.87425149700599</v>
      </c>
      <c r="D39" s="105" t="n">
        <f aca="false">C39+B39</f>
        <v>5.87425149700599</v>
      </c>
      <c r="E39" s="106" t="n">
        <v>0</v>
      </c>
      <c r="F39" s="106" t="n">
        <v>0</v>
      </c>
      <c r="G39" s="106" t="n">
        <v>0</v>
      </c>
      <c r="H39" s="106" t="n">
        <v>66</v>
      </c>
      <c r="I39" s="106" t="n">
        <v>61</v>
      </c>
      <c r="J39" s="106" t="n">
        <v>40</v>
      </c>
      <c r="K39" s="106" t="n">
        <f aca="false">SUM(E39:J39)</f>
        <v>167</v>
      </c>
      <c r="L39" s="107" t="n">
        <v>0</v>
      </c>
      <c r="M39" s="107" t="n">
        <v>0</v>
      </c>
      <c r="N39" s="107" t="n">
        <v>0</v>
      </c>
      <c r="O39" s="107" t="n">
        <v>381</v>
      </c>
      <c r="P39" s="107" t="n">
        <v>359</v>
      </c>
      <c r="Q39" s="107" t="n">
        <v>241</v>
      </c>
      <c r="R39" s="107" t="n">
        <f aca="false">SUM(L39:Q39)</f>
        <v>981</v>
      </c>
      <c r="S39" s="108" t="n">
        <v>56</v>
      </c>
      <c r="T39" s="108" t="n">
        <v>56</v>
      </c>
      <c r="U39" s="108" t="n">
        <v>56</v>
      </c>
      <c r="V39" s="108" t="n">
        <v>56</v>
      </c>
      <c r="W39" s="108" t="n">
        <v>56</v>
      </c>
      <c r="X39" s="108" t="n">
        <v>56</v>
      </c>
      <c r="Y39" s="107" t="n">
        <f aca="false">S39*$D39</f>
        <v>328.958083832335</v>
      </c>
      <c r="Z39" s="107" t="n">
        <f aca="false">T39*$D39</f>
        <v>328.958083832335</v>
      </c>
      <c r="AA39" s="107" t="n">
        <f aca="false">U39*$D39</f>
        <v>328.958083832335</v>
      </c>
      <c r="AB39" s="107" t="n">
        <f aca="false">V39*$D39</f>
        <v>328.958083832335</v>
      </c>
      <c r="AC39" s="107" t="n">
        <f aca="false">W39*$D39</f>
        <v>328.958083832335</v>
      </c>
      <c r="AD39" s="107" t="n">
        <f aca="false">X39*$D39</f>
        <v>328.958083832335</v>
      </c>
      <c r="AE39" s="107" t="n">
        <f aca="false">SUM(Y39:AD39)</f>
        <v>1973.74850299401</v>
      </c>
    </row>
    <row r="40" customFormat="false" ht="15" hidden="false" customHeight="false" outlineLevel="0" collapsed="false">
      <c r="A40" s="103" t="s">
        <v>486</v>
      </c>
      <c r="B40" s="104" t="n">
        <v>0</v>
      </c>
      <c r="C40" s="105" t="n">
        <f aca="false">IF(K40=0,0,R40/K40)</f>
        <v>12.2285714285714</v>
      </c>
      <c r="D40" s="105" t="n">
        <f aca="false">C40+B40</f>
        <v>12.2285714285714</v>
      </c>
      <c r="E40" s="106" t="n">
        <v>0</v>
      </c>
      <c r="F40" s="106" t="n">
        <v>0</v>
      </c>
      <c r="G40" s="106" t="n">
        <v>6</v>
      </c>
      <c r="H40" s="106" t="n">
        <v>23</v>
      </c>
      <c r="I40" s="106" t="n">
        <v>28</v>
      </c>
      <c r="J40" s="106" t="n">
        <v>13</v>
      </c>
      <c r="K40" s="106" t="n">
        <f aca="false">SUM(E40:J40)</f>
        <v>70</v>
      </c>
      <c r="L40" s="107" t="n">
        <v>0</v>
      </c>
      <c r="M40" s="107" t="n">
        <v>0</v>
      </c>
      <c r="N40" s="107" t="n">
        <v>79</v>
      </c>
      <c r="O40" s="107" t="n">
        <v>273</v>
      </c>
      <c r="P40" s="107" t="n">
        <v>352</v>
      </c>
      <c r="Q40" s="107" t="n">
        <v>152</v>
      </c>
      <c r="R40" s="107" t="n">
        <f aca="false">SUM(L40:Q40)</f>
        <v>856</v>
      </c>
      <c r="S40" s="108" t="n">
        <v>21</v>
      </c>
      <c r="T40" s="108" t="n">
        <v>21</v>
      </c>
      <c r="U40" s="108" t="n">
        <v>21</v>
      </c>
      <c r="V40" s="108" t="n">
        <v>21</v>
      </c>
      <c r="W40" s="108" t="n">
        <v>21</v>
      </c>
      <c r="X40" s="108" t="n">
        <v>21</v>
      </c>
      <c r="Y40" s="107" t="n">
        <f aca="false">S40*$D40</f>
        <v>256.8</v>
      </c>
      <c r="Z40" s="107" t="n">
        <f aca="false">T40*$D40</f>
        <v>256.8</v>
      </c>
      <c r="AA40" s="107" t="n">
        <f aca="false">U40*$D40</f>
        <v>256.8</v>
      </c>
      <c r="AB40" s="107" t="n">
        <f aca="false">V40*$D40</f>
        <v>256.8</v>
      </c>
      <c r="AC40" s="107" t="n">
        <f aca="false">W40*$D40</f>
        <v>256.8</v>
      </c>
      <c r="AD40" s="107" t="n">
        <f aca="false">X40*$D40</f>
        <v>256.8</v>
      </c>
      <c r="AE40" s="107" t="n">
        <f aca="false">SUM(Y40:AD40)</f>
        <v>1540.8</v>
      </c>
    </row>
    <row r="41" customFormat="false" ht="15" hidden="false" customHeight="false" outlineLevel="0" collapsed="false">
      <c r="A41" s="103" t="s">
        <v>487</v>
      </c>
      <c r="B41" s="104" t="n">
        <v>0</v>
      </c>
      <c r="C41" s="105" t="n">
        <f aca="false">IF(K41=0,0,R41/K41)</f>
        <v>3.67099567099567</v>
      </c>
      <c r="D41" s="105" t="n">
        <f aca="false">C41+B41</f>
        <v>3.67099567099567</v>
      </c>
      <c r="E41" s="106" t="n">
        <v>24</v>
      </c>
      <c r="F41" s="106" t="n">
        <v>21</v>
      </c>
      <c r="G41" s="106" t="n">
        <v>27</v>
      </c>
      <c r="H41" s="106" t="n">
        <v>45</v>
      </c>
      <c r="I41" s="106" t="n">
        <v>50</v>
      </c>
      <c r="J41" s="106" t="n">
        <v>64</v>
      </c>
      <c r="K41" s="106" t="n">
        <f aca="false">SUM(E41:J41)</f>
        <v>231</v>
      </c>
      <c r="L41" s="107" t="n">
        <v>91</v>
      </c>
      <c r="M41" s="107" t="n">
        <v>74</v>
      </c>
      <c r="N41" s="107" t="n">
        <v>96</v>
      </c>
      <c r="O41" s="107" t="n">
        <v>157</v>
      </c>
      <c r="P41" s="107" t="n">
        <v>183</v>
      </c>
      <c r="Q41" s="107" t="n">
        <v>247</v>
      </c>
      <c r="R41" s="107" t="n">
        <f aca="false">SUM(L41:Q41)</f>
        <v>848</v>
      </c>
      <c r="S41" s="108" t="n">
        <v>53</v>
      </c>
      <c r="T41" s="108" t="n">
        <v>53</v>
      </c>
      <c r="U41" s="108" t="n">
        <v>53</v>
      </c>
      <c r="V41" s="108" t="n">
        <v>53</v>
      </c>
      <c r="W41" s="108" t="n">
        <v>53</v>
      </c>
      <c r="X41" s="108" t="n">
        <v>53</v>
      </c>
      <c r="Y41" s="107" t="n">
        <f aca="false">S41*$D41</f>
        <v>194.562770562771</v>
      </c>
      <c r="Z41" s="107" t="n">
        <f aca="false">T41*$D41</f>
        <v>194.562770562771</v>
      </c>
      <c r="AA41" s="107" t="n">
        <f aca="false">U41*$D41</f>
        <v>194.562770562771</v>
      </c>
      <c r="AB41" s="107" t="n">
        <f aca="false">V41*$D41</f>
        <v>194.562770562771</v>
      </c>
      <c r="AC41" s="107" t="n">
        <f aca="false">W41*$D41</f>
        <v>194.562770562771</v>
      </c>
      <c r="AD41" s="107" t="n">
        <f aca="false">X41*$D41</f>
        <v>194.562770562771</v>
      </c>
      <c r="AE41" s="107" t="n">
        <f aca="false">SUM(Y41:AD41)</f>
        <v>1167.37662337662</v>
      </c>
    </row>
    <row r="42" customFormat="false" ht="15" hidden="false" customHeight="false" outlineLevel="0" collapsed="false">
      <c r="A42" s="103" t="s">
        <v>488</v>
      </c>
      <c r="B42" s="104" t="n">
        <v>0</v>
      </c>
      <c r="C42" s="105" t="n">
        <f aca="false">IF(K42=0,0,R42/K42)</f>
        <v>11.5070422535211</v>
      </c>
      <c r="D42" s="105" t="n">
        <f aca="false">C42+B42</f>
        <v>11.5070422535211</v>
      </c>
      <c r="E42" s="106" t="n">
        <v>0</v>
      </c>
      <c r="F42" s="106" t="n">
        <v>0</v>
      </c>
      <c r="G42" s="106" t="n">
        <v>0</v>
      </c>
      <c r="H42" s="106" t="n">
        <v>23</v>
      </c>
      <c r="I42" s="106" t="n">
        <v>35</v>
      </c>
      <c r="J42" s="106" t="n">
        <v>13</v>
      </c>
      <c r="K42" s="106" t="n">
        <f aca="false">SUM(E42:J42)</f>
        <v>71</v>
      </c>
      <c r="L42" s="107" t="n">
        <v>0</v>
      </c>
      <c r="M42" s="107" t="n">
        <v>0</v>
      </c>
      <c r="N42" s="107" t="n">
        <v>0</v>
      </c>
      <c r="O42" s="107" t="n">
        <v>250</v>
      </c>
      <c r="P42" s="107" t="n">
        <v>410</v>
      </c>
      <c r="Q42" s="107" t="n">
        <v>157</v>
      </c>
      <c r="R42" s="107" t="n">
        <f aca="false">SUM(L42:Q42)</f>
        <v>817</v>
      </c>
      <c r="S42" s="108" t="n">
        <v>24</v>
      </c>
      <c r="T42" s="108" t="n">
        <v>24</v>
      </c>
      <c r="U42" s="108" t="n">
        <v>24</v>
      </c>
      <c r="V42" s="108" t="n">
        <v>24</v>
      </c>
      <c r="W42" s="108" t="n">
        <v>24</v>
      </c>
      <c r="X42" s="108" t="n">
        <v>24</v>
      </c>
      <c r="Y42" s="107" t="n">
        <f aca="false">S42*$D42</f>
        <v>276.169014084507</v>
      </c>
      <c r="Z42" s="107" t="n">
        <f aca="false">T42*$D42</f>
        <v>276.169014084507</v>
      </c>
      <c r="AA42" s="107" t="n">
        <f aca="false">U42*$D42</f>
        <v>276.169014084507</v>
      </c>
      <c r="AB42" s="107" t="n">
        <f aca="false">V42*$D42</f>
        <v>276.169014084507</v>
      </c>
      <c r="AC42" s="107" t="n">
        <f aca="false">W42*$D42</f>
        <v>276.169014084507</v>
      </c>
      <c r="AD42" s="107" t="n">
        <f aca="false">X42*$D42</f>
        <v>276.169014084507</v>
      </c>
      <c r="AE42" s="107" t="n">
        <f aca="false">SUM(Y42:AD42)</f>
        <v>1657.01408450704</v>
      </c>
    </row>
    <row r="43" customFormat="false" ht="15" hidden="false" customHeight="false" outlineLevel="0" collapsed="false">
      <c r="A43" s="103" t="s">
        <v>489</v>
      </c>
      <c r="B43" s="104" t="n">
        <v>0</v>
      </c>
      <c r="C43" s="105" t="n">
        <f aca="false">IF(K43=0,0,R43/K43)</f>
        <v>3.83838383838384</v>
      </c>
      <c r="D43" s="105" t="n">
        <f aca="false">C43+B43</f>
        <v>3.83838383838384</v>
      </c>
      <c r="E43" s="106" t="n">
        <v>31</v>
      </c>
      <c r="F43" s="106" t="n">
        <v>31</v>
      </c>
      <c r="G43" s="106" t="n">
        <v>40</v>
      </c>
      <c r="H43" s="106" t="n">
        <v>31</v>
      </c>
      <c r="I43" s="106" t="n">
        <v>29</v>
      </c>
      <c r="J43" s="106" t="n">
        <v>36</v>
      </c>
      <c r="K43" s="106" t="n">
        <f aca="false">SUM(E43:J43)</f>
        <v>198</v>
      </c>
      <c r="L43" s="107" t="n">
        <v>114</v>
      </c>
      <c r="M43" s="107" t="n">
        <v>107</v>
      </c>
      <c r="N43" s="107" t="n">
        <v>155</v>
      </c>
      <c r="O43" s="107" t="n">
        <v>113</v>
      </c>
      <c r="P43" s="107" t="n">
        <v>113</v>
      </c>
      <c r="Q43" s="107" t="n">
        <v>158</v>
      </c>
      <c r="R43" s="107" t="n">
        <f aca="false">SUM(L43:Q43)</f>
        <v>760</v>
      </c>
      <c r="S43" s="108" t="n">
        <v>32</v>
      </c>
      <c r="T43" s="108" t="n">
        <v>32</v>
      </c>
      <c r="U43" s="108" t="n">
        <v>32</v>
      </c>
      <c r="V43" s="108" t="n">
        <v>32</v>
      </c>
      <c r="W43" s="108" t="n">
        <v>32</v>
      </c>
      <c r="X43" s="108" t="n">
        <v>32</v>
      </c>
      <c r="Y43" s="107" t="n">
        <f aca="false">S43*$D43</f>
        <v>122.828282828283</v>
      </c>
      <c r="Z43" s="107" t="n">
        <f aca="false">T43*$D43</f>
        <v>122.828282828283</v>
      </c>
      <c r="AA43" s="107" t="n">
        <f aca="false">U43*$D43</f>
        <v>122.828282828283</v>
      </c>
      <c r="AB43" s="107" t="n">
        <f aca="false">V43*$D43</f>
        <v>122.828282828283</v>
      </c>
      <c r="AC43" s="107" t="n">
        <f aca="false">W43*$D43</f>
        <v>122.828282828283</v>
      </c>
      <c r="AD43" s="107" t="n">
        <f aca="false">X43*$D43</f>
        <v>122.828282828283</v>
      </c>
      <c r="AE43" s="107" t="n">
        <f aca="false">SUM(Y43:AD43)</f>
        <v>736.969696969697</v>
      </c>
    </row>
    <row r="44" customFormat="false" ht="15" hidden="false" customHeight="false" outlineLevel="0" collapsed="false">
      <c r="A44" s="103" t="s">
        <v>490</v>
      </c>
      <c r="B44" s="104" t="n">
        <v>1</v>
      </c>
      <c r="C44" s="105" t="n">
        <f aca="false">IF(K44=0,0,R44/K44)</f>
        <v>7.83333333333333</v>
      </c>
      <c r="D44" s="105" t="n">
        <f aca="false">C44+B44</f>
        <v>8.83333333333333</v>
      </c>
      <c r="E44" s="106" t="n">
        <v>11</v>
      </c>
      <c r="F44" s="106" t="n">
        <v>13</v>
      </c>
      <c r="G44" s="106" t="n">
        <v>25</v>
      </c>
      <c r="H44" s="106" t="n">
        <v>15</v>
      </c>
      <c r="I44" s="106" t="n">
        <v>10</v>
      </c>
      <c r="J44" s="106" t="n">
        <v>22</v>
      </c>
      <c r="K44" s="106" t="n">
        <f aca="false">SUM(E44:J44)</f>
        <v>96</v>
      </c>
      <c r="L44" s="107" t="n">
        <v>86</v>
      </c>
      <c r="M44" s="107" t="n">
        <v>104</v>
      </c>
      <c r="N44" s="107" t="n">
        <v>195</v>
      </c>
      <c r="O44" s="107" t="n">
        <v>112</v>
      </c>
      <c r="P44" s="107" t="n">
        <v>80</v>
      </c>
      <c r="Q44" s="107" t="n">
        <v>175</v>
      </c>
      <c r="R44" s="107" t="n">
        <f aca="false">SUM(L44:Q44)</f>
        <v>752</v>
      </c>
      <c r="S44" s="108" t="n">
        <v>16</v>
      </c>
      <c r="T44" s="108" t="n">
        <v>16</v>
      </c>
      <c r="U44" s="108" t="n">
        <v>16</v>
      </c>
      <c r="V44" s="108" t="n">
        <v>16</v>
      </c>
      <c r="W44" s="108" t="n">
        <v>16</v>
      </c>
      <c r="X44" s="108" t="n">
        <v>16</v>
      </c>
      <c r="Y44" s="107" t="n">
        <f aca="false">S44*$D44</f>
        <v>141.333333333333</v>
      </c>
      <c r="Z44" s="107" t="n">
        <f aca="false">T44*$D44</f>
        <v>141.333333333333</v>
      </c>
      <c r="AA44" s="107" t="n">
        <f aca="false">U44*$D44</f>
        <v>141.333333333333</v>
      </c>
      <c r="AB44" s="107" t="n">
        <f aca="false">V44*$D44</f>
        <v>141.333333333333</v>
      </c>
      <c r="AC44" s="107" t="n">
        <f aca="false">W44*$D44</f>
        <v>141.333333333333</v>
      </c>
      <c r="AD44" s="107" t="n">
        <f aca="false">X44*$D44</f>
        <v>141.333333333333</v>
      </c>
      <c r="AE44" s="107" t="n">
        <f aca="false">SUM(Y44:AD44)</f>
        <v>848</v>
      </c>
    </row>
    <row r="45" customFormat="false" ht="15" hidden="false" customHeight="false" outlineLevel="0" collapsed="false">
      <c r="A45" s="103" t="s">
        <v>491</v>
      </c>
      <c r="B45" s="104" t="n">
        <v>0</v>
      </c>
      <c r="C45" s="105" t="n">
        <f aca="false">IF(K45=0,0,R45/K45)</f>
        <v>5.87267159989793</v>
      </c>
      <c r="D45" s="105" t="n">
        <f aca="false">C45+B45</f>
        <v>5.87267159989793</v>
      </c>
      <c r="E45" s="106" t="n">
        <v>455</v>
      </c>
      <c r="F45" s="106" t="n">
        <v>648</v>
      </c>
      <c r="G45" s="106" t="n">
        <v>665</v>
      </c>
      <c r="H45" s="106" t="n">
        <v>625</v>
      </c>
      <c r="I45" s="106" t="n">
        <v>711</v>
      </c>
      <c r="J45" s="106" t="n">
        <v>815</v>
      </c>
      <c r="K45" s="106" t="n">
        <f aca="false">SUM(E45:J45)</f>
        <v>3919</v>
      </c>
      <c r="L45" s="107" t="n">
        <v>2369</v>
      </c>
      <c r="M45" s="107" t="n">
        <v>3352</v>
      </c>
      <c r="N45" s="107" t="n">
        <v>5433</v>
      </c>
      <c r="O45" s="107" t="n">
        <v>3208</v>
      </c>
      <c r="P45" s="107" t="n">
        <v>4065</v>
      </c>
      <c r="Q45" s="107" t="n">
        <v>4588</v>
      </c>
      <c r="R45" s="107" t="n">
        <f aca="false">SUM(L45:Q45)</f>
        <v>23015</v>
      </c>
      <c r="S45" s="108" t="n">
        <v>717</v>
      </c>
      <c r="T45" s="108" t="n">
        <v>717</v>
      </c>
      <c r="U45" s="108" t="n">
        <v>717</v>
      </c>
      <c r="V45" s="108" t="n">
        <v>717</v>
      </c>
      <c r="W45" s="108" t="n">
        <v>717</v>
      </c>
      <c r="X45" s="108" t="n">
        <v>717</v>
      </c>
      <c r="Y45" s="107" t="n">
        <f aca="false">S45*$D45</f>
        <v>4210.70553712682</v>
      </c>
      <c r="Z45" s="107" t="n">
        <f aca="false">T45*$D45</f>
        <v>4210.70553712682</v>
      </c>
      <c r="AA45" s="107" t="n">
        <f aca="false">U45*$D45</f>
        <v>4210.70553712682</v>
      </c>
      <c r="AB45" s="107" t="n">
        <f aca="false">V45*$D45</f>
        <v>4210.70553712682</v>
      </c>
      <c r="AC45" s="107" t="n">
        <f aca="false">W45*$D45</f>
        <v>4210.70553712682</v>
      </c>
      <c r="AD45" s="107" t="n">
        <f aca="false">X45*$D45</f>
        <v>4210.70553712682</v>
      </c>
      <c r="AE45" s="107" t="n">
        <f aca="false">SUM(Y45:AD45)</f>
        <v>25264.2332227609</v>
      </c>
    </row>
    <row r="46" customFormat="false" ht="15" hidden="false" customHeight="false" outlineLevel="0" collapsed="false">
      <c r="A46" s="109" t="s">
        <v>492</v>
      </c>
      <c r="B46" s="110"/>
      <c r="C46" s="110"/>
      <c r="D46" s="110"/>
      <c r="E46" s="111" t="n">
        <f aca="false">SUM(E29:E45)</f>
        <v>929</v>
      </c>
      <c r="F46" s="111" t="n">
        <f aca="false">SUM(F29:F45)</f>
        <v>1129</v>
      </c>
      <c r="G46" s="111" t="n">
        <f aca="false">SUM(G29:G45)</f>
        <v>1348</v>
      </c>
      <c r="H46" s="111" t="n">
        <f aca="false">SUM(H29:H45)</f>
        <v>1345</v>
      </c>
      <c r="I46" s="111" t="n">
        <f aca="false">SUM(I29:I45)</f>
        <v>1468</v>
      </c>
      <c r="J46" s="111" t="n">
        <f aca="false">SUM(J29:J45)</f>
        <v>1528</v>
      </c>
      <c r="K46" s="111" t="n">
        <f aca="false">SUM(K29:K45)</f>
        <v>7747</v>
      </c>
      <c r="L46" s="112" t="n">
        <f aca="false">SUM(L29:L45)</f>
        <v>6386</v>
      </c>
      <c r="M46" s="112" t="n">
        <f aca="false">SUM(M29:M45)</f>
        <v>7123</v>
      </c>
      <c r="N46" s="112" t="n">
        <f aca="false">SUM(N29:N45)</f>
        <v>10864</v>
      </c>
      <c r="O46" s="112" t="n">
        <f aca="false">SUM(O29:O45)</f>
        <v>8859</v>
      </c>
      <c r="P46" s="112" t="n">
        <f aca="false">SUM(P29:P45)</f>
        <v>9975</v>
      </c>
      <c r="Q46" s="112" t="n">
        <f aca="false">SUM(Q29:Q45)</f>
        <v>10207</v>
      </c>
      <c r="R46" s="112" t="n">
        <f aca="false">SUM(R29:R45)</f>
        <v>53414</v>
      </c>
      <c r="S46" s="111" t="n">
        <f aca="false">SUM(S29:S45)</f>
        <v>1449</v>
      </c>
      <c r="T46" s="111" t="n">
        <f aca="false">SUM(T29:T45)</f>
        <v>1449</v>
      </c>
      <c r="U46" s="111" t="n">
        <f aca="false">SUM(U29:U45)</f>
        <v>1449</v>
      </c>
      <c r="V46" s="111" t="n">
        <f aca="false">SUM(V29:V45)</f>
        <v>1449</v>
      </c>
      <c r="W46" s="111" t="n">
        <f aca="false">SUM(W29:W45)</f>
        <v>1449</v>
      </c>
      <c r="X46" s="111" t="n">
        <f aca="false">SUM(X29:X45)</f>
        <v>1449</v>
      </c>
      <c r="Y46" s="112" t="n">
        <f aca="false">SUM(Y29:Y45)</f>
        <v>10181.6089717235</v>
      </c>
      <c r="Z46" s="112" t="n">
        <f aca="false">SUM(Z29:Z45)</f>
        <v>10181.6089717235</v>
      </c>
      <c r="AA46" s="112" t="n">
        <f aca="false">SUM(AA29:AA45)</f>
        <v>10181.6089717235</v>
      </c>
      <c r="AB46" s="112" t="n">
        <f aca="false">SUM(AB29:AB45)</f>
        <v>10181.6089717235</v>
      </c>
      <c r="AC46" s="112" t="n">
        <f aca="false">SUM(AC29:AC45)</f>
        <v>10181.6089717235</v>
      </c>
      <c r="AD46" s="112" t="n">
        <f aca="false">SUM(AD29:AD45)</f>
        <v>10181.6089717235</v>
      </c>
      <c r="AE46" s="112" t="n">
        <f aca="false">SUM(AE29:AE45)</f>
        <v>61089.6538303409</v>
      </c>
    </row>
    <row r="48" customFormat="false" ht="15" hidden="false" customHeight="false" outlineLevel="0" collapsed="false">
      <c r="A48" s="102" t="s">
        <v>493</v>
      </c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</row>
    <row r="49" customFormat="false" ht="15" hidden="false" customHeight="false" outlineLevel="0" collapsed="false">
      <c r="A49" s="103" t="s">
        <v>494</v>
      </c>
      <c r="B49" s="104" t="n">
        <v>0</v>
      </c>
      <c r="C49" s="105" t="n">
        <f aca="false">IF(K49=0,0,R49/K49)</f>
        <v>9.9349593495935</v>
      </c>
      <c r="D49" s="105" t="n">
        <f aca="false">C49+B49</f>
        <v>9.9349593495935</v>
      </c>
      <c r="E49" s="106" t="n">
        <v>0</v>
      </c>
      <c r="F49" s="106" t="n">
        <v>0</v>
      </c>
      <c r="G49" s="106" t="n">
        <v>0</v>
      </c>
      <c r="H49" s="106" t="n">
        <v>0</v>
      </c>
      <c r="I49" s="106" t="n">
        <v>45</v>
      </c>
      <c r="J49" s="106" t="n">
        <v>78</v>
      </c>
      <c r="K49" s="106" t="n">
        <f aca="false">SUM(E49:J49)</f>
        <v>123</v>
      </c>
      <c r="L49" s="107" t="n">
        <v>0</v>
      </c>
      <c r="M49" s="107" t="n">
        <v>0</v>
      </c>
      <c r="N49" s="107" t="n">
        <v>0</v>
      </c>
      <c r="O49" s="107" t="n">
        <v>0</v>
      </c>
      <c r="P49" s="107" t="n">
        <v>450</v>
      </c>
      <c r="Q49" s="107" t="n">
        <v>772</v>
      </c>
      <c r="R49" s="107" t="n">
        <f aca="false">SUM(L49:Q49)</f>
        <v>1222</v>
      </c>
      <c r="S49" s="108" t="n">
        <v>41</v>
      </c>
      <c r="T49" s="108" t="n">
        <v>41</v>
      </c>
      <c r="U49" s="108" t="n">
        <v>41</v>
      </c>
      <c r="V49" s="108" t="n">
        <v>41</v>
      </c>
      <c r="W49" s="108" t="n">
        <v>41</v>
      </c>
      <c r="X49" s="108" t="n">
        <v>41</v>
      </c>
      <c r="Y49" s="107" t="n">
        <f aca="false">S49*$D49</f>
        <v>407.333333333333</v>
      </c>
      <c r="Z49" s="107" t="n">
        <f aca="false">T49*$D49</f>
        <v>407.333333333333</v>
      </c>
      <c r="AA49" s="107" t="n">
        <f aca="false">U49*$D49</f>
        <v>407.333333333333</v>
      </c>
      <c r="AB49" s="107" t="n">
        <f aca="false">V49*$D49</f>
        <v>407.333333333333</v>
      </c>
      <c r="AC49" s="107" t="n">
        <f aca="false">W49*$D49</f>
        <v>407.333333333333</v>
      </c>
      <c r="AD49" s="107" t="n">
        <f aca="false">X49*$D49</f>
        <v>407.333333333333</v>
      </c>
      <c r="AE49" s="107" t="n">
        <f aca="false">SUM(Y49:AD49)</f>
        <v>2444</v>
      </c>
    </row>
    <row r="50" customFormat="false" ht="15" hidden="false" customHeight="false" outlineLevel="0" collapsed="false">
      <c r="A50" s="103" t="s">
        <v>495</v>
      </c>
      <c r="B50" s="104" t="n">
        <v>0</v>
      </c>
      <c r="C50" s="105" t="n">
        <f aca="false">IF(K50=0,0,R50/K50)</f>
        <v>9.15277777777778</v>
      </c>
      <c r="D50" s="105" t="n">
        <f aca="false">C50+B50</f>
        <v>9.15277777777778</v>
      </c>
      <c r="E50" s="106" t="n">
        <v>13</v>
      </c>
      <c r="F50" s="106" t="n">
        <v>5</v>
      </c>
      <c r="G50" s="106" t="n">
        <v>10</v>
      </c>
      <c r="H50" s="106" t="n">
        <v>36</v>
      </c>
      <c r="I50" s="106" t="n">
        <v>7</v>
      </c>
      <c r="J50" s="106" t="n">
        <v>1</v>
      </c>
      <c r="K50" s="106" t="n">
        <f aca="false">SUM(E50:J50)</f>
        <v>72</v>
      </c>
      <c r="L50" s="107" t="n">
        <v>100</v>
      </c>
      <c r="M50" s="107" t="n">
        <v>40</v>
      </c>
      <c r="N50" s="107" t="n">
        <v>97</v>
      </c>
      <c r="O50" s="107" t="n">
        <v>346</v>
      </c>
      <c r="P50" s="107" t="n">
        <v>68</v>
      </c>
      <c r="Q50" s="107" t="n">
        <v>8</v>
      </c>
      <c r="R50" s="107" t="n">
        <f aca="false">SUM(L50:Q50)</f>
        <v>659</v>
      </c>
      <c r="S50" s="108" t="n">
        <v>15</v>
      </c>
      <c r="T50" s="108" t="n">
        <v>15</v>
      </c>
      <c r="U50" s="108" t="n">
        <v>15</v>
      </c>
      <c r="V50" s="108" t="n">
        <v>15</v>
      </c>
      <c r="W50" s="108" t="n">
        <v>15</v>
      </c>
      <c r="X50" s="108" t="n">
        <v>15</v>
      </c>
      <c r="Y50" s="107" t="n">
        <f aca="false">S50*$D50</f>
        <v>137.291666666667</v>
      </c>
      <c r="Z50" s="107" t="n">
        <f aca="false">T50*$D50</f>
        <v>137.291666666667</v>
      </c>
      <c r="AA50" s="107" t="n">
        <f aca="false">U50*$D50</f>
        <v>137.291666666667</v>
      </c>
      <c r="AB50" s="107" t="n">
        <f aca="false">V50*$D50</f>
        <v>137.291666666667</v>
      </c>
      <c r="AC50" s="107" t="n">
        <f aca="false">W50*$D50</f>
        <v>137.291666666667</v>
      </c>
      <c r="AD50" s="107" t="n">
        <f aca="false">X50*$D50</f>
        <v>137.291666666667</v>
      </c>
      <c r="AE50" s="107" t="n">
        <f aca="false">SUM(Y50:AD50)</f>
        <v>823.75</v>
      </c>
    </row>
    <row r="51" customFormat="false" ht="15" hidden="false" customHeight="false" outlineLevel="0" collapsed="false">
      <c r="A51" s="103" t="s">
        <v>496</v>
      </c>
      <c r="B51" s="104" t="n">
        <v>0</v>
      </c>
      <c r="C51" s="105" t="n">
        <f aca="false">IF(K51=0,0,R51/K51)</f>
        <v>9.63636363636364</v>
      </c>
      <c r="D51" s="105" t="n">
        <f aca="false">C51+B51</f>
        <v>9.63636363636364</v>
      </c>
      <c r="E51" s="106" t="n">
        <v>0</v>
      </c>
      <c r="F51" s="106" t="n">
        <v>0</v>
      </c>
      <c r="G51" s="106" t="n">
        <v>0</v>
      </c>
      <c r="H51" s="106" t="n">
        <v>12</v>
      </c>
      <c r="I51" s="106" t="n">
        <v>3</v>
      </c>
      <c r="J51" s="106" t="n">
        <v>18</v>
      </c>
      <c r="K51" s="106" t="n">
        <f aca="false">SUM(E51:J51)</f>
        <v>33</v>
      </c>
      <c r="L51" s="107" t="n">
        <v>0</v>
      </c>
      <c r="M51" s="107" t="n">
        <v>0</v>
      </c>
      <c r="N51" s="107" t="n">
        <v>0</v>
      </c>
      <c r="O51" s="107" t="n">
        <v>111</v>
      </c>
      <c r="P51" s="107" t="n">
        <v>30</v>
      </c>
      <c r="Q51" s="107" t="n">
        <v>177</v>
      </c>
      <c r="R51" s="107" t="n">
        <f aca="false">SUM(L51:Q51)</f>
        <v>318</v>
      </c>
      <c r="S51" s="108" t="n">
        <v>11</v>
      </c>
      <c r="T51" s="108" t="n">
        <v>11</v>
      </c>
      <c r="U51" s="108" t="n">
        <v>11</v>
      </c>
      <c r="V51" s="108" t="n">
        <v>11</v>
      </c>
      <c r="W51" s="108" t="n">
        <v>11</v>
      </c>
      <c r="X51" s="108" t="n">
        <v>11</v>
      </c>
      <c r="Y51" s="107" t="n">
        <f aca="false">S51*$D51</f>
        <v>106</v>
      </c>
      <c r="Z51" s="107" t="n">
        <f aca="false">T51*$D51</f>
        <v>106</v>
      </c>
      <c r="AA51" s="107" t="n">
        <f aca="false">U51*$D51</f>
        <v>106</v>
      </c>
      <c r="AB51" s="107" t="n">
        <f aca="false">V51*$D51</f>
        <v>106</v>
      </c>
      <c r="AC51" s="107" t="n">
        <f aca="false">W51*$D51</f>
        <v>106</v>
      </c>
      <c r="AD51" s="107" t="n">
        <f aca="false">X51*$D51</f>
        <v>106</v>
      </c>
      <c r="AE51" s="107" t="n">
        <f aca="false">SUM(Y51:AD51)</f>
        <v>636</v>
      </c>
    </row>
    <row r="52" customFormat="false" ht="15" hidden="false" customHeight="false" outlineLevel="0" collapsed="false">
      <c r="A52" s="103" t="s">
        <v>497</v>
      </c>
      <c r="B52" s="104" t="n">
        <v>0</v>
      </c>
      <c r="C52" s="105" t="n">
        <f aca="false">IF(K52=0,0,R52/K52)</f>
        <v>14</v>
      </c>
      <c r="D52" s="105" t="n">
        <f aca="false">C52+B52</f>
        <v>14</v>
      </c>
      <c r="E52" s="106" t="n">
        <v>0</v>
      </c>
      <c r="F52" s="106" t="n">
        <v>4</v>
      </c>
      <c r="G52" s="106" t="n">
        <v>0</v>
      </c>
      <c r="H52" s="106" t="n">
        <v>0</v>
      </c>
      <c r="I52" s="106" t="n">
        <v>0</v>
      </c>
      <c r="J52" s="106" t="n">
        <v>0</v>
      </c>
      <c r="K52" s="106" t="n">
        <f aca="false">SUM(E52:J52)</f>
        <v>4</v>
      </c>
      <c r="L52" s="107" t="n">
        <v>0</v>
      </c>
      <c r="M52" s="107" t="n">
        <v>56</v>
      </c>
      <c r="N52" s="107" t="n">
        <v>0</v>
      </c>
      <c r="O52" s="107" t="n">
        <v>0</v>
      </c>
      <c r="P52" s="107" t="n">
        <v>0</v>
      </c>
      <c r="Q52" s="107" t="n">
        <v>0</v>
      </c>
      <c r="R52" s="107" t="n">
        <f aca="false">SUM(L52:Q52)</f>
        <v>56</v>
      </c>
      <c r="S52" s="108" t="n">
        <v>0</v>
      </c>
      <c r="T52" s="108" t="n">
        <v>0</v>
      </c>
      <c r="U52" s="108" t="n">
        <v>0</v>
      </c>
      <c r="V52" s="108" t="n">
        <v>0</v>
      </c>
      <c r="W52" s="108" t="n">
        <v>0</v>
      </c>
      <c r="X52" s="108" t="n">
        <v>0</v>
      </c>
      <c r="Y52" s="107" t="n">
        <f aca="false">S52*$D52</f>
        <v>0</v>
      </c>
      <c r="Z52" s="107" t="n">
        <f aca="false">T52*$D52</f>
        <v>0</v>
      </c>
      <c r="AA52" s="107" t="n">
        <f aca="false">U52*$D52</f>
        <v>0</v>
      </c>
      <c r="AB52" s="107" t="n">
        <f aca="false">V52*$D52</f>
        <v>0</v>
      </c>
      <c r="AC52" s="107" t="n">
        <f aca="false">W52*$D52</f>
        <v>0</v>
      </c>
      <c r="AD52" s="107" t="n">
        <f aca="false">X52*$D52</f>
        <v>0</v>
      </c>
      <c r="AE52" s="107" t="n">
        <f aca="false">SUM(Y52:AD52)</f>
        <v>0</v>
      </c>
    </row>
    <row r="53" customFormat="false" ht="15" hidden="false" customHeight="false" outlineLevel="0" collapsed="false">
      <c r="A53" s="103" t="s">
        <v>498</v>
      </c>
      <c r="B53" s="104" t="n">
        <v>0</v>
      </c>
      <c r="C53" s="105" t="n">
        <f aca="false">IF(K53=0,0,R53/K53)</f>
        <v>14</v>
      </c>
      <c r="D53" s="105" t="n">
        <f aca="false">C53+B53</f>
        <v>14</v>
      </c>
      <c r="E53" s="106" t="n">
        <v>0</v>
      </c>
      <c r="F53" s="106" t="n">
        <v>0</v>
      </c>
      <c r="G53" s="106" t="n">
        <v>2</v>
      </c>
      <c r="H53" s="106" t="n">
        <v>0</v>
      </c>
      <c r="I53" s="106" t="n">
        <v>0</v>
      </c>
      <c r="J53" s="106" t="n">
        <v>1</v>
      </c>
      <c r="K53" s="106" t="n">
        <f aca="false">SUM(E53:J53)</f>
        <v>3</v>
      </c>
      <c r="L53" s="107" t="n">
        <v>0</v>
      </c>
      <c r="M53" s="107" t="n">
        <v>0</v>
      </c>
      <c r="N53" s="107" t="n">
        <v>28</v>
      </c>
      <c r="O53" s="107" t="n">
        <v>0</v>
      </c>
      <c r="P53" s="107" t="n">
        <v>0</v>
      </c>
      <c r="Q53" s="107" t="n">
        <v>14</v>
      </c>
      <c r="R53" s="107" t="n">
        <f aca="false">SUM(L53:Q53)</f>
        <v>42</v>
      </c>
      <c r="S53" s="108" t="n">
        <v>0</v>
      </c>
      <c r="T53" s="108" t="n">
        <v>0</v>
      </c>
      <c r="U53" s="108" t="n">
        <v>0</v>
      </c>
      <c r="V53" s="108" t="n">
        <v>0</v>
      </c>
      <c r="W53" s="108" t="n">
        <v>0</v>
      </c>
      <c r="X53" s="108" t="n">
        <v>0</v>
      </c>
      <c r="Y53" s="107" t="n">
        <f aca="false">S53*$D53</f>
        <v>0</v>
      </c>
      <c r="Z53" s="107" t="n">
        <f aca="false">T53*$D53</f>
        <v>0</v>
      </c>
      <c r="AA53" s="107" t="n">
        <f aca="false">U53*$D53</f>
        <v>0</v>
      </c>
      <c r="AB53" s="107" t="n">
        <f aca="false">V53*$D53</f>
        <v>0</v>
      </c>
      <c r="AC53" s="107" t="n">
        <f aca="false">W53*$D53</f>
        <v>0</v>
      </c>
      <c r="AD53" s="107" t="n">
        <f aca="false">X53*$D53</f>
        <v>0</v>
      </c>
      <c r="AE53" s="107" t="n">
        <f aca="false">SUM(Y53:AD53)</f>
        <v>0</v>
      </c>
    </row>
    <row r="54" customFormat="false" ht="15" hidden="false" customHeight="false" outlineLevel="0" collapsed="false">
      <c r="A54" s="103" t="s">
        <v>499</v>
      </c>
      <c r="B54" s="104" t="n">
        <v>0</v>
      </c>
      <c r="C54" s="105" t="n">
        <f aca="false">IF(K54=0,0,R54/K54)</f>
        <v>38</v>
      </c>
      <c r="D54" s="105" t="n">
        <f aca="false">C54+B54</f>
        <v>38</v>
      </c>
      <c r="E54" s="106" t="n">
        <v>0</v>
      </c>
      <c r="F54" s="106" t="n">
        <v>0</v>
      </c>
      <c r="G54" s="106" t="n">
        <v>1</v>
      </c>
      <c r="H54" s="106" t="n">
        <v>0</v>
      </c>
      <c r="I54" s="106" t="n">
        <v>0</v>
      </c>
      <c r="J54" s="106" t="n">
        <v>0</v>
      </c>
      <c r="K54" s="106" t="n">
        <f aca="false">SUM(E54:J54)</f>
        <v>1</v>
      </c>
      <c r="L54" s="107" t="n">
        <v>0</v>
      </c>
      <c r="M54" s="107" t="n">
        <v>0</v>
      </c>
      <c r="N54" s="107" t="n">
        <v>38</v>
      </c>
      <c r="O54" s="107" t="n">
        <v>0</v>
      </c>
      <c r="P54" s="107" t="n">
        <v>0</v>
      </c>
      <c r="Q54" s="107" t="n">
        <v>0</v>
      </c>
      <c r="R54" s="107" t="n">
        <f aca="false">SUM(L54:Q54)</f>
        <v>38</v>
      </c>
      <c r="S54" s="108" t="n">
        <v>0</v>
      </c>
      <c r="T54" s="108" t="n">
        <v>0</v>
      </c>
      <c r="U54" s="108" t="n">
        <v>0</v>
      </c>
      <c r="V54" s="108" t="n">
        <v>0</v>
      </c>
      <c r="W54" s="108" t="n">
        <v>0</v>
      </c>
      <c r="X54" s="108" t="n">
        <v>0</v>
      </c>
      <c r="Y54" s="107" t="n">
        <f aca="false">S54*$D54</f>
        <v>0</v>
      </c>
      <c r="Z54" s="107" t="n">
        <f aca="false">T54*$D54</f>
        <v>0</v>
      </c>
      <c r="AA54" s="107" t="n">
        <f aca="false">U54*$D54</f>
        <v>0</v>
      </c>
      <c r="AB54" s="107" t="n">
        <f aca="false">V54*$D54</f>
        <v>0</v>
      </c>
      <c r="AC54" s="107" t="n">
        <f aca="false">W54*$D54</f>
        <v>0</v>
      </c>
      <c r="AD54" s="107" t="n">
        <f aca="false">X54*$D54</f>
        <v>0</v>
      </c>
      <c r="AE54" s="107" t="n">
        <f aca="false">SUM(Y54:AD54)</f>
        <v>0</v>
      </c>
    </row>
    <row r="55" customFormat="false" ht="15" hidden="false" customHeight="false" outlineLevel="0" collapsed="false">
      <c r="A55" s="103" t="s">
        <v>500</v>
      </c>
      <c r="B55" s="104" t="n">
        <v>0</v>
      </c>
      <c r="C55" s="105" t="n">
        <f aca="false">IF(K55=0,0,R55/K55)</f>
        <v>11.95</v>
      </c>
      <c r="D55" s="105" t="n">
        <f aca="false">C55+B55</f>
        <v>11.95</v>
      </c>
      <c r="E55" s="106" t="n">
        <v>0</v>
      </c>
      <c r="F55" s="106" t="n">
        <v>14</v>
      </c>
      <c r="G55" s="106" t="n">
        <v>0</v>
      </c>
      <c r="H55" s="106" t="n">
        <v>1</v>
      </c>
      <c r="I55" s="106" t="n">
        <v>5</v>
      </c>
      <c r="J55" s="106" t="n">
        <v>0</v>
      </c>
      <c r="K55" s="106" t="n">
        <f aca="false">SUM(E55:J55)</f>
        <v>20</v>
      </c>
      <c r="L55" s="107" t="n">
        <v>0</v>
      </c>
      <c r="M55" s="107" t="n">
        <v>189</v>
      </c>
      <c r="N55" s="107" t="n">
        <v>0</v>
      </c>
      <c r="O55" s="107" t="n">
        <v>10</v>
      </c>
      <c r="P55" s="107" t="n">
        <v>40</v>
      </c>
      <c r="Q55" s="107" t="n">
        <v>0</v>
      </c>
      <c r="R55" s="107" t="n">
        <f aca="false">SUM(L55:Q55)</f>
        <v>239</v>
      </c>
      <c r="S55" s="108" t="n">
        <v>2</v>
      </c>
      <c r="T55" s="108" t="n">
        <v>2</v>
      </c>
      <c r="U55" s="108" t="n">
        <v>2</v>
      </c>
      <c r="V55" s="108" t="n">
        <v>2</v>
      </c>
      <c r="W55" s="108" t="n">
        <v>2</v>
      </c>
      <c r="X55" s="108" t="n">
        <v>2</v>
      </c>
      <c r="Y55" s="107" t="n">
        <f aca="false">S55*$D55</f>
        <v>23.9</v>
      </c>
      <c r="Z55" s="107" t="n">
        <f aca="false">T55*$D55</f>
        <v>23.9</v>
      </c>
      <c r="AA55" s="107" t="n">
        <f aca="false">U55*$D55</f>
        <v>23.9</v>
      </c>
      <c r="AB55" s="107" t="n">
        <f aca="false">V55*$D55</f>
        <v>23.9</v>
      </c>
      <c r="AC55" s="107" t="n">
        <f aca="false">W55*$D55</f>
        <v>23.9</v>
      </c>
      <c r="AD55" s="107" t="n">
        <f aca="false">X55*$D55</f>
        <v>23.9</v>
      </c>
      <c r="AE55" s="107" t="n">
        <f aca="false">SUM(Y55:AD55)</f>
        <v>143.4</v>
      </c>
    </row>
    <row r="56" customFormat="false" ht="15" hidden="false" customHeight="false" outlineLevel="0" collapsed="false">
      <c r="A56" s="109" t="s">
        <v>501</v>
      </c>
      <c r="B56" s="110"/>
      <c r="C56" s="110"/>
      <c r="D56" s="110"/>
      <c r="E56" s="111" t="n">
        <f aca="false">SUM(E49:E55)</f>
        <v>13</v>
      </c>
      <c r="F56" s="111" t="n">
        <f aca="false">SUM(F49:F55)</f>
        <v>23</v>
      </c>
      <c r="G56" s="111" t="n">
        <f aca="false">SUM(G49:G55)</f>
        <v>13</v>
      </c>
      <c r="H56" s="111" t="n">
        <f aca="false">SUM(H49:H55)</f>
        <v>49</v>
      </c>
      <c r="I56" s="111" t="n">
        <f aca="false">SUM(I49:I55)</f>
        <v>60</v>
      </c>
      <c r="J56" s="111" t="n">
        <f aca="false">SUM(J49:J55)</f>
        <v>98</v>
      </c>
      <c r="K56" s="111" t="n">
        <f aca="false">SUM(K49:K55)</f>
        <v>256</v>
      </c>
      <c r="L56" s="112" t="n">
        <f aca="false">SUM(L49:L55)</f>
        <v>100</v>
      </c>
      <c r="M56" s="112" t="n">
        <f aca="false">SUM(M49:M55)</f>
        <v>285</v>
      </c>
      <c r="N56" s="112" t="n">
        <f aca="false">SUM(N49:N55)</f>
        <v>163</v>
      </c>
      <c r="O56" s="112" t="n">
        <f aca="false">SUM(O49:O55)</f>
        <v>467</v>
      </c>
      <c r="P56" s="112" t="n">
        <f aca="false">SUM(P49:P55)</f>
        <v>588</v>
      </c>
      <c r="Q56" s="112" t="n">
        <f aca="false">SUM(Q49:Q55)</f>
        <v>971</v>
      </c>
      <c r="R56" s="112" t="n">
        <f aca="false">SUM(R49:R55)</f>
        <v>2574</v>
      </c>
      <c r="S56" s="111" t="n">
        <f aca="false">SUM(S49:S55)</f>
        <v>69</v>
      </c>
      <c r="T56" s="111" t="n">
        <f aca="false">SUM(T49:T55)</f>
        <v>69</v>
      </c>
      <c r="U56" s="111" t="n">
        <f aca="false">SUM(U49:U55)</f>
        <v>69</v>
      </c>
      <c r="V56" s="111" t="n">
        <f aca="false">SUM(V49:V55)</f>
        <v>69</v>
      </c>
      <c r="W56" s="111" t="n">
        <f aca="false">SUM(W49:W55)</f>
        <v>69</v>
      </c>
      <c r="X56" s="111" t="n">
        <f aca="false">SUM(X49:X55)</f>
        <v>69</v>
      </c>
      <c r="Y56" s="112" t="n">
        <f aca="false">SUM(Y49:Y55)</f>
        <v>674.525</v>
      </c>
      <c r="Z56" s="112" t="n">
        <f aca="false">SUM(Z49:Z55)</f>
        <v>674.525</v>
      </c>
      <c r="AA56" s="112" t="n">
        <f aca="false">SUM(AA49:AA55)</f>
        <v>674.525</v>
      </c>
      <c r="AB56" s="112" t="n">
        <f aca="false">SUM(AB49:AB55)</f>
        <v>674.525</v>
      </c>
      <c r="AC56" s="112" t="n">
        <f aca="false">SUM(AC49:AC55)</f>
        <v>674.525</v>
      </c>
      <c r="AD56" s="112" t="n">
        <f aca="false">SUM(AD49:AD55)</f>
        <v>674.525</v>
      </c>
      <c r="AE56" s="112" t="n">
        <f aca="false">SUM(AE49:AE55)</f>
        <v>4047.15</v>
      </c>
    </row>
    <row r="58" customFormat="false" ht="15" hidden="false" customHeight="false" outlineLevel="0" collapsed="false">
      <c r="A58" s="102" t="s">
        <v>502</v>
      </c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</row>
    <row r="59" customFormat="false" ht="15" hidden="false" customHeight="false" outlineLevel="0" collapsed="false">
      <c r="A59" s="103" t="s">
        <v>503</v>
      </c>
      <c r="B59" s="104" t="n">
        <v>0</v>
      </c>
      <c r="C59" s="105" t="n">
        <f aca="false">IF(K59=0,0,R59/K59)</f>
        <v>6.41538461538462</v>
      </c>
      <c r="D59" s="105" t="n">
        <f aca="false">C59+B59</f>
        <v>6.41538461538462</v>
      </c>
      <c r="E59" s="106" t="n">
        <v>0</v>
      </c>
      <c r="F59" s="106" t="n">
        <v>13</v>
      </c>
      <c r="G59" s="106" t="n">
        <v>3</v>
      </c>
      <c r="H59" s="106" t="n">
        <v>19</v>
      </c>
      <c r="I59" s="106" t="n">
        <v>18</v>
      </c>
      <c r="J59" s="106" t="n">
        <v>12</v>
      </c>
      <c r="K59" s="106" t="n">
        <f aca="false">SUM(E59:J59)</f>
        <v>65</v>
      </c>
      <c r="L59" s="107" t="n">
        <v>0</v>
      </c>
      <c r="M59" s="107" t="n">
        <v>78</v>
      </c>
      <c r="N59" s="107" t="n">
        <v>18</v>
      </c>
      <c r="O59" s="107" t="n">
        <v>122</v>
      </c>
      <c r="P59" s="107" t="n">
        <v>117</v>
      </c>
      <c r="Q59" s="107" t="n">
        <v>82</v>
      </c>
      <c r="R59" s="107" t="n">
        <f aca="false">SUM(L59:Q59)</f>
        <v>417</v>
      </c>
      <c r="S59" s="108" t="n">
        <v>16</v>
      </c>
      <c r="T59" s="108" t="n">
        <v>16</v>
      </c>
      <c r="U59" s="108" t="n">
        <v>16</v>
      </c>
      <c r="V59" s="108" t="n">
        <v>16</v>
      </c>
      <c r="W59" s="108" t="n">
        <v>16</v>
      </c>
      <c r="X59" s="108" t="n">
        <v>16</v>
      </c>
      <c r="Y59" s="107" t="n">
        <f aca="false">S59*$D59</f>
        <v>102.646153846154</v>
      </c>
      <c r="Z59" s="107" t="n">
        <f aca="false">T59*$D59</f>
        <v>102.646153846154</v>
      </c>
      <c r="AA59" s="107" t="n">
        <f aca="false">U59*$D59</f>
        <v>102.646153846154</v>
      </c>
      <c r="AB59" s="107" t="n">
        <f aca="false">V59*$D59</f>
        <v>102.646153846154</v>
      </c>
      <c r="AC59" s="107" t="n">
        <f aca="false">W59*$D59</f>
        <v>102.646153846154</v>
      </c>
      <c r="AD59" s="107" t="n">
        <f aca="false">X59*$D59</f>
        <v>102.646153846154</v>
      </c>
      <c r="AE59" s="107" t="n">
        <f aca="false">SUM(Y59:AD59)</f>
        <v>615.876923076923</v>
      </c>
    </row>
    <row r="60" customFormat="false" ht="15" hidden="false" customHeight="false" outlineLevel="0" collapsed="false">
      <c r="A60" s="103" t="s">
        <v>504</v>
      </c>
      <c r="B60" s="104" t="n">
        <v>0</v>
      </c>
      <c r="C60" s="105" t="n">
        <f aca="false">IF(K60=0,0,R60/K60)</f>
        <v>6.4</v>
      </c>
      <c r="D60" s="105" t="n">
        <f aca="false">C60+B60</f>
        <v>6.4</v>
      </c>
      <c r="E60" s="106" t="n">
        <v>5</v>
      </c>
      <c r="F60" s="106" t="n">
        <v>6</v>
      </c>
      <c r="G60" s="106" t="n">
        <v>1</v>
      </c>
      <c r="H60" s="106" t="n">
        <v>4</v>
      </c>
      <c r="I60" s="106" t="n">
        <v>12</v>
      </c>
      <c r="J60" s="106" t="n">
        <v>22</v>
      </c>
      <c r="K60" s="106" t="n">
        <f aca="false">SUM(E60:J60)</f>
        <v>50</v>
      </c>
      <c r="L60" s="107" t="n">
        <v>24</v>
      </c>
      <c r="M60" s="107" t="n">
        <v>36</v>
      </c>
      <c r="N60" s="107" t="n">
        <v>6</v>
      </c>
      <c r="O60" s="107" t="n">
        <v>24</v>
      </c>
      <c r="P60" s="107" t="n">
        <v>81</v>
      </c>
      <c r="Q60" s="107" t="n">
        <v>149</v>
      </c>
      <c r="R60" s="107" t="n">
        <f aca="false">SUM(L60:Q60)</f>
        <v>320</v>
      </c>
      <c r="S60" s="108" t="n">
        <v>13</v>
      </c>
      <c r="T60" s="108" t="n">
        <v>13</v>
      </c>
      <c r="U60" s="108" t="n">
        <v>13</v>
      </c>
      <c r="V60" s="108" t="n">
        <v>13</v>
      </c>
      <c r="W60" s="108" t="n">
        <v>13</v>
      </c>
      <c r="X60" s="108" t="n">
        <v>13</v>
      </c>
      <c r="Y60" s="107" t="n">
        <f aca="false">S60*$D60</f>
        <v>83.2</v>
      </c>
      <c r="Z60" s="107" t="n">
        <f aca="false">T60*$D60</f>
        <v>83.2</v>
      </c>
      <c r="AA60" s="107" t="n">
        <f aca="false">U60*$D60</f>
        <v>83.2</v>
      </c>
      <c r="AB60" s="107" t="n">
        <f aca="false">V60*$D60</f>
        <v>83.2</v>
      </c>
      <c r="AC60" s="107" t="n">
        <f aca="false">W60*$D60</f>
        <v>83.2</v>
      </c>
      <c r="AD60" s="107" t="n">
        <f aca="false">X60*$D60</f>
        <v>83.2</v>
      </c>
      <c r="AE60" s="107" t="n">
        <f aca="false">SUM(Y60:AD60)</f>
        <v>499.2</v>
      </c>
    </row>
    <row r="61" customFormat="false" ht="15" hidden="false" customHeight="false" outlineLevel="0" collapsed="false">
      <c r="A61" s="103" t="s">
        <v>505</v>
      </c>
      <c r="B61" s="104" t="n">
        <v>0</v>
      </c>
      <c r="C61" s="105" t="n">
        <f aca="false">IF(K61=0,0,R61/K61)</f>
        <v>6.76923076923077</v>
      </c>
      <c r="D61" s="105" t="n">
        <f aca="false">C61+B61</f>
        <v>6.76923076923077</v>
      </c>
      <c r="E61" s="106" t="n">
        <v>0</v>
      </c>
      <c r="F61" s="106" t="n">
        <v>0</v>
      </c>
      <c r="G61" s="106" t="n">
        <v>0</v>
      </c>
      <c r="H61" s="106" t="n">
        <v>6</v>
      </c>
      <c r="I61" s="106" t="n">
        <v>13</v>
      </c>
      <c r="J61" s="106" t="n">
        <v>20</v>
      </c>
      <c r="K61" s="106" t="n">
        <f aca="false">SUM(E61:J61)</f>
        <v>39</v>
      </c>
      <c r="L61" s="107" t="n">
        <v>0</v>
      </c>
      <c r="M61" s="107" t="n">
        <v>0</v>
      </c>
      <c r="N61" s="107" t="n">
        <v>0</v>
      </c>
      <c r="O61" s="107" t="n">
        <v>42</v>
      </c>
      <c r="P61" s="107" t="n">
        <v>86</v>
      </c>
      <c r="Q61" s="107" t="n">
        <v>136</v>
      </c>
      <c r="R61" s="107" t="n">
        <f aca="false">SUM(L61:Q61)</f>
        <v>264</v>
      </c>
      <c r="S61" s="108" t="n">
        <v>13</v>
      </c>
      <c r="T61" s="108" t="n">
        <v>13</v>
      </c>
      <c r="U61" s="108" t="n">
        <v>13</v>
      </c>
      <c r="V61" s="108" t="n">
        <v>13</v>
      </c>
      <c r="W61" s="108" t="n">
        <v>13</v>
      </c>
      <c r="X61" s="108" t="n">
        <v>13</v>
      </c>
      <c r="Y61" s="107" t="n">
        <f aca="false">S61*$D61</f>
        <v>88</v>
      </c>
      <c r="Z61" s="107" t="n">
        <f aca="false">T61*$D61</f>
        <v>88</v>
      </c>
      <c r="AA61" s="107" t="n">
        <f aca="false">U61*$D61</f>
        <v>88</v>
      </c>
      <c r="AB61" s="107" t="n">
        <f aca="false">V61*$D61</f>
        <v>88</v>
      </c>
      <c r="AC61" s="107" t="n">
        <f aca="false">W61*$D61</f>
        <v>88</v>
      </c>
      <c r="AD61" s="107" t="n">
        <f aca="false">X61*$D61</f>
        <v>88</v>
      </c>
      <c r="AE61" s="107" t="n">
        <f aca="false">SUM(Y61:AD61)</f>
        <v>528</v>
      </c>
    </row>
    <row r="62" customFormat="false" ht="15" hidden="false" customHeight="false" outlineLevel="0" collapsed="false">
      <c r="A62" s="103" t="s">
        <v>506</v>
      </c>
      <c r="B62" s="104" t="n">
        <v>0</v>
      </c>
      <c r="C62" s="105" t="n">
        <f aca="false">IF(K62=0,0,R62/K62)</f>
        <v>6.85185185185185</v>
      </c>
      <c r="D62" s="105" t="n">
        <f aca="false">C62+B62</f>
        <v>6.85185185185185</v>
      </c>
      <c r="E62" s="106" t="n">
        <v>0</v>
      </c>
      <c r="F62" s="106" t="n">
        <v>0</v>
      </c>
      <c r="G62" s="106" t="n">
        <v>0</v>
      </c>
      <c r="H62" s="106" t="n">
        <v>6</v>
      </c>
      <c r="I62" s="106" t="n">
        <v>8</v>
      </c>
      <c r="J62" s="106" t="n">
        <v>13</v>
      </c>
      <c r="K62" s="106" t="n">
        <f aca="false">SUM(E62:J62)</f>
        <v>27</v>
      </c>
      <c r="L62" s="107" t="n">
        <v>0</v>
      </c>
      <c r="M62" s="107" t="n">
        <v>0</v>
      </c>
      <c r="N62" s="107" t="n">
        <v>0</v>
      </c>
      <c r="O62" s="107" t="n">
        <v>42</v>
      </c>
      <c r="P62" s="107" t="n">
        <v>54</v>
      </c>
      <c r="Q62" s="107" t="n">
        <v>89</v>
      </c>
      <c r="R62" s="107" t="n">
        <f aca="false">SUM(L62:Q62)</f>
        <v>185</v>
      </c>
      <c r="S62" s="108" t="n">
        <v>9</v>
      </c>
      <c r="T62" s="108" t="n">
        <v>9</v>
      </c>
      <c r="U62" s="108" t="n">
        <v>9</v>
      </c>
      <c r="V62" s="108" t="n">
        <v>9</v>
      </c>
      <c r="W62" s="108" t="n">
        <v>9</v>
      </c>
      <c r="X62" s="108" t="n">
        <v>9</v>
      </c>
      <c r="Y62" s="107" t="n">
        <f aca="false">S62*$D62</f>
        <v>61.6666666666667</v>
      </c>
      <c r="Z62" s="107" t="n">
        <f aca="false">T62*$D62</f>
        <v>61.6666666666667</v>
      </c>
      <c r="AA62" s="107" t="n">
        <f aca="false">U62*$D62</f>
        <v>61.6666666666667</v>
      </c>
      <c r="AB62" s="107" t="n">
        <f aca="false">V62*$D62</f>
        <v>61.6666666666667</v>
      </c>
      <c r="AC62" s="107" t="n">
        <f aca="false">W62*$D62</f>
        <v>61.6666666666667</v>
      </c>
      <c r="AD62" s="107" t="n">
        <f aca="false">X62*$D62</f>
        <v>61.6666666666667</v>
      </c>
      <c r="AE62" s="107" t="n">
        <f aca="false">SUM(Y62:AD62)</f>
        <v>370</v>
      </c>
    </row>
    <row r="63" customFormat="false" ht="15" hidden="false" customHeight="false" outlineLevel="0" collapsed="false">
      <c r="A63" s="103" t="s">
        <v>507</v>
      </c>
      <c r="B63" s="104" t="n">
        <v>0</v>
      </c>
      <c r="C63" s="105" t="n">
        <f aca="false">IF(K63=0,0,R63/K63)</f>
        <v>6.1304347826087</v>
      </c>
      <c r="D63" s="105" t="n">
        <f aca="false">C63+B63</f>
        <v>6.1304347826087</v>
      </c>
      <c r="E63" s="106" t="n">
        <v>4</v>
      </c>
      <c r="F63" s="106" t="n">
        <v>7</v>
      </c>
      <c r="G63" s="106" t="n">
        <v>6</v>
      </c>
      <c r="H63" s="106" t="n">
        <v>0</v>
      </c>
      <c r="I63" s="106" t="n">
        <v>1</v>
      </c>
      <c r="J63" s="106" t="n">
        <v>5</v>
      </c>
      <c r="K63" s="106" t="n">
        <f aca="false">SUM(E63:J63)</f>
        <v>23</v>
      </c>
      <c r="L63" s="107" t="n">
        <v>22</v>
      </c>
      <c r="M63" s="107" t="n">
        <v>42</v>
      </c>
      <c r="N63" s="107" t="n">
        <v>35</v>
      </c>
      <c r="O63" s="107" t="n">
        <v>0</v>
      </c>
      <c r="P63" s="107" t="n">
        <v>7</v>
      </c>
      <c r="Q63" s="107" t="n">
        <v>35</v>
      </c>
      <c r="R63" s="107" t="n">
        <f aca="false">SUM(L63:Q63)</f>
        <v>141</v>
      </c>
      <c r="S63" s="108" t="n">
        <v>2</v>
      </c>
      <c r="T63" s="108" t="n">
        <v>2</v>
      </c>
      <c r="U63" s="108" t="n">
        <v>2</v>
      </c>
      <c r="V63" s="108" t="n">
        <v>2</v>
      </c>
      <c r="W63" s="108" t="n">
        <v>2</v>
      </c>
      <c r="X63" s="108" t="n">
        <v>2</v>
      </c>
      <c r="Y63" s="107" t="n">
        <f aca="false">S63*$D63</f>
        <v>12.2608695652174</v>
      </c>
      <c r="Z63" s="107" t="n">
        <f aca="false">T63*$D63</f>
        <v>12.2608695652174</v>
      </c>
      <c r="AA63" s="107" t="n">
        <f aca="false">U63*$D63</f>
        <v>12.2608695652174</v>
      </c>
      <c r="AB63" s="107" t="n">
        <f aca="false">V63*$D63</f>
        <v>12.2608695652174</v>
      </c>
      <c r="AC63" s="107" t="n">
        <f aca="false">W63*$D63</f>
        <v>12.2608695652174</v>
      </c>
      <c r="AD63" s="107" t="n">
        <f aca="false">X63*$D63</f>
        <v>12.2608695652174</v>
      </c>
      <c r="AE63" s="107" t="n">
        <f aca="false">SUM(Y63:AD63)</f>
        <v>73.5652173913043</v>
      </c>
    </row>
    <row r="64" customFormat="false" ht="15" hidden="false" customHeight="false" outlineLevel="0" collapsed="false">
      <c r="A64" s="103" t="s">
        <v>508</v>
      </c>
      <c r="B64" s="104" t="n">
        <v>0</v>
      </c>
      <c r="C64" s="105" t="n">
        <f aca="false">IF(K64=0,0,R64/K64)</f>
        <v>6.3</v>
      </c>
      <c r="D64" s="105" t="n">
        <f aca="false">C64+B64</f>
        <v>6.3</v>
      </c>
      <c r="E64" s="106" t="n">
        <v>1</v>
      </c>
      <c r="F64" s="106" t="n">
        <v>6</v>
      </c>
      <c r="G64" s="106" t="n">
        <v>6</v>
      </c>
      <c r="H64" s="106" t="n">
        <v>3</v>
      </c>
      <c r="I64" s="106" t="n">
        <v>4</v>
      </c>
      <c r="J64" s="106" t="n">
        <v>0</v>
      </c>
      <c r="K64" s="106" t="n">
        <f aca="false">SUM(E64:J64)</f>
        <v>20</v>
      </c>
      <c r="L64" s="107" t="n">
        <v>6</v>
      </c>
      <c r="M64" s="107" t="n">
        <v>35</v>
      </c>
      <c r="N64" s="107" t="n">
        <v>36</v>
      </c>
      <c r="O64" s="107" t="n">
        <v>21</v>
      </c>
      <c r="P64" s="107" t="n">
        <v>28</v>
      </c>
      <c r="Q64" s="107" t="n">
        <v>0</v>
      </c>
      <c r="R64" s="107" t="n">
        <f aca="false">SUM(L64:Q64)</f>
        <v>126</v>
      </c>
      <c r="S64" s="108" t="n">
        <v>2</v>
      </c>
      <c r="T64" s="108" t="n">
        <v>2</v>
      </c>
      <c r="U64" s="108" t="n">
        <v>2</v>
      </c>
      <c r="V64" s="108" t="n">
        <v>2</v>
      </c>
      <c r="W64" s="108" t="n">
        <v>2</v>
      </c>
      <c r="X64" s="108" t="n">
        <v>2</v>
      </c>
      <c r="Y64" s="107" t="n">
        <f aca="false">S64*$D64</f>
        <v>12.6</v>
      </c>
      <c r="Z64" s="107" t="n">
        <f aca="false">T64*$D64</f>
        <v>12.6</v>
      </c>
      <c r="AA64" s="107" t="n">
        <f aca="false">U64*$D64</f>
        <v>12.6</v>
      </c>
      <c r="AB64" s="107" t="n">
        <f aca="false">V64*$D64</f>
        <v>12.6</v>
      </c>
      <c r="AC64" s="107" t="n">
        <f aca="false">W64*$D64</f>
        <v>12.6</v>
      </c>
      <c r="AD64" s="107" t="n">
        <f aca="false">X64*$D64</f>
        <v>12.6</v>
      </c>
      <c r="AE64" s="107" t="n">
        <f aca="false">SUM(Y64:AD64)</f>
        <v>75.6</v>
      </c>
    </row>
    <row r="65" customFormat="false" ht="15" hidden="false" customHeight="false" outlineLevel="0" collapsed="false">
      <c r="A65" s="103" t="s">
        <v>509</v>
      </c>
      <c r="B65" s="104" t="n">
        <v>0</v>
      </c>
      <c r="C65" s="105" t="n">
        <f aca="false">IF(K65=0,0,R65/K65)</f>
        <v>6.92307692307692</v>
      </c>
      <c r="D65" s="105" t="n">
        <f aca="false">C65+B65</f>
        <v>6.92307692307692</v>
      </c>
      <c r="E65" s="106" t="n">
        <v>0</v>
      </c>
      <c r="F65" s="106" t="n">
        <v>0</v>
      </c>
      <c r="G65" s="106" t="n">
        <v>0</v>
      </c>
      <c r="H65" s="106" t="n">
        <v>4</v>
      </c>
      <c r="I65" s="106" t="n">
        <v>8</v>
      </c>
      <c r="J65" s="106" t="n">
        <v>1</v>
      </c>
      <c r="K65" s="106" t="n">
        <f aca="false">SUM(E65:J65)</f>
        <v>13</v>
      </c>
      <c r="L65" s="107" t="n">
        <v>0</v>
      </c>
      <c r="M65" s="107" t="n">
        <v>0</v>
      </c>
      <c r="N65" s="107" t="n">
        <v>0</v>
      </c>
      <c r="O65" s="107" t="n">
        <v>28</v>
      </c>
      <c r="P65" s="107" t="n">
        <v>55</v>
      </c>
      <c r="Q65" s="107" t="n">
        <v>7</v>
      </c>
      <c r="R65" s="107" t="n">
        <f aca="false">SUM(L65:Q65)</f>
        <v>90</v>
      </c>
      <c r="S65" s="108" t="n">
        <v>4</v>
      </c>
      <c r="T65" s="108" t="n">
        <v>4</v>
      </c>
      <c r="U65" s="108" t="n">
        <v>4</v>
      </c>
      <c r="V65" s="108" t="n">
        <v>4</v>
      </c>
      <c r="W65" s="108" t="n">
        <v>4</v>
      </c>
      <c r="X65" s="108" t="n">
        <v>4</v>
      </c>
      <c r="Y65" s="107" t="n">
        <f aca="false">S65*$D65</f>
        <v>27.6923076923077</v>
      </c>
      <c r="Z65" s="107" t="n">
        <f aca="false">T65*$D65</f>
        <v>27.6923076923077</v>
      </c>
      <c r="AA65" s="107" t="n">
        <f aca="false">U65*$D65</f>
        <v>27.6923076923077</v>
      </c>
      <c r="AB65" s="107" t="n">
        <f aca="false">V65*$D65</f>
        <v>27.6923076923077</v>
      </c>
      <c r="AC65" s="107" t="n">
        <f aca="false">W65*$D65</f>
        <v>27.6923076923077</v>
      </c>
      <c r="AD65" s="107" t="n">
        <f aca="false">X65*$D65</f>
        <v>27.6923076923077</v>
      </c>
      <c r="AE65" s="107" t="n">
        <f aca="false">SUM(Y65:AD65)</f>
        <v>166.153846153846</v>
      </c>
    </row>
    <row r="66" customFormat="false" ht="15" hidden="false" customHeight="false" outlineLevel="0" collapsed="false">
      <c r="A66" s="103" t="s">
        <v>510</v>
      </c>
      <c r="B66" s="104" t="n">
        <v>0</v>
      </c>
      <c r="C66" s="105" t="n">
        <f aca="false">IF(K66=0,0,R66/K66)</f>
        <v>6.90909090909091</v>
      </c>
      <c r="D66" s="105" t="n">
        <f aca="false">C66+B66</f>
        <v>6.90909090909091</v>
      </c>
      <c r="E66" s="106" t="n">
        <v>0</v>
      </c>
      <c r="F66" s="106" t="n">
        <v>0</v>
      </c>
      <c r="G66" s="106" t="n">
        <v>0</v>
      </c>
      <c r="H66" s="106" t="n">
        <v>0</v>
      </c>
      <c r="I66" s="106" t="n">
        <v>8</v>
      </c>
      <c r="J66" s="106" t="n">
        <v>3</v>
      </c>
      <c r="K66" s="106" t="n">
        <f aca="false">SUM(E66:J66)</f>
        <v>11</v>
      </c>
      <c r="L66" s="107" t="n">
        <v>0</v>
      </c>
      <c r="M66" s="107" t="n">
        <v>0</v>
      </c>
      <c r="N66" s="107" t="n">
        <v>0</v>
      </c>
      <c r="O66" s="107" t="n">
        <v>0</v>
      </c>
      <c r="P66" s="107" t="n">
        <v>55</v>
      </c>
      <c r="Q66" s="107" t="n">
        <v>21</v>
      </c>
      <c r="R66" s="107" t="n">
        <f aca="false">SUM(L66:Q66)</f>
        <v>76</v>
      </c>
      <c r="S66" s="108" t="n">
        <v>4</v>
      </c>
      <c r="T66" s="108" t="n">
        <v>4</v>
      </c>
      <c r="U66" s="108" t="n">
        <v>4</v>
      </c>
      <c r="V66" s="108" t="n">
        <v>4</v>
      </c>
      <c r="W66" s="108" t="n">
        <v>4</v>
      </c>
      <c r="X66" s="108" t="n">
        <v>4</v>
      </c>
      <c r="Y66" s="107" t="n">
        <f aca="false">S66*$D66</f>
        <v>27.6363636363636</v>
      </c>
      <c r="Z66" s="107" t="n">
        <f aca="false">T66*$D66</f>
        <v>27.6363636363636</v>
      </c>
      <c r="AA66" s="107" t="n">
        <f aca="false">U66*$D66</f>
        <v>27.6363636363636</v>
      </c>
      <c r="AB66" s="107" t="n">
        <f aca="false">V66*$D66</f>
        <v>27.6363636363636</v>
      </c>
      <c r="AC66" s="107" t="n">
        <f aca="false">W66*$D66</f>
        <v>27.6363636363636</v>
      </c>
      <c r="AD66" s="107" t="n">
        <f aca="false">X66*$D66</f>
        <v>27.6363636363636</v>
      </c>
      <c r="AE66" s="107" t="n">
        <f aca="false">SUM(Y66:AD66)</f>
        <v>165.818181818182</v>
      </c>
    </row>
    <row r="67" customFormat="false" ht="15" hidden="false" customHeight="false" outlineLevel="0" collapsed="false">
      <c r="A67" s="103" t="s">
        <v>511</v>
      </c>
      <c r="B67" s="104" t="n">
        <v>0</v>
      </c>
      <c r="C67" s="105" t="n">
        <f aca="false">IF(K67=0,0,R67/K67)</f>
        <v>6.43661971830986</v>
      </c>
      <c r="D67" s="105" t="n">
        <f aca="false">C67+B67</f>
        <v>6.43661971830986</v>
      </c>
      <c r="E67" s="106" t="n">
        <v>0</v>
      </c>
      <c r="F67" s="106" t="n">
        <v>1</v>
      </c>
      <c r="G67" s="106" t="n">
        <v>12</v>
      </c>
      <c r="H67" s="106" t="n">
        <v>8</v>
      </c>
      <c r="I67" s="106" t="n">
        <v>17</v>
      </c>
      <c r="J67" s="106" t="n">
        <v>33</v>
      </c>
      <c r="K67" s="106" t="n">
        <f aca="false">SUM(E67:J67)</f>
        <v>71</v>
      </c>
      <c r="L67" s="107" t="n">
        <v>0</v>
      </c>
      <c r="M67" s="107" t="n">
        <v>6</v>
      </c>
      <c r="N67" s="107" t="n">
        <v>66</v>
      </c>
      <c r="O67" s="107" t="n">
        <v>54</v>
      </c>
      <c r="P67" s="107" t="n">
        <v>111</v>
      </c>
      <c r="Q67" s="107" t="n">
        <v>220</v>
      </c>
      <c r="R67" s="107" t="n">
        <f aca="false">SUM(L67:Q67)</f>
        <v>457</v>
      </c>
      <c r="S67" s="108" t="n">
        <v>19</v>
      </c>
      <c r="T67" s="108" t="n">
        <v>19</v>
      </c>
      <c r="U67" s="108" t="n">
        <v>19</v>
      </c>
      <c r="V67" s="108" t="n">
        <v>19</v>
      </c>
      <c r="W67" s="108" t="n">
        <v>19</v>
      </c>
      <c r="X67" s="108" t="n">
        <v>19</v>
      </c>
      <c r="Y67" s="107" t="n">
        <f aca="false">S67*$D67</f>
        <v>122.295774647887</v>
      </c>
      <c r="Z67" s="107" t="n">
        <f aca="false">T67*$D67</f>
        <v>122.295774647887</v>
      </c>
      <c r="AA67" s="107" t="n">
        <f aca="false">U67*$D67</f>
        <v>122.295774647887</v>
      </c>
      <c r="AB67" s="107" t="n">
        <f aca="false">V67*$D67</f>
        <v>122.295774647887</v>
      </c>
      <c r="AC67" s="107" t="n">
        <f aca="false">W67*$D67</f>
        <v>122.295774647887</v>
      </c>
      <c r="AD67" s="107" t="n">
        <f aca="false">X67*$D67</f>
        <v>122.295774647887</v>
      </c>
      <c r="AE67" s="107" t="n">
        <f aca="false">SUM(Y67:AD67)</f>
        <v>733.774647887324</v>
      </c>
    </row>
    <row r="68" customFormat="false" ht="15" hidden="false" customHeight="false" outlineLevel="0" collapsed="false">
      <c r="A68" s="109" t="s">
        <v>512</v>
      </c>
      <c r="B68" s="110"/>
      <c r="C68" s="110"/>
      <c r="D68" s="110"/>
      <c r="E68" s="111" t="n">
        <f aca="false">SUM(E59:E67)</f>
        <v>10</v>
      </c>
      <c r="F68" s="111" t="n">
        <f aca="false">SUM(F59:F67)</f>
        <v>33</v>
      </c>
      <c r="G68" s="111" t="n">
        <f aca="false">SUM(G59:G67)</f>
        <v>28</v>
      </c>
      <c r="H68" s="111" t="n">
        <f aca="false">SUM(H59:H67)</f>
        <v>50</v>
      </c>
      <c r="I68" s="111" t="n">
        <f aca="false">SUM(I59:I67)</f>
        <v>89</v>
      </c>
      <c r="J68" s="111" t="n">
        <f aca="false">SUM(J59:J67)</f>
        <v>109</v>
      </c>
      <c r="K68" s="111" t="n">
        <f aca="false">SUM(K59:K67)</f>
        <v>319</v>
      </c>
      <c r="L68" s="112" t="n">
        <f aca="false">SUM(L59:L67)</f>
        <v>52</v>
      </c>
      <c r="M68" s="112" t="n">
        <f aca="false">SUM(M59:M67)</f>
        <v>197</v>
      </c>
      <c r="N68" s="112" t="n">
        <f aca="false">SUM(N59:N67)</f>
        <v>161</v>
      </c>
      <c r="O68" s="112" t="n">
        <f aca="false">SUM(O59:O67)</f>
        <v>333</v>
      </c>
      <c r="P68" s="112" t="n">
        <f aca="false">SUM(P59:P67)</f>
        <v>594</v>
      </c>
      <c r="Q68" s="112" t="n">
        <f aca="false">SUM(Q59:Q67)</f>
        <v>739</v>
      </c>
      <c r="R68" s="112" t="n">
        <f aca="false">SUM(R59:R67)</f>
        <v>2076</v>
      </c>
      <c r="S68" s="111" t="n">
        <f aca="false">SUM(S59:S67)</f>
        <v>82</v>
      </c>
      <c r="T68" s="111" t="n">
        <f aca="false">SUM(T59:T67)</f>
        <v>82</v>
      </c>
      <c r="U68" s="111" t="n">
        <f aca="false">SUM(U59:U67)</f>
        <v>82</v>
      </c>
      <c r="V68" s="111" t="n">
        <f aca="false">SUM(V59:V67)</f>
        <v>82</v>
      </c>
      <c r="W68" s="111" t="n">
        <f aca="false">SUM(W59:W67)</f>
        <v>82</v>
      </c>
      <c r="X68" s="111" t="n">
        <f aca="false">SUM(X59:X67)</f>
        <v>82</v>
      </c>
      <c r="Y68" s="112" t="n">
        <f aca="false">SUM(Y59:Y67)</f>
        <v>537.998136054597</v>
      </c>
      <c r="Z68" s="112" t="n">
        <f aca="false">SUM(Z59:Z67)</f>
        <v>537.998136054597</v>
      </c>
      <c r="AA68" s="112" t="n">
        <f aca="false">SUM(AA59:AA67)</f>
        <v>537.998136054597</v>
      </c>
      <c r="AB68" s="112" t="n">
        <f aca="false">SUM(AB59:AB67)</f>
        <v>537.998136054597</v>
      </c>
      <c r="AC68" s="112" t="n">
        <f aca="false">SUM(AC59:AC67)</f>
        <v>537.998136054597</v>
      </c>
      <c r="AD68" s="112" t="n">
        <f aca="false">SUM(AD59:AD67)</f>
        <v>537.998136054597</v>
      </c>
      <c r="AE68" s="112" t="n">
        <f aca="false">SUM(AE59:AE67)</f>
        <v>3227.98881632758</v>
      </c>
    </row>
    <row r="70" customFormat="false" ht="15" hidden="false" customHeight="false" outlineLevel="0" collapsed="false">
      <c r="A70" s="102" t="s">
        <v>513</v>
      </c>
      <c r="B70" s="102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</row>
    <row r="71" customFormat="false" ht="15" hidden="false" customHeight="false" outlineLevel="0" collapsed="false">
      <c r="A71" s="103" t="s">
        <v>514</v>
      </c>
      <c r="B71" s="104" t="n">
        <v>0</v>
      </c>
      <c r="C71" s="105" t="n">
        <f aca="false">IF(K71=0,0,R71/K71)</f>
        <v>48.9411764705882</v>
      </c>
      <c r="D71" s="105" t="n">
        <f aca="false">C71+B71</f>
        <v>48.9411764705882</v>
      </c>
      <c r="E71" s="106" t="n">
        <v>0</v>
      </c>
      <c r="F71" s="106" t="n">
        <v>0</v>
      </c>
      <c r="G71" s="106" t="n">
        <v>0</v>
      </c>
      <c r="H71" s="106" t="n">
        <v>3</v>
      </c>
      <c r="I71" s="106" t="n">
        <v>9</v>
      </c>
      <c r="J71" s="106" t="n">
        <v>5</v>
      </c>
      <c r="K71" s="106" t="n">
        <f aca="false">SUM(E71:J71)</f>
        <v>17</v>
      </c>
      <c r="L71" s="107" t="n">
        <v>0</v>
      </c>
      <c r="M71" s="107" t="n">
        <v>0</v>
      </c>
      <c r="N71" s="107" t="n">
        <v>0</v>
      </c>
      <c r="O71" s="107" t="n">
        <v>130</v>
      </c>
      <c r="P71" s="107" t="n">
        <v>442</v>
      </c>
      <c r="Q71" s="107" t="n">
        <v>260</v>
      </c>
      <c r="R71" s="107" t="n">
        <f aca="false">SUM(L71:Q71)</f>
        <v>832</v>
      </c>
      <c r="S71" s="108" t="n">
        <v>6</v>
      </c>
      <c r="T71" s="108" t="n">
        <v>6</v>
      </c>
      <c r="U71" s="108" t="n">
        <v>6</v>
      </c>
      <c r="V71" s="108" t="n">
        <v>6</v>
      </c>
      <c r="W71" s="108" t="n">
        <v>6</v>
      </c>
      <c r="X71" s="108" t="n">
        <v>6</v>
      </c>
      <c r="Y71" s="107" t="n">
        <f aca="false">S71*$D71</f>
        <v>293.647058823529</v>
      </c>
      <c r="Z71" s="107" t="n">
        <f aca="false">T71*$D71</f>
        <v>293.647058823529</v>
      </c>
      <c r="AA71" s="107" t="n">
        <f aca="false">U71*$D71</f>
        <v>293.647058823529</v>
      </c>
      <c r="AB71" s="107" t="n">
        <f aca="false">V71*$D71</f>
        <v>293.647058823529</v>
      </c>
      <c r="AC71" s="107" t="n">
        <f aca="false">W71*$D71</f>
        <v>293.647058823529</v>
      </c>
      <c r="AD71" s="107" t="n">
        <f aca="false">X71*$D71</f>
        <v>293.647058823529</v>
      </c>
      <c r="AE71" s="107" t="n">
        <f aca="false">SUM(Y71:AD71)</f>
        <v>1761.88235294118</v>
      </c>
    </row>
    <row r="72" customFormat="false" ht="15" hidden="false" customHeight="false" outlineLevel="0" collapsed="false">
      <c r="A72" s="103" t="s">
        <v>515</v>
      </c>
      <c r="B72" s="104" t="n">
        <v>0</v>
      </c>
      <c r="C72" s="105" t="n">
        <f aca="false">IF(K72=0,0,R72/K72)</f>
        <v>38.8181818181818</v>
      </c>
      <c r="D72" s="105" t="n">
        <f aca="false">C72+B72</f>
        <v>38.8181818181818</v>
      </c>
      <c r="E72" s="106" t="n">
        <v>0</v>
      </c>
      <c r="F72" s="106" t="n">
        <v>0</v>
      </c>
      <c r="G72" s="106" t="n">
        <v>0</v>
      </c>
      <c r="H72" s="106" t="n">
        <v>4</v>
      </c>
      <c r="I72" s="106" t="n">
        <v>6</v>
      </c>
      <c r="J72" s="106" t="n">
        <v>1</v>
      </c>
      <c r="K72" s="106" t="n">
        <f aca="false">SUM(E72:J72)</f>
        <v>11</v>
      </c>
      <c r="L72" s="107" t="n">
        <v>0</v>
      </c>
      <c r="M72" s="107" t="n">
        <v>0</v>
      </c>
      <c r="N72" s="107" t="n">
        <v>0</v>
      </c>
      <c r="O72" s="107" t="n">
        <v>180</v>
      </c>
      <c r="P72" s="107" t="n">
        <v>202</v>
      </c>
      <c r="Q72" s="107" t="n">
        <v>45</v>
      </c>
      <c r="R72" s="107" t="n">
        <f aca="false">SUM(L72:Q72)</f>
        <v>427</v>
      </c>
      <c r="S72" s="108" t="n">
        <v>4</v>
      </c>
      <c r="T72" s="108" t="n">
        <v>4</v>
      </c>
      <c r="U72" s="108" t="n">
        <v>4</v>
      </c>
      <c r="V72" s="108" t="n">
        <v>4</v>
      </c>
      <c r="W72" s="108" t="n">
        <v>4</v>
      </c>
      <c r="X72" s="108" t="n">
        <v>4</v>
      </c>
      <c r="Y72" s="107" t="n">
        <f aca="false">S72*$D72</f>
        <v>155.272727272727</v>
      </c>
      <c r="Z72" s="107" t="n">
        <f aca="false">T72*$D72</f>
        <v>155.272727272727</v>
      </c>
      <c r="AA72" s="107" t="n">
        <f aca="false">U72*$D72</f>
        <v>155.272727272727</v>
      </c>
      <c r="AB72" s="107" t="n">
        <f aca="false">V72*$D72</f>
        <v>155.272727272727</v>
      </c>
      <c r="AC72" s="107" t="n">
        <f aca="false">W72*$D72</f>
        <v>155.272727272727</v>
      </c>
      <c r="AD72" s="107" t="n">
        <f aca="false">X72*$D72</f>
        <v>155.272727272727</v>
      </c>
      <c r="AE72" s="107" t="n">
        <f aca="false">SUM(Y72:AD72)</f>
        <v>931.636363636364</v>
      </c>
    </row>
    <row r="73" customFormat="false" ht="15" hidden="false" customHeight="false" outlineLevel="0" collapsed="false">
      <c r="A73" s="103" t="s">
        <v>516</v>
      </c>
      <c r="B73" s="104" t="n">
        <v>0</v>
      </c>
      <c r="C73" s="105" t="n">
        <f aca="false">IF(K73=0,0,R73/K73)</f>
        <v>39.4</v>
      </c>
      <c r="D73" s="105" t="n">
        <f aca="false">C73+B73</f>
        <v>39.4</v>
      </c>
      <c r="E73" s="106" t="n">
        <v>0</v>
      </c>
      <c r="F73" s="106" t="n">
        <v>0</v>
      </c>
      <c r="G73" s="106" t="n">
        <v>0</v>
      </c>
      <c r="H73" s="106" t="n">
        <v>4</v>
      </c>
      <c r="I73" s="106" t="n">
        <v>3</v>
      </c>
      <c r="J73" s="106" t="n">
        <v>3</v>
      </c>
      <c r="K73" s="106" t="n">
        <f aca="false">SUM(E73:J73)</f>
        <v>10</v>
      </c>
      <c r="L73" s="107" t="n">
        <v>0</v>
      </c>
      <c r="M73" s="107" t="n">
        <v>0</v>
      </c>
      <c r="N73" s="107" t="n">
        <v>0</v>
      </c>
      <c r="O73" s="107" t="n">
        <v>154</v>
      </c>
      <c r="P73" s="107" t="n">
        <v>120</v>
      </c>
      <c r="Q73" s="107" t="n">
        <v>120</v>
      </c>
      <c r="R73" s="107" t="n">
        <f aca="false">SUM(L73:Q73)</f>
        <v>394</v>
      </c>
      <c r="S73" s="108" t="n">
        <v>3</v>
      </c>
      <c r="T73" s="108" t="n">
        <v>3</v>
      </c>
      <c r="U73" s="108" t="n">
        <v>3</v>
      </c>
      <c r="V73" s="108" t="n">
        <v>3</v>
      </c>
      <c r="W73" s="108" t="n">
        <v>3</v>
      </c>
      <c r="X73" s="108" t="n">
        <v>3</v>
      </c>
      <c r="Y73" s="107" t="n">
        <f aca="false">S73*$D73</f>
        <v>118.2</v>
      </c>
      <c r="Z73" s="107" t="n">
        <f aca="false">T73*$D73</f>
        <v>118.2</v>
      </c>
      <c r="AA73" s="107" t="n">
        <f aca="false">U73*$D73</f>
        <v>118.2</v>
      </c>
      <c r="AB73" s="107" t="n">
        <f aca="false">V73*$D73</f>
        <v>118.2</v>
      </c>
      <c r="AC73" s="107" t="n">
        <f aca="false">W73*$D73</f>
        <v>118.2</v>
      </c>
      <c r="AD73" s="107" t="n">
        <f aca="false">X73*$D73</f>
        <v>118.2</v>
      </c>
      <c r="AE73" s="107" t="n">
        <f aca="false">SUM(Y73:AD73)</f>
        <v>709.2</v>
      </c>
    </row>
    <row r="74" customFormat="false" ht="15" hidden="false" customHeight="false" outlineLevel="0" collapsed="false">
      <c r="A74" s="103" t="s">
        <v>517</v>
      </c>
      <c r="B74" s="104" t="n">
        <v>0</v>
      </c>
      <c r="C74" s="105" t="n">
        <f aca="false">IF(K74=0,0,R74/K74)</f>
        <v>30.5</v>
      </c>
      <c r="D74" s="105" t="n">
        <f aca="false">C74+B74</f>
        <v>30.5</v>
      </c>
      <c r="E74" s="106" t="n">
        <v>0</v>
      </c>
      <c r="F74" s="106" t="n">
        <v>0</v>
      </c>
      <c r="G74" s="106" t="n">
        <v>0</v>
      </c>
      <c r="H74" s="106" t="n">
        <v>0</v>
      </c>
      <c r="I74" s="106" t="n">
        <v>0</v>
      </c>
      <c r="J74" s="106" t="n">
        <v>4</v>
      </c>
      <c r="K74" s="106" t="n">
        <f aca="false">SUM(E74:J74)</f>
        <v>4</v>
      </c>
      <c r="L74" s="107" t="n">
        <v>0</v>
      </c>
      <c r="M74" s="107" t="n">
        <v>0</v>
      </c>
      <c r="N74" s="107" t="n">
        <v>0</v>
      </c>
      <c r="O74" s="107" t="n">
        <v>0</v>
      </c>
      <c r="P74" s="107" t="n">
        <v>0</v>
      </c>
      <c r="Q74" s="107" t="n">
        <v>122</v>
      </c>
      <c r="R74" s="107" t="n">
        <f aca="false">SUM(L74:Q74)</f>
        <v>122</v>
      </c>
      <c r="S74" s="108" t="n">
        <v>1</v>
      </c>
      <c r="T74" s="108" t="n">
        <v>1</v>
      </c>
      <c r="U74" s="108" t="n">
        <v>1</v>
      </c>
      <c r="V74" s="108" t="n">
        <v>1</v>
      </c>
      <c r="W74" s="108" t="n">
        <v>1</v>
      </c>
      <c r="X74" s="108" t="n">
        <v>1</v>
      </c>
      <c r="Y74" s="107" t="n">
        <f aca="false">S74*$D74</f>
        <v>30.5</v>
      </c>
      <c r="Z74" s="107" t="n">
        <f aca="false">T74*$D74</f>
        <v>30.5</v>
      </c>
      <c r="AA74" s="107" t="n">
        <f aca="false">U74*$D74</f>
        <v>30.5</v>
      </c>
      <c r="AB74" s="107" t="n">
        <f aca="false">V74*$D74</f>
        <v>30.5</v>
      </c>
      <c r="AC74" s="107" t="n">
        <f aca="false">W74*$D74</f>
        <v>30.5</v>
      </c>
      <c r="AD74" s="107" t="n">
        <f aca="false">X74*$D74</f>
        <v>30.5</v>
      </c>
      <c r="AE74" s="107" t="n">
        <f aca="false">SUM(Y74:AD74)</f>
        <v>183</v>
      </c>
    </row>
    <row r="75" customFormat="false" ht="15" hidden="false" customHeight="false" outlineLevel="0" collapsed="false">
      <c r="A75" s="103" t="s">
        <v>518</v>
      </c>
      <c r="B75" s="104" t="n">
        <v>0</v>
      </c>
      <c r="C75" s="105" t="n">
        <f aca="false">IF(K75=0,0,R75/K75)</f>
        <v>39.3333333333333</v>
      </c>
      <c r="D75" s="105" t="n">
        <f aca="false">C75+B75</f>
        <v>39.3333333333333</v>
      </c>
      <c r="E75" s="106" t="n">
        <v>0</v>
      </c>
      <c r="F75" s="106" t="n">
        <v>0</v>
      </c>
      <c r="G75" s="106" t="n">
        <v>0</v>
      </c>
      <c r="H75" s="106" t="n">
        <v>0</v>
      </c>
      <c r="I75" s="106" t="n">
        <v>0</v>
      </c>
      <c r="J75" s="106" t="n">
        <v>3</v>
      </c>
      <c r="K75" s="106" t="n">
        <f aca="false">SUM(E75:J75)</f>
        <v>3</v>
      </c>
      <c r="L75" s="107" t="n">
        <v>0</v>
      </c>
      <c r="M75" s="107" t="n">
        <v>0</v>
      </c>
      <c r="N75" s="107" t="n">
        <v>0</v>
      </c>
      <c r="O75" s="107" t="n">
        <v>0</v>
      </c>
      <c r="P75" s="107" t="n">
        <v>0</v>
      </c>
      <c r="Q75" s="107" t="n">
        <v>118</v>
      </c>
      <c r="R75" s="107" t="n">
        <f aca="false">SUM(L75:Q75)</f>
        <v>118</v>
      </c>
      <c r="S75" s="108" t="n">
        <v>1</v>
      </c>
      <c r="T75" s="108" t="n">
        <v>1</v>
      </c>
      <c r="U75" s="108" t="n">
        <v>1</v>
      </c>
      <c r="V75" s="108" t="n">
        <v>1</v>
      </c>
      <c r="W75" s="108" t="n">
        <v>1</v>
      </c>
      <c r="X75" s="108" t="n">
        <v>1</v>
      </c>
      <c r="Y75" s="107" t="n">
        <f aca="false">S75*$D75</f>
        <v>39.3333333333333</v>
      </c>
      <c r="Z75" s="107" t="n">
        <f aca="false">T75*$D75</f>
        <v>39.3333333333333</v>
      </c>
      <c r="AA75" s="107" t="n">
        <f aca="false">U75*$D75</f>
        <v>39.3333333333333</v>
      </c>
      <c r="AB75" s="107" t="n">
        <f aca="false">V75*$D75</f>
        <v>39.3333333333333</v>
      </c>
      <c r="AC75" s="107" t="n">
        <f aca="false">W75*$D75</f>
        <v>39.3333333333333</v>
      </c>
      <c r="AD75" s="107" t="n">
        <f aca="false">X75*$D75</f>
        <v>39.3333333333333</v>
      </c>
      <c r="AE75" s="107" t="n">
        <f aca="false">SUM(Y75:AD75)</f>
        <v>236</v>
      </c>
    </row>
    <row r="76" customFormat="false" ht="15" hidden="false" customHeight="false" outlineLevel="0" collapsed="false">
      <c r="A76" s="103" t="s">
        <v>519</v>
      </c>
      <c r="B76" s="104" t="n">
        <v>0</v>
      </c>
      <c r="C76" s="105" t="n">
        <f aca="false">IF(K76=0,0,R76/K76)</f>
        <v>30</v>
      </c>
      <c r="D76" s="105" t="n">
        <f aca="false">C76+B76</f>
        <v>30</v>
      </c>
      <c r="E76" s="106" t="n">
        <v>0</v>
      </c>
      <c r="F76" s="106" t="n">
        <v>0</v>
      </c>
      <c r="G76" s="106" t="n">
        <v>0</v>
      </c>
      <c r="H76" s="106" t="n">
        <v>0</v>
      </c>
      <c r="I76" s="106" t="n">
        <v>0</v>
      </c>
      <c r="J76" s="106" t="n">
        <v>3</v>
      </c>
      <c r="K76" s="106" t="n">
        <f aca="false">SUM(E76:J76)</f>
        <v>3</v>
      </c>
      <c r="L76" s="107" t="n">
        <v>0</v>
      </c>
      <c r="M76" s="107" t="n">
        <v>0</v>
      </c>
      <c r="N76" s="107" t="n">
        <v>0</v>
      </c>
      <c r="O76" s="107" t="n">
        <v>0</v>
      </c>
      <c r="P76" s="107" t="n">
        <v>0</v>
      </c>
      <c r="Q76" s="107" t="n">
        <v>90</v>
      </c>
      <c r="R76" s="107" t="n">
        <f aca="false">SUM(L76:Q76)</f>
        <v>90</v>
      </c>
      <c r="S76" s="108" t="n">
        <v>1</v>
      </c>
      <c r="T76" s="108" t="n">
        <v>1</v>
      </c>
      <c r="U76" s="108" t="n">
        <v>1</v>
      </c>
      <c r="V76" s="108" t="n">
        <v>1</v>
      </c>
      <c r="W76" s="108" t="n">
        <v>1</v>
      </c>
      <c r="X76" s="108" t="n">
        <v>1</v>
      </c>
      <c r="Y76" s="107" t="n">
        <f aca="false">S76*$D76</f>
        <v>30</v>
      </c>
      <c r="Z76" s="107" t="n">
        <f aca="false">T76*$D76</f>
        <v>30</v>
      </c>
      <c r="AA76" s="107" t="n">
        <f aca="false">U76*$D76</f>
        <v>30</v>
      </c>
      <c r="AB76" s="107" t="n">
        <f aca="false">V76*$D76</f>
        <v>30</v>
      </c>
      <c r="AC76" s="107" t="n">
        <f aca="false">W76*$D76</f>
        <v>30</v>
      </c>
      <c r="AD76" s="107" t="n">
        <f aca="false">X76*$D76</f>
        <v>30</v>
      </c>
      <c r="AE76" s="107" t="n">
        <f aca="false">SUM(Y76:AD76)</f>
        <v>180</v>
      </c>
    </row>
    <row r="77" customFormat="false" ht="15" hidden="false" customHeight="false" outlineLevel="0" collapsed="false">
      <c r="A77" s="103" t="s">
        <v>520</v>
      </c>
      <c r="B77" s="104" t="n">
        <v>0</v>
      </c>
      <c r="C77" s="105" t="n">
        <f aca="false">IF(K77=0,0,R77/K77)</f>
        <v>35</v>
      </c>
      <c r="D77" s="105" t="n">
        <f aca="false">C77+B77</f>
        <v>35</v>
      </c>
      <c r="E77" s="106" t="n">
        <v>0</v>
      </c>
      <c r="F77" s="106" t="n">
        <v>0</v>
      </c>
      <c r="G77" s="106" t="n">
        <v>0</v>
      </c>
      <c r="H77" s="106" t="n">
        <v>0</v>
      </c>
      <c r="I77" s="106" t="n">
        <v>0</v>
      </c>
      <c r="J77" s="106" t="n">
        <v>2</v>
      </c>
      <c r="K77" s="106" t="n">
        <f aca="false">SUM(E77:J77)</f>
        <v>2</v>
      </c>
      <c r="L77" s="107" t="n">
        <v>0</v>
      </c>
      <c r="M77" s="107" t="n">
        <v>0</v>
      </c>
      <c r="N77" s="107" t="n">
        <v>0</v>
      </c>
      <c r="O77" s="107" t="n">
        <v>0</v>
      </c>
      <c r="P77" s="107" t="n">
        <v>0</v>
      </c>
      <c r="Q77" s="107" t="n">
        <v>70</v>
      </c>
      <c r="R77" s="107" t="n">
        <f aca="false">SUM(L77:Q77)</f>
        <v>70</v>
      </c>
      <c r="S77" s="108" t="n">
        <v>1</v>
      </c>
      <c r="T77" s="108" t="n">
        <v>1</v>
      </c>
      <c r="U77" s="108" t="n">
        <v>1</v>
      </c>
      <c r="V77" s="108" t="n">
        <v>1</v>
      </c>
      <c r="W77" s="108" t="n">
        <v>1</v>
      </c>
      <c r="X77" s="108" t="n">
        <v>1</v>
      </c>
      <c r="Y77" s="107" t="n">
        <f aca="false">S77*$D77</f>
        <v>35</v>
      </c>
      <c r="Z77" s="107" t="n">
        <f aca="false">T77*$D77</f>
        <v>35</v>
      </c>
      <c r="AA77" s="107" t="n">
        <f aca="false">U77*$D77</f>
        <v>35</v>
      </c>
      <c r="AB77" s="107" t="n">
        <f aca="false">V77*$D77</f>
        <v>35</v>
      </c>
      <c r="AC77" s="107" t="n">
        <f aca="false">W77*$D77</f>
        <v>35</v>
      </c>
      <c r="AD77" s="107" t="n">
        <f aca="false">X77*$D77</f>
        <v>35</v>
      </c>
      <c r="AE77" s="107" t="n">
        <f aca="false">SUM(Y77:AD77)</f>
        <v>210</v>
      </c>
    </row>
    <row r="78" customFormat="false" ht="15" hidden="false" customHeight="false" outlineLevel="0" collapsed="false">
      <c r="A78" s="103" t="s">
        <v>521</v>
      </c>
      <c r="B78" s="104" t="n">
        <v>0</v>
      </c>
      <c r="C78" s="105" t="n">
        <f aca="false">IF(K78=0,0,R78/K78)</f>
        <v>7.28571428571429</v>
      </c>
      <c r="D78" s="105" t="n">
        <f aca="false">C78+B78</f>
        <v>7.28571428571429</v>
      </c>
      <c r="E78" s="106" t="n">
        <v>0</v>
      </c>
      <c r="F78" s="106" t="n">
        <v>0</v>
      </c>
      <c r="G78" s="106" t="n">
        <v>0</v>
      </c>
      <c r="H78" s="106" t="n">
        <v>0</v>
      </c>
      <c r="I78" s="106" t="n">
        <v>7</v>
      </c>
      <c r="J78" s="106" t="n">
        <v>0</v>
      </c>
      <c r="K78" s="106" t="n">
        <f aca="false">SUM(E78:J78)</f>
        <v>7</v>
      </c>
      <c r="L78" s="107" t="n">
        <v>0</v>
      </c>
      <c r="M78" s="107" t="n">
        <v>0</v>
      </c>
      <c r="N78" s="107" t="n">
        <v>0</v>
      </c>
      <c r="O78" s="107" t="n">
        <v>0</v>
      </c>
      <c r="P78" s="107" t="n">
        <v>51</v>
      </c>
      <c r="Q78" s="107" t="n">
        <v>0</v>
      </c>
      <c r="R78" s="107" t="n">
        <f aca="false">SUM(L78:Q78)</f>
        <v>51</v>
      </c>
      <c r="S78" s="108" t="n">
        <v>2</v>
      </c>
      <c r="T78" s="108" t="n">
        <v>2</v>
      </c>
      <c r="U78" s="108" t="n">
        <v>2</v>
      </c>
      <c r="V78" s="108" t="n">
        <v>2</v>
      </c>
      <c r="W78" s="108" t="n">
        <v>2</v>
      </c>
      <c r="X78" s="108" t="n">
        <v>2</v>
      </c>
      <c r="Y78" s="107" t="n">
        <f aca="false">S78*$D78</f>
        <v>14.5714285714286</v>
      </c>
      <c r="Z78" s="107" t="n">
        <f aca="false">T78*$D78</f>
        <v>14.5714285714286</v>
      </c>
      <c r="AA78" s="107" t="n">
        <f aca="false">U78*$D78</f>
        <v>14.5714285714286</v>
      </c>
      <c r="AB78" s="107" t="n">
        <f aca="false">V78*$D78</f>
        <v>14.5714285714286</v>
      </c>
      <c r="AC78" s="107" t="n">
        <f aca="false">W78*$D78</f>
        <v>14.5714285714286</v>
      </c>
      <c r="AD78" s="107" t="n">
        <f aca="false">X78*$D78</f>
        <v>14.5714285714286</v>
      </c>
      <c r="AE78" s="107" t="n">
        <f aca="false">SUM(Y78:AD78)</f>
        <v>87.4285714285714</v>
      </c>
    </row>
    <row r="79" customFormat="false" ht="15" hidden="false" customHeight="false" outlineLevel="0" collapsed="false">
      <c r="A79" s="103" t="s">
        <v>522</v>
      </c>
      <c r="B79" s="104" t="n">
        <v>0</v>
      </c>
      <c r="C79" s="105" t="n">
        <f aca="false">IF(K79=0,0,R79/K79)</f>
        <v>9</v>
      </c>
      <c r="D79" s="105" t="n">
        <f aca="false">C79+B79</f>
        <v>9</v>
      </c>
      <c r="E79" s="106" t="n">
        <v>0</v>
      </c>
      <c r="F79" s="106" t="n">
        <v>1</v>
      </c>
      <c r="G79" s="106" t="n">
        <v>0</v>
      </c>
      <c r="H79" s="106" t="n">
        <v>0</v>
      </c>
      <c r="I79" s="106" t="n">
        <v>10</v>
      </c>
      <c r="J79" s="106" t="n">
        <v>16</v>
      </c>
      <c r="K79" s="106" t="n">
        <f aca="false">SUM(E79:J79)</f>
        <v>27</v>
      </c>
      <c r="L79" s="107" t="n">
        <v>0</v>
      </c>
      <c r="M79" s="107" t="n">
        <v>12</v>
      </c>
      <c r="N79" s="107" t="n">
        <v>0</v>
      </c>
      <c r="O79" s="107" t="n">
        <v>0</v>
      </c>
      <c r="P79" s="107" t="n">
        <v>78</v>
      </c>
      <c r="Q79" s="107" t="n">
        <v>153</v>
      </c>
      <c r="R79" s="107" t="n">
        <f aca="false">SUM(L79:Q79)</f>
        <v>243</v>
      </c>
      <c r="S79" s="108" t="n">
        <v>9</v>
      </c>
      <c r="T79" s="108" t="n">
        <v>9</v>
      </c>
      <c r="U79" s="108" t="n">
        <v>9</v>
      </c>
      <c r="V79" s="108" t="n">
        <v>9</v>
      </c>
      <c r="W79" s="108" t="n">
        <v>9</v>
      </c>
      <c r="X79" s="108" t="n">
        <v>9</v>
      </c>
      <c r="Y79" s="107" t="n">
        <f aca="false">S79*$D79</f>
        <v>81</v>
      </c>
      <c r="Z79" s="107" t="n">
        <f aca="false">T79*$D79</f>
        <v>81</v>
      </c>
      <c r="AA79" s="107" t="n">
        <f aca="false">U79*$D79</f>
        <v>81</v>
      </c>
      <c r="AB79" s="107" t="n">
        <f aca="false">V79*$D79</f>
        <v>81</v>
      </c>
      <c r="AC79" s="107" t="n">
        <f aca="false">W79*$D79</f>
        <v>81</v>
      </c>
      <c r="AD79" s="107" t="n">
        <f aca="false">X79*$D79</f>
        <v>81</v>
      </c>
      <c r="AE79" s="107" t="n">
        <f aca="false">SUM(Y79:AD79)</f>
        <v>486</v>
      </c>
    </row>
    <row r="80" customFormat="false" ht="15" hidden="false" customHeight="false" outlineLevel="0" collapsed="false">
      <c r="A80" s="109" t="s">
        <v>523</v>
      </c>
      <c r="B80" s="110"/>
      <c r="C80" s="110"/>
      <c r="D80" s="110"/>
      <c r="E80" s="111" t="n">
        <f aca="false">SUM(E71:E79)</f>
        <v>0</v>
      </c>
      <c r="F80" s="111" t="n">
        <f aca="false">SUM(F71:F79)</f>
        <v>1</v>
      </c>
      <c r="G80" s="111" t="n">
        <f aca="false">SUM(G71:G79)</f>
        <v>0</v>
      </c>
      <c r="H80" s="111" t="n">
        <f aca="false">SUM(H71:H79)</f>
        <v>11</v>
      </c>
      <c r="I80" s="111" t="n">
        <f aca="false">SUM(I71:I79)</f>
        <v>35</v>
      </c>
      <c r="J80" s="111" t="n">
        <f aca="false">SUM(J71:J79)</f>
        <v>37</v>
      </c>
      <c r="K80" s="111" t="n">
        <f aca="false">SUM(K71:K79)</f>
        <v>84</v>
      </c>
      <c r="L80" s="112" t="n">
        <f aca="false">SUM(L71:L79)</f>
        <v>0</v>
      </c>
      <c r="M80" s="112" t="n">
        <f aca="false">SUM(M71:M79)</f>
        <v>12</v>
      </c>
      <c r="N80" s="112" t="n">
        <f aca="false">SUM(N71:N79)</f>
        <v>0</v>
      </c>
      <c r="O80" s="112" t="n">
        <f aca="false">SUM(O71:O79)</f>
        <v>464</v>
      </c>
      <c r="P80" s="112" t="n">
        <f aca="false">SUM(P71:P79)</f>
        <v>893</v>
      </c>
      <c r="Q80" s="112" t="n">
        <f aca="false">SUM(Q71:Q79)</f>
        <v>978</v>
      </c>
      <c r="R80" s="112" t="n">
        <f aca="false">SUM(R71:R79)</f>
        <v>2347</v>
      </c>
      <c r="S80" s="111" t="n">
        <f aca="false">SUM(S71:S79)</f>
        <v>28</v>
      </c>
      <c r="T80" s="111" t="n">
        <f aca="false">SUM(T71:T79)</f>
        <v>28</v>
      </c>
      <c r="U80" s="111" t="n">
        <f aca="false">SUM(U71:U79)</f>
        <v>28</v>
      </c>
      <c r="V80" s="111" t="n">
        <f aca="false">SUM(V71:V79)</f>
        <v>28</v>
      </c>
      <c r="W80" s="111" t="n">
        <f aca="false">SUM(W71:W79)</f>
        <v>28</v>
      </c>
      <c r="X80" s="111" t="n">
        <f aca="false">SUM(X71:X79)</f>
        <v>28</v>
      </c>
      <c r="Y80" s="112" t="n">
        <f aca="false">SUM(Y71:Y79)</f>
        <v>797.524548001019</v>
      </c>
      <c r="Z80" s="112" t="n">
        <f aca="false">SUM(Z71:Z79)</f>
        <v>797.524548001019</v>
      </c>
      <c r="AA80" s="112" t="n">
        <f aca="false">SUM(AA71:AA79)</f>
        <v>797.524548001019</v>
      </c>
      <c r="AB80" s="112" t="n">
        <f aca="false">SUM(AB71:AB79)</f>
        <v>797.524548001019</v>
      </c>
      <c r="AC80" s="112" t="n">
        <f aca="false">SUM(AC71:AC79)</f>
        <v>797.524548001019</v>
      </c>
      <c r="AD80" s="112" t="n">
        <f aca="false">SUM(AD71:AD79)</f>
        <v>797.524548001019</v>
      </c>
      <c r="AE80" s="112" t="n">
        <f aca="false">SUM(AE71:AE79)</f>
        <v>4785.14728800611</v>
      </c>
    </row>
    <row r="82" customFormat="false" ht="15" hidden="false" customHeight="false" outlineLevel="0" collapsed="false">
      <c r="A82" s="102" t="s">
        <v>524</v>
      </c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2"/>
      <c r="AD82" s="102"/>
      <c r="AE82" s="102"/>
    </row>
    <row r="83" customFormat="false" ht="15" hidden="false" customHeight="false" outlineLevel="0" collapsed="false">
      <c r="A83" s="103" t="s">
        <v>495</v>
      </c>
      <c r="B83" s="104" t="n">
        <v>0</v>
      </c>
      <c r="C83" s="105" t="n">
        <f aca="false">IF(K83=0,0,R83/K83)</f>
        <v>9.28260869565217</v>
      </c>
      <c r="D83" s="105" t="n">
        <f aca="false">C83+B83</f>
        <v>9.28260869565217</v>
      </c>
      <c r="E83" s="106" t="n">
        <v>0</v>
      </c>
      <c r="F83" s="106" t="n">
        <v>0</v>
      </c>
      <c r="G83" s="106" t="n">
        <v>18</v>
      </c>
      <c r="H83" s="106" t="n">
        <v>28</v>
      </c>
      <c r="I83" s="106" t="n">
        <v>0</v>
      </c>
      <c r="J83" s="106" t="n">
        <v>0</v>
      </c>
      <c r="K83" s="106" t="n">
        <f aca="false">SUM(E83:J83)</f>
        <v>46</v>
      </c>
      <c r="L83" s="107" t="n">
        <v>0</v>
      </c>
      <c r="M83" s="107" t="n">
        <v>0</v>
      </c>
      <c r="N83" s="107" t="n">
        <v>170</v>
      </c>
      <c r="O83" s="107" t="n">
        <v>257</v>
      </c>
      <c r="P83" s="107" t="n">
        <v>0</v>
      </c>
      <c r="Q83" s="107" t="n">
        <v>0</v>
      </c>
      <c r="R83" s="107" t="n">
        <f aca="false">SUM(L83:Q83)</f>
        <v>427</v>
      </c>
      <c r="S83" s="108" t="n">
        <v>9</v>
      </c>
      <c r="T83" s="108" t="n">
        <v>9</v>
      </c>
      <c r="U83" s="108" t="n">
        <v>9</v>
      </c>
      <c r="V83" s="108" t="n">
        <v>9</v>
      </c>
      <c r="W83" s="108" t="n">
        <v>9</v>
      </c>
      <c r="X83" s="108" t="n">
        <v>9</v>
      </c>
      <c r="Y83" s="107" t="n">
        <f aca="false">S83*$D83</f>
        <v>83.5434782608696</v>
      </c>
      <c r="Z83" s="107" t="n">
        <f aca="false">T83*$D83</f>
        <v>83.5434782608696</v>
      </c>
      <c r="AA83" s="107" t="n">
        <f aca="false">U83*$D83</f>
        <v>83.5434782608696</v>
      </c>
      <c r="AB83" s="107" t="n">
        <f aca="false">V83*$D83</f>
        <v>83.5434782608696</v>
      </c>
      <c r="AC83" s="107" t="n">
        <f aca="false">W83*$D83</f>
        <v>83.5434782608696</v>
      </c>
      <c r="AD83" s="107" t="n">
        <f aca="false">X83*$D83</f>
        <v>83.5434782608696</v>
      </c>
      <c r="AE83" s="107" t="n">
        <f aca="false">SUM(Y83:AD83)</f>
        <v>501.260869565217</v>
      </c>
    </row>
    <row r="84" customFormat="false" ht="15" hidden="false" customHeight="false" outlineLevel="0" collapsed="false">
      <c r="A84" s="103" t="s">
        <v>525</v>
      </c>
      <c r="B84" s="104" t="n">
        <v>0</v>
      </c>
      <c r="C84" s="105" t="n">
        <f aca="false">IF(K84=0,0,R84/K84)</f>
        <v>28</v>
      </c>
      <c r="D84" s="105" t="n">
        <f aca="false">C84+B84</f>
        <v>28</v>
      </c>
      <c r="E84" s="106" t="n">
        <v>0</v>
      </c>
      <c r="F84" s="106" t="n">
        <v>0</v>
      </c>
      <c r="G84" s="106" t="n">
        <v>8</v>
      </c>
      <c r="H84" s="106" t="n">
        <v>1</v>
      </c>
      <c r="I84" s="106" t="n">
        <v>0</v>
      </c>
      <c r="J84" s="106" t="n">
        <v>0</v>
      </c>
      <c r="K84" s="106" t="n">
        <f aca="false">SUM(E84:J84)</f>
        <v>9</v>
      </c>
      <c r="L84" s="107" t="n">
        <v>0</v>
      </c>
      <c r="M84" s="107" t="n">
        <v>0</v>
      </c>
      <c r="N84" s="107" t="n">
        <v>224</v>
      </c>
      <c r="O84" s="107" t="n">
        <v>28</v>
      </c>
      <c r="P84" s="107" t="n">
        <v>0</v>
      </c>
      <c r="Q84" s="107" t="n">
        <v>0</v>
      </c>
      <c r="R84" s="107" t="n">
        <f aca="false">SUM(L84:Q84)</f>
        <v>252</v>
      </c>
      <c r="S84" s="108" t="n">
        <v>0</v>
      </c>
      <c r="T84" s="108" t="n">
        <v>0</v>
      </c>
      <c r="U84" s="108" t="n">
        <v>0</v>
      </c>
      <c r="V84" s="108" t="n">
        <v>0</v>
      </c>
      <c r="W84" s="108" t="n">
        <v>0</v>
      </c>
      <c r="X84" s="108" t="n">
        <v>0</v>
      </c>
      <c r="Y84" s="107" t="n">
        <f aca="false">S84*$D84</f>
        <v>0</v>
      </c>
      <c r="Z84" s="107" t="n">
        <f aca="false">T84*$D84</f>
        <v>0</v>
      </c>
      <c r="AA84" s="107" t="n">
        <f aca="false">U84*$D84</f>
        <v>0</v>
      </c>
      <c r="AB84" s="107" t="n">
        <f aca="false">V84*$D84</f>
        <v>0</v>
      </c>
      <c r="AC84" s="107" t="n">
        <f aca="false">W84*$D84</f>
        <v>0</v>
      </c>
      <c r="AD84" s="107" t="n">
        <f aca="false">X84*$D84</f>
        <v>0</v>
      </c>
      <c r="AE84" s="107" t="n">
        <f aca="false">SUM(Y84:AD84)</f>
        <v>0</v>
      </c>
    </row>
    <row r="85" customFormat="false" ht="15" hidden="false" customHeight="false" outlineLevel="0" collapsed="false">
      <c r="A85" s="103" t="s">
        <v>526</v>
      </c>
      <c r="B85" s="104" t="n">
        <v>0</v>
      </c>
      <c r="C85" s="105" t="n">
        <f aca="false">IF(K85=0,0,R85/K85)</f>
        <v>35</v>
      </c>
      <c r="D85" s="105" t="n">
        <f aca="false">C85+B85</f>
        <v>35</v>
      </c>
      <c r="E85" s="106" t="n">
        <v>0</v>
      </c>
      <c r="F85" s="106" t="n">
        <v>0</v>
      </c>
      <c r="G85" s="106" t="n">
        <v>6</v>
      </c>
      <c r="H85" s="106" t="n">
        <v>0</v>
      </c>
      <c r="I85" s="106" t="n">
        <v>0</v>
      </c>
      <c r="J85" s="106" t="n">
        <v>0</v>
      </c>
      <c r="K85" s="106" t="n">
        <f aca="false">SUM(E85:J85)</f>
        <v>6</v>
      </c>
      <c r="L85" s="107" t="n">
        <v>0</v>
      </c>
      <c r="M85" s="107" t="n">
        <v>0</v>
      </c>
      <c r="N85" s="107" t="n">
        <v>210</v>
      </c>
      <c r="O85" s="107" t="n">
        <v>0</v>
      </c>
      <c r="P85" s="107" t="n">
        <v>0</v>
      </c>
      <c r="Q85" s="107" t="n">
        <v>0</v>
      </c>
      <c r="R85" s="107" t="n">
        <f aca="false">SUM(L85:Q85)</f>
        <v>210</v>
      </c>
      <c r="S85" s="108" t="n">
        <v>0</v>
      </c>
      <c r="T85" s="108" t="n">
        <v>0</v>
      </c>
      <c r="U85" s="108" t="n">
        <v>0</v>
      </c>
      <c r="V85" s="108" t="n">
        <v>0</v>
      </c>
      <c r="W85" s="108" t="n">
        <v>0</v>
      </c>
      <c r="X85" s="108" t="n">
        <v>0</v>
      </c>
      <c r="Y85" s="107" t="n">
        <f aca="false">S85*$D85</f>
        <v>0</v>
      </c>
      <c r="Z85" s="107" t="n">
        <f aca="false">T85*$D85</f>
        <v>0</v>
      </c>
      <c r="AA85" s="107" t="n">
        <f aca="false">U85*$D85</f>
        <v>0</v>
      </c>
      <c r="AB85" s="107" t="n">
        <f aca="false">V85*$D85</f>
        <v>0</v>
      </c>
      <c r="AC85" s="107" t="n">
        <f aca="false">W85*$D85</f>
        <v>0</v>
      </c>
      <c r="AD85" s="107" t="n">
        <f aca="false">X85*$D85</f>
        <v>0</v>
      </c>
      <c r="AE85" s="107" t="n">
        <f aca="false">SUM(Y85:AD85)</f>
        <v>0</v>
      </c>
    </row>
    <row r="86" customFormat="false" ht="15" hidden="false" customHeight="false" outlineLevel="0" collapsed="false">
      <c r="A86" s="103" t="s">
        <v>527</v>
      </c>
      <c r="B86" s="104" t="n">
        <v>0</v>
      </c>
      <c r="C86" s="105" t="n">
        <f aca="false">IF(K86=0,0,R86/K86)</f>
        <v>2.93103448275862</v>
      </c>
      <c r="D86" s="105" t="n">
        <f aca="false">C86+B86</f>
        <v>2.93103448275862</v>
      </c>
      <c r="E86" s="106" t="n">
        <v>0</v>
      </c>
      <c r="F86" s="106" t="n">
        <v>5</v>
      </c>
      <c r="G86" s="106" t="n">
        <v>12</v>
      </c>
      <c r="H86" s="106" t="n">
        <v>7</v>
      </c>
      <c r="I86" s="106" t="n">
        <v>14</v>
      </c>
      <c r="J86" s="106" t="n">
        <v>20</v>
      </c>
      <c r="K86" s="106" t="n">
        <f aca="false">SUM(E86:J86)</f>
        <v>58</v>
      </c>
      <c r="L86" s="107" t="n">
        <v>0</v>
      </c>
      <c r="M86" s="107" t="n">
        <v>15</v>
      </c>
      <c r="N86" s="107" t="n">
        <v>36</v>
      </c>
      <c r="O86" s="107" t="n">
        <v>21</v>
      </c>
      <c r="P86" s="107" t="n">
        <v>42</v>
      </c>
      <c r="Q86" s="107" t="n">
        <v>56</v>
      </c>
      <c r="R86" s="107" t="n">
        <f aca="false">SUM(L86:Q86)</f>
        <v>170</v>
      </c>
      <c r="S86" s="108" t="n">
        <v>14</v>
      </c>
      <c r="T86" s="108" t="n">
        <v>14</v>
      </c>
      <c r="U86" s="108" t="n">
        <v>14</v>
      </c>
      <c r="V86" s="108" t="n">
        <v>14</v>
      </c>
      <c r="W86" s="108" t="n">
        <v>14</v>
      </c>
      <c r="X86" s="108" t="n">
        <v>14</v>
      </c>
      <c r="Y86" s="107" t="n">
        <f aca="false">S86*$D86</f>
        <v>41.0344827586207</v>
      </c>
      <c r="Z86" s="107" t="n">
        <f aca="false">T86*$D86</f>
        <v>41.0344827586207</v>
      </c>
      <c r="AA86" s="107" t="n">
        <f aca="false">U86*$D86</f>
        <v>41.0344827586207</v>
      </c>
      <c r="AB86" s="107" t="n">
        <f aca="false">V86*$D86</f>
        <v>41.0344827586207</v>
      </c>
      <c r="AC86" s="107" t="n">
        <f aca="false">W86*$D86</f>
        <v>41.0344827586207</v>
      </c>
      <c r="AD86" s="107" t="n">
        <f aca="false">X86*$D86</f>
        <v>41.0344827586207</v>
      </c>
      <c r="AE86" s="107" t="n">
        <f aca="false">SUM(Y86:AD86)</f>
        <v>246.206896551724</v>
      </c>
    </row>
    <row r="87" customFormat="false" ht="15" hidden="false" customHeight="false" outlineLevel="0" collapsed="false">
      <c r="A87" s="103" t="s">
        <v>528</v>
      </c>
      <c r="B87" s="104" t="n">
        <v>0</v>
      </c>
      <c r="C87" s="105" t="n">
        <f aca="false">IF(K87=0,0,R87/K87)</f>
        <v>38</v>
      </c>
      <c r="D87" s="105" t="n">
        <f aca="false">C87+B87</f>
        <v>38</v>
      </c>
      <c r="E87" s="106" t="n">
        <v>0</v>
      </c>
      <c r="F87" s="106" t="n">
        <v>0</v>
      </c>
      <c r="G87" s="106" t="n">
        <v>4</v>
      </c>
      <c r="H87" s="106" t="n">
        <v>0</v>
      </c>
      <c r="I87" s="106" t="n">
        <v>0</v>
      </c>
      <c r="J87" s="106" t="n">
        <v>0</v>
      </c>
      <c r="K87" s="106" t="n">
        <f aca="false">SUM(E87:J87)</f>
        <v>4</v>
      </c>
      <c r="L87" s="107" t="n">
        <v>0</v>
      </c>
      <c r="M87" s="107" t="n">
        <v>0</v>
      </c>
      <c r="N87" s="107" t="n">
        <v>152</v>
      </c>
      <c r="O87" s="107" t="n">
        <v>0</v>
      </c>
      <c r="P87" s="107" t="n">
        <v>0</v>
      </c>
      <c r="Q87" s="107" t="n">
        <v>0</v>
      </c>
      <c r="R87" s="107" t="n">
        <f aca="false">SUM(L87:Q87)</f>
        <v>152</v>
      </c>
      <c r="S87" s="108" t="n">
        <v>0</v>
      </c>
      <c r="T87" s="108" t="n">
        <v>0</v>
      </c>
      <c r="U87" s="108" t="n">
        <v>0</v>
      </c>
      <c r="V87" s="108" t="n">
        <v>0</v>
      </c>
      <c r="W87" s="108" t="n">
        <v>0</v>
      </c>
      <c r="X87" s="108" t="n">
        <v>0</v>
      </c>
      <c r="Y87" s="107" t="n">
        <f aca="false">S87*$D87</f>
        <v>0</v>
      </c>
      <c r="Z87" s="107" t="n">
        <f aca="false">T87*$D87</f>
        <v>0</v>
      </c>
      <c r="AA87" s="107" t="n">
        <f aca="false">U87*$D87</f>
        <v>0</v>
      </c>
      <c r="AB87" s="107" t="n">
        <f aca="false">V87*$D87</f>
        <v>0</v>
      </c>
      <c r="AC87" s="107" t="n">
        <f aca="false">W87*$D87</f>
        <v>0</v>
      </c>
      <c r="AD87" s="107" t="n">
        <f aca="false">X87*$D87</f>
        <v>0</v>
      </c>
      <c r="AE87" s="107" t="n">
        <f aca="false">SUM(Y87:AD87)</f>
        <v>0</v>
      </c>
    </row>
    <row r="88" customFormat="false" ht="15" hidden="false" customHeight="false" outlineLevel="0" collapsed="false">
      <c r="A88" s="103" t="s">
        <v>529</v>
      </c>
      <c r="B88" s="104" t="n">
        <v>0</v>
      </c>
      <c r="C88" s="105" t="n">
        <f aca="false">IF(K88=0,0,R88/K88)</f>
        <v>10.7692307692308</v>
      </c>
      <c r="D88" s="105" t="n">
        <f aca="false">C88+B88</f>
        <v>10.7692307692308</v>
      </c>
      <c r="E88" s="106" t="n">
        <v>4</v>
      </c>
      <c r="F88" s="106" t="n">
        <v>2</v>
      </c>
      <c r="G88" s="106" t="n">
        <v>3</v>
      </c>
      <c r="H88" s="106" t="n">
        <v>0</v>
      </c>
      <c r="I88" s="106" t="n">
        <v>3</v>
      </c>
      <c r="J88" s="106" t="n">
        <v>1</v>
      </c>
      <c r="K88" s="106" t="n">
        <f aca="false">SUM(E88:J88)</f>
        <v>13</v>
      </c>
      <c r="L88" s="107" t="n">
        <v>41</v>
      </c>
      <c r="M88" s="107" t="n">
        <v>22</v>
      </c>
      <c r="N88" s="107" t="n">
        <v>33</v>
      </c>
      <c r="O88" s="107" t="n">
        <v>0</v>
      </c>
      <c r="P88" s="107" t="n">
        <v>33</v>
      </c>
      <c r="Q88" s="107" t="n">
        <v>11</v>
      </c>
      <c r="R88" s="107" t="n">
        <f aca="false">SUM(L88:Q88)</f>
        <v>140</v>
      </c>
      <c r="S88" s="108" t="n">
        <v>1</v>
      </c>
      <c r="T88" s="108" t="n">
        <v>1</v>
      </c>
      <c r="U88" s="108" t="n">
        <v>1</v>
      </c>
      <c r="V88" s="108" t="n">
        <v>1</v>
      </c>
      <c r="W88" s="108" t="n">
        <v>1</v>
      </c>
      <c r="X88" s="108" t="n">
        <v>1</v>
      </c>
      <c r="Y88" s="107" t="n">
        <f aca="false">S88*$D88</f>
        <v>10.7692307692308</v>
      </c>
      <c r="Z88" s="107" t="n">
        <f aca="false">T88*$D88</f>
        <v>10.7692307692308</v>
      </c>
      <c r="AA88" s="107" t="n">
        <f aca="false">U88*$D88</f>
        <v>10.7692307692308</v>
      </c>
      <c r="AB88" s="107" t="n">
        <f aca="false">V88*$D88</f>
        <v>10.7692307692308</v>
      </c>
      <c r="AC88" s="107" t="n">
        <f aca="false">W88*$D88</f>
        <v>10.7692307692308</v>
      </c>
      <c r="AD88" s="107" t="n">
        <f aca="false">X88*$D88</f>
        <v>10.7692307692308</v>
      </c>
      <c r="AE88" s="107" t="n">
        <f aca="false">SUM(Y88:AD88)</f>
        <v>64.6153846153846</v>
      </c>
    </row>
    <row r="89" customFormat="false" ht="15" hidden="false" customHeight="false" outlineLevel="0" collapsed="false">
      <c r="A89" s="103" t="s">
        <v>530</v>
      </c>
      <c r="B89" s="104" t="n">
        <v>0</v>
      </c>
      <c r="C89" s="105" t="n">
        <f aca="false">IF(K89=0,0,R89/K89)</f>
        <v>30</v>
      </c>
      <c r="D89" s="105" t="n">
        <f aca="false">C89+B89</f>
        <v>30</v>
      </c>
      <c r="E89" s="106" t="n">
        <v>0</v>
      </c>
      <c r="F89" s="106" t="n">
        <v>0</v>
      </c>
      <c r="G89" s="106" t="n">
        <v>4</v>
      </c>
      <c r="H89" s="106" t="n">
        <v>0</v>
      </c>
      <c r="I89" s="106" t="n">
        <v>0</v>
      </c>
      <c r="J89" s="106" t="n">
        <v>0</v>
      </c>
      <c r="K89" s="106" t="n">
        <f aca="false">SUM(E89:J89)</f>
        <v>4</v>
      </c>
      <c r="L89" s="107" t="n">
        <v>0</v>
      </c>
      <c r="M89" s="107" t="n">
        <v>0</v>
      </c>
      <c r="N89" s="107" t="n">
        <v>120</v>
      </c>
      <c r="O89" s="107" t="n">
        <v>0</v>
      </c>
      <c r="P89" s="107" t="n">
        <v>0</v>
      </c>
      <c r="Q89" s="107" t="n">
        <v>0</v>
      </c>
      <c r="R89" s="107" t="n">
        <f aca="false">SUM(L89:Q89)</f>
        <v>120</v>
      </c>
      <c r="S89" s="108" t="n">
        <v>0</v>
      </c>
      <c r="T89" s="108" t="n">
        <v>0</v>
      </c>
      <c r="U89" s="108" t="n">
        <v>0</v>
      </c>
      <c r="V89" s="108" t="n">
        <v>0</v>
      </c>
      <c r="W89" s="108" t="n">
        <v>0</v>
      </c>
      <c r="X89" s="108" t="n">
        <v>0</v>
      </c>
      <c r="Y89" s="107" t="n">
        <f aca="false">S89*$D89</f>
        <v>0</v>
      </c>
      <c r="Z89" s="107" t="n">
        <f aca="false">T89*$D89</f>
        <v>0</v>
      </c>
      <c r="AA89" s="107" t="n">
        <f aca="false">U89*$D89</f>
        <v>0</v>
      </c>
      <c r="AB89" s="107" t="n">
        <f aca="false">V89*$D89</f>
        <v>0</v>
      </c>
      <c r="AC89" s="107" t="n">
        <f aca="false">W89*$D89</f>
        <v>0</v>
      </c>
      <c r="AD89" s="107" t="n">
        <f aca="false">X89*$D89</f>
        <v>0</v>
      </c>
      <c r="AE89" s="107" t="n">
        <f aca="false">SUM(Y89:AD89)</f>
        <v>0</v>
      </c>
    </row>
    <row r="90" customFormat="false" ht="15" hidden="false" customHeight="false" outlineLevel="0" collapsed="false">
      <c r="A90" s="103" t="s">
        <v>531</v>
      </c>
      <c r="B90" s="104" t="n">
        <v>0</v>
      </c>
      <c r="C90" s="105" t="n">
        <f aca="false">IF(K90=0,0,R90/K90)</f>
        <v>2.89189189189189</v>
      </c>
      <c r="D90" s="105" t="n">
        <f aca="false">C90+B90</f>
        <v>2.89189189189189</v>
      </c>
      <c r="E90" s="106" t="n">
        <v>0</v>
      </c>
      <c r="F90" s="106" t="n">
        <v>2</v>
      </c>
      <c r="G90" s="106" t="n">
        <v>12</v>
      </c>
      <c r="H90" s="106" t="n">
        <v>8</v>
      </c>
      <c r="I90" s="106" t="n">
        <v>11</v>
      </c>
      <c r="J90" s="106" t="n">
        <v>4</v>
      </c>
      <c r="K90" s="106" t="n">
        <f aca="false">SUM(E90:J90)</f>
        <v>37</v>
      </c>
      <c r="L90" s="107" t="n">
        <v>0</v>
      </c>
      <c r="M90" s="107" t="n">
        <v>6</v>
      </c>
      <c r="N90" s="107" t="n">
        <v>35</v>
      </c>
      <c r="O90" s="107" t="n">
        <v>24</v>
      </c>
      <c r="P90" s="107" t="n">
        <v>32</v>
      </c>
      <c r="Q90" s="107" t="n">
        <v>10</v>
      </c>
      <c r="R90" s="107" t="n">
        <f aca="false">SUM(L90:Q90)</f>
        <v>107</v>
      </c>
      <c r="S90" s="108" t="n">
        <v>8</v>
      </c>
      <c r="T90" s="108" t="n">
        <v>8</v>
      </c>
      <c r="U90" s="108" t="n">
        <v>8</v>
      </c>
      <c r="V90" s="108" t="n">
        <v>8</v>
      </c>
      <c r="W90" s="108" t="n">
        <v>8</v>
      </c>
      <c r="X90" s="108" t="n">
        <v>8</v>
      </c>
      <c r="Y90" s="107" t="n">
        <f aca="false">S90*$D90</f>
        <v>23.1351351351351</v>
      </c>
      <c r="Z90" s="107" t="n">
        <f aca="false">T90*$D90</f>
        <v>23.1351351351351</v>
      </c>
      <c r="AA90" s="107" t="n">
        <f aca="false">U90*$D90</f>
        <v>23.1351351351351</v>
      </c>
      <c r="AB90" s="107" t="n">
        <f aca="false">V90*$D90</f>
        <v>23.1351351351351</v>
      </c>
      <c r="AC90" s="107" t="n">
        <f aca="false">W90*$D90</f>
        <v>23.1351351351351</v>
      </c>
      <c r="AD90" s="107" t="n">
        <f aca="false">X90*$D90</f>
        <v>23.1351351351351</v>
      </c>
      <c r="AE90" s="107" t="n">
        <f aca="false">SUM(Y90:AD90)</f>
        <v>138.810810810811</v>
      </c>
    </row>
    <row r="91" customFormat="false" ht="15" hidden="false" customHeight="false" outlineLevel="0" collapsed="false">
      <c r="A91" s="103" t="s">
        <v>532</v>
      </c>
      <c r="B91" s="104" t="n">
        <v>0</v>
      </c>
      <c r="C91" s="105" t="n">
        <f aca="false">IF(K91=0,0,R91/K91)</f>
        <v>6.66666666666667</v>
      </c>
      <c r="D91" s="105" t="n">
        <f aca="false">C91+B91</f>
        <v>6.66666666666667</v>
      </c>
      <c r="E91" s="106" t="n">
        <v>0</v>
      </c>
      <c r="F91" s="106" t="n">
        <v>0</v>
      </c>
      <c r="G91" s="106" t="n">
        <v>12</v>
      </c>
      <c r="H91" s="106" t="n">
        <v>3</v>
      </c>
      <c r="I91" s="106" t="n">
        <v>0</v>
      </c>
      <c r="J91" s="106" t="n">
        <v>0</v>
      </c>
      <c r="K91" s="106" t="n">
        <f aca="false">SUM(E91:J91)</f>
        <v>15</v>
      </c>
      <c r="L91" s="107" t="n">
        <v>0</v>
      </c>
      <c r="M91" s="107" t="n">
        <v>0</v>
      </c>
      <c r="N91" s="107" t="n">
        <v>83</v>
      </c>
      <c r="O91" s="107" t="n">
        <v>17</v>
      </c>
      <c r="P91" s="107" t="n">
        <v>0</v>
      </c>
      <c r="Q91" s="107" t="n">
        <v>0</v>
      </c>
      <c r="R91" s="107" t="n">
        <f aca="false">SUM(L91:Q91)</f>
        <v>100</v>
      </c>
      <c r="S91" s="108" t="n">
        <v>1</v>
      </c>
      <c r="T91" s="108" t="n">
        <v>1</v>
      </c>
      <c r="U91" s="108" t="n">
        <v>1</v>
      </c>
      <c r="V91" s="108" t="n">
        <v>1</v>
      </c>
      <c r="W91" s="108" t="n">
        <v>1</v>
      </c>
      <c r="X91" s="108" t="n">
        <v>1</v>
      </c>
      <c r="Y91" s="107" t="n">
        <f aca="false">S91*$D91</f>
        <v>6.66666666666667</v>
      </c>
      <c r="Z91" s="107" t="n">
        <f aca="false">T91*$D91</f>
        <v>6.66666666666667</v>
      </c>
      <c r="AA91" s="107" t="n">
        <f aca="false">U91*$D91</f>
        <v>6.66666666666667</v>
      </c>
      <c r="AB91" s="107" t="n">
        <f aca="false">V91*$D91</f>
        <v>6.66666666666667</v>
      </c>
      <c r="AC91" s="107" t="n">
        <f aca="false">W91*$D91</f>
        <v>6.66666666666667</v>
      </c>
      <c r="AD91" s="107" t="n">
        <f aca="false">X91*$D91</f>
        <v>6.66666666666667</v>
      </c>
      <c r="AE91" s="107" t="n">
        <f aca="false">SUM(Y91:AD91)</f>
        <v>40</v>
      </c>
    </row>
    <row r="92" customFormat="false" ht="15" hidden="false" customHeight="false" outlineLevel="0" collapsed="false">
      <c r="A92" s="103" t="s">
        <v>533</v>
      </c>
      <c r="B92" s="104" t="n">
        <v>0</v>
      </c>
      <c r="C92" s="105" t="n">
        <f aca="false">IF(K92=0,0,R92/K92)</f>
        <v>3</v>
      </c>
      <c r="D92" s="105" t="n">
        <f aca="false">C92+B92</f>
        <v>3</v>
      </c>
      <c r="E92" s="106" t="n">
        <v>0</v>
      </c>
      <c r="F92" s="106" t="n">
        <v>0</v>
      </c>
      <c r="G92" s="106" t="n">
        <v>0</v>
      </c>
      <c r="H92" s="106" t="n">
        <v>0</v>
      </c>
      <c r="I92" s="106" t="n">
        <v>0</v>
      </c>
      <c r="J92" s="106" t="n">
        <v>30</v>
      </c>
      <c r="K92" s="106" t="n">
        <f aca="false">SUM(E92:J92)</f>
        <v>30</v>
      </c>
      <c r="L92" s="107" t="n">
        <v>0</v>
      </c>
      <c r="M92" s="107" t="n">
        <v>0</v>
      </c>
      <c r="N92" s="107" t="n">
        <v>0</v>
      </c>
      <c r="O92" s="107" t="n">
        <v>0</v>
      </c>
      <c r="P92" s="107" t="n">
        <v>0</v>
      </c>
      <c r="Q92" s="107" t="n">
        <v>90</v>
      </c>
      <c r="R92" s="107" t="n">
        <f aca="false">SUM(L92:Q92)</f>
        <v>90</v>
      </c>
      <c r="S92" s="108" t="n">
        <v>10</v>
      </c>
      <c r="T92" s="108" t="n">
        <v>10</v>
      </c>
      <c r="U92" s="108" t="n">
        <v>10</v>
      </c>
      <c r="V92" s="108" t="n">
        <v>10</v>
      </c>
      <c r="W92" s="108" t="n">
        <v>10</v>
      </c>
      <c r="X92" s="108" t="n">
        <v>10</v>
      </c>
      <c r="Y92" s="107" t="n">
        <f aca="false">S92*$D92</f>
        <v>30</v>
      </c>
      <c r="Z92" s="107" t="n">
        <f aca="false">T92*$D92</f>
        <v>30</v>
      </c>
      <c r="AA92" s="107" t="n">
        <f aca="false">U92*$D92</f>
        <v>30</v>
      </c>
      <c r="AB92" s="107" t="n">
        <f aca="false">V92*$D92</f>
        <v>30</v>
      </c>
      <c r="AC92" s="107" t="n">
        <f aca="false">W92*$D92</f>
        <v>30</v>
      </c>
      <c r="AD92" s="107" t="n">
        <f aca="false">X92*$D92</f>
        <v>30</v>
      </c>
      <c r="AE92" s="107" t="n">
        <f aca="false">SUM(Y92:AD92)</f>
        <v>180</v>
      </c>
    </row>
    <row r="93" customFormat="false" ht="15" hidden="false" customHeight="false" outlineLevel="0" collapsed="false">
      <c r="A93" s="103" t="s">
        <v>534</v>
      </c>
      <c r="B93" s="104" t="n">
        <v>0</v>
      </c>
      <c r="C93" s="105" t="n">
        <f aca="false">IF(K93=0,0,R93/K93)</f>
        <v>8.42335766423358</v>
      </c>
      <c r="D93" s="105" t="n">
        <f aca="false">C93+B93</f>
        <v>8.42335766423358</v>
      </c>
      <c r="E93" s="106" t="n">
        <v>5</v>
      </c>
      <c r="F93" s="106" t="n">
        <v>20</v>
      </c>
      <c r="G93" s="106" t="n">
        <v>57</v>
      </c>
      <c r="H93" s="106" t="n">
        <v>19</v>
      </c>
      <c r="I93" s="106" t="n">
        <v>19</v>
      </c>
      <c r="J93" s="106" t="n">
        <v>17</v>
      </c>
      <c r="K93" s="106" t="n">
        <f aca="false">SUM(E93:J93)</f>
        <v>137</v>
      </c>
      <c r="L93" s="107" t="n">
        <v>90</v>
      </c>
      <c r="M93" s="107" t="n">
        <v>101</v>
      </c>
      <c r="N93" s="107" t="n">
        <v>449</v>
      </c>
      <c r="O93" s="107" t="n">
        <v>267</v>
      </c>
      <c r="P93" s="107" t="n">
        <v>128</v>
      </c>
      <c r="Q93" s="107" t="n">
        <v>119</v>
      </c>
      <c r="R93" s="107" t="n">
        <f aca="false">SUM(L93:Q93)</f>
        <v>1154</v>
      </c>
      <c r="S93" s="108" t="n">
        <v>18</v>
      </c>
      <c r="T93" s="108" t="n">
        <v>18</v>
      </c>
      <c r="U93" s="108" t="n">
        <v>18</v>
      </c>
      <c r="V93" s="108" t="n">
        <v>18</v>
      </c>
      <c r="W93" s="108" t="n">
        <v>18</v>
      </c>
      <c r="X93" s="108" t="n">
        <v>18</v>
      </c>
      <c r="Y93" s="107" t="n">
        <f aca="false">S93*$D93</f>
        <v>151.620437956204</v>
      </c>
      <c r="Z93" s="107" t="n">
        <f aca="false">T93*$D93</f>
        <v>151.620437956204</v>
      </c>
      <c r="AA93" s="107" t="n">
        <f aca="false">U93*$D93</f>
        <v>151.620437956204</v>
      </c>
      <c r="AB93" s="107" t="n">
        <f aca="false">V93*$D93</f>
        <v>151.620437956204</v>
      </c>
      <c r="AC93" s="107" t="n">
        <f aca="false">W93*$D93</f>
        <v>151.620437956204</v>
      </c>
      <c r="AD93" s="107" t="n">
        <f aca="false">X93*$D93</f>
        <v>151.620437956204</v>
      </c>
      <c r="AE93" s="107" t="n">
        <f aca="false">SUM(Y93:AD93)</f>
        <v>909.722627737226</v>
      </c>
    </row>
    <row r="94" customFormat="false" ht="15" hidden="false" customHeight="false" outlineLevel="0" collapsed="false">
      <c r="A94" s="109" t="s">
        <v>535</v>
      </c>
      <c r="B94" s="110"/>
      <c r="C94" s="110"/>
      <c r="D94" s="110"/>
      <c r="E94" s="111" t="n">
        <f aca="false">SUM(E83:E93)</f>
        <v>9</v>
      </c>
      <c r="F94" s="111" t="n">
        <f aca="false">SUM(F83:F93)</f>
        <v>29</v>
      </c>
      <c r="G94" s="111" t="n">
        <f aca="false">SUM(G83:G93)</f>
        <v>136</v>
      </c>
      <c r="H94" s="111" t="n">
        <f aca="false">SUM(H83:H93)</f>
        <v>66</v>
      </c>
      <c r="I94" s="111" t="n">
        <f aca="false">SUM(I83:I93)</f>
        <v>47</v>
      </c>
      <c r="J94" s="111" t="n">
        <f aca="false">SUM(J83:J93)</f>
        <v>72</v>
      </c>
      <c r="K94" s="111" t="n">
        <f aca="false">SUM(K83:K93)</f>
        <v>359</v>
      </c>
      <c r="L94" s="112" t="n">
        <f aca="false">SUM(L83:L93)</f>
        <v>131</v>
      </c>
      <c r="M94" s="112" t="n">
        <f aca="false">SUM(M83:M93)</f>
        <v>144</v>
      </c>
      <c r="N94" s="112" t="n">
        <f aca="false">SUM(N83:N93)</f>
        <v>1512</v>
      </c>
      <c r="O94" s="112" t="n">
        <f aca="false">SUM(O83:O93)</f>
        <v>614</v>
      </c>
      <c r="P94" s="112" t="n">
        <f aca="false">SUM(P83:P93)</f>
        <v>235</v>
      </c>
      <c r="Q94" s="112" t="n">
        <f aca="false">SUM(Q83:Q93)</f>
        <v>286</v>
      </c>
      <c r="R94" s="112" t="n">
        <f aca="false">SUM(R83:R93)</f>
        <v>2922</v>
      </c>
      <c r="S94" s="111" t="n">
        <f aca="false">SUM(S83:S93)</f>
        <v>61</v>
      </c>
      <c r="T94" s="111" t="n">
        <f aca="false">SUM(T83:T93)</f>
        <v>61</v>
      </c>
      <c r="U94" s="111" t="n">
        <f aca="false">SUM(U83:U93)</f>
        <v>61</v>
      </c>
      <c r="V94" s="111" t="n">
        <f aca="false">SUM(V83:V93)</f>
        <v>61</v>
      </c>
      <c r="W94" s="111" t="n">
        <f aca="false">SUM(W83:W93)</f>
        <v>61</v>
      </c>
      <c r="X94" s="111" t="n">
        <f aca="false">SUM(X83:X93)</f>
        <v>61</v>
      </c>
      <c r="Y94" s="112" t="n">
        <f aca="false">SUM(Y83:Y93)</f>
        <v>346.769431546727</v>
      </c>
      <c r="Z94" s="112" t="n">
        <f aca="false">SUM(Z83:Z93)</f>
        <v>346.769431546727</v>
      </c>
      <c r="AA94" s="112" t="n">
        <f aca="false">SUM(AA83:AA93)</f>
        <v>346.769431546727</v>
      </c>
      <c r="AB94" s="112" t="n">
        <f aca="false">SUM(AB83:AB93)</f>
        <v>346.769431546727</v>
      </c>
      <c r="AC94" s="112" t="n">
        <f aca="false">SUM(AC83:AC93)</f>
        <v>346.769431546727</v>
      </c>
      <c r="AD94" s="112" t="n">
        <f aca="false">SUM(AD83:AD93)</f>
        <v>346.769431546727</v>
      </c>
      <c r="AE94" s="112" t="n">
        <f aca="false">SUM(AE83:AE93)</f>
        <v>2080.61658928036</v>
      </c>
    </row>
    <row r="96" customFormat="false" ht="15" hidden="false" customHeight="false" outlineLevel="0" collapsed="false">
      <c r="A96" s="102" t="s">
        <v>536</v>
      </c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  <c r="AB96" s="102"/>
      <c r="AC96" s="102"/>
      <c r="AD96" s="102"/>
      <c r="AE96" s="102"/>
    </row>
    <row r="97" customFormat="false" ht="15" hidden="false" customHeight="false" outlineLevel="0" collapsed="false">
      <c r="A97" s="103" t="s">
        <v>528</v>
      </c>
      <c r="B97" s="104" t="n">
        <v>0</v>
      </c>
      <c r="C97" s="105" t="n">
        <f aca="false">IF(K97=0,0,R97/K97)</f>
        <v>37.4545454545455</v>
      </c>
      <c r="D97" s="105" t="n">
        <f aca="false">C97+B97</f>
        <v>37.4545454545455</v>
      </c>
      <c r="E97" s="106" t="n">
        <v>6</v>
      </c>
      <c r="F97" s="106" t="n">
        <v>6</v>
      </c>
      <c r="G97" s="106" t="n">
        <v>10</v>
      </c>
      <c r="H97" s="106" t="n">
        <v>0</v>
      </c>
      <c r="I97" s="106" t="n">
        <v>0</v>
      </c>
      <c r="J97" s="106" t="n">
        <v>0</v>
      </c>
      <c r="K97" s="106" t="n">
        <f aca="false">SUM(E97:J97)</f>
        <v>22</v>
      </c>
      <c r="L97" s="107" t="n">
        <v>222</v>
      </c>
      <c r="M97" s="107" t="n">
        <v>222</v>
      </c>
      <c r="N97" s="107" t="n">
        <v>380</v>
      </c>
      <c r="O97" s="107" t="n">
        <v>0</v>
      </c>
      <c r="P97" s="107" t="n">
        <v>0</v>
      </c>
      <c r="Q97" s="107" t="n">
        <v>0</v>
      </c>
      <c r="R97" s="107" t="n">
        <f aca="false">SUM(L97:Q97)</f>
        <v>824</v>
      </c>
      <c r="S97" s="108" t="n">
        <v>0</v>
      </c>
      <c r="T97" s="108" t="n">
        <v>0</v>
      </c>
      <c r="U97" s="108" t="n">
        <v>0</v>
      </c>
      <c r="V97" s="108" t="n">
        <v>0</v>
      </c>
      <c r="W97" s="108" t="n">
        <v>0</v>
      </c>
      <c r="X97" s="108" t="n">
        <v>0</v>
      </c>
      <c r="Y97" s="107" t="n">
        <f aca="false">S97*$D97</f>
        <v>0</v>
      </c>
      <c r="Z97" s="107" t="n">
        <f aca="false">T97*$D97</f>
        <v>0</v>
      </c>
      <c r="AA97" s="107" t="n">
        <f aca="false">U97*$D97</f>
        <v>0</v>
      </c>
      <c r="AB97" s="107" t="n">
        <f aca="false">V97*$D97</f>
        <v>0</v>
      </c>
      <c r="AC97" s="107" t="n">
        <f aca="false">W97*$D97</f>
        <v>0</v>
      </c>
      <c r="AD97" s="107" t="n">
        <f aca="false">X97*$D97</f>
        <v>0</v>
      </c>
      <c r="AE97" s="107" t="n">
        <f aca="false">SUM(Y97:AD97)</f>
        <v>0</v>
      </c>
    </row>
    <row r="98" customFormat="false" ht="15" hidden="false" customHeight="false" outlineLevel="0" collapsed="false">
      <c r="A98" s="103" t="s">
        <v>537</v>
      </c>
      <c r="B98" s="104" t="n">
        <v>0</v>
      </c>
      <c r="C98" s="105" t="n">
        <f aca="false">IF(K98=0,0,R98/K98)</f>
        <v>17.2941176470588</v>
      </c>
      <c r="D98" s="105" t="n">
        <f aca="false">C98+B98</f>
        <v>17.2941176470588</v>
      </c>
      <c r="E98" s="106" t="n">
        <v>5</v>
      </c>
      <c r="F98" s="106" t="n">
        <v>11</v>
      </c>
      <c r="G98" s="106" t="n">
        <v>6</v>
      </c>
      <c r="H98" s="106" t="n">
        <v>3</v>
      </c>
      <c r="I98" s="106" t="n">
        <v>6</v>
      </c>
      <c r="J98" s="106" t="n">
        <v>3</v>
      </c>
      <c r="K98" s="106" t="n">
        <f aca="false">SUM(E98:J98)</f>
        <v>34</v>
      </c>
      <c r="L98" s="107" t="n">
        <v>85</v>
      </c>
      <c r="M98" s="107" t="n">
        <v>230</v>
      </c>
      <c r="N98" s="107" t="n">
        <v>96</v>
      </c>
      <c r="O98" s="107" t="n">
        <v>55</v>
      </c>
      <c r="P98" s="107" t="n">
        <v>87</v>
      </c>
      <c r="Q98" s="107" t="n">
        <v>35</v>
      </c>
      <c r="R98" s="107" t="n">
        <f aca="false">SUM(L98:Q98)</f>
        <v>588</v>
      </c>
      <c r="S98" s="108" t="n">
        <v>4</v>
      </c>
      <c r="T98" s="108" t="n">
        <v>4</v>
      </c>
      <c r="U98" s="108" t="n">
        <v>4</v>
      </c>
      <c r="V98" s="108" t="n">
        <v>4</v>
      </c>
      <c r="W98" s="108" t="n">
        <v>4</v>
      </c>
      <c r="X98" s="108" t="n">
        <v>4</v>
      </c>
      <c r="Y98" s="107" t="n">
        <f aca="false">S98*$D98</f>
        <v>69.1764705882353</v>
      </c>
      <c r="Z98" s="107" t="n">
        <f aca="false">T98*$D98</f>
        <v>69.1764705882353</v>
      </c>
      <c r="AA98" s="107" t="n">
        <f aca="false">U98*$D98</f>
        <v>69.1764705882353</v>
      </c>
      <c r="AB98" s="107" t="n">
        <f aca="false">V98*$D98</f>
        <v>69.1764705882353</v>
      </c>
      <c r="AC98" s="107" t="n">
        <f aca="false">W98*$D98</f>
        <v>69.1764705882353</v>
      </c>
      <c r="AD98" s="107" t="n">
        <f aca="false">X98*$D98</f>
        <v>69.1764705882353</v>
      </c>
      <c r="AE98" s="107" t="n">
        <f aca="false">SUM(Y98:AD98)</f>
        <v>415.058823529412</v>
      </c>
    </row>
    <row r="99" customFormat="false" ht="15" hidden="false" customHeight="false" outlineLevel="0" collapsed="false">
      <c r="A99" s="103" t="s">
        <v>530</v>
      </c>
      <c r="B99" s="104" t="n">
        <v>0</v>
      </c>
      <c r="C99" s="105" t="n">
        <f aca="false">IF(K99=0,0,R99/K99)</f>
        <v>30</v>
      </c>
      <c r="D99" s="105" t="n">
        <f aca="false">C99+B99</f>
        <v>30</v>
      </c>
      <c r="E99" s="106" t="n">
        <v>3</v>
      </c>
      <c r="F99" s="106" t="n">
        <v>10</v>
      </c>
      <c r="G99" s="106" t="n">
        <v>5</v>
      </c>
      <c r="H99" s="106" t="n">
        <v>0</v>
      </c>
      <c r="I99" s="106" t="n">
        <v>0</v>
      </c>
      <c r="J99" s="106" t="n">
        <v>0</v>
      </c>
      <c r="K99" s="106" t="n">
        <f aca="false">SUM(E99:J99)</f>
        <v>18</v>
      </c>
      <c r="L99" s="107" t="n">
        <v>90</v>
      </c>
      <c r="M99" s="107" t="n">
        <v>300</v>
      </c>
      <c r="N99" s="107" t="n">
        <v>150</v>
      </c>
      <c r="O99" s="107" t="n">
        <v>0</v>
      </c>
      <c r="P99" s="107" t="n">
        <v>0</v>
      </c>
      <c r="Q99" s="107" t="n">
        <v>0</v>
      </c>
      <c r="R99" s="107" t="n">
        <f aca="false">SUM(L99:Q99)</f>
        <v>540</v>
      </c>
      <c r="S99" s="108" t="n">
        <v>0</v>
      </c>
      <c r="T99" s="108" t="n">
        <v>0</v>
      </c>
      <c r="U99" s="108" t="n">
        <v>0</v>
      </c>
      <c r="V99" s="108" t="n">
        <v>0</v>
      </c>
      <c r="W99" s="108" t="n">
        <v>0</v>
      </c>
      <c r="X99" s="108" t="n">
        <v>0</v>
      </c>
      <c r="Y99" s="107" t="n">
        <f aca="false">S99*$D99</f>
        <v>0</v>
      </c>
      <c r="Z99" s="107" t="n">
        <f aca="false">T99*$D99</f>
        <v>0</v>
      </c>
      <c r="AA99" s="107" t="n">
        <f aca="false">U99*$D99</f>
        <v>0</v>
      </c>
      <c r="AB99" s="107" t="n">
        <f aca="false">V99*$D99</f>
        <v>0</v>
      </c>
      <c r="AC99" s="107" t="n">
        <f aca="false">W99*$D99</f>
        <v>0</v>
      </c>
      <c r="AD99" s="107" t="n">
        <f aca="false">X99*$D99</f>
        <v>0</v>
      </c>
      <c r="AE99" s="107" t="n">
        <f aca="false">SUM(Y99:AD99)</f>
        <v>0</v>
      </c>
    </row>
    <row r="100" customFormat="false" ht="15" hidden="false" customHeight="false" outlineLevel="0" collapsed="false">
      <c r="A100" s="103" t="s">
        <v>526</v>
      </c>
      <c r="B100" s="104" t="n">
        <v>0</v>
      </c>
      <c r="C100" s="105" t="n">
        <f aca="false">IF(K100=0,0,R100/K100)</f>
        <v>33.5333333333333</v>
      </c>
      <c r="D100" s="105" t="n">
        <f aca="false">C100+B100</f>
        <v>33.5333333333333</v>
      </c>
      <c r="E100" s="106" t="n">
        <v>5</v>
      </c>
      <c r="F100" s="106" t="n">
        <v>7</v>
      </c>
      <c r="G100" s="106" t="n">
        <v>3</v>
      </c>
      <c r="H100" s="106" t="n">
        <v>0</v>
      </c>
      <c r="I100" s="106" t="n">
        <v>0</v>
      </c>
      <c r="J100" s="106" t="n">
        <v>0</v>
      </c>
      <c r="K100" s="106" t="n">
        <f aca="false">SUM(E100:J100)</f>
        <v>15</v>
      </c>
      <c r="L100" s="107" t="n">
        <v>158</v>
      </c>
      <c r="M100" s="107" t="n">
        <v>240</v>
      </c>
      <c r="N100" s="107" t="n">
        <v>105</v>
      </c>
      <c r="O100" s="107" t="n">
        <v>0</v>
      </c>
      <c r="P100" s="107" t="n">
        <v>0</v>
      </c>
      <c r="Q100" s="107" t="n">
        <v>0</v>
      </c>
      <c r="R100" s="107" t="n">
        <f aca="false">SUM(L100:Q100)</f>
        <v>503</v>
      </c>
      <c r="S100" s="108" t="n">
        <v>0</v>
      </c>
      <c r="T100" s="108" t="n">
        <v>0</v>
      </c>
      <c r="U100" s="108" t="n">
        <v>0</v>
      </c>
      <c r="V100" s="108" t="n">
        <v>0</v>
      </c>
      <c r="W100" s="108" t="n">
        <v>0</v>
      </c>
      <c r="X100" s="108" t="n">
        <v>0</v>
      </c>
      <c r="Y100" s="107" t="n">
        <f aca="false">S100*$D100</f>
        <v>0</v>
      </c>
      <c r="Z100" s="107" t="n">
        <f aca="false">T100*$D100</f>
        <v>0</v>
      </c>
      <c r="AA100" s="107" t="n">
        <f aca="false">U100*$D100</f>
        <v>0</v>
      </c>
      <c r="AB100" s="107" t="n">
        <f aca="false">V100*$D100</f>
        <v>0</v>
      </c>
      <c r="AC100" s="107" t="n">
        <f aca="false">W100*$D100</f>
        <v>0</v>
      </c>
      <c r="AD100" s="107" t="n">
        <f aca="false">X100*$D100</f>
        <v>0</v>
      </c>
      <c r="AE100" s="107" t="n">
        <f aca="false">SUM(Y100:AD100)</f>
        <v>0</v>
      </c>
    </row>
    <row r="101" customFormat="false" ht="15" hidden="false" customHeight="false" outlineLevel="0" collapsed="false">
      <c r="A101" s="103" t="s">
        <v>525</v>
      </c>
      <c r="B101" s="104" t="n">
        <v>0</v>
      </c>
      <c r="C101" s="105" t="n">
        <f aca="false">IF(K101=0,0,R101/K101)</f>
        <v>28</v>
      </c>
      <c r="D101" s="105" t="n">
        <f aca="false">C101+B101</f>
        <v>28</v>
      </c>
      <c r="E101" s="106" t="n">
        <v>2</v>
      </c>
      <c r="F101" s="106" t="n">
        <v>7</v>
      </c>
      <c r="G101" s="106" t="n">
        <v>3</v>
      </c>
      <c r="H101" s="106" t="n">
        <v>0</v>
      </c>
      <c r="I101" s="106" t="n">
        <v>0</v>
      </c>
      <c r="J101" s="106" t="n">
        <v>0</v>
      </c>
      <c r="K101" s="106" t="n">
        <f aca="false">SUM(E101:J101)</f>
        <v>12</v>
      </c>
      <c r="L101" s="107" t="n">
        <v>56</v>
      </c>
      <c r="M101" s="107" t="n">
        <v>196</v>
      </c>
      <c r="N101" s="107" t="n">
        <v>84</v>
      </c>
      <c r="O101" s="107" t="n">
        <v>0</v>
      </c>
      <c r="P101" s="107" t="n">
        <v>0</v>
      </c>
      <c r="Q101" s="107" t="n">
        <v>0</v>
      </c>
      <c r="R101" s="107" t="n">
        <f aca="false">SUM(L101:Q101)</f>
        <v>336</v>
      </c>
      <c r="S101" s="108" t="n">
        <v>0</v>
      </c>
      <c r="T101" s="108" t="n">
        <v>0</v>
      </c>
      <c r="U101" s="108" t="n">
        <v>0</v>
      </c>
      <c r="V101" s="108" t="n">
        <v>0</v>
      </c>
      <c r="W101" s="108" t="n">
        <v>0</v>
      </c>
      <c r="X101" s="108" t="n">
        <v>0</v>
      </c>
      <c r="Y101" s="107" t="n">
        <f aca="false">S101*$D101</f>
        <v>0</v>
      </c>
      <c r="Z101" s="107" t="n">
        <f aca="false">T101*$D101</f>
        <v>0</v>
      </c>
      <c r="AA101" s="107" t="n">
        <f aca="false">U101*$D101</f>
        <v>0</v>
      </c>
      <c r="AB101" s="107" t="n">
        <f aca="false">V101*$D101</f>
        <v>0</v>
      </c>
      <c r="AC101" s="107" t="n">
        <f aca="false">W101*$D101</f>
        <v>0</v>
      </c>
      <c r="AD101" s="107" t="n">
        <f aca="false">X101*$D101</f>
        <v>0</v>
      </c>
      <c r="AE101" s="107" t="n">
        <f aca="false">SUM(Y101:AD101)</f>
        <v>0</v>
      </c>
    </row>
    <row r="102" customFormat="false" ht="15" hidden="false" customHeight="false" outlineLevel="0" collapsed="false">
      <c r="A102" s="103" t="s">
        <v>538</v>
      </c>
      <c r="B102" s="104" t="n">
        <v>0</v>
      </c>
      <c r="C102" s="105" t="n">
        <f aca="false">IF(K102=0,0,R102/K102)</f>
        <v>24.6923076923077</v>
      </c>
      <c r="D102" s="105" t="n">
        <f aca="false">C102+B102</f>
        <v>24.6923076923077</v>
      </c>
      <c r="E102" s="106" t="n">
        <v>5</v>
      </c>
      <c r="F102" s="106" t="n">
        <v>6</v>
      </c>
      <c r="G102" s="106" t="n">
        <v>2</v>
      </c>
      <c r="H102" s="106" t="n">
        <v>0</v>
      </c>
      <c r="I102" s="106" t="n">
        <v>0</v>
      </c>
      <c r="J102" s="106" t="n">
        <v>0</v>
      </c>
      <c r="K102" s="106" t="n">
        <f aca="false">SUM(E102:J102)</f>
        <v>13</v>
      </c>
      <c r="L102" s="107" t="n">
        <v>121</v>
      </c>
      <c r="M102" s="107" t="n">
        <v>150</v>
      </c>
      <c r="N102" s="107" t="n">
        <v>50</v>
      </c>
      <c r="O102" s="107" t="n">
        <v>0</v>
      </c>
      <c r="P102" s="107" t="n">
        <v>0</v>
      </c>
      <c r="Q102" s="107" t="n">
        <v>0</v>
      </c>
      <c r="R102" s="107" t="n">
        <f aca="false">SUM(L102:Q102)</f>
        <v>321</v>
      </c>
      <c r="S102" s="108" t="n">
        <v>0</v>
      </c>
      <c r="T102" s="108" t="n">
        <v>0</v>
      </c>
      <c r="U102" s="108" t="n">
        <v>0</v>
      </c>
      <c r="V102" s="108" t="n">
        <v>0</v>
      </c>
      <c r="W102" s="108" t="n">
        <v>0</v>
      </c>
      <c r="X102" s="108" t="n">
        <v>0</v>
      </c>
      <c r="Y102" s="107" t="n">
        <f aca="false">S102*$D102</f>
        <v>0</v>
      </c>
      <c r="Z102" s="107" t="n">
        <f aca="false">T102*$D102</f>
        <v>0</v>
      </c>
      <c r="AA102" s="107" t="n">
        <f aca="false">U102*$D102</f>
        <v>0</v>
      </c>
      <c r="AB102" s="107" t="n">
        <f aca="false">V102*$D102</f>
        <v>0</v>
      </c>
      <c r="AC102" s="107" t="n">
        <f aca="false">W102*$D102</f>
        <v>0</v>
      </c>
      <c r="AD102" s="107" t="n">
        <f aca="false">X102*$D102</f>
        <v>0</v>
      </c>
      <c r="AE102" s="107" t="n">
        <f aca="false">SUM(Y102:AD102)</f>
        <v>0</v>
      </c>
    </row>
    <row r="103" customFormat="false" ht="15" hidden="false" customHeight="false" outlineLevel="0" collapsed="false">
      <c r="A103" s="103" t="s">
        <v>503</v>
      </c>
      <c r="B103" s="104" t="n">
        <v>0</v>
      </c>
      <c r="C103" s="105" t="n">
        <f aca="false">IF(K103=0,0,R103/K103)</f>
        <v>5.96153846153846</v>
      </c>
      <c r="D103" s="105" t="n">
        <f aca="false">C103+B103</f>
        <v>5.96153846153846</v>
      </c>
      <c r="E103" s="106" t="n">
        <v>13</v>
      </c>
      <c r="F103" s="106" t="n">
        <v>5</v>
      </c>
      <c r="G103" s="106" t="n">
        <v>8</v>
      </c>
      <c r="H103" s="106" t="n">
        <v>0</v>
      </c>
      <c r="I103" s="106" t="n">
        <v>0</v>
      </c>
      <c r="J103" s="106" t="n">
        <v>0</v>
      </c>
      <c r="K103" s="106" t="n">
        <f aca="false">SUM(E103:J103)</f>
        <v>26</v>
      </c>
      <c r="L103" s="107" t="n">
        <v>80</v>
      </c>
      <c r="M103" s="107" t="n">
        <v>27</v>
      </c>
      <c r="N103" s="107" t="n">
        <v>48</v>
      </c>
      <c r="O103" s="107" t="n">
        <v>0</v>
      </c>
      <c r="P103" s="107" t="n">
        <v>0</v>
      </c>
      <c r="Q103" s="107" t="n">
        <v>0</v>
      </c>
      <c r="R103" s="107" t="n">
        <f aca="false">SUM(L103:Q103)</f>
        <v>155</v>
      </c>
      <c r="S103" s="108" t="n">
        <v>0</v>
      </c>
      <c r="T103" s="108" t="n">
        <v>0</v>
      </c>
      <c r="U103" s="108" t="n">
        <v>0</v>
      </c>
      <c r="V103" s="108" t="n">
        <v>0</v>
      </c>
      <c r="W103" s="108" t="n">
        <v>0</v>
      </c>
      <c r="X103" s="108" t="n">
        <v>0</v>
      </c>
      <c r="Y103" s="107" t="n">
        <f aca="false">S103*$D103</f>
        <v>0</v>
      </c>
      <c r="Z103" s="107" t="n">
        <f aca="false">T103*$D103</f>
        <v>0</v>
      </c>
      <c r="AA103" s="107" t="n">
        <f aca="false">U103*$D103</f>
        <v>0</v>
      </c>
      <c r="AB103" s="107" t="n">
        <f aca="false">V103*$D103</f>
        <v>0</v>
      </c>
      <c r="AC103" s="107" t="n">
        <f aca="false">W103*$D103</f>
        <v>0</v>
      </c>
      <c r="AD103" s="107" t="n">
        <f aca="false">X103*$D103</f>
        <v>0</v>
      </c>
      <c r="AE103" s="107" t="n">
        <f aca="false">SUM(Y103:AD103)</f>
        <v>0</v>
      </c>
    </row>
    <row r="104" customFormat="false" ht="15" hidden="false" customHeight="false" outlineLevel="0" collapsed="false">
      <c r="A104" s="103" t="s">
        <v>539</v>
      </c>
      <c r="B104" s="104" t="n">
        <v>0</v>
      </c>
      <c r="C104" s="105" t="n">
        <f aca="false">IF(K104=0,0,R104/K104)</f>
        <v>10</v>
      </c>
      <c r="D104" s="105" t="n">
        <f aca="false">C104+B104</f>
        <v>10</v>
      </c>
      <c r="E104" s="106" t="n">
        <v>1</v>
      </c>
      <c r="F104" s="106" t="n">
        <v>5</v>
      </c>
      <c r="G104" s="106" t="n">
        <v>5</v>
      </c>
      <c r="H104" s="106" t="n">
        <v>0</v>
      </c>
      <c r="I104" s="106" t="n">
        <v>0</v>
      </c>
      <c r="J104" s="106" t="n">
        <v>0</v>
      </c>
      <c r="K104" s="106" t="n">
        <f aca="false">SUM(E104:J104)</f>
        <v>11</v>
      </c>
      <c r="L104" s="107" t="n">
        <v>10</v>
      </c>
      <c r="M104" s="107" t="n">
        <v>50</v>
      </c>
      <c r="N104" s="107" t="n">
        <v>50</v>
      </c>
      <c r="O104" s="107" t="n">
        <v>0</v>
      </c>
      <c r="P104" s="107" t="n">
        <v>0</v>
      </c>
      <c r="Q104" s="107" t="n">
        <v>0</v>
      </c>
      <c r="R104" s="107" t="n">
        <f aca="false">SUM(L104:Q104)</f>
        <v>110</v>
      </c>
      <c r="S104" s="108" t="n">
        <v>0</v>
      </c>
      <c r="T104" s="108" t="n">
        <v>0</v>
      </c>
      <c r="U104" s="108" t="n">
        <v>0</v>
      </c>
      <c r="V104" s="108" t="n">
        <v>0</v>
      </c>
      <c r="W104" s="108" t="n">
        <v>0</v>
      </c>
      <c r="X104" s="108" t="n">
        <v>0</v>
      </c>
      <c r="Y104" s="107" t="n">
        <f aca="false">S104*$D104</f>
        <v>0</v>
      </c>
      <c r="Z104" s="107" t="n">
        <f aca="false">T104*$D104</f>
        <v>0</v>
      </c>
      <c r="AA104" s="107" t="n">
        <f aca="false">U104*$D104</f>
        <v>0</v>
      </c>
      <c r="AB104" s="107" t="n">
        <f aca="false">V104*$D104</f>
        <v>0</v>
      </c>
      <c r="AC104" s="107" t="n">
        <f aca="false">W104*$D104</f>
        <v>0</v>
      </c>
      <c r="AD104" s="107" t="n">
        <f aca="false">X104*$D104</f>
        <v>0</v>
      </c>
      <c r="AE104" s="107" t="n">
        <f aca="false">SUM(Y104:AD104)</f>
        <v>0</v>
      </c>
    </row>
    <row r="105" customFormat="false" ht="15" hidden="false" customHeight="false" outlineLevel="0" collapsed="false">
      <c r="A105" s="103" t="s">
        <v>540</v>
      </c>
      <c r="B105" s="104" t="n">
        <v>0</v>
      </c>
      <c r="C105" s="105" t="n">
        <f aca="false">IF(K105=0,0,R105/K105)</f>
        <v>6.56962025316456</v>
      </c>
      <c r="D105" s="105" t="n">
        <f aca="false">C105+B105</f>
        <v>6.56962025316456</v>
      </c>
      <c r="E105" s="106" t="n">
        <v>34</v>
      </c>
      <c r="F105" s="106" t="n">
        <v>27</v>
      </c>
      <c r="G105" s="106" t="n">
        <v>16</v>
      </c>
      <c r="H105" s="106" t="n">
        <v>0</v>
      </c>
      <c r="I105" s="106" t="n">
        <v>2</v>
      </c>
      <c r="J105" s="106" t="n">
        <v>0</v>
      </c>
      <c r="K105" s="106" t="n">
        <f aca="false">SUM(E105:J105)</f>
        <v>79</v>
      </c>
      <c r="L105" s="107" t="n">
        <v>206</v>
      </c>
      <c r="M105" s="107" t="n">
        <v>180</v>
      </c>
      <c r="N105" s="107" t="n">
        <v>112</v>
      </c>
      <c r="O105" s="107" t="n">
        <v>0</v>
      </c>
      <c r="P105" s="107" t="n">
        <v>21</v>
      </c>
      <c r="Q105" s="107" t="n">
        <v>0</v>
      </c>
      <c r="R105" s="107" t="n">
        <f aca="false">SUM(L105:Q105)</f>
        <v>519</v>
      </c>
      <c r="S105" s="108" t="n">
        <v>1</v>
      </c>
      <c r="T105" s="108" t="n">
        <v>1</v>
      </c>
      <c r="U105" s="108" t="n">
        <v>1</v>
      </c>
      <c r="V105" s="108" t="n">
        <v>1</v>
      </c>
      <c r="W105" s="108" t="n">
        <v>1</v>
      </c>
      <c r="X105" s="108" t="n">
        <v>1</v>
      </c>
      <c r="Y105" s="107" t="n">
        <f aca="false">S105*$D105</f>
        <v>6.56962025316456</v>
      </c>
      <c r="Z105" s="107" t="n">
        <f aca="false">T105*$D105</f>
        <v>6.56962025316456</v>
      </c>
      <c r="AA105" s="107" t="n">
        <f aca="false">U105*$D105</f>
        <v>6.56962025316456</v>
      </c>
      <c r="AB105" s="107" t="n">
        <f aca="false">V105*$D105</f>
        <v>6.56962025316456</v>
      </c>
      <c r="AC105" s="107" t="n">
        <f aca="false">W105*$D105</f>
        <v>6.56962025316456</v>
      </c>
      <c r="AD105" s="107" t="n">
        <f aca="false">X105*$D105</f>
        <v>6.56962025316456</v>
      </c>
      <c r="AE105" s="107" t="n">
        <f aca="false">SUM(Y105:AD105)</f>
        <v>39.4177215189873</v>
      </c>
    </row>
    <row r="106" customFormat="false" ht="15" hidden="false" customHeight="false" outlineLevel="0" collapsed="false">
      <c r="A106" s="109" t="s">
        <v>541</v>
      </c>
      <c r="B106" s="110"/>
      <c r="C106" s="110"/>
      <c r="D106" s="110"/>
      <c r="E106" s="111" t="n">
        <f aca="false">SUM(E97:E105)</f>
        <v>74</v>
      </c>
      <c r="F106" s="111" t="n">
        <f aca="false">SUM(F97:F105)</f>
        <v>84</v>
      </c>
      <c r="G106" s="111" t="n">
        <f aca="false">SUM(G97:G105)</f>
        <v>58</v>
      </c>
      <c r="H106" s="111" t="n">
        <f aca="false">SUM(H97:H105)</f>
        <v>3</v>
      </c>
      <c r="I106" s="111" t="n">
        <f aca="false">SUM(I97:I105)</f>
        <v>8</v>
      </c>
      <c r="J106" s="111" t="n">
        <f aca="false">SUM(J97:J105)</f>
        <v>3</v>
      </c>
      <c r="K106" s="111" t="n">
        <f aca="false">SUM(K97:K105)</f>
        <v>230</v>
      </c>
      <c r="L106" s="112" t="n">
        <f aca="false">SUM(L97:L105)</f>
        <v>1028</v>
      </c>
      <c r="M106" s="112" t="n">
        <f aca="false">SUM(M97:M105)</f>
        <v>1595</v>
      </c>
      <c r="N106" s="112" t="n">
        <f aca="false">SUM(N97:N105)</f>
        <v>1075</v>
      </c>
      <c r="O106" s="112" t="n">
        <f aca="false">SUM(O97:O105)</f>
        <v>55</v>
      </c>
      <c r="P106" s="112" t="n">
        <f aca="false">SUM(P97:P105)</f>
        <v>108</v>
      </c>
      <c r="Q106" s="112" t="n">
        <f aca="false">SUM(Q97:Q105)</f>
        <v>35</v>
      </c>
      <c r="R106" s="112" t="n">
        <f aca="false">SUM(R97:R105)</f>
        <v>3896</v>
      </c>
      <c r="S106" s="111" t="n">
        <f aca="false">SUM(S97:S105)</f>
        <v>5</v>
      </c>
      <c r="T106" s="111" t="n">
        <f aca="false">SUM(T97:T105)</f>
        <v>5</v>
      </c>
      <c r="U106" s="111" t="n">
        <f aca="false">SUM(U97:U105)</f>
        <v>5</v>
      </c>
      <c r="V106" s="111" t="n">
        <f aca="false">SUM(V97:V105)</f>
        <v>5</v>
      </c>
      <c r="W106" s="111" t="n">
        <f aca="false">SUM(W97:W105)</f>
        <v>5</v>
      </c>
      <c r="X106" s="111" t="n">
        <f aca="false">SUM(X97:X105)</f>
        <v>5</v>
      </c>
      <c r="Y106" s="112" t="n">
        <f aca="false">SUM(Y97:Y105)</f>
        <v>75.7460908413999</v>
      </c>
      <c r="Z106" s="112" t="n">
        <f aca="false">SUM(Z97:Z105)</f>
        <v>75.7460908413999</v>
      </c>
      <c r="AA106" s="112" t="n">
        <f aca="false">SUM(AA97:AA105)</f>
        <v>75.7460908413999</v>
      </c>
      <c r="AB106" s="112" t="n">
        <f aca="false">SUM(AB97:AB105)</f>
        <v>75.7460908413999</v>
      </c>
      <c r="AC106" s="112" t="n">
        <f aca="false">SUM(AC97:AC105)</f>
        <v>75.7460908413999</v>
      </c>
      <c r="AD106" s="112" t="n">
        <f aca="false">SUM(AD97:AD105)</f>
        <v>75.7460908413999</v>
      </c>
      <c r="AE106" s="112" t="n">
        <f aca="false">SUM(AE97:AE105)</f>
        <v>454.476545048399</v>
      </c>
    </row>
    <row r="108" customFormat="false" ht="15" hidden="false" customHeight="false" outlineLevel="0" collapsed="false">
      <c r="A108" s="102" t="s">
        <v>542</v>
      </c>
      <c r="B108" s="102"/>
      <c r="C108" s="102"/>
      <c r="D108" s="102"/>
      <c r="E108" s="113" t="n">
        <f aca="false">E26+E46+E56+E68+E80+E94+E106</f>
        <v>2701</v>
      </c>
      <c r="F108" s="113" t="n">
        <f aca="false">F26+F46+F56+F68+F80+F94+F106</f>
        <v>3111</v>
      </c>
      <c r="G108" s="113" t="n">
        <f aca="false">G26+G46+G56+G68+G80+G94+G106</f>
        <v>4477</v>
      </c>
      <c r="H108" s="113" t="n">
        <f aca="false">H26+H46+H56+H68+H80+H94+H106</f>
        <v>3748</v>
      </c>
      <c r="I108" s="113" t="n">
        <f aca="false">I26+I46+I56+I68+I80+I94+I106</f>
        <v>4324</v>
      </c>
      <c r="J108" s="113" t="n">
        <f aca="false">J26+J46+J56+J68+J80+J94+J106</f>
        <v>4781</v>
      </c>
      <c r="K108" s="113" t="n">
        <f aca="false">K26+K46+K56+K68+K80+K94+K106</f>
        <v>23142</v>
      </c>
      <c r="L108" s="114" t="n">
        <f aca="false">L26+L46+L56+L68+L80+L94+L106</f>
        <v>15613</v>
      </c>
      <c r="M108" s="114" t="n">
        <f aca="false">M26+M46+M56+M68+M80+M94+M106</f>
        <v>17969</v>
      </c>
      <c r="N108" s="114" t="n">
        <f aca="false">N26+N46+N56+N68+N80+N94+N106</f>
        <v>26748</v>
      </c>
      <c r="O108" s="114" t="n">
        <f aca="false">O26+O46+O56+O68+O80+O94+O106</f>
        <v>20638</v>
      </c>
      <c r="P108" s="114" t="n">
        <f aca="false">P26+P46+P56+P68+P80+P94+P106</f>
        <v>24908</v>
      </c>
      <c r="Q108" s="114" t="n">
        <f aca="false">Q26+Q46+Q56+Q68+Q80+Q94+Q106</f>
        <v>27214</v>
      </c>
      <c r="R108" s="114" t="n">
        <f aca="false">R26+R46+R56+R68+R80+R94+R106</f>
        <v>133090</v>
      </c>
      <c r="S108" s="113" t="n">
        <f aca="false">S26+S46+S56+S68+S80+S94+S106</f>
        <v>4287</v>
      </c>
      <c r="T108" s="113" t="n">
        <f aca="false">T26+T46+T56+T68+T80+T94+T106</f>
        <v>4287</v>
      </c>
      <c r="U108" s="113" t="n">
        <f aca="false">U26+U46+U56+U68+U80+U94+U106</f>
        <v>4287</v>
      </c>
      <c r="V108" s="113" t="n">
        <f aca="false">V26+V46+V56+V68+V80+V94+V106</f>
        <v>4287</v>
      </c>
      <c r="W108" s="113" t="n">
        <f aca="false">W26+W46+W56+W68+W80+W94+W106</f>
        <v>4287</v>
      </c>
      <c r="X108" s="113" t="n">
        <f aca="false">X26+X46+X56+X68+X80+X94+X106</f>
        <v>4287</v>
      </c>
      <c r="Y108" s="114" t="n">
        <f aca="false">Y26+Y46+Y56+Y68+Y80+Y94+Y106</f>
        <v>25471.7047346422</v>
      </c>
      <c r="Z108" s="114" t="n">
        <f aca="false">Z26+Z46+Z56+Z68+Z80+Z94+Z106</f>
        <v>25471.7047346422</v>
      </c>
      <c r="AA108" s="114" t="n">
        <f aca="false">AA26+AA46+AA56+AA68+AA80+AA94+AA106</f>
        <v>25471.7047346422</v>
      </c>
      <c r="AB108" s="114" t="n">
        <f aca="false">AB26+AB46+AB56+AB68+AB80+AB94+AB106</f>
        <v>25471.7047346422</v>
      </c>
      <c r="AC108" s="114" t="n">
        <f aca="false">AC26+AC46+AC56+AC68+AC80+AC94+AC106</f>
        <v>25471.7047346422</v>
      </c>
      <c r="AD108" s="114" t="n">
        <f aca="false">AD26+AD46+AD56+AD68+AD80+AD94+AD106</f>
        <v>25471.7047346422</v>
      </c>
      <c r="AE108" s="114" t="n">
        <f aca="false">AE26+AE46+AE56+AE68+AE80+AE94+AE106</f>
        <v>152830.228407853</v>
      </c>
    </row>
    <row r="109" customFormat="false" ht="15" hidden="false" customHeight="false" outlineLevel="0" collapsed="false">
      <c r="A109" s="103" t="s">
        <v>543</v>
      </c>
      <c r="R109" s="107" t="n">
        <f aca="false">'LW Rev Recon H1'!H6</f>
        <v>133092</v>
      </c>
    </row>
    <row r="111" customFormat="false" ht="15" hidden="false" customHeight="false" outlineLevel="0" collapsed="false">
      <c r="A111" s="103" t="s">
        <v>544</v>
      </c>
      <c r="Y111" s="107" t="n">
        <f aca="false">'LW 2026 Modified'!O20</f>
        <v>25669</v>
      </c>
      <c r="Z111" s="107" t="n">
        <f aca="false">'LW 2026 Modified'!Q20</f>
        <v>30904.64975</v>
      </c>
      <c r="AA111" s="107" t="n">
        <f aca="false">'LW 2026 Modified'!S20</f>
        <v>30904.64975</v>
      </c>
      <c r="AB111" s="107" t="n">
        <f aca="false">'LW 2026 Modified'!U20</f>
        <v>30904.64975</v>
      </c>
      <c r="AC111" s="107" t="n">
        <f aca="false">'LW 2026 Modified'!W20</f>
        <v>30904.64975</v>
      </c>
      <c r="AD111" s="107" t="n">
        <f aca="false">'LW 2026 Modified'!Y20</f>
        <v>30904.64975</v>
      </c>
      <c r="AE111" s="107" t="n">
        <f aca="false">SUM(Y111:AD111)</f>
        <v>180192.24875</v>
      </c>
    </row>
    <row r="112" customFormat="false" ht="15" hidden="false" customHeight="false" outlineLevel="0" collapsed="false">
      <c r="A112" s="103" t="s">
        <v>545</v>
      </c>
      <c r="Y112" s="107" t="n">
        <f aca="false">Y108-Y111</f>
        <v>-197.295265357847</v>
      </c>
      <c r="Z112" s="107" t="n">
        <f aca="false">Z108-Z111</f>
        <v>-5432.94501535785</v>
      </c>
      <c r="AA112" s="107" t="n">
        <f aca="false">AA108-AA111</f>
        <v>-5432.94501535785</v>
      </c>
      <c r="AB112" s="107" t="n">
        <f aca="false">AB108-AB111</f>
        <v>-5432.94501535785</v>
      </c>
      <c r="AC112" s="107" t="n">
        <f aca="false">AC108-AC111</f>
        <v>-5432.94501535785</v>
      </c>
      <c r="AD112" s="107" t="n">
        <f aca="false">AD108-AD111</f>
        <v>-5432.94501535785</v>
      </c>
      <c r="AE112" s="107" t="n">
        <f aca="false">AE108-AE111</f>
        <v>-27362.020342147</v>
      </c>
    </row>
    <row r="114" customFormat="false" ht="15" hidden="false" customHeight="false" outlineLevel="0" collapsed="false">
      <c r="A114" s="115" t="s">
        <v>546</v>
      </c>
    </row>
    <row r="115" customFormat="false" ht="15" hidden="false" customHeight="false" outlineLevel="0" collapsed="false">
      <c r="A115" s="115" t="s">
        <v>547</v>
      </c>
    </row>
    <row r="116" customFormat="false" ht="15" hidden="false" customHeight="false" outlineLevel="0" collapsed="false">
      <c r="A116" s="115" t="s">
        <v>548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379</v>
      </c>
    </row>
    <row r="2" customFormat="false" ht="15" hidden="false" customHeight="true" outlineLevel="0" collapsed="false">
      <c r="A2" s="2" t="s">
        <v>549</v>
      </c>
    </row>
    <row r="3" customFormat="false" ht="15" hidden="false" customHeight="true" outlineLevel="0" collapsed="false">
      <c r="A3" s="2" t="s">
        <v>550</v>
      </c>
    </row>
    <row r="4" customFormat="false" ht="15" hidden="false" customHeight="true" outlineLevel="0" collapsed="false">
      <c r="A4" s="6" t="s">
        <v>551</v>
      </c>
      <c r="C4" s="116" t="n">
        <v>46235</v>
      </c>
      <c r="D4" s="3" t="s">
        <v>552</v>
      </c>
    </row>
    <row r="5" customFormat="false" ht="15" hidden="false" customHeight="true" outlineLevel="0" collapsed="false">
      <c r="C5" s="30" t="s">
        <v>241</v>
      </c>
      <c r="D5" s="30"/>
      <c r="E5" s="30" t="s">
        <v>242</v>
      </c>
      <c r="F5" s="30"/>
      <c r="G5" s="30" t="s">
        <v>243</v>
      </c>
      <c r="H5" s="30"/>
      <c r="I5" s="30" t="s">
        <v>244</v>
      </c>
      <c r="J5" s="30"/>
      <c r="K5" s="30" t="s">
        <v>231</v>
      </c>
      <c r="L5" s="30"/>
      <c r="M5" s="30" t="s">
        <v>245</v>
      </c>
      <c r="N5" s="30"/>
      <c r="O5" s="30" t="s">
        <v>246</v>
      </c>
      <c r="P5" s="30"/>
      <c r="Q5" s="30" t="s">
        <v>247</v>
      </c>
      <c r="R5" s="30"/>
      <c r="S5" s="30" t="s">
        <v>248</v>
      </c>
      <c r="T5" s="30"/>
      <c r="U5" s="30" t="s">
        <v>249</v>
      </c>
      <c r="V5" s="30"/>
      <c r="W5" s="30" t="s">
        <v>250</v>
      </c>
      <c r="X5" s="30"/>
      <c r="Y5" s="30" t="s">
        <v>251</v>
      </c>
      <c r="Z5" s="30"/>
      <c r="AB5" s="30" t="s">
        <v>375</v>
      </c>
      <c r="AC5" s="30"/>
    </row>
    <row r="6" customFormat="false" ht="15" hidden="false" customHeight="true" outlineLevel="0" collapsed="false">
      <c r="C6" s="32" t="s">
        <v>376</v>
      </c>
      <c r="D6" s="32"/>
      <c r="E6" s="32" t="s">
        <v>376</v>
      </c>
      <c r="F6" s="32"/>
      <c r="G6" s="32" t="s">
        <v>376</v>
      </c>
      <c r="H6" s="32"/>
      <c r="I6" s="32" t="s">
        <v>376</v>
      </c>
      <c r="J6" s="32"/>
      <c r="K6" s="32" t="s">
        <v>376</v>
      </c>
      <c r="L6" s="32"/>
      <c r="M6" s="32" t="s">
        <v>376</v>
      </c>
      <c r="N6" s="32"/>
      <c r="O6" s="32" t="s">
        <v>553</v>
      </c>
      <c r="P6" s="32"/>
      <c r="Q6" s="32" t="s">
        <v>553</v>
      </c>
      <c r="R6" s="32"/>
      <c r="S6" s="32" t="s">
        <v>553</v>
      </c>
      <c r="T6" s="32"/>
      <c r="U6" s="32" t="s">
        <v>553</v>
      </c>
      <c r="V6" s="32"/>
      <c r="W6" s="32" t="s">
        <v>553</v>
      </c>
      <c r="X6" s="32"/>
      <c r="Y6" s="32" t="s">
        <v>553</v>
      </c>
      <c r="Z6" s="32"/>
      <c r="AB6" s="32" t="s">
        <v>554</v>
      </c>
      <c r="AC6" s="32"/>
    </row>
    <row r="7" customFormat="false" ht="15" hidden="false" customHeight="true" outlineLevel="0" collapsed="false">
      <c r="C7" s="31" t="s">
        <v>176</v>
      </c>
      <c r="D7" s="31" t="s">
        <v>177</v>
      </c>
      <c r="E7" s="31" t="s">
        <v>176</v>
      </c>
      <c r="F7" s="31" t="s">
        <v>177</v>
      </c>
      <c r="G7" s="31" t="s">
        <v>176</v>
      </c>
      <c r="H7" s="31" t="s">
        <v>177</v>
      </c>
      <c r="I7" s="31" t="s">
        <v>176</v>
      </c>
      <c r="J7" s="31" t="s">
        <v>177</v>
      </c>
      <c r="K7" s="31" t="s">
        <v>176</v>
      </c>
      <c r="L7" s="31" t="s">
        <v>177</v>
      </c>
      <c r="M7" s="31" t="s">
        <v>176</v>
      </c>
      <c r="N7" s="31" t="s">
        <v>177</v>
      </c>
      <c r="O7" s="31" t="s">
        <v>176</v>
      </c>
      <c r="P7" s="31" t="s">
        <v>177</v>
      </c>
      <c r="Q7" s="31" t="s">
        <v>176</v>
      </c>
      <c r="R7" s="31" t="s">
        <v>177</v>
      </c>
      <c r="S7" s="31" t="s">
        <v>176</v>
      </c>
      <c r="T7" s="31" t="s">
        <v>177</v>
      </c>
      <c r="U7" s="31" t="s">
        <v>176</v>
      </c>
      <c r="V7" s="31" t="s">
        <v>177</v>
      </c>
      <c r="W7" s="31" t="s">
        <v>176</v>
      </c>
      <c r="X7" s="31" t="s">
        <v>177</v>
      </c>
      <c r="Y7" s="31" t="s">
        <v>176</v>
      </c>
      <c r="Z7" s="31" t="s">
        <v>177</v>
      </c>
      <c r="AB7" s="31" t="s">
        <v>176</v>
      </c>
      <c r="AC7" s="31" t="s">
        <v>177</v>
      </c>
    </row>
    <row r="11" customFormat="false" ht="15" hidden="false" customHeight="true" outlineLevel="0" collapsed="false">
      <c r="A11" s="6" t="s">
        <v>178</v>
      </c>
    </row>
    <row r="12" customFormat="false" ht="15" hidden="false" customHeight="true" outlineLevel="0" collapsed="false">
      <c r="A12" s="5" t="s">
        <v>179</v>
      </c>
      <c r="C12" s="24" t="n">
        <f aca="false">IF(1&gt;=MONTH($C$4),'LW 2026 P&amp;L'!C9+('LW Assumptions'!$C$43*'LW Assumptions'!$C$44/12)*IFERROR('LW Menu Pricing'!$C$34/'LW Menu Pricing'!$C$35,0),'LW 2026 P&amp;L'!C9)</f>
        <v>7659</v>
      </c>
      <c r="D12" s="34" t="n">
        <f aca="false">IFERROR(C12/C$20,0)</f>
        <v>0.428547448522829</v>
      </c>
      <c r="E12" s="24" t="n">
        <f aca="false">IF(2&gt;=MONTH($C$4),'LW 2026 P&amp;L'!E9+('LW Assumptions'!$C$43*'LW Assumptions'!$C$44/12)*IFERROR('LW Menu Pricing'!$C$34/'LW Menu Pricing'!$C$35,0),'LW 2026 P&amp;L'!E9)</f>
        <v>9205</v>
      </c>
      <c r="F12" s="34" t="n">
        <f aca="false">IFERROR(E12/E$20,0)</f>
        <v>0.516062118069182</v>
      </c>
      <c r="G12" s="24" t="n">
        <f aca="false">IF(3&gt;=MONTH($C$4),'LW 2026 P&amp;L'!G9+('LW Assumptions'!$C$43*'LW Assumptions'!$C$44/12)*IFERROR('LW Menu Pricing'!$C$34/'LW Menu Pricing'!$C$35,0),'LW 2026 P&amp;L'!G9)</f>
        <v>12511</v>
      </c>
      <c r="H12" s="34" t="n">
        <f aca="false">IFERROR(G12/G$20,0)</f>
        <v>0.472969907757447</v>
      </c>
      <c r="I12" s="24" t="n">
        <f aca="false">IF(4&gt;=MONTH($C$4),'LW 2026 P&amp;L'!I9+('LW Assumptions'!$C$43*'LW Assumptions'!$C$44/12)*IFERROR('LW Menu Pricing'!$C$34/'LW Menu Pricing'!$C$35,0),'LW 2026 P&amp;L'!I9)</f>
        <v>9497</v>
      </c>
      <c r="J12" s="34" t="n">
        <f aca="false">IFERROR(I12/I$20,0)</f>
        <v>0.461445022107769</v>
      </c>
      <c r="K12" s="24" t="n">
        <f aca="false">IF(5&gt;=MONTH($C$4),'LW 2026 P&amp;L'!K9+('LW Assumptions'!$C$43*'LW Assumptions'!$C$44/12)*IFERROR('LW Menu Pricing'!$C$34/'LW Menu Pricing'!$C$35,0),'LW 2026 P&amp;L'!K9)</f>
        <v>10762</v>
      </c>
      <c r="L12" s="34" t="n">
        <f aca="false">IFERROR(K12/K$20,0)</f>
        <v>0.432608433492785</v>
      </c>
      <c r="M12" s="24" t="n">
        <f aca="false">IF(6&gt;=MONTH($C$4),'LW 2026 P&amp;L'!M9+('LW Assumptions'!$C$43*'LW Assumptions'!$C$44/12)*IFERROR('LW Menu Pricing'!$C$34/'LW Menu Pricing'!$C$35,0),'LW 2026 P&amp;L'!M9)</f>
        <v>10511</v>
      </c>
      <c r="N12" s="34" t="n">
        <f aca="false">IFERROR(M12/M$20,0)</f>
        <v>0.388447466646957</v>
      </c>
      <c r="O12" s="24" t="n">
        <f aca="false">IF(7&gt;=MONTH($C$4),'LW 2026 P&amp;L'!O9+('LW Assumptions'!$C$43*'LW Assumptions'!$C$44/12)*IFERROR('LW Menu Pricing'!$C$34/'LW Menu Pricing'!$C$35,0),'LW 2026 P&amp;L'!O9)</f>
        <v>11085</v>
      </c>
      <c r="P12" s="34" t="n">
        <f aca="false">IFERROR(O12/O$20,0)</f>
        <v>0.43184385835054</v>
      </c>
      <c r="Q12" s="24" t="n">
        <f aca="false">IF(8&gt;=MONTH($C$4),'LW 2026 P&amp;L'!Q9+('LW Assumptions'!$C$43*'LW Assumptions'!$C$44/12)*IFERROR('LW Menu Pricing'!$C$34/'LW Menu Pricing'!$C$35,0),'LW 2026 P&amp;L'!Q9)</f>
        <v>11280.525</v>
      </c>
      <c r="R12" s="34" t="n">
        <f aca="false">IFERROR(Q12/Q$20,0)</f>
        <v>0.365010608152904</v>
      </c>
      <c r="S12" s="24" t="n">
        <f aca="false">IF(9&gt;=MONTH($C$4),'LW 2026 P&amp;L'!S9+('LW Assumptions'!$C$43*'LW Assumptions'!$C$44/12)*IFERROR('LW Menu Pricing'!$C$34/'LW Menu Pricing'!$C$35,0),'LW 2026 P&amp;L'!S9)</f>
        <v>11280.525</v>
      </c>
      <c r="T12" s="34" t="n">
        <f aca="false">IFERROR(S12/S$20,0)</f>
        <v>0.365010608152904</v>
      </c>
      <c r="U12" s="24" t="n">
        <f aca="false">IF(10&gt;=MONTH($C$4),'LW 2026 P&amp;L'!U9+('LW Assumptions'!$C$43*'LW Assumptions'!$C$44/12)*IFERROR('LW Menu Pricing'!$C$34/'LW Menu Pricing'!$C$35,0),'LW 2026 P&amp;L'!U9)</f>
        <v>11280.525</v>
      </c>
      <c r="V12" s="34" t="n">
        <f aca="false">IFERROR(U12/U$20,0)</f>
        <v>0.365010608152904</v>
      </c>
      <c r="W12" s="24" t="n">
        <f aca="false">IF(11&gt;=MONTH($C$4),'LW 2026 P&amp;L'!W9+('LW Assumptions'!$C$43*'LW Assumptions'!$C$44/12)*IFERROR('LW Menu Pricing'!$C$34/'LW Menu Pricing'!$C$35,0),'LW 2026 P&amp;L'!W9)</f>
        <v>11280.525</v>
      </c>
      <c r="X12" s="34" t="n">
        <f aca="false">IFERROR(W12/W$20,0)</f>
        <v>0.365010608152904</v>
      </c>
      <c r="Y12" s="24" t="n">
        <f aca="false">IF(12&gt;=MONTH($C$4),'LW 2026 P&amp;L'!Y9+('LW Assumptions'!$C$43*'LW Assumptions'!$C$44/12)*IFERROR('LW Menu Pricing'!$C$34/'LW Menu Pricing'!$C$35,0),'LW 2026 P&amp;L'!Y9)</f>
        <v>11280.525</v>
      </c>
      <c r="Z12" s="34" t="n">
        <f aca="false">IFERROR(Y12/Y$20,0)</f>
        <v>0.365010608152904</v>
      </c>
      <c r="AB12" s="24" t="n">
        <f aca="false">SUM(C12,E12,G12,I12,K12,M12,O12,Q12,S12,U12,W12,Y12)</f>
        <v>127632.625</v>
      </c>
      <c r="AC12" s="34" t="n">
        <f aca="false">IFERROR(AB12/AB$20,0)</f>
        <v>0.405349903672028</v>
      </c>
    </row>
    <row r="13" customFormat="false" ht="15" hidden="false" customHeight="true" outlineLevel="0" collapsed="false">
      <c r="A13" s="5" t="s">
        <v>180</v>
      </c>
      <c r="C13" s="24" t="n">
        <f aca="false">IF(1&gt;=MONTH($C$4),'LW 2026 P&amp;L'!C10+('LW Assumptions'!$C$43*'LW Assumptions'!$C$44/12)*IFERROR('LW Menu Pricing'!$C$33/'LW Menu Pricing'!$C$35,0),'LW 2026 P&amp;L'!C10)</f>
        <v>9236</v>
      </c>
      <c r="D13" s="34" t="n">
        <f aca="false">IFERROR(C13/C$20,0)</f>
        <v>0.516786034019696</v>
      </c>
      <c r="E13" s="24" t="n">
        <f aca="false">IF(2&gt;=MONTH($C$4),'LW 2026 P&amp;L'!E10+('LW Assumptions'!$C$43*'LW Assumptions'!$C$44/12)*IFERROR('LW Menu Pricing'!$C$33/'LW Menu Pricing'!$C$35,0),'LW 2026 P&amp;L'!E10)</f>
        <v>9081</v>
      </c>
      <c r="F13" s="34" t="n">
        <f aca="false">IFERROR(E13/E$20,0)</f>
        <v>0.50911027639177</v>
      </c>
      <c r="G13" s="24" t="n">
        <f aca="false">IF(3&gt;=MONTH($C$4),'LW 2026 P&amp;L'!G10+('LW Assumptions'!$C$43*'LW Assumptions'!$C$44/12)*IFERROR('LW Menu Pricing'!$C$33/'LW Menu Pricing'!$C$35,0),'LW 2026 P&amp;L'!G10)</f>
        <v>13436</v>
      </c>
      <c r="H13" s="34" t="n">
        <f aca="false">IFERROR(G13/G$20,0)</f>
        <v>0.507938908211099</v>
      </c>
      <c r="I13" s="24" t="n">
        <f aca="false">IF(4&gt;=MONTH($C$4),'LW 2026 P&amp;L'!I10+('LW Assumptions'!$C$43*'LW Assumptions'!$C$44/12)*IFERROR('LW Menu Pricing'!$C$33/'LW Menu Pricing'!$C$35,0),'LW 2026 P&amp;L'!I10)</f>
        <v>10789</v>
      </c>
      <c r="J13" s="34" t="n">
        <f aca="false">IFERROR(I13/I$20,0)</f>
        <v>0.524221369224042</v>
      </c>
      <c r="K13" s="24" t="n">
        <f aca="false">IF(5&gt;=MONTH($C$4),'LW 2026 P&amp;L'!K10+('LW Assumptions'!$C$43*'LW Assumptions'!$C$44/12)*IFERROR('LW Menu Pricing'!$C$33/'LW Menu Pricing'!$C$35,0),'LW 2026 P&amp;L'!K10)</f>
        <v>13103</v>
      </c>
      <c r="L13" s="34" t="n">
        <f aca="false">IFERROR(K13/K$20,0)</f>
        <v>0.526711420187322</v>
      </c>
      <c r="M13" s="24" t="n">
        <f aca="false">IF(6&gt;=MONTH($C$4),'LW 2026 P&amp;L'!M10+('LW Assumptions'!$C$43*'LW Assumptions'!$C$44/12)*IFERROR('LW Menu Pricing'!$C$33/'LW Menu Pricing'!$C$35,0),'LW 2026 P&amp;L'!M10)</f>
        <v>14448</v>
      </c>
      <c r="N13" s="34" t="n">
        <f aca="false">IFERROR(M13/M$20,0)</f>
        <v>0.533944343841236</v>
      </c>
      <c r="O13" s="24" t="n">
        <f aca="false">IF(7&gt;=MONTH($C$4),'LW 2026 P&amp;L'!O10+('LW Assumptions'!$C$43*'LW Assumptions'!$C$44/12)*IFERROR('LW Menu Pricing'!$C$33/'LW Menu Pricing'!$C$35,0),'LW 2026 P&amp;L'!O10)</f>
        <v>13496</v>
      </c>
      <c r="P13" s="34" t="n">
        <f aca="false">IFERROR(O13/O$20,0)</f>
        <v>0.525770384510499</v>
      </c>
      <c r="Q13" s="24" t="n">
        <f aca="false">IF(8&gt;=MONTH($C$4),'LW 2026 P&amp;L'!Q10+('LW Assumptions'!$C$43*'LW Assumptions'!$C$44/12)*IFERROR('LW Menu Pricing'!$C$33/'LW Menu Pricing'!$C$35,0),'LW 2026 P&amp;L'!Q10)</f>
        <v>14063.885</v>
      </c>
      <c r="R13" s="34" t="n">
        <f aca="false">IFERROR(Q13/Q$20,0)</f>
        <v>0.455073431142833</v>
      </c>
      <c r="S13" s="24" t="n">
        <f aca="false">IF(9&gt;=MONTH($C$4),'LW 2026 P&amp;L'!S10+('LW Assumptions'!$C$43*'LW Assumptions'!$C$44/12)*IFERROR('LW Menu Pricing'!$C$33/'LW Menu Pricing'!$C$35,0),'LW 2026 P&amp;L'!S10)</f>
        <v>14063.885</v>
      </c>
      <c r="T13" s="34" t="n">
        <f aca="false">IFERROR(S13/S$20,0)</f>
        <v>0.455073431142833</v>
      </c>
      <c r="U13" s="24" t="n">
        <f aca="false">IF(10&gt;=MONTH($C$4),'LW 2026 P&amp;L'!U10+('LW Assumptions'!$C$43*'LW Assumptions'!$C$44/12)*IFERROR('LW Menu Pricing'!$C$33/'LW Menu Pricing'!$C$35,0),'LW 2026 P&amp;L'!U10)</f>
        <v>14063.885</v>
      </c>
      <c r="V13" s="34" t="n">
        <f aca="false">IFERROR(U13/U$20,0)</f>
        <v>0.455073431142833</v>
      </c>
      <c r="W13" s="24" t="n">
        <f aca="false">IF(11&gt;=MONTH($C$4),'LW 2026 P&amp;L'!W10+('LW Assumptions'!$C$43*'LW Assumptions'!$C$44/12)*IFERROR('LW Menu Pricing'!$C$33/'LW Menu Pricing'!$C$35,0),'LW 2026 P&amp;L'!W10)</f>
        <v>14063.885</v>
      </c>
      <c r="X13" s="34" t="n">
        <f aca="false">IFERROR(W13/W$20,0)</f>
        <v>0.455073431142833</v>
      </c>
      <c r="Y13" s="24" t="n">
        <f aca="false">IF(12&gt;=MONTH($C$4),'LW 2026 P&amp;L'!Y10+('LW Assumptions'!$C$43*'LW Assumptions'!$C$44/12)*IFERROR('LW Menu Pricing'!$C$33/'LW Menu Pricing'!$C$35,0),'LW 2026 P&amp;L'!Y10)</f>
        <v>14063.885</v>
      </c>
      <c r="Z13" s="34" t="n">
        <f aca="false">IFERROR(Y13/Y$20,0)</f>
        <v>0.455073431142833</v>
      </c>
      <c r="AB13" s="24" t="n">
        <f aca="false">SUM(C13,E13,G13,I13,K13,M13,O13,Q13,S13,U13,W13,Y13)</f>
        <v>153908.425</v>
      </c>
      <c r="AC13" s="34" t="n">
        <f aca="false">IFERROR(AB13/AB$20,0)</f>
        <v>0.488799515390861</v>
      </c>
    </row>
    <row r="14" customFormat="false" ht="15" hidden="false" customHeight="true" outlineLevel="0" collapsed="false">
      <c r="A14" s="5" t="s">
        <v>181</v>
      </c>
      <c r="C14" s="24" t="n">
        <f aca="false">IF(1&gt;=MONTH($C$4),'LW 2026 P&amp;L'!C11+('LW Assumptions'!$C$43*'LW Assumptions'!$C$44/12)*(1-IFERROR('LW Menu Pricing'!$C$34/'LW Menu Pricing'!$C$35,0)-IFERROR('LW Menu Pricing'!$C$33/'LW Menu Pricing'!$C$35,0)),'LW 2026 P&amp;L'!C11)</f>
        <v>800</v>
      </c>
      <c r="D14" s="34" t="n">
        <f aca="false">IFERROR(C14/C$20,0)</f>
        <v>0.044762757385855</v>
      </c>
      <c r="E14" s="24" t="n">
        <f aca="false">IF(2&gt;=MONTH($C$4),'LW 2026 P&amp;L'!E11+('LW Assumptions'!$C$43*'LW Assumptions'!$C$44/12)*(1-IFERROR('LW Menu Pricing'!$C$34/'LW Menu Pricing'!$C$35,0)-IFERROR('LW Menu Pricing'!$C$33/'LW Menu Pricing'!$C$35,0)),'LW 2026 P&amp;L'!E11)</f>
        <v>295</v>
      </c>
      <c r="F14" s="34" t="n">
        <f aca="false">IFERROR(E14/E$20,0)</f>
        <v>0.0165386556035208</v>
      </c>
      <c r="G14" s="24" t="n">
        <f aca="false">IF(3&gt;=MONTH($C$4),'LW 2026 P&amp;L'!G11+('LW Assumptions'!$C$43*'LW Assumptions'!$C$44/12)*(1-IFERROR('LW Menu Pricing'!$C$34/'LW Menu Pricing'!$C$35,0)-IFERROR('LW Menu Pricing'!$C$33/'LW Menu Pricing'!$C$35,0)),'LW 2026 P&amp;L'!G11)</f>
        <v>1354</v>
      </c>
      <c r="H14" s="34" t="n">
        <f aca="false">IFERROR(G14/G$20,0)</f>
        <v>0.0511870557991834</v>
      </c>
      <c r="I14" s="24" t="n">
        <f aca="false">IF(4&gt;=MONTH($C$4),'LW 2026 P&amp;L'!I11+('LW Assumptions'!$C$43*'LW Assumptions'!$C$44/12)*(1-IFERROR('LW Menu Pricing'!$C$34/'LW Menu Pricing'!$C$35,0)-IFERROR('LW Menu Pricing'!$C$33/'LW Menu Pricing'!$C$35,0)),'LW 2026 P&amp;L'!I11)</f>
        <v>1490</v>
      </c>
      <c r="J14" s="34" t="n">
        <f aca="false">IFERROR(I14/I$20,0)</f>
        <v>0.072396870900345</v>
      </c>
      <c r="K14" s="24" t="n">
        <f aca="false">IF(5&gt;=MONTH($C$4),'LW 2026 P&amp;L'!K11+('LW Assumptions'!$C$43*'LW Assumptions'!$C$44/12)*(1-IFERROR('LW Menu Pricing'!$C$34/'LW Menu Pricing'!$C$35,0)-IFERROR('LW Menu Pricing'!$C$33/'LW Menu Pricing'!$C$35,0)),'LW 2026 P&amp;L'!K11)</f>
        <v>591</v>
      </c>
      <c r="L14" s="34" t="n">
        <f aca="false">IFERROR(K14/K$20,0)</f>
        <v>0.0237568838686337</v>
      </c>
      <c r="M14" s="24" t="n">
        <f aca="false">IF(6&gt;=MONTH($C$4),'LW 2026 P&amp;L'!M11+('LW Assumptions'!$C$43*'LW Assumptions'!$C$44/12)*(1-IFERROR('LW Menu Pricing'!$C$34/'LW Menu Pricing'!$C$35,0)-IFERROR('LW Menu Pricing'!$C$33/'LW Menu Pricing'!$C$35,0)),'LW 2026 P&amp;L'!M11)</f>
        <v>984</v>
      </c>
      <c r="N14" s="34" t="n">
        <f aca="false">IFERROR(M14/M$20,0)</f>
        <v>0.0363649802283898</v>
      </c>
      <c r="O14" s="24" t="n">
        <f aca="false">IF(7&gt;=MONTH($C$4),'LW 2026 P&amp;L'!O11+('LW Assumptions'!$C$43*'LW Assumptions'!$C$44/12)*(1-IFERROR('LW Menu Pricing'!$C$34/'LW Menu Pricing'!$C$35,0)-IFERROR('LW Menu Pricing'!$C$33/'LW Menu Pricing'!$C$35,0)),'LW 2026 P&amp;L'!O11)</f>
        <v>609</v>
      </c>
      <c r="P14" s="34" t="n">
        <f aca="false">IFERROR(O14/O$20,0)</f>
        <v>0.0237251158985547</v>
      </c>
      <c r="Q14" s="24" t="n">
        <f aca="false">IF(8&gt;=MONTH($C$4),'LW 2026 P&amp;L'!Q11+('LW Assumptions'!$C$43*'LW Assumptions'!$C$44/12)*(1-IFERROR('LW Menu Pricing'!$C$34/'LW Menu Pricing'!$C$35,0)-IFERROR('LW Menu Pricing'!$C$33/'LW Menu Pricing'!$C$35,0)),'LW 2026 P&amp;L'!Q11)</f>
        <v>609</v>
      </c>
      <c r="R14" s="34" t="n">
        <f aca="false">IFERROR(Q14/Q$20,0)</f>
        <v>0.0197057725917117</v>
      </c>
      <c r="S14" s="24" t="n">
        <f aca="false">IF(9&gt;=MONTH($C$4),'LW 2026 P&amp;L'!S11+('LW Assumptions'!$C$43*'LW Assumptions'!$C$44/12)*(1-IFERROR('LW Menu Pricing'!$C$34/'LW Menu Pricing'!$C$35,0)-IFERROR('LW Menu Pricing'!$C$33/'LW Menu Pricing'!$C$35,0)),'LW 2026 P&amp;L'!S11)</f>
        <v>609</v>
      </c>
      <c r="T14" s="34" t="n">
        <f aca="false">IFERROR(S14/S$20,0)</f>
        <v>0.0197057725917117</v>
      </c>
      <c r="U14" s="24" t="n">
        <f aca="false">IF(10&gt;=MONTH($C$4),'LW 2026 P&amp;L'!U11+('LW Assumptions'!$C$43*'LW Assumptions'!$C$44/12)*(1-IFERROR('LW Menu Pricing'!$C$34/'LW Menu Pricing'!$C$35,0)-IFERROR('LW Menu Pricing'!$C$33/'LW Menu Pricing'!$C$35,0)),'LW 2026 P&amp;L'!U11)</f>
        <v>609</v>
      </c>
      <c r="V14" s="34" t="n">
        <f aca="false">IFERROR(U14/U$20,0)</f>
        <v>0.0197057725917117</v>
      </c>
      <c r="W14" s="24" t="n">
        <f aca="false">IF(11&gt;=MONTH($C$4),'LW 2026 P&amp;L'!W11+('LW Assumptions'!$C$43*'LW Assumptions'!$C$44/12)*(1-IFERROR('LW Menu Pricing'!$C$34/'LW Menu Pricing'!$C$35,0)-IFERROR('LW Menu Pricing'!$C$33/'LW Menu Pricing'!$C$35,0)),'LW 2026 P&amp;L'!W11)</f>
        <v>609</v>
      </c>
      <c r="X14" s="34" t="n">
        <f aca="false">IFERROR(W14/W$20,0)</f>
        <v>0.0197057725917117</v>
      </c>
      <c r="Y14" s="24" t="n">
        <f aca="false">IF(12&gt;=MONTH($C$4),'LW 2026 P&amp;L'!Y11+('LW Assumptions'!$C$43*'LW Assumptions'!$C$44/12)*(1-IFERROR('LW Menu Pricing'!$C$34/'LW Menu Pricing'!$C$35,0)-IFERROR('LW Menu Pricing'!$C$33/'LW Menu Pricing'!$C$35,0)),'LW 2026 P&amp;L'!Y11)</f>
        <v>609</v>
      </c>
      <c r="Z14" s="34" t="n">
        <f aca="false">IFERROR(Y14/Y$20,0)</f>
        <v>0.0197057725917117</v>
      </c>
      <c r="AB14" s="24" t="n">
        <f aca="false">SUM(C14,E14,G14,I14,K14,M14,O14,Q14,S14,U14,W14,Y14)</f>
        <v>9168</v>
      </c>
      <c r="AC14" s="34" t="n">
        <f aca="false">IFERROR(AB14/AB$20,0)</f>
        <v>0.0291167553504847</v>
      </c>
    </row>
    <row r="15" customFormat="false" ht="15" hidden="false" customHeight="true" outlineLevel="0" collapsed="false">
      <c r="A15" s="5" t="s">
        <v>182</v>
      </c>
      <c r="C15" s="24" t="n">
        <f aca="false">'LW 2026 P&amp;L'!C12</f>
        <v>54</v>
      </c>
      <c r="D15" s="34" t="n">
        <f aca="false">IFERROR(C15/C$20,0)</f>
        <v>0.00302148612354521</v>
      </c>
      <c r="E15" s="24" t="n">
        <f aca="false">'LW 2026 P&amp;L'!E12</f>
        <v>240</v>
      </c>
      <c r="F15" s="34" t="n">
        <f aca="false">IFERROR(E15/E$20,0)</f>
        <v>0.0134551774401525</v>
      </c>
      <c r="G15" s="24" t="n">
        <f aca="false">'LW 2026 P&amp;L'!G12</f>
        <v>174</v>
      </c>
      <c r="H15" s="34" t="n">
        <f aca="false">IFERROR(G15/G$20,0)</f>
        <v>0.00657795251776803</v>
      </c>
      <c r="I15" s="24" t="n">
        <f aca="false">'LW 2026 P&amp;L'!I12</f>
        <v>333</v>
      </c>
      <c r="J15" s="34" t="n">
        <f aca="false">IFERROR(I15/I$20,0)</f>
        <v>0.0161799718186677</v>
      </c>
      <c r="K15" s="24" t="n">
        <f aca="false">'LW 2026 P&amp;L'!K12</f>
        <v>597</v>
      </c>
      <c r="L15" s="34" t="n">
        <f aca="false">IFERROR(K15/K$20,0)</f>
        <v>0.0239980705068939</v>
      </c>
      <c r="M15" s="24" t="n">
        <f aca="false">'LW 2026 P&amp;L'!M12</f>
        <v>743</v>
      </c>
      <c r="N15" s="34" t="n">
        <f aca="false">IFERROR(M15/M$20,0)</f>
        <v>0.0274585165748919</v>
      </c>
      <c r="O15" s="24" t="n">
        <f aca="false">'LW 2026 P&amp;L'!O12</f>
        <v>615</v>
      </c>
      <c r="P15" s="34" t="n">
        <f aca="false">IFERROR(O15/O$20,0)</f>
        <v>0.0239588608827769</v>
      </c>
      <c r="Q15" s="24" t="n">
        <f aca="false">'LW 2026 P&amp;L'!Q12</f>
        <v>615</v>
      </c>
      <c r="R15" s="34" t="n">
        <f aca="false">IFERROR(Q15/Q$20,0)</f>
        <v>0.0198999181344872</v>
      </c>
      <c r="S15" s="24" t="n">
        <f aca="false">'LW 2026 P&amp;L'!S12</f>
        <v>615</v>
      </c>
      <c r="T15" s="34" t="n">
        <f aca="false">IFERROR(S15/S$20,0)</f>
        <v>0.0198999181344872</v>
      </c>
      <c r="U15" s="24" t="n">
        <f aca="false">'LW 2026 P&amp;L'!U12</f>
        <v>615</v>
      </c>
      <c r="V15" s="34" t="n">
        <f aca="false">IFERROR(U15/U$20,0)</f>
        <v>0.0198999181344872</v>
      </c>
      <c r="W15" s="24" t="n">
        <f aca="false">'LW 2026 P&amp;L'!W12</f>
        <v>615</v>
      </c>
      <c r="X15" s="34" t="n">
        <f aca="false">IFERROR(W15/W$20,0)</f>
        <v>0.0198999181344872</v>
      </c>
      <c r="Y15" s="24" t="n">
        <f aca="false">'LW 2026 P&amp;L'!Y12</f>
        <v>615</v>
      </c>
      <c r="Z15" s="34" t="n">
        <f aca="false">IFERROR(Y15/Y$20,0)</f>
        <v>0.0198999181344872</v>
      </c>
      <c r="AB15" s="24" t="n">
        <f aca="false">SUM(C15,E15,G15,I15,K15,M15,O15,Q15,S15,U15,W15,Y15)</f>
        <v>5831</v>
      </c>
      <c r="AC15" s="34" t="n">
        <f aca="false">IFERROR(AB15/AB$20,0)</f>
        <v>0.018518739141435</v>
      </c>
    </row>
    <row r="16" customFormat="false" ht="15" hidden="false" customHeight="true" outlineLevel="0" collapsed="false">
      <c r="A16" s="5" t="s">
        <v>183</v>
      </c>
      <c r="C16" s="24" t="n">
        <f aca="false">'LW 2026 P&amp;L'!C13</f>
        <v>0</v>
      </c>
      <c r="D16" s="34" t="n">
        <f aca="false">IFERROR(C16/C$20,0)</f>
        <v>0</v>
      </c>
      <c r="E16" s="24" t="n">
        <f aca="false">'LW 2026 P&amp;L'!E13</f>
        <v>12</v>
      </c>
      <c r="F16" s="34" t="n">
        <f aca="false">IFERROR(E16/E$20,0)</f>
        <v>0.000672758872007625</v>
      </c>
      <c r="G16" s="24" t="n">
        <f aca="false">'LW 2026 P&amp;L'!G13</f>
        <v>1</v>
      </c>
      <c r="H16" s="34" t="n">
        <f aca="false">IFERROR(G16/G$20,0)</f>
        <v>3.78043248147588E-005</v>
      </c>
      <c r="I16" s="24" t="n">
        <f aca="false">'LW 2026 P&amp;L'!I13</f>
        <v>496</v>
      </c>
      <c r="J16" s="34" t="n">
        <f aca="false">IFERROR(I16/I$20,0)</f>
        <v>0.0240998979641417</v>
      </c>
      <c r="K16" s="24" t="n">
        <f aca="false">'LW 2026 P&amp;L'!K13</f>
        <v>1015</v>
      </c>
      <c r="L16" s="34" t="n">
        <f aca="false">IFERROR(K16/K$20,0)</f>
        <v>0.040800739639024</v>
      </c>
      <c r="M16" s="24" t="n">
        <f aca="false">'LW 2026 P&amp;L'!M13</f>
        <v>1101</v>
      </c>
      <c r="N16" s="34" t="n">
        <f aca="false">IFERROR(M16/M$20,0)</f>
        <v>0.0406888650726191</v>
      </c>
      <c r="O16" s="24" t="n">
        <f aca="false">'LW 2026 P&amp;L'!O13</f>
        <v>1045</v>
      </c>
      <c r="P16" s="34" t="n">
        <f aca="false">IFERROR(O16/O$20,0)</f>
        <v>0.0407105847520355</v>
      </c>
      <c r="Q16" s="24" t="n">
        <f aca="false">'LW 2026 P&amp;L'!Q13</f>
        <v>1045</v>
      </c>
      <c r="R16" s="34" t="n">
        <f aca="false">IFERROR(Q16/Q$20,0)</f>
        <v>0.0338136820333969</v>
      </c>
      <c r="S16" s="24" t="n">
        <f aca="false">'LW 2026 P&amp;L'!S13</f>
        <v>1045</v>
      </c>
      <c r="T16" s="34" t="n">
        <f aca="false">IFERROR(S16/S$20,0)</f>
        <v>0.0338136820333969</v>
      </c>
      <c r="U16" s="24" t="n">
        <f aca="false">'LW 2026 P&amp;L'!U13</f>
        <v>1045</v>
      </c>
      <c r="V16" s="34" t="n">
        <f aca="false">IFERROR(U16/U$20,0)</f>
        <v>0.0338136820333969</v>
      </c>
      <c r="W16" s="24" t="n">
        <f aca="false">'LW 2026 P&amp;L'!W13</f>
        <v>1045</v>
      </c>
      <c r="X16" s="34" t="n">
        <f aca="false">IFERROR(W16/W$20,0)</f>
        <v>0.0338136820333969</v>
      </c>
      <c r="Y16" s="24" t="n">
        <f aca="false">'LW 2026 P&amp;L'!Y13</f>
        <v>1045</v>
      </c>
      <c r="Z16" s="34" t="n">
        <f aca="false">IFERROR(Y16/Y$20,0)</f>
        <v>0.0338136820333969</v>
      </c>
      <c r="AB16" s="24" t="n">
        <f aca="false">SUM(C16,E16,G16,I16,K16,M16,O16,Q16,S16,U16,W16,Y16)</f>
        <v>8895</v>
      </c>
      <c r="AC16" s="34" t="n">
        <f aca="false">IFERROR(AB16/AB$20,0)</f>
        <v>0.028249731549145</v>
      </c>
    </row>
    <row r="17" customFormat="false" ht="15" hidden="false" customHeight="true" outlineLevel="0" collapsed="false">
      <c r="A17" s="5" t="s">
        <v>555</v>
      </c>
      <c r="C17" s="24" t="n">
        <f aca="false">IF(1&gt;=MONTH($C$4),('LW Assumptions'!$C$47+'LW Assumptions'!$C$36)/12,0)</f>
        <v>0</v>
      </c>
      <c r="D17" s="34" t="n">
        <f aca="false">IFERROR(C17/C$20,0)</f>
        <v>0</v>
      </c>
      <c r="E17" s="24" t="n">
        <f aca="false">IF(2&gt;=MONTH($C$4),('LW Assumptions'!$C$47+'LW Assumptions'!$C$36)/12,0)</f>
        <v>0</v>
      </c>
      <c r="F17" s="34" t="n">
        <f aca="false">IFERROR(E17/E$20,0)</f>
        <v>0</v>
      </c>
      <c r="G17" s="24" t="n">
        <f aca="false">IF(3&gt;=MONTH($C$4),('LW Assumptions'!$C$47+'LW Assumptions'!$C$36)/12,0)</f>
        <v>0</v>
      </c>
      <c r="H17" s="34" t="n">
        <f aca="false">IFERROR(G17/G$20,0)</f>
        <v>0</v>
      </c>
      <c r="I17" s="24" t="n">
        <f aca="false">IF(4&gt;=MONTH($C$4),('LW Assumptions'!$C$47+'LW Assumptions'!$C$36)/12,0)</f>
        <v>0</v>
      </c>
      <c r="J17" s="34" t="n">
        <f aca="false">IFERROR(I17/I$20,0)</f>
        <v>0</v>
      </c>
      <c r="K17" s="24" t="n">
        <f aca="false">IF(5&gt;=MONTH($C$4),('LW Assumptions'!$C$47+'LW Assumptions'!$C$36)/12,0)</f>
        <v>0</v>
      </c>
      <c r="L17" s="34" t="n">
        <f aca="false">IFERROR(K17/K$20,0)</f>
        <v>0</v>
      </c>
      <c r="M17" s="24" t="n">
        <f aca="false">IF(6&gt;=MONTH($C$4),('LW Assumptions'!$C$47+'LW Assumptions'!$C$36)/12,0)</f>
        <v>0</v>
      </c>
      <c r="N17" s="34" t="n">
        <f aca="false">IFERROR(M17/M$20,0)</f>
        <v>0</v>
      </c>
      <c r="O17" s="24" t="n">
        <f aca="false">IF(7&gt;=MONTH($C$4),('LW Assumptions'!$C$47+'LW Assumptions'!$C$36)/12,0)</f>
        <v>0</v>
      </c>
      <c r="P17" s="34" t="n">
        <f aca="false">IFERROR(O17/O$20,0)</f>
        <v>0</v>
      </c>
      <c r="Q17" s="24" t="n">
        <f aca="false">IF(8&gt;=MONTH($C$4),('LW Assumptions'!$C$47+'LW Assumptions'!$C$36)/12,0)</f>
        <v>3743.66666666667</v>
      </c>
      <c r="R17" s="34" t="n">
        <f aca="false">IFERROR(Q17/Q$20,0)</f>
        <v>0.121136032828415</v>
      </c>
      <c r="S17" s="24" t="n">
        <f aca="false">IF(9&gt;=MONTH($C$4),('LW Assumptions'!$C$47+'LW Assumptions'!$C$36)/12,0)</f>
        <v>3743.66666666667</v>
      </c>
      <c r="T17" s="34" t="n">
        <f aca="false">IFERROR(S17/S$20,0)</f>
        <v>0.121136032828415</v>
      </c>
      <c r="U17" s="24" t="n">
        <f aca="false">IF(10&gt;=MONTH($C$4),('LW Assumptions'!$C$47+'LW Assumptions'!$C$36)/12,0)</f>
        <v>3743.66666666667</v>
      </c>
      <c r="V17" s="34" t="n">
        <f aca="false">IFERROR(U17/U$20,0)</f>
        <v>0.121136032828415</v>
      </c>
      <c r="W17" s="24" t="n">
        <f aca="false">IF(11&gt;=MONTH($C$4),('LW Assumptions'!$C$47+'LW Assumptions'!$C$36)/12,0)</f>
        <v>3743.66666666667</v>
      </c>
      <c r="X17" s="34" t="n">
        <f aca="false">IFERROR(W17/W$20,0)</f>
        <v>0.121136032828415</v>
      </c>
      <c r="Y17" s="24" t="n">
        <f aca="false">IF(12&gt;=MONTH($C$4),('LW Assumptions'!$C$47+'LW Assumptions'!$C$36)/12,0)</f>
        <v>3743.66666666667</v>
      </c>
      <c r="Z17" s="34" t="n">
        <f aca="false">IFERROR(Y17/Y$20,0)</f>
        <v>0.121136032828415</v>
      </c>
      <c r="AB17" s="24" t="n">
        <f aca="false">SUM(C17,E17,G17,I17,K17,M17,O17,Q17,S17,U17,W17,Y17)</f>
        <v>18718.3333333333</v>
      </c>
      <c r="AC17" s="34" t="n">
        <f aca="false">IFERROR(AB17/AB$20,0)</f>
        <v>0.0594477674776929</v>
      </c>
    </row>
    <row r="18" customFormat="false" ht="15" hidden="false" customHeight="true" outlineLevel="0" collapsed="false">
      <c r="A18" s="5" t="s">
        <v>185</v>
      </c>
      <c r="C18" s="24" t="n">
        <f aca="false">'LW 2026 P&amp;L'!C14</f>
        <v>854</v>
      </c>
      <c r="D18" s="34" t="n">
        <f aca="false">IFERROR(C18/C$20,0)</f>
        <v>0.0477842435094002</v>
      </c>
      <c r="E18" s="24" t="n">
        <f aca="false">'LW 2026 P&amp;L'!E14</f>
        <v>28</v>
      </c>
      <c r="F18" s="34" t="n">
        <f aca="false">IFERROR(E18/E$20,0)</f>
        <v>0.00156977070135112</v>
      </c>
      <c r="G18" s="24" t="n">
        <f aca="false">'LW 2026 P&amp;L'!G14</f>
        <v>1473</v>
      </c>
      <c r="H18" s="34" t="n">
        <f aca="false">IFERROR(G18/G$20,0)</f>
        <v>0.0556857704521397</v>
      </c>
      <c r="I18" s="24" t="n">
        <f aca="false">'LW 2026 P&amp;L'!I14</f>
        <v>664</v>
      </c>
      <c r="J18" s="34" t="n">
        <f aca="false">IFERROR(I18/I$20,0)</f>
        <v>0.0322627666294155</v>
      </c>
      <c r="K18" s="24" t="n">
        <f aca="false">'LW 2026 P&amp;L'!K14</f>
        <v>330</v>
      </c>
      <c r="L18" s="34" t="n">
        <f aca="false">IFERROR(K18/K$20,0)</f>
        <v>0.0132652651043132</v>
      </c>
      <c r="M18" s="24" t="n">
        <f aca="false">'LW 2026 P&amp;L'!M14</f>
        <v>259</v>
      </c>
      <c r="N18" s="34" t="n">
        <f aca="false">IFERROR(M18/M$20,0)</f>
        <v>0.00957167670645626</v>
      </c>
      <c r="O18" s="24" t="n">
        <f aca="false">'LW 2026 P&amp;L'!O14</f>
        <v>340</v>
      </c>
      <c r="P18" s="34" t="n">
        <f aca="false">IFERROR(O18/O$20,0)</f>
        <v>0.0132455491059254</v>
      </c>
      <c r="Q18" s="24" t="n">
        <f aca="false">'LW 2026 P&amp;L'!Q14</f>
        <v>340</v>
      </c>
      <c r="R18" s="34" t="n">
        <f aca="false">IFERROR(Q18/Q$20,0)</f>
        <v>0.0110015807572775</v>
      </c>
      <c r="S18" s="24" t="n">
        <f aca="false">'LW 2026 P&amp;L'!S14</f>
        <v>340</v>
      </c>
      <c r="T18" s="34" t="n">
        <f aca="false">IFERROR(S18/S$20,0)</f>
        <v>0.0110015807572775</v>
      </c>
      <c r="U18" s="24" t="n">
        <f aca="false">'LW 2026 P&amp;L'!U14</f>
        <v>340</v>
      </c>
      <c r="V18" s="34" t="n">
        <f aca="false">IFERROR(U18/U$20,0)</f>
        <v>0.0110015807572775</v>
      </c>
      <c r="W18" s="24" t="n">
        <f aca="false">'LW 2026 P&amp;L'!W14</f>
        <v>340</v>
      </c>
      <c r="X18" s="34" t="n">
        <f aca="false">IFERROR(W18/W$20,0)</f>
        <v>0.0110015807572775</v>
      </c>
      <c r="Y18" s="24" t="n">
        <f aca="false">'LW 2026 P&amp;L'!Y14</f>
        <v>340</v>
      </c>
      <c r="Z18" s="34" t="n">
        <f aca="false">IFERROR(Y18/Y$20,0)</f>
        <v>0.0110015807572775</v>
      </c>
      <c r="AB18" s="24" t="n">
        <f aca="false">SUM(C18,E18,G18,I18,K18,M18,O18,Q18,S18,U18,W18,Y18)</f>
        <v>5648</v>
      </c>
      <c r="AC18" s="34" t="n">
        <f aca="false">IFERROR(AB18/AB$20,0)</f>
        <v>0.017937547362515</v>
      </c>
    </row>
    <row r="19" customFormat="false" ht="15" hidden="false" customHeight="true" outlineLevel="0" collapsed="false">
      <c r="A19" s="5" t="s">
        <v>556</v>
      </c>
      <c r="C19" s="24" t="n">
        <f aca="false">IF(1&gt;=MONTH($C$4),-SUM(C12:C18)*'LW Assumptions'!$C$53,'LW 2026 P&amp;L'!C15)</f>
        <v>-731</v>
      </c>
      <c r="D19" s="34" t="n">
        <f aca="false">IFERROR(C19/C$20,0)</f>
        <v>-0.040901969561325</v>
      </c>
      <c r="E19" s="24" t="n">
        <f aca="false">IF(2&gt;=MONTH($C$4),-SUM(E12:E18)*'LW Assumptions'!$C$53,'LW 2026 P&amp;L'!E15)</f>
        <v>-1024</v>
      </c>
      <c r="F19" s="34" t="n">
        <f aca="false">IFERROR(E19/E$20,0)</f>
        <v>-0.057408757077984</v>
      </c>
      <c r="G19" s="24" t="n">
        <f aca="false">IF(3&gt;=MONTH($C$4),-SUM(G12:G18)*'LW Assumptions'!$C$53,'LW 2026 P&amp;L'!G15)</f>
        <v>-2497</v>
      </c>
      <c r="H19" s="34" t="n">
        <f aca="false">IFERROR(G19/G$20,0)</f>
        <v>-0.0943973990624527</v>
      </c>
      <c r="I19" s="24" t="n">
        <f aca="false">IF(4&gt;=MONTH($C$4),-SUM(I12:I18)*'LW Assumptions'!$C$53,'LW 2026 P&amp;L'!I15)</f>
        <v>-2688</v>
      </c>
      <c r="J19" s="34" t="n">
        <f aca="false">IFERROR(I19/I$20,0)</f>
        <v>-0.130605898644381</v>
      </c>
      <c r="K19" s="24" t="n">
        <f aca="false">IF(5&gt;=MONTH($C$4),-SUM(K12:K18)*'LW Assumptions'!$C$53,'LW 2026 P&amp;L'!K15)</f>
        <v>-1521</v>
      </c>
      <c r="L19" s="34" t="n">
        <f aca="false">IFERROR(K19/K$20,0)</f>
        <v>-0.0611408127989709</v>
      </c>
      <c r="M19" s="24" t="n">
        <f aca="false">IF(6&gt;=MONTH($C$4),-SUM(M12:M18)*'LW Assumptions'!$C$53,'LW 2026 P&amp;L'!M15)</f>
        <v>-987</v>
      </c>
      <c r="N19" s="34" t="n">
        <f aca="false">IFERROR(M19/M$20,0)</f>
        <v>-0.0364758490705495</v>
      </c>
      <c r="O19" s="24" t="n">
        <f aca="false">IF(7&gt;=MONTH($C$4),-SUM(O12:O18)*'LW Assumptions'!$C$53,'LW 2026 P&amp;L'!O15)</f>
        <v>-1521</v>
      </c>
      <c r="P19" s="34" t="n">
        <f aca="false">IFERROR(O19/O$20,0)</f>
        <v>-0.0592543535003311</v>
      </c>
      <c r="Q19" s="24" t="n">
        <f aca="false">IF(8&gt;=MONTH($C$4),-SUM(Q12:Q18)*'LW Assumptions'!$C$53,'LW 2026 P&amp;L'!Q15)</f>
        <v>-792.426916666667</v>
      </c>
      <c r="R19" s="34" t="n">
        <f aca="false">IFERROR(Q19/Q$20,0)</f>
        <v>-0.0256410256410256</v>
      </c>
      <c r="S19" s="24" t="n">
        <f aca="false">IF(9&gt;=MONTH($C$4),-SUM(S12:S18)*'LW Assumptions'!$C$53,'LW 2026 P&amp;L'!S15)</f>
        <v>-792.426916666667</v>
      </c>
      <c r="T19" s="34" t="n">
        <f aca="false">IFERROR(S19/S$20,0)</f>
        <v>-0.0256410256410256</v>
      </c>
      <c r="U19" s="24" t="n">
        <f aca="false">IF(10&gt;=MONTH($C$4),-SUM(U12:U18)*'LW Assumptions'!$C$53,'LW 2026 P&amp;L'!U15)</f>
        <v>-792.426916666667</v>
      </c>
      <c r="V19" s="34" t="n">
        <f aca="false">IFERROR(U19/U$20,0)</f>
        <v>-0.0256410256410256</v>
      </c>
      <c r="W19" s="24" t="n">
        <f aca="false">IF(11&gt;=MONTH($C$4),-SUM(W12:W18)*'LW Assumptions'!$C$53,'LW 2026 P&amp;L'!W15)</f>
        <v>-792.426916666667</v>
      </c>
      <c r="X19" s="34" t="n">
        <f aca="false">IFERROR(W19/W$20,0)</f>
        <v>-0.0256410256410256</v>
      </c>
      <c r="Y19" s="24" t="n">
        <f aca="false">IF(12&gt;=MONTH($C$4),-SUM(Y12:Y18)*'LW Assumptions'!$C$53,'LW 2026 P&amp;L'!Y15)</f>
        <v>-792.426916666667</v>
      </c>
      <c r="Z19" s="34" t="n">
        <f aca="false">IFERROR(Y19/Y$20,0)</f>
        <v>-0.0256410256410256</v>
      </c>
      <c r="AB19" s="24" t="n">
        <f aca="false">SUM(C19,E19,G19,I19,K19,M19,O19,Q19,S19,U19,W19,Y19)</f>
        <v>-14931.1345833333</v>
      </c>
      <c r="AC19" s="34" t="n">
        <f aca="false">IFERROR(AB19/AB$20,0)</f>
        <v>-0.047419959944162</v>
      </c>
    </row>
    <row r="20" customFormat="false" ht="15" hidden="false" customHeight="true" outlineLevel="0" collapsed="false">
      <c r="A20" s="6" t="s">
        <v>138</v>
      </c>
      <c r="C20" s="27" t="n">
        <f aca="false">SUM(C12:C19)</f>
        <v>17872</v>
      </c>
      <c r="D20" s="35" t="n">
        <f aca="false">IFERROR(C20/C$20,0)</f>
        <v>1</v>
      </c>
      <c r="E20" s="27" t="n">
        <f aca="false">SUM(E12:E19)</f>
        <v>17837</v>
      </c>
      <c r="F20" s="35" t="n">
        <f aca="false">IFERROR(E20/E$20,0)</f>
        <v>1</v>
      </c>
      <c r="G20" s="27" t="n">
        <f aca="false">SUM(G12:G19)</f>
        <v>26452</v>
      </c>
      <c r="H20" s="35" t="n">
        <f aca="false">IFERROR(G20/G$20,0)</f>
        <v>1</v>
      </c>
      <c r="I20" s="27" t="n">
        <f aca="false">SUM(I12:I19)</f>
        <v>20581</v>
      </c>
      <c r="J20" s="35" t="n">
        <f aca="false">IFERROR(I20/I$20,0)</f>
        <v>1</v>
      </c>
      <c r="K20" s="27" t="n">
        <f aca="false">SUM(K12:K19)</f>
        <v>24877</v>
      </c>
      <c r="L20" s="35" t="n">
        <f aca="false">IFERROR(K20/K$20,0)</f>
        <v>1</v>
      </c>
      <c r="M20" s="27" t="n">
        <f aca="false">SUM(M12:M19)</f>
        <v>27059</v>
      </c>
      <c r="N20" s="35" t="n">
        <f aca="false">IFERROR(M20/M$20,0)</f>
        <v>1</v>
      </c>
      <c r="O20" s="27" t="n">
        <f aca="false">SUM(O12:O19)</f>
        <v>25669</v>
      </c>
      <c r="P20" s="35" t="n">
        <f aca="false">IFERROR(O20/O$20,0)</f>
        <v>1</v>
      </c>
      <c r="Q20" s="27" t="n">
        <f aca="false">SUM(Q12:Q19)</f>
        <v>30904.64975</v>
      </c>
      <c r="R20" s="35" t="n">
        <f aca="false">IFERROR(Q20/Q$20,0)</f>
        <v>1</v>
      </c>
      <c r="S20" s="27" t="n">
        <f aca="false">SUM(S12:S19)</f>
        <v>30904.64975</v>
      </c>
      <c r="T20" s="35" t="n">
        <f aca="false">IFERROR(S20/S$20,0)</f>
        <v>1</v>
      </c>
      <c r="U20" s="27" t="n">
        <f aca="false">SUM(U12:U19)</f>
        <v>30904.64975</v>
      </c>
      <c r="V20" s="35" t="n">
        <f aca="false">IFERROR(U20/U$20,0)</f>
        <v>1</v>
      </c>
      <c r="W20" s="27" t="n">
        <f aca="false">SUM(W12:W19)</f>
        <v>30904.64975</v>
      </c>
      <c r="X20" s="35" t="n">
        <f aca="false">IFERROR(W20/W$20,0)</f>
        <v>1</v>
      </c>
      <c r="Y20" s="27" t="n">
        <f aca="false">SUM(Y12:Y19)</f>
        <v>30904.64975</v>
      </c>
      <c r="Z20" s="35" t="n">
        <f aca="false">IFERROR(Y20/Y$20,0)</f>
        <v>1</v>
      </c>
      <c r="AB20" s="27" t="n">
        <f aca="false">SUM(AB12:AB19)</f>
        <v>314870.24875</v>
      </c>
      <c r="AC20" s="35" t="n">
        <f aca="false">IFERROR(AB20/AB$20,0)</f>
        <v>1</v>
      </c>
    </row>
    <row r="22" customFormat="false" ht="15" hidden="false" customHeight="true" outlineLevel="0" collapsed="false">
      <c r="A22" s="6" t="s">
        <v>187</v>
      </c>
    </row>
    <row r="23" customFormat="false" ht="15" hidden="false" customHeight="true" outlineLevel="0" collapsed="false">
      <c r="A23" s="5" t="s">
        <v>557</v>
      </c>
      <c r="C23" s="24" t="n">
        <f aca="false">IF(1&gt;=MONTH($C$4),'LW 2026 P&amp;L'!C9*'LW Assumptions'!$C$51,'LW 2026 P&amp;L'!C19)</f>
        <v>1608</v>
      </c>
      <c r="D23" s="34" t="n">
        <f aca="false">IFERROR(C23/C$12,0)</f>
        <v>0.209949079514297</v>
      </c>
      <c r="E23" s="24" t="n">
        <f aca="false">IF(2&gt;=MONTH($C$4),'LW 2026 P&amp;L'!E9*'LW Assumptions'!$C$51,'LW 2026 P&amp;L'!E19)</f>
        <v>2865</v>
      </c>
      <c r="F23" s="34" t="n">
        <f aca="false">IFERROR(E23/E$12,0)</f>
        <v>0.311243889190657</v>
      </c>
      <c r="G23" s="24" t="n">
        <f aca="false">IF(3&gt;=MONTH($C$4),'LW 2026 P&amp;L'!G9*'LW Assumptions'!$C$51,'LW 2026 P&amp;L'!G19)</f>
        <v>4719</v>
      </c>
      <c r="H23" s="34" t="n">
        <f aca="false">IFERROR(G23/G$12,0)</f>
        <v>0.377188074494445</v>
      </c>
      <c r="I23" s="24" t="n">
        <f aca="false">IF(4&gt;=MONTH($C$4),'LW 2026 P&amp;L'!I9*'LW Assumptions'!$C$51,'LW 2026 P&amp;L'!I19)</f>
        <v>3179</v>
      </c>
      <c r="J23" s="34" t="n">
        <f aca="false">IFERROR(I23/I$12,0)</f>
        <v>0.334737285458566</v>
      </c>
      <c r="K23" s="24" t="n">
        <f aca="false">IF(5&gt;=MONTH($C$4),'LW 2026 P&amp;L'!K9*'LW Assumptions'!$C$51,'LW 2026 P&amp;L'!K19)</f>
        <v>7902</v>
      </c>
      <c r="L23" s="34" t="n">
        <f aca="false">IFERROR(K23/K$12,0)</f>
        <v>0.734250139379298</v>
      </c>
      <c r="M23" s="24" t="n">
        <f aca="false">IF(6&gt;=MONTH($C$4),'LW 2026 P&amp;L'!M9*'LW Assumptions'!$C$51,'LW 2026 P&amp;L'!M19)</f>
        <v>7534</v>
      </c>
      <c r="N23" s="34" t="n">
        <f aca="false">IFERROR(M23/M$12,0)</f>
        <v>0.716772904576158</v>
      </c>
      <c r="O23" s="24" t="n">
        <f aca="false">IF(7&gt;=MONTH($C$4),'LW 2026 P&amp;L'!O9*'LW Assumptions'!$C$51,'LW 2026 P&amp;L'!O19)</f>
        <v>5809</v>
      </c>
      <c r="P23" s="34" t="n">
        <f aca="false">IFERROR(O23/O$12,0)</f>
        <v>0.52404149751917</v>
      </c>
      <c r="Q23" s="24" t="n">
        <f aca="false">IF(8&gt;=MONTH($C$4),'LW 2026 P&amp;L'!Q9*'LW Assumptions'!$C$51,'LW 2026 P&amp;L'!Q19)</f>
        <v>4434</v>
      </c>
      <c r="R23" s="34" t="n">
        <f aca="false">IFERROR(Q23/Q$12,0)</f>
        <v>0.393066812049971</v>
      </c>
      <c r="S23" s="24" t="n">
        <f aca="false">IF(9&gt;=MONTH($C$4),'LW 2026 P&amp;L'!S9*'LW Assumptions'!$C$51,'LW 2026 P&amp;L'!S19)</f>
        <v>4434</v>
      </c>
      <c r="T23" s="34" t="n">
        <f aca="false">IFERROR(S23/S$12,0)</f>
        <v>0.393066812049971</v>
      </c>
      <c r="U23" s="24" t="n">
        <f aca="false">IF(10&gt;=MONTH($C$4),'LW 2026 P&amp;L'!U9*'LW Assumptions'!$C$51,'LW 2026 P&amp;L'!U19)</f>
        <v>4434</v>
      </c>
      <c r="V23" s="34" t="n">
        <f aca="false">IFERROR(U23/U$12,0)</f>
        <v>0.393066812049971</v>
      </c>
      <c r="W23" s="24" t="n">
        <f aca="false">IF(11&gt;=MONTH($C$4),'LW 2026 P&amp;L'!W9*'LW Assumptions'!$C$51,'LW 2026 P&amp;L'!W19)</f>
        <v>4434</v>
      </c>
      <c r="X23" s="34" t="n">
        <f aca="false">IFERROR(W23/W$12,0)</f>
        <v>0.393066812049971</v>
      </c>
      <c r="Y23" s="24" t="n">
        <f aca="false">IF(12&gt;=MONTH($C$4),'LW 2026 P&amp;L'!Y9*'LW Assumptions'!$C$51,'LW 2026 P&amp;L'!Y19)</f>
        <v>4434</v>
      </c>
      <c r="Z23" s="34" t="n">
        <f aca="false">IFERROR(Y23/Y$12,0)</f>
        <v>0.393066812049971</v>
      </c>
      <c r="AB23" s="24" t="n">
        <f aca="false">SUM(C23,E23,G23,I23,K23,M23,O23,Q23,S23,U23,W23,Y23)</f>
        <v>55786</v>
      </c>
      <c r="AC23" s="34" t="n">
        <f aca="false">IFERROR(AB23/AB$12,0)</f>
        <v>0.437082603292066</v>
      </c>
    </row>
    <row r="24" customFormat="false" ht="15" hidden="false" customHeight="true" outlineLevel="0" collapsed="false">
      <c r="A24" s="5" t="s">
        <v>189</v>
      </c>
      <c r="C24" s="24" t="n">
        <f aca="false">'LW 2026 P&amp;L'!C20</f>
        <v>1549</v>
      </c>
      <c r="D24" s="34" t="n">
        <f aca="false">IFERROR(C24/C$13,0)</f>
        <v>0.167713295799047</v>
      </c>
      <c r="E24" s="24" t="n">
        <f aca="false">'LW 2026 P&amp;L'!E20</f>
        <v>2446</v>
      </c>
      <c r="F24" s="34" t="n">
        <f aca="false">IFERROR(E24/E$13,0)</f>
        <v>0.269353595419007</v>
      </c>
      <c r="G24" s="24" t="n">
        <f aca="false">'LW 2026 P&amp;L'!G20</f>
        <v>2186</v>
      </c>
      <c r="H24" s="34" t="n">
        <f aca="false">IFERROR(G24/G$13,0)</f>
        <v>0.162697231318845</v>
      </c>
      <c r="I24" s="24" t="n">
        <f aca="false">'LW 2026 P&amp;L'!I20</f>
        <v>2267</v>
      </c>
      <c r="J24" s="34" t="n">
        <f aca="false">IFERROR(I24/I$13,0)</f>
        <v>0.210121419964779</v>
      </c>
      <c r="K24" s="24" t="n">
        <f aca="false">'LW 2026 P&amp;L'!K20</f>
        <v>2981</v>
      </c>
      <c r="L24" s="34" t="n">
        <f aca="false">IFERROR(K24/K$13,0)</f>
        <v>0.227505151492025</v>
      </c>
      <c r="M24" s="24" t="n">
        <f aca="false">'LW 2026 P&amp;L'!M20</f>
        <v>3628</v>
      </c>
      <c r="N24" s="34" t="n">
        <f aca="false">IFERROR(M24/M$13,0)</f>
        <v>0.251107419712071</v>
      </c>
      <c r="O24" s="24" t="n">
        <f aca="false">'LW 2026 P&amp;L'!O20</f>
        <v>2865</v>
      </c>
      <c r="P24" s="34" t="n">
        <f aca="false">IFERROR(O24/O$13,0)</f>
        <v>0.212285121517487</v>
      </c>
      <c r="Q24" s="24" t="n">
        <f aca="false">'LW 2026 P&amp;L'!Q20</f>
        <v>2873</v>
      </c>
      <c r="R24" s="34" t="n">
        <f aca="false">IFERROR(Q24/Q$13,0)</f>
        <v>0.204282102704907</v>
      </c>
      <c r="S24" s="24" t="n">
        <f aca="false">'LW 2026 P&amp;L'!S20</f>
        <v>2808</v>
      </c>
      <c r="T24" s="34" t="n">
        <f aca="false">IFERROR(S24/S$13,0)</f>
        <v>0.199660335675384</v>
      </c>
      <c r="U24" s="24" t="n">
        <f aca="false">'LW 2026 P&amp;L'!U20</f>
        <v>2849</v>
      </c>
      <c r="V24" s="34" t="n">
        <f aca="false">IFERROR(U24/U$13,0)</f>
        <v>0.202575604109391</v>
      </c>
      <c r="W24" s="24" t="n">
        <f aca="false">'LW 2026 P&amp;L'!W20</f>
        <v>2843</v>
      </c>
      <c r="X24" s="34" t="n">
        <f aca="false">IFERROR(W24/W$13,0)</f>
        <v>0.202148979460512</v>
      </c>
      <c r="Y24" s="24" t="n">
        <f aca="false">'LW 2026 P&amp;L'!Y20</f>
        <v>2833</v>
      </c>
      <c r="Z24" s="34" t="n">
        <f aca="false">IFERROR(Y24/Y$13,0)</f>
        <v>0.201437938379047</v>
      </c>
      <c r="AB24" s="24" t="n">
        <f aca="false">SUM(C24,E24,G24,I24,K24,M24,O24,Q24,S24,U24,W24,Y24)</f>
        <v>32128</v>
      </c>
      <c r="AC24" s="34" t="n">
        <f aca="false">IFERROR(AB24/AB$13,0)</f>
        <v>0.208747506837264</v>
      </c>
    </row>
    <row r="25" customFormat="false" ht="15" hidden="false" customHeight="true" outlineLevel="0" collapsed="false">
      <c r="A25" s="5" t="s">
        <v>190</v>
      </c>
      <c r="C25" s="24" t="n">
        <f aca="false">'LW 2026 P&amp;L'!C21</f>
        <v>294</v>
      </c>
      <c r="D25" s="34" t="n">
        <f aca="false">IFERROR(C25/C$14,0)</f>
        <v>0.3675</v>
      </c>
      <c r="E25" s="24" t="n">
        <f aca="false">'LW 2026 P&amp;L'!E21</f>
        <v>111</v>
      </c>
      <c r="F25" s="34" t="n">
        <f aca="false">IFERROR(E25/E$14,0)</f>
        <v>0.376271186440678</v>
      </c>
      <c r="G25" s="24" t="n">
        <f aca="false">'LW 2026 P&amp;L'!G21</f>
        <v>235</v>
      </c>
      <c r="H25" s="34" t="n">
        <f aca="false">IFERROR(G25/G$14,0)</f>
        <v>0.173559822747415</v>
      </c>
      <c r="I25" s="24" t="n">
        <f aca="false">'LW 2026 P&amp;L'!I21</f>
        <v>238</v>
      </c>
      <c r="J25" s="34" t="n">
        <f aca="false">IFERROR(I25/I$14,0)</f>
        <v>0.159731543624161</v>
      </c>
      <c r="K25" s="24" t="n">
        <f aca="false">'LW 2026 P&amp;L'!K21</f>
        <v>22</v>
      </c>
      <c r="L25" s="34" t="n">
        <f aca="false">IFERROR(K25/K$14,0)</f>
        <v>0.0372250423011844</v>
      </c>
      <c r="M25" s="24" t="n">
        <f aca="false">'LW 2026 P&amp;L'!M21</f>
        <v>1711</v>
      </c>
      <c r="N25" s="34" t="n">
        <f aca="false">IFERROR(M25/M$14,0)</f>
        <v>1.73882113821138</v>
      </c>
      <c r="O25" s="24" t="n">
        <f aca="false">'LW 2026 P&amp;L'!O21</f>
        <v>91</v>
      </c>
      <c r="P25" s="34" t="n">
        <f aca="false">IFERROR(O25/O$14,0)</f>
        <v>0.149425287356322</v>
      </c>
      <c r="Q25" s="24" t="n">
        <f aca="false">'LW 2026 P&amp;L'!Q21</f>
        <v>67</v>
      </c>
      <c r="R25" s="34" t="n">
        <f aca="false">IFERROR(Q25/Q$14,0)</f>
        <v>0.110016420361248</v>
      </c>
      <c r="S25" s="24" t="n">
        <f aca="false">'LW 2026 P&amp;L'!S21</f>
        <v>82</v>
      </c>
      <c r="T25" s="34" t="n">
        <f aca="false">IFERROR(S25/S$14,0)</f>
        <v>0.134646962233169</v>
      </c>
      <c r="U25" s="24" t="n">
        <f aca="false">'LW 2026 P&amp;L'!U21</f>
        <v>80</v>
      </c>
      <c r="V25" s="34" t="n">
        <f aca="false">IFERROR(U25/U$14,0)</f>
        <v>0.13136288998358</v>
      </c>
      <c r="W25" s="24" t="n">
        <f aca="false">'LW 2026 P&amp;L'!W21</f>
        <v>76</v>
      </c>
      <c r="X25" s="34" t="n">
        <f aca="false">IFERROR(W25/W$14,0)</f>
        <v>0.124794745484401</v>
      </c>
      <c r="Y25" s="24" t="n">
        <f aca="false">'LW 2026 P&amp;L'!Y21</f>
        <v>79</v>
      </c>
      <c r="Z25" s="34" t="n">
        <f aca="false">IFERROR(Y25/Y$14,0)</f>
        <v>0.129720853858785</v>
      </c>
      <c r="AB25" s="24" t="n">
        <f aca="false">SUM(C25,E25,G25,I25,K25,M25,O25,Q25,S25,U25,W25,Y25)</f>
        <v>3086</v>
      </c>
      <c r="AC25" s="34" t="n">
        <f aca="false">IFERROR(AB25/AB$14,0)</f>
        <v>0.336605584642234</v>
      </c>
    </row>
    <row r="26" customFormat="false" ht="15" hidden="false" customHeight="true" outlineLevel="0" collapsed="false">
      <c r="A26" s="5" t="s">
        <v>191</v>
      </c>
      <c r="C26" s="24" t="n">
        <f aca="false">'LW 2026 P&amp;L'!C22</f>
        <v>82</v>
      </c>
      <c r="D26" s="34" t="n">
        <f aca="false">IFERROR(C26/C$15,0)</f>
        <v>1.51851851851852</v>
      </c>
      <c r="E26" s="24" t="n">
        <f aca="false">'LW 2026 P&amp;L'!E22</f>
        <v>153</v>
      </c>
      <c r="F26" s="34" t="n">
        <f aca="false">IFERROR(E26/E$15,0)</f>
        <v>0.6375</v>
      </c>
      <c r="G26" s="24" t="n">
        <f aca="false">'LW 2026 P&amp;L'!G22</f>
        <v>43</v>
      </c>
      <c r="H26" s="34" t="n">
        <f aca="false">IFERROR(G26/G$15,0)</f>
        <v>0.247126436781609</v>
      </c>
      <c r="I26" s="24" t="n">
        <f aca="false">'LW 2026 P&amp;L'!I22</f>
        <v>86</v>
      </c>
      <c r="J26" s="34" t="n">
        <f aca="false">IFERROR(I26/I$15,0)</f>
        <v>0.258258258258258</v>
      </c>
      <c r="K26" s="24" t="n">
        <f aca="false">'LW 2026 P&amp;L'!K22</f>
        <v>176</v>
      </c>
      <c r="L26" s="34" t="n">
        <f aca="false">IFERROR(K26/K$15,0)</f>
        <v>0.294807370184255</v>
      </c>
      <c r="M26" s="24" t="n">
        <f aca="false">'LW 2026 P&amp;L'!M22</f>
        <v>146</v>
      </c>
      <c r="N26" s="34" t="n">
        <f aca="false">IFERROR(M26/M$15,0)</f>
        <v>0.19650067294751</v>
      </c>
      <c r="O26" s="24" t="n">
        <f aca="false">'LW 2026 P&amp;L'!O22</f>
        <v>172</v>
      </c>
      <c r="P26" s="34" t="n">
        <f aca="false">IFERROR(O26/O$15,0)</f>
        <v>0.279674796747967</v>
      </c>
      <c r="Q26" s="24" t="n">
        <f aca="false">'LW 2026 P&amp;L'!Q22</f>
        <v>174</v>
      </c>
      <c r="R26" s="34" t="n">
        <f aca="false">IFERROR(Q26/Q$15,0)</f>
        <v>0.282926829268293</v>
      </c>
      <c r="S26" s="24" t="n">
        <f aca="false">'LW 2026 P&amp;L'!S22</f>
        <v>172</v>
      </c>
      <c r="T26" s="34" t="n">
        <f aca="false">IFERROR(S26/S$15,0)</f>
        <v>0.279674796747967</v>
      </c>
      <c r="U26" s="24" t="n">
        <f aca="false">'LW 2026 P&amp;L'!U22</f>
        <v>172</v>
      </c>
      <c r="V26" s="34" t="n">
        <f aca="false">IFERROR(U26/U$15,0)</f>
        <v>0.279674796747967</v>
      </c>
      <c r="W26" s="24" t="n">
        <f aca="false">'LW 2026 P&amp;L'!W22</f>
        <v>173</v>
      </c>
      <c r="X26" s="34" t="n">
        <f aca="false">IFERROR(W26/W$15,0)</f>
        <v>0.28130081300813</v>
      </c>
      <c r="Y26" s="24" t="n">
        <f aca="false">'LW 2026 P&amp;L'!Y22</f>
        <v>172</v>
      </c>
      <c r="Z26" s="34" t="n">
        <f aca="false">IFERROR(Y26/Y$15,0)</f>
        <v>0.279674796747967</v>
      </c>
      <c r="AB26" s="24" t="n">
        <f aca="false">SUM(C26,E26,G26,I26,K26,M26,O26,Q26,S26,U26,W26,Y26)</f>
        <v>1721</v>
      </c>
      <c r="AC26" s="34" t="n">
        <f aca="false">IFERROR(AB26/AB$15,0)</f>
        <v>0.295146630080604</v>
      </c>
    </row>
    <row r="27" customFormat="false" ht="15" hidden="false" customHeight="true" outlineLevel="0" collapsed="false">
      <c r="A27" s="5" t="s">
        <v>192</v>
      </c>
      <c r="C27" s="24" t="n">
        <f aca="false">'LW 2026 P&amp;L'!C23</f>
        <v>301</v>
      </c>
      <c r="D27" s="34" t="n">
        <f aca="false">IFERROR(C27/C$16,0)</f>
        <v>0</v>
      </c>
      <c r="E27" s="24" t="n">
        <f aca="false">'LW 2026 P&amp;L'!E23</f>
        <v>0</v>
      </c>
      <c r="F27" s="34" t="n">
        <f aca="false">IFERROR(E27/E$16,0)</f>
        <v>0</v>
      </c>
      <c r="G27" s="24" t="n">
        <f aca="false">'LW 2026 P&amp;L'!G23</f>
        <v>0</v>
      </c>
      <c r="H27" s="34" t="n">
        <f aca="false">IFERROR(G27/G$16,0)</f>
        <v>0</v>
      </c>
      <c r="I27" s="24" t="n">
        <f aca="false">'LW 2026 P&amp;L'!I23</f>
        <v>268</v>
      </c>
      <c r="J27" s="34" t="n">
        <f aca="false">IFERROR(I27/I$16,0)</f>
        <v>0.540322580645161</v>
      </c>
      <c r="K27" s="24" t="n">
        <f aca="false">'LW 2026 P&amp;L'!K23</f>
        <v>290</v>
      </c>
      <c r="L27" s="34" t="n">
        <f aca="false">IFERROR(K27/K$16,0)</f>
        <v>0.285714285714286</v>
      </c>
      <c r="M27" s="24" t="n">
        <f aca="false">'LW 2026 P&amp;L'!M23</f>
        <v>595</v>
      </c>
      <c r="N27" s="34" t="n">
        <f aca="false">IFERROR(M27/M$16,0)</f>
        <v>0.540417801998184</v>
      </c>
      <c r="O27" s="24" t="n">
        <f aca="false">'LW 2026 P&amp;L'!O23</f>
        <v>386</v>
      </c>
      <c r="P27" s="34" t="n">
        <f aca="false">IFERROR(O27/O$16,0)</f>
        <v>0.369377990430622</v>
      </c>
      <c r="Q27" s="24" t="n">
        <f aca="false">'LW 2026 P&amp;L'!Q23</f>
        <v>358</v>
      </c>
      <c r="R27" s="34" t="n">
        <f aca="false">IFERROR(Q27/Q$16,0)</f>
        <v>0.342583732057416</v>
      </c>
      <c r="S27" s="24" t="n">
        <f aca="false">'LW 2026 P&amp;L'!S23</f>
        <v>377</v>
      </c>
      <c r="T27" s="34" t="n">
        <f aca="false">IFERROR(S27/S$16,0)</f>
        <v>0.360765550239234</v>
      </c>
      <c r="U27" s="24" t="n">
        <f aca="false">'LW 2026 P&amp;L'!U23</f>
        <v>373</v>
      </c>
      <c r="V27" s="34" t="n">
        <f aca="false">IFERROR(U27/U$16,0)</f>
        <v>0.356937799043062</v>
      </c>
      <c r="W27" s="24" t="n">
        <f aca="false">'LW 2026 P&amp;L'!W23</f>
        <v>369</v>
      </c>
      <c r="X27" s="34" t="n">
        <f aca="false">IFERROR(W27/W$16,0)</f>
        <v>0.35311004784689</v>
      </c>
      <c r="Y27" s="24" t="n">
        <f aca="false">'LW 2026 P&amp;L'!Y23</f>
        <v>373</v>
      </c>
      <c r="Z27" s="34" t="n">
        <f aca="false">IFERROR(Y27/Y$16,0)</f>
        <v>0.356937799043062</v>
      </c>
      <c r="AB27" s="24" t="n">
        <f aca="false">SUM(C27,E27,G27,I27,K27,M27,O27,Q27,S27,U27,W27,Y27)</f>
        <v>3690</v>
      </c>
      <c r="AC27" s="34" t="n">
        <f aca="false">IFERROR(AB27/AB$16,0)</f>
        <v>0.414839797639123</v>
      </c>
    </row>
    <row r="28" customFormat="false" ht="15" hidden="false" customHeight="true" outlineLevel="0" collapsed="false">
      <c r="A28" s="5" t="s">
        <v>193</v>
      </c>
      <c r="C28" s="24" t="n">
        <f aca="false">IF(1&gt;=MONTH($C$4),'LW Assumptions'!$C$36*'LW Assumptions'!$C$37/12,0)</f>
        <v>0</v>
      </c>
      <c r="D28" s="34" t="n">
        <f aca="false">IFERROR(C28/C$17,0)</f>
        <v>0</v>
      </c>
      <c r="E28" s="24" t="n">
        <f aca="false">IF(2&gt;=MONTH($C$4),'LW Assumptions'!$C$36*'LW Assumptions'!$C$37/12,0)</f>
        <v>0</v>
      </c>
      <c r="F28" s="34" t="n">
        <f aca="false">IFERROR(E28/E$17,0)</f>
        <v>0</v>
      </c>
      <c r="G28" s="24" t="n">
        <f aca="false">IF(3&gt;=MONTH($C$4),'LW Assumptions'!$C$36*'LW Assumptions'!$C$37/12,0)</f>
        <v>0</v>
      </c>
      <c r="H28" s="34" t="n">
        <f aca="false">IFERROR(G28/G$17,0)</f>
        <v>0</v>
      </c>
      <c r="I28" s="24" t="n">
        <f aca="false">IF(4&gt;=MONTH($C$4),'LW Assumptions'!$C$36*'LW Assumptions'!$C$37/12,0)</f>
        <v>0</v>
      </c>
      <c r="J28" s="34" t="n">
        <f aca="false">IFERROR(I28/I$17,0)</f>
        <v>0</v>
      </c>
      <c r="K28" s="24" t="n">
        <f aca="false">IF(5&gt;=MONTH($C$4),'LW Assumptions'!$C$36*'LW Assumptions'!$C$37/12,0)</f>
        <v>0</v>
      </c>
      <c r="L28" s="34" t="n">
        <f aca="false">IFERROR(K28/K$17,0)</f>
        <v>0</v>
      </c>
      <c r="M28" s="24" t="n">
        <f aca="false">IF(6&gt;=MONTH($C$4),'LW Assumptions'!$C$36*'LW Assumptions'!$C$37/12,0)</f>
        <v>0</v>
      </c>
      <c r="N28" s="34" t="n">
        <f aca="false">IFERROR(M28/M$17,0)</f>
        <v>0</v>
      </c>
      <c r="O28" s="24" t="n">
        <f aca="false">IF(7&gt;=MONTH($C$4),'LW Assumptions'!$C$36*'LW Assumptions'!$C$37/12,0)</f>
        <v>0</v>
      </c>
      <c r="P28" s="34" t="n">
        <f aca="false">IFERROR(O28/O$17,0)</f>
        <v>0</v>
      </c>
      <c r="Q28" s="24" t="n">
        <f aca="false">IF(8&gt;=MONTH($C$4),'LW Assumptions'!$C$36*'LW Assumptions'!$C$37/12,0)</f>
        <v>1470.0077</v>
      </c>
      <c r="R28" s="34" t="n">
        <f aca="false">IFERROR(Q28/Q$17,0)</f>
        <v>0.392665221262577</v>
      </c>
      <c r="S28" s="24" t="n">
        <f aca="false">IF(9&gt;=MONTH($C$4),'LW Assumptions'!$C$36*'LW Assumptions'!$C$37/12,0)</f>
        <v>1470.0077</v>
      </c>
      <c r="T28" s="34" t="n">
        <f aca="false">IFERROR(S28/S$17,0)</f>
        <v>0.392665221262577</v>
      </c>
      <c r="U28" s="24" t="n">
        <f aca="false">IF(10&gt;=MONTH($C$4),'LW Assumptions'!$C$36*'LW Assumptions'!$C$37/12,0)</f>
        <v>1470.0077</v>
      </c>
      <c r="V28" s="34" t="n">
        <f aca="false">IFERROR(U28/U$17,0)</f>
        <v>0.392665221262577</v>
      </c>
      <c r="W28" s="24" t="n">
        <f aca="false">IF(11&gt;=MONTH($C$4),'LW Assumptions'!$C$36*'LW Assumptions'!$C$37/12,0)</f>
        <v>1470.0077</v>
      </c>
      <c r="X28" s="34" t="n">
        <f aca="false">IFERROR(W28/W$17,0)</f>
        <v>0.392665221262577</v>
      </c>
      <c r="Y28" s="24" t="n">
        <f aca="false">IF(12&gt;=MONTH($C$4),'LW Assumptions'!$C$36*'LW Assumptions'!$C$37/12,0)</f>
        <v>1470.0077</v>
      </c>
      <c r="Z28" s="34" t="n">
        <f aca="false">IFERROR(Y28/Y$17,0)</f>
        <v>0.392665221262577</v>
      </c>
      <c r="AB28" s="24" t="n">
        <f aca="false">SUM(C28,E28,G28,I28,K28,M28,O28,Q28,S28,U28,W28,Y28)</f>
        <v>7350.0385</v>
      </c>
      <c r="AC28" s="34" t="n">
        <f aca="false">IFERROR(AB28/AB$17,0)</f>
        <v>0.392665221262577</v>
      </c>
    </row>
    <row r="29" customFormat="false" ht="15" hidden="false" customHeight="true" outlineLevel="0" collapsed="false">
      <c r="A29" s="6" t="s">
        <v>139</v>
      </c>
      <c r="C29" s="27" t="n">
        <f aca="false">SUM(C23:C28)</f>
        <v>3834</v>
      </c>
      <c r="D29" s="35" t="n">
        <f aca="false">IFERROR(C29/C$20,0)</f>
        <v>0.21452551477171</v>
      </c>
      <c r="E29" s="27" t="n">
        <f aca="false">SUM(E23:E28)</f>
        <v>5575</v>
      </c>
      <c r="F29" s="35" t="n">
        <f aca="false">IFERROR(E29/E$20,0)</f>
        <v>0.312552559286876</v>
      </c>
      <c r="G29" s="27" t="n">
        <f aca="false">SUM(G23:G28)</f>
        <v>7183</v>
      </c>
      <c r="H29" s="35" t="n">
        <f aca="false">IFERROR(G29/G$20,0)</f>
        <v>0.271548465144413</v>
      </c>
      <c r="I29" s="27" t="n">
        <f aca="false">SUM(I23:I28)</f>
        <v>6038</v>
      </c>
      <c r="J29" s="35" t="n">
        <f aca="false">IFERROR(I29/I$20,0)</f>
        <v>0.293377386910257</v>
      </c>
      <c r="K29" s="27" t="n">
        <f aca="false">SUM(K23:K28)</f>
        <v>11371</v>
      </c>
      <c r="L29" s="35" t="n">
        <f aca="false">IFERROR(K29/K$20,0)</f>
        <v>0.457088877276199</v>
      </c>
      <c r="M29" s="27" t="n">
        <f aca="false">SUM(M23:M28)</f>
        <v>13614</v>
      </c>
      <c r="N29" s="35" t="n">
        <f aca="false">IFERROR(M29/M$20,0)</f>
        <v>0.503122805720832</v>
      </c>
      <c r="O29" s="27" t="n">
        <f aca="false">SUM(O23:O28)</f>
        <v>9323</v>
      </c>
      <c r="P29" s="35" t="n">
        <f aca="false">IFERROR(O29/O$20,0)</f>
        <v>0.36320074798395</v>
      </c>
      <c r="Q29" s="27" t="n">
        <f aca="false">SUM(Q23:Q28)</f>
        <v>9376.0077</v>
      </c>
      <c r="R29" s="35" t="n">
        <f aca="false">IFERROR(Q29/Q$20,0)</f>
        <v>0.303385017330604</v>
      </c>
      <c r="S29" s="27" t="n">
        <f aca="false">SUM(S23:S28)</f>
        <v>9343.0077</v>
      </c>
      <c r="T29" s="35" t="n">
        <f aca="false">IFERROR(S29/S$20,0)</f>
        <v>0.302317216845339</v>
      </c>
      <c r="U29" s="27" t="n">
        <f aca="false">SUM(U23:U28)</f>
        <v>9378.0077</v>
      </c>
      <c r="V29" s="35" t="n">
        <f aca="false">IFERROR(U29/U$20,0)</f>
        <v>0.303449732511529</v>
      </c>
      <c r="W29" s="27" t="n">
        <f aca="false">SUM(W23:W28)</f>
        <v>9365.0077</v>
      </c>
      <c r="X29" s="35" t="n">
        <f aca="false">IFERROR(W29/W$20,0)</f>
        <v>0.303029083835516</v>
      </c>
      <c r="Y29" s="27" t="n">
        <f aca="false">SUM(Y23:Y28)</f>
        <v>9361.0077</v>
      </c>
      <c r="Z29" s="35" t="n">
        <f aca="false">IFERROR(Y29/Y$20,0)</f>
        <v>0.302899653473665</v>
      </c>
      <c r="AB29" s="27" t="n">
        <f aca="false">SUM(AB23:AB28)</f>
        <v>103761.0385</v>
      </c>
      <c r="AC29" s="35" t="n">
        <f aca="false">IFERROR(AB29/AB$20,0)</f>
        <v>0.329535860920236</v>
      </c>
    </row>
    <row r="30" customFormat="false" ht="15" hidden="false" customHeight="true" outlineLevel="0" collapsed="false">
      <c r="A30" s="6" t="s">
        <v>140</v>
      </c>
      <c r="C30" s="7" t="n">
        <f aca="false">C20-C29</f>
        <v>14038</v>
      </c>
      <c r="D30" s="8" t="n">
        <f aca="false">IFERROR(C30/C$20,0)</f>
        <v>0.78547448522829</v>
      </c>
      <c r="E30" s="7" t="n">
        <f aca="false">E20-E29</f>
        <v>12262</v>
      </c>
      <c r="F30" s="8" t="n">
        <f aca="false">IFERROR(E30/E$20,0)</f>
        <v>0.687447440713124</v>
      </c>
      <c r="G30" s="7" t="n">
        <f aca="false">G20-G29</f>
        <v>19269</v>
      </c>
      <c r="H30" s="8" t="n">
        <f aca="false">IFERROR(G30/G$20,0)</f>
        <v>0.728451534855587</v>
      </c>
      <c r="I30" s="7" t="n">
        <f aca="false">I20-I29</f>
        <v>14543</v>
      </c>
      <c r="J30" s="8" t="n">
        <f aca="false">IFERROR(I30/I$20,0)</f>
        <v>0.706622613089743</v>
      </c>
      <c r="K30" s="7" t="n">
        <f aca="false">K20-K29</f>
        <v>13506</v>
      </c>
      <c r="L30" s="8" t="n">
        <f aca="false">IFERROR(K30/K$20,0)</f>
        <v>0.542911122723801</v>
      </c>
      <c r="M30" s="7" t="n">
        <f aca="false">M20-M29</f>
        <v>13445</v>
      </c>
      <c r="N30" s="8" t="n">
        <f aca="false">IFERROR(M30/M$20,0)</f>
        <v>0.496877194279168</v>
      </c>
      <c r="O30" s="7" t="n">
        <f aca="false">O20-O29</f>
        <v>16346</v>
      </c>
      <c r="P30" s="8" t="n">
        <f aca="false">IFERROR(O30/O$20,0)</f>
        <v>0.636799252016051</v>
      </c>
      <c r="Q30" s="7" t="n">
        <f aca="false">Q20-Q29</f>
        <v>21528.64205</v>
      </c>
      <c r="R30" s="8" t="n">
        <f aca="false">IFERROR(Q30/Q$20,0)</f>
        <v>0.696614982669396</v>
      </c>
      <c r="S30" s="7" t="n">
        <f aca="false">S20-S29</f>
        <v>21561.64205</v>
      </c>
      <c r="T30" s="8" t="n">
        <f aca="false">IFERROR(S30/S$20,0)</f>
        <v>0.697682783154661</v>
      </c>
      <c r="U30" s="7" t="n">
        <f aca="false">U20-U29</f>
        <v>21526.64205</v>
      </c>
      <c r="V30" s="8" t="n">
        <f aca="false">IFERROR(U30/U$20,0)</f>
        <v>0.696550267488471</v>
      </c>
      <c r="W30" s="7" t="n">
        <f aca="false">W20-W29</f>
        <v>21539.64205</v>
      </c>
      <c r="X30" s="8" t="n">
        <f aca="false">IFERROR(W30/W$20,0)</f>
        <v>0.696970916164484</v>
      </c>
      <c r="Y30" s="7" t="n">
        <f aca="false">Y20-Y29</f>
        <v>21543.64205</v>
      </c>
      <c r="Z30" s="8" t="n">
        <f aca="false">IFERROR(Y30/Y$20,0)</f>
        <v>0.697100346526335</v>
      </c>
      <c r="AB30" s="7" t="n">
        <f aca="false">AB20-AB29</f>
        <v>211109.21025</v>
      </c>
      <c r="AC30" s="8" t="n">
        <f aca="false">IFERROR(AB30/AB$20,0)</f>
        <v>0.670464139079764</v>
      </c>
    </row>
    <row r="32" customFormat="false" ht="15" hidden="false" customHeight="true" outlineLevel="0" collapsed="false">
      <c r="A32" s="6" t="s">
        <v>194</v>
      </c>
    </row>
    <row r="33" customFormat="false" ht="15" hidden="false" customHeight="true" outlineLevel="0" collapsed="false">
      <c r="A33" s="5" t="s">
        <v>195</v>
      </c>
      <c r="C33" s="24" t="n">
        <f aca="false">'LW 2026 P&amp;L'!C28</f>
        <v>1230</v>
      </c>
      <c r="D33" s="34" t="n">
        <f aca="false">IFERROR(C33/C$20,0)</f>
        <v>0.068822739480752</v>
      </c>
      <c r="E33" s="24" t="n">
        <f aca="false">'LW 2026 P&amp;L'!E28</f>
        <v>479</v>
      </c>
      <c r="F33" s="34" t="n">
        <f aca="false">IFERROR(E33/E$20,0)</f>
        <v>0.026854291640971</v>
      </c>
      <c r="G33" s="24" t="n">
        <f aca="false">'LW 2026 P&amp;L'!G28</f>
        <v>868</v>
      </c>
      <c r="H33" s="34" t="n">
        <f aca="false">IFERROR(G33/G$20,0)</f>
        <v>0.0328141539392106</v>
      </c>
      <c r="I33" s="24" t="n">
        <f aca="false">'LW 2026 P&amp;L'!I28</f>
        <v>1132</v>
      </c>
      <c r="J33" s="34" t="n">
        <f aca="false">IFERROR(I33/I$20,0)</f>
        <v>0.0550021864826782</v>
      </c>
      <c r="K33" s="24" t="n">
        <f aca="false">'LW 2026 P&amp;L'!K28</f>
        <v>1657</v>
      </c>
      <c r="L33" s="34" t="n">
        <f aca="false">IFERROR(K33/K$20,0)</f>
        <v>0.0666077099328697</v>
      </c>
      <c r="M33" s="24" t="n">
        <f aca="false">'LW 2026 P&amp;L'!M28</f>
        <v>1377</v>
      </c>
      <c r="N33" s="34" t="n">
        <f aca="false">IFERROR(M33/M$20,0)</f>
        <v>0.0508887985513138</v>
      </c>
      <c r="O33" s="24" t="n">
        <f aca="false">'LW 2026 P&amp;L'!O28</f>
        <v>1657</v>
      </c>
      <c r="P33" s="34" t="n">
        <f aca="false">IFERROR(O33/O$20,0)</f>
        <v>0.0645525731427013</v>
      </c>
      <c r="Q33" s="24" t="n">
        <f aca="false">'LW 2026 P&amp;L'!Q28</f>
        <v>1657</v>
      </c>
      <c r="R33" s="34" t="n">
        <f aca="false">IFERROR(Q33/Q$20,0)</f>
        <v>0.0536165273964964</v>
      </c>
      <c r="S33" s="24" t="n">
        <f aca="false">'LW 2026 P&amp;L'!S28</f>
        <v>1657</v>
      </c>
      <c r="T33" s="34" t="n">
        <f aca="false">IFERROR(S33/S$20,0)</f>
        <v>0.0536165273964964</v>
      </c>
      <c r="U33" s="24" t="n">
        <f aca="false">'LW 2026 P&amp;L'!U28</f>
        <v>1657</v>
      </c>
      <c r="V33" s="34" t="n">
        <f aca="false">IFERROR(U33/U$20,0)</f>
        <v>0.0536165273964964</v>
      </c>
      <c r="W33" s="24" t="n">
        <f aca="false">'LW 2026 P&amp;L'!W28</f>
        <v>1657</v>
      </c>
      <c r="X33" s="34" t="n">
        <f aca="false">IFERROR(W33/W$20,0)</f>
        <v>0.0536165273964964</v>
      </c>
      <c r="Y33" s="24" t="n">
        <f aca="false">'LW 2026 P&amp;L'!Y28</f>
        <v>1657</v>
      </c>
      <c r="Z33" s="34" t="n">
        <f aca="false">IFERROR(Y33/Y$20,0)</f>
        <v>0.0536165273964964</v>
      </c>
      <c r="AB33" s="24" t="n">
        <f aca="false">SUM(C33,E33,G33,I33,K33,M33,O33,Q33,S33,U33,W33,Y33)</f>
        <v>16685</v>
      </c>
      <c r="AC33" s="34" t="n">
        <f aca="false">IFERROR(AB33/AB$20,0)</f>
        <v>0.0529900810452483</v>
      </c>
    </row>
    <row r="34" customFormat="false" ht="15" hidden="false" customHeight="true" outlineLevel="0" collapsed="false">
      <c r="A34" s="5" t="s">
        <v>196</v>
      </c>
      <c r="C34" s="24" t="n">
        <f aca="false">IF(1&gt;=MONTH($C$4),'LW Assumptions'!$C$26*52/12,'LW 2026 P&amp;L'!C29)</f>
        <v>2558</v>
      </c>
      <c r="D34" s="34" t="n">
        <f aca="false">IFERROR(C34/C$20,0)</f>
        <v>0.143128916741271</v>
      </c>
      <c r="E34" s="24" t="n">
        <f aca="false">IF(2&gt;=MONTH($C$4),'LW Assumptions'!$C$26*52/12,'LW 2026 P&amp;L'!E29)</f>
        <v>2016</v>
      </c>
      <c r="F34" s="34" t="n">
        <f aca="false">IFERROR(E34/E$20,0)</f>
        <v>0.113023490497281</v>
      </c>
      <c r="G34" s="24" t="n">
        <f aca="false">IF(3&gt;=MONTH($C$4),'LW Assumptions'!$C$26*52/12,'LW 2026 P&amp;L'!G29)</f>
        <v>2550</v>
      </c>
      <c r="H34" s="34" t="n">
        <f aca="false">IFERROR(G34/G$20,0)</f>
        <v>0.096401028277635</v>
      </c>
      <c r="I34" s="24" t="n">
        <f aca="false">IF(4&gt;=MONTH($C$4),'LW Assumptions'!$C$26*52/12,'LW 2026 P&amp;L'!I29)</f>
        <v>3413</v>
      </c>
      <c r="J34" s="34" t="n">
        <f aca="false">IFERROR(I34/I$20,0)</f>
        <v>0.165832564015354</v>
      </c>
      <c r="K34" s="24" t="n">
        <f aca="false">IF(5&gt;=MONTH($C$4),'LW Assumptions'!$C$26*52/12,'LW 2026 P&amp;L'!K29)</f>
        <v>2266</v>
      </c>
      <c r="L34" s="34" t="n">
        <f aca="false">IFERROR(K34/K$20,0)</f>
        <v>0.0910881537162841</v>
      </c>
      <c r="M34" s="24" t="n">
        <f aca="false">IF(6&gt;=MONTH($C$4),'LW Assumptions'!$C$26*52/12,'LW 2026 P&amp;L'!M29)</f>
        <v>2637</v>
      </c>
      <c r="N34" s="34" t="n">
        <f aca="false">IFERROR(M34/M$20,0)</f>
        <v>0.0974537122583983</v>
      </c>
      <c r="O34" s="24" t="n">
        <f aca="false">IF(7&gt;=MONTH($C$4),'LW Assumptions'!$C$26*52/12,'LW 2026 P&amp;L'!O29)</f>
        <v>2266</v>
      </c>
      <c r="P34" s="34" t="n">
        <f aca="false">IFERROR(O34/O$20,0)</f>
        <v>0.088277689041256</v>
      </c>
      <c r="Q34" s="24" t="n">
        <f aca="false">IF(8&gt;=MONTH($C$4),'LW Assumptions'!$C$26*52/12,'LW 2026 P&amp;L'!Q29)</f>
        <v>1282.66666666667</v>
      </c>
      <c r="R34" s="34" t="n">
        <f aca="false">IFERROR(Q34/Q$20,0)</f>
        <v>0.0415040027000036</v>
      </c>
      <c r="S34" s="24" t="n">
        <f aca="false">IF(9&gt;=MONTH($C$4),'LW Assumptions'!$C$26*52/12,'LW 2026 P&amp;L'!S29)</f>
        <v>1282.66666666667</v>
      </c>
      <c r="T34" s="34" t="n">
        <f aca="false">IFERROR(S34/S$20,0)</f>
        <v>0.0415040027000036</v>
      </c>
      <c r="U34" s="24" t="n">
        <f aca="false">IF(10&gt;=MONTH($C$4),'LW Assumptions'!$C$26*52/12,'LW 2026 P&amp;L'!U29)</f>
        <v>1282.66666666667</v>
      </c>
      <c r="V34" s="34" t="n">
        <f aca="false">IFERROR(U34/U$20,0)</f>
        <v>0.0415040027000036</v>
      </c>
      <c r="W34" s="24" t="n">
        <f aca="false">IF(11&gt;=MONTH($C$4),'LW Assumptions'!$C$26*52/12,'LW 2026 P&amp;L'!W29)</f>
        <v>1282.66666666667</v>
      </c>
      <c r="X34" s="34" t="n">
        <f aca="false">IFERROR(W34/W$20,0)</f>
        <v>0.0415040027000036</v>
      </c>
      <c r="Y34" s="24" t="n">
        <f aca="false">IF(12&gt;=MONTH($C$4),'LW Assumptions'!$C$26*52/12,'LW 2026 P&amp;L'!Y29)</f>
        <v>1282.66666666667</v>
      </c>
      <c r="Z34" s="34" t="n">
        <f aca="false">IFERROR(Y34/Y$20,0)</f>
        <v>0.0415040027000036</v>
      </c>
      <c r="AB34" s="24" t="n">
        <f aca="false">SUM(C34,E34,G34,I34,K34,M34,O34,Q34,S34,U34,W34,Y34)</f>
        <v>24119.3333333333</v>
      </c>
      <c r="AC34" s="34" t="n">
        <f aca="false">IFERROR(AB34/AB$20,0)</f>
        <v>0.0766008647342339</v>
      </c>
    </row>
    <row r="35" customFormat="false" ht="15" hidden="false" customHeight="true" outlineLevel="0" collapsed="false">
      <c r="A35" s="5" t="s">
        <v>197</v>
      </c>
      <c r="C35" s="24" t="n">
        <f aca="false">IF(1&gt;=MONTH($C$4),('LW Assumptions'!$C$20+'LW Assumptions'!$C$21)*'LW Assumptions'!$C$22*52*'LW Assumptions'!$C$23/12,'LW 2026 P&amp;L'!C30)</f>
        <v>10115</v>
      </c>
      <c r="D35" s="34" t="n">
        <f aca="false">IFERROR(C35/C$20,0)</f>
        <v>0.565969113697404</v>
      </c>
      <c r="E35" s="24" t="n">
        <f aca="false">IF(2&gt;=MONTH($C$4),('LW Assumptions'!$C$20+'LW Assumptions'!$C$21)*'LW Assumptions'!$C$22*52*'LW Assumptions'!$C$23/12,'LW 2026 P&amp;L'!E30)</f>
        <v>8428</v>
      </c>
      <c r="F35" s="34" t="n">
        <f aca="false">IFERROR(E35/E$20,0)</f>
        <v>0.472500981106688</v>
      </c>
      <c r="G35" s="24" t="n">
        <f aca="false">IF(3&gt;=MONTH($C$4),('LW Assumptions'!$C$20+'LW Assumptions'!$C$21)*'LW Assumptions'!$C$22*52*'LW Assumptions'!$C$23/12,'LW 2026 P&amp;L'!G30)</f>
        <v>7366</v>
      </c>
      <c r="H35" s="34" t="n">
        <f aca="false">IFERROR(G35/G$20,0)</f>
        <v>0.278466656585513</v>
      </c>
      <c r="I35" s="24" t="n">
        <f aca="false">IF(4&gt;=MONTH($C$4),('LW Assumptions'!$C$20+'LW Assumptions'!$C$21)*'LW Assumptions'!$C$22*52*'LW Assumptions'!$C$23/12,'LW 2026 P&amp;L'!I30)</f>
        <v>6693</v>
      </c>
      <c r="J35" s="34" t="n">
        <f aca="false">IFERROR(I35/I$20,0)</f>
        <v>0.325202857004033</v>
      </c>
      <c r="K35" s="24" t="n">
        <f aca="false">IF(5&gt;=MONTH($C$4),('LW Assumptions'!$C$20+'LW Assumptions'!$C$21)*'LW Assumptions'!$C$22*52*'LW Assumptions'!$C$23/12,'LW 2026 P&amp;L'!K30)</f>
        <v>8447</v>
      </c>
      <c r="L35" s="34" t="n">
        <f aca="false">IFERROR(K35/K$20,0)</f>
        <v>0.339550588897375</v>
      </c>
      <c r="M35" s="24" t="n">
        <f aca="false">IF(6&gt;=MONTH($C$4),('LW Assumptions'!$C$20+'LW Assumptions'!$C$21)*'LW Assumptions'!$C$22*52*'LW Assumptions'!$C$23/12,'LW 2026 P&amp;L'!M30)</f>
        <v>9291</v>
      </c>
      <c r="N35" s="34" t="n">
        <f aca="false">IFERROR(M35/M$20,0)</f>
        <v>0.343360804168669</v>
      </c>
      <c r="O35" s="24" t="n">
        <f aca="false">IF(7&gt;=MONTH($C$4),('LW Assumptions'!$C$20+'LW Assumptions'!$C$21)*'LW Assumptions'!$C$22*52*'LW Assumptions'!$C$23/12,'LW 2026 P&amp;L'!O30)</f>
        <v>8447</v>
      </c>
      <c r="P35" s="34" t="n">
        <f aca="false">IFERROR(O35/O$20,0)</f>
        <v>0.329073980287506</v>
      </c>
      <c r="Q35" s="24" t="n">
        <f aca="false">IF(8&gt;=MONTH($C$4),('LW Assumptions'!$C$20+'LW Assumptions'!$C$21)*'LW Assumptions'!$C$22*52*'LW Assumptions'!$C$23/12,'LW 2026 P&amp;L'!Q30)</f>
        <v>6760</v>
      </c>
      <c r="R35" s="34" t="n">
        <f aca="false">IFERROR(Q35/Q$20,0)</f>
        <v>0.218737311527046</v>
      </c>
      <c r="S35" s="24" t="n">
        <f aca="false">IF(9&gt;=MONTH($C$4),('LW Assumptions'!$C$20+'LW Assumptions'!$C$21)*'LW Assumptions'!$C$22*52*'LW Assumptions'!$C$23/12,'LW 2026 P&amp;L'!S30)</f>
        <v>6760</v>
      </c>
      <c r="T35" s="34" t="n">
        <f aca="false">IFERROR(S35/S$20,0)</f>
        <v>0.218737311527046</v>
      </c>
      <c r="U35" s="24" t="n">
        <f aca="false">IF(10&gt;=MONTH($C$4),('LW Assumptions'!$C$20+'LW Assumptions'!$C$21)*'LW Assumptions'!$C$22*52*'LW Assumptions'!$C$23/12,'LW 2026 P&amp;L'!U30)</f>
        <v>6760</v>
      </c>
      <c r="V35" s="34" t="n">
        <f aca="false">IFERROR(U35/U$20,0)</f>
        <v>0.218737311527046</v>
      </c>
      <c r="W35" s="24" t="n">
        <f aca="false">IF(11&gt;=MONTH($C$4),('LW Assumptions'!$C$20+'LW Assumptions'!$C$21)*'LW Assumptions'!$C$22*52*'LW Assumptions'!$C$23/12,'LW 2026 P&amp;L'!W30)</f>
        <v>6760</v>
      </c>
      <c r="X35" s="34" t="n">
        <f aca="false">IFERROR(W35/W$20,0)</f>
        <v>0.218737311527046</v>
      </c>
      <c r="Y35" s="24" t="n">
        <f aca="false">IF(12&gt;=MONTH($C$4),('LW Assumptions'!$C$20+'LW Assumptions'!$C$21)*'LW Assumptions'!$C$22*52*'LW Assumptions'!$C$23/12,'LW 2026 P&amp;L'!Y30)</f>
        <v>6760</v>
      </c>
      <c r="Z35" s="34" t="n">
        <f aca="false">IFERROR(Y35/Y$20,0)</f>
        <v>0.218737311527046</v>
      </c>
      <c r="AB35" s="24" t="n">
        <f aca="false">SUM(C35,E35,G35,I35,K35,M35,O35,Q35,S35,U35,W35,Y35)</f>
        <v>92587</v>
      </c>
      <c r="AC35" s="34" t="n">
        <f aca="false">IFERROR(AB35/AB$20,0)</f>
        <v>0.294048105108565</v>
      </c>
    </row>
    <row r="36" customFormat="false" ht="15" hidden="false" customHeight="true" outlineLevel="0" collapsed="false">
      <c r="A36" s="5" t="s">
        <v>198</v>
      </c>
      <c r="C36" s="24" t="n">
        <f aca="false">IF(1&gt;=MONTH($C$4),(C33+C34+C35)*'LW Assumptions'!$C$24,'LW 2026 P&amp;L'!C31)</f>
        <v>3006</v>
      </c>
      <c r="D36" s="34" t="n">
        <f aca="false">IFERROR(C36/C$20,0)</f>
        <v>0.16819606087735</v>
      </c>
      <c r="E36" s="24" t="n">
        <f aca="false">IF(2&gt;=MONTH($C$4),(E33+E34+E35)*'LW Assumptions'!$C$24,'LW 2026 P&amp;L'!E31)</f>
        <v>650</v>
      </c>
      <c r="F36" s="34" t="n">
        <f aca="false">IFERROR(E36/E$20,0)</f>
        <v>0.0364411055670797</v>
      </c>
      <c r="G36" s="24" t="n">
        <f aca="false">IF(3&gt;=MONTH($C$4),(G33+G34+G35)*'LW Assumptions'!$C$24,'LW 2026 P&amp;L'!G31)</f>
        <v>2488</v>
      </c>
      <c r="H36" s="34" t="n">
        <f aca="false">IFERROR(G36/G$20,0)</f>
        <v>0.0940571601391199</v>
      </c>
      <c r="I36" s="24" t="n">
        <f aca="false">IF(4&gt;=MONTH($C$4),(I33+I34+I35)*'LW Assumptions'!$C$24,'LW 2026 P&amp;L'!I31)</f>
        <v>1488</v>
      </c>
      <c r="J36" s="34" t="n">
        <f aca="false">IFERROR(I36/I$20,0)</f>
        <v>0.0722996938924251</v>
      </c>
      <c r="K36" s="24" t="n">
        <f aca="false">IF(5&gt;=MONTH($C$4),(K33+K34+K35)*'LW Assumptions'!$C$24,'LW 2026 P&amp;L'!K31)</f>
        <v>1840</v>
      </c>
      <c r="L36" s="34" t="n">
        <f aca="false">IFERROR(K36/K$20,0)</f>
        <v>0.0739639023998071</v>
      </c>
      <c r="M36" s="24" t="n">
        <f aca="false">IF(6&gt;=MONTH($C$4),(M33+M34+M35)*'LW Assumptions'!$C$24,'LW 2026 P&amp;L'!M31)</f>
        <v>3015</v>
      </c>
      <c r="N36" s="34" t="n">
        <f aca="false">IFERROR(M36/M$20,0)</f>
        <v>0.111423186370524</v>
      </c>
      <c r="O36" s="24" t="n">
        <f aca="false">IF(7&gt;=MONTH($C$4),(O33+O34+O35)*'LW Assumptions'!$C$24,'LW 2026 P&amp;L'!O31)</f>
        <v>1840</v>
      </c>
      <c r="P36" s="34" t="n">
        <f aca="false">IFERROR(O36/O$20,0)</f>
        <v>0.0716817951614788</v>
      </c>
      <c r="Q36" s="24" t="n">
        <f aca="false">IF(8&gt;=MONTH($C$4),(Q33+Q34+Q35)*'LW Assumptions'!$C$24,'LW 2026 P&amp;L'!Q31)</f>
        <v>1551.94666666667</v>
      </c>
      <c r="R36" s="34" t="n">
        <f aca="false">IFERROR(Q36/Q$20,0)</f>
        <v>0.0502172546597674</v>
      </c>
      <c r="S36" s="24" t="n">
        <f aca="false">IF(9&gt;=MONTH($C$4),(S33+S34+S35)*'LW Assumptions'!$C$24,'LW 2026 P&amp;L'!S31)</f>
        <v>1551.94666666667</v>
      </c>
      <c r="T36" s="34" t="n">
        <f aca="false">IFERROR(S36/S$20,0)</f>
        <v>0.0502172546597674</v>
      </c>
      <c r="U36" s="24" t="n">
        <f aca="false">IF(10&gt;=MONTH($C$4),(U33+U34+U35)*'LW Assumptions'!$C$24,'LW 2026 P&amp;L'!U31)</f>
        <v>1551.94666666667</v>
      </c>
      <c r="V36" s="34" t="n">
        <f aca="false">IFERROR(U36/U$20,0)</f>
        <v>0.0502172546597674</v>
      </c>
      <c r="W36" s="24" t="n">
        <f aca="false">IF(11&gt;=MONTH($C$4),(W33+W34+W35)*'LW Assumptions'!$C$24,'LW 2026 P&amp;L'!W31)</f>
        <v>1551.94666666667</v>
      </c>
      <c r="X36" s="34" t="n">
        <f aca="false">IFERROR(W36/W$20,0)</f>
        <v>0.0502172546597674</v>
      </c>
      <c r="Y36" s="24" t="n">
        <f aca="false">IF(12&gt;=MONTH($C$4),(Y33+Y34+Y35)*'LW Assumptions'!$C$24,'LW 2026 P&amp;L'!Y31)</f>
        <v>1551.94666666667</v>
      </c>
      <c r="Z36" s="34" t="n">
        <f aca="false">IFERROR(Y36/Y$20,0)</f>
        <v>0.0502172546597674</v>
      </c>
      <c r="AB36" s="24" t="n">
        <f aca="false">SUM(C36,E36,G36,I36,K36,M36,O36,Q36,S36,U36,W36,Y36)</f>
        <v>22086.7333333333</v>
      </c>
      <c r="AC36" s="34" t="n">
        <f aca="false">IFERROR(AB36/AB$20,0)</f>
        <v>0.0701455073034535</v>
      </c>
    </row>
    <row r="37" customFormat="false" ht="15" hidden="false" customHeight="true" outlineLevel="0" collapsed="false">
      <c r="A37" s="5" t="s">
        <v>199</v>
      </c>
      <c r="C37" s="24" t="n">
        <f aca="false">'LW 2026 P&amp;L'!C32</f>
        <v>0</v>
      </c>
      <c r="D37" s="34" t="n">
        <f aca="false">IFERROR(C37/C$20,0)</f>
        <v>0</v>
      </c>
      <c r="E37" s="24" t="n">
        <f aca="false">'LW 2026 P&amp;L'!E32</f>
        <v>0</v>
      </c>
      <c r="F37" s="34" t="n">
        <f aca="false">IFERROR(E37/E$20,0)</f>
        <v>0</v>
      </c>
      <c r="G37" s="24" t="n">
        <f aca="false">'LW 2026 P&amp;L'!G32</f>
        <v>0</v>
      </c>
      <c r="H37" s="34" t="n">
        <f aca="false">IFERROR(G37/G$20,0)</f>
        <v>0</v>
      </c>
      <c r="I37" s="24" t="n">
        <f aca="false">'LW 2026 P&amp;L'!I32</f>
        <v>0</v>
      </c>
      <c r="J37" s="34" t="n">
        <f aca="false">IFERROR(I37/I$20,0)</f>
        <v>0</v>
      </c>
      <c r="K37" s="24" t="n">
        <f aca="false">'LW 2026 P&amp;L'!K32</f>
        <v>0</v>
      </c>
      <c r="L37" s="34" t="n">
        <f aca="false">IFERROR(K37/K$20,0)</f>
        <v>0</v>
      </c>
      <c r="M37" s="24" t="n">
        <f aca="false">'LW 2026 P&amp;L'!M32</f>
        <v>0</v>
      </c>
      <c r="N37" s="34" t="n">
        <f aca="false">IFERROR(M37/M$20,0)</f>
        <v>0</v>
      </c>
      <c r="O37" s="24" t="n">
        <f aca="false">'LW 2026 P&amp;L'!O32</f>
        <v>0</v>
      </c>
      <c r="P37" s="34" t="n">
        <f aca="false">IFERROR(O37/O$20,0)</f>
        <v>0</v>
      </c>
      <c r="Q37" s="24" t="n">
        <f aca="false">'LW 2026 P&amp;L'!Q32</f>
        <v>0</v>
      </c>
      <c r="R37" s="34" t="n">
        <f aca="false">IFERROR(Q37/Q$20,0)</f>
        <v>0</v>
      </c>
      <c r="S37" s="24" t="n">
        <f aca="false">'LW 2026 P&amp;L'!S32</f>
        <v>0</v>
      </c>
      <c r="T37" s="34" t="n">
        <f aca="false">IFERROR(S37/S$20,0)</f>
        <v>0</v>
      </c>
      <c r="U37" s="24" t="n">
        <f aca="false">'LW 2026 P&amp;L'!U32</f>
        <v>0</v>
      </c>
      <c r="V37" s="34" t="n">
        <f aca="false">IFERROR(U37/U$20,0)</f>
        <v>0</v>
      </c>
      <c r="W37" s="24" t="n">
        <f aca="false">'LW 2026 P&amp;L'!W32</f>
        <v>0</v>
      </c>
      <c r="X37" s="34" t="n">
        <f aca="false">IFERROR(W37/W$20,0)</f>
        <v>0</v>
      </c>
      <c r="Y37" s="24" t="n">
        <f aca="false">'LW 2026 P&amp;L'!Y32</f>
        <v>0</v>
      </c>
      <c r="Z37" s="34" t="n">
        <f aca="false">IFERROR(Y37/Y$20,0)</f>
        <v>0</v>
      </c>
      <c r="AB37" s="24" t="n">
        <f aca="false">SUM(C37,E37,G37,I37,K37,M37,O37,Q37,S37,U37,W37,Y37)</f>
        <v>0</v>
      </c>
      <c r="AC37" s="34" t="n">
        <f aca="false">IFERROR(AB37/AB$20,0)</f>
        <v>0</v>
      </c>
    </row>
    <row r="38" customFormat="false" ht="15" hidden="false" customHeight="true" outlineLevel="0" collapsed="false">
      <c r="A38" s="6" t="s">
        <v>141</v>
      </c>
      <c r="C38" s="27" t="n">
        <f aca="false">SUM(C33:C37)</f>
        <v>16909</v>
      </c>
      <c r="D38" s="35" t="n">
        <f aca="false">IFERROR(C38/C$20,0)</f>
        <v>0.946116830796777</v>
      </c>
      <c r="E38" s="27" t="n">
        <f aca="false">SUM(E33:E37)</f>
        <v>11573</v>
      </c>
      <c r="F38" s="35" t="n">
        <f aca="false">IFERROR(E38/E$20,0)</f>
        <v>0.64881986881202</v>
      </c>
      <c r="G38" s="27" t="n">
        <f aca="false">SUM(G33:G37)</f>
        <v>13272</v>
      </c>
      <c r="H38" s="35" t="n">
        <f aca="false">IFERROR(G38/G$20,0)</f>
        <v>0.501738998941479</v>
      </c>
      <c r="I38" s="27" t="n">
        <f aca="false">SUM(I33:I37)</f>
        <v>12726</v>
      </c>
      <c r="J38" s="35" t="n">
        <f aca="false">IFERROR(I38/I$20,0)</f>
        <v>0.61833730139449</v>
      </c>
      <c r="K38" s="27" t="n">
        <f aca="false">SUM(K33:K37)</f>
        <v>14210</v>
      </c>
      <c r="L38" s="35" t="n">
        <f aca="false">IFERROR(K38/K$20,0)</f>
        <v>0.571210354946336</v>
      </c>
      <c r="M38" s="27" t="n">
        <f aca="false">SUM(M33:M37)</f>
        <v>16320</v>
      </c>
      <c r="N38" s="35" t="n">
        <f aca="false">IFERROR(M38/M$20,0)</f>
        <v>0.603126501348904</v>
      </c>
      <c r="O38" s="27" t="n">
        <f aca="false">SUM(O33:O37)</f>
        <v>14210</v>
      </c>
      <c r="P38" s="35" t="n">
        <f aca="false">IFERROR(O38/O$20,0)</f>
        <v>0.553586037632943</v>
      </c>
      <c r="Q38" s="27" t="n">
        <f aca="false">SUM(Q33:Q37)</f>
        <v>11251.6133333333</v>
      </c>
      <c r="R38" s="35" t="n">
        <f aca="false">IFERROR(Q38/Q$20,0)</f>
        <v>0.364075096283314</v>
      </c>
      <c r="S38" s="27" t="n">
        <f aca="false">SUM(S33:S37)</f>
        <v>11251.6133333333</v>
      </c>
      <c r="T38" s="35" t="n">
        <f aca="false">IFERROR(S38/S$20,0)</f>
        <v>0.364075096283314</v>
      </c>
      <c r="U38" s="27" t="n">
        <f aca="false">SUM(U33:U37)</f>
        <v>11251.6133333333</v>
      </c>
      <c r="V38" s="35" t="n">
        <f aca="false">IFERROR(U38/U$20,0)</f>
        <v>0.364075096283314</v>
      </c>
      <c r="W38" s="27" t="n">
        <f aca="false">SUM(W33:W37)</f>
        <v>11251.6133333333</v>
      </c>
      <c r="X38" s="35" t="n">
        <f aca="false">IFERROR(W38/W$20,0)</f>
        <v>0.364075096283314</v>
      </c>
      <c r="Y38" s="27" t="n">
        <f aca="false">SUM(Y33:Y37)</f>
        <v>11251.6133333333</v>
      </c>
      <c r="Z38" s="35" t="n">
        <f aca="false">IFERROR(Y38/Y$20,0)</f>
        <v>0.364075096283314</v>
      </c>
      <c r="AB38" s="27" t="n">
        <f aca="false">SUM(AB33:AB37)</f>
        <v>155478.066666667</v>
      </c>
      <c r="AC38" s="35" t="n">
        <f aca="false">IFERROR(AB38/AB$20,0)</f>
        <v>0.493784558191501</v>
      </c>
    </row>
    <row r="40" customFormat="false" ht="15" hidden="false" customHeight="true" outlineLevel="0" collapsed="false">
      <c r="A40" s="6" t="s">
        <v>200</v>
      </c>
      <c r="C40" s="7" t="n">
        <f aca="false">C29+C38</f>
        <v>20743</v>
      </c>
      <c r="D40" s="8" t="n">
        <f aca="false">IFERROR(C40/C$20,0)</f>
        <v>1.16064234556849</v>
      </c>
      <c r="E40" s="7" t="n">
        <f aca="false">E29+E38</f>
        <v>17148</v>
      </c>
      <c r="F40" s="8" t="n">
        <f aca="false">IFERROR(E40/E$20,0)</f>
        <v>0.961372428098896</v>
      </c>
      <c r="G40" s="7" t="n">
        <f aca="false">G29+G38</f>
        <v>20455</v>
      </c>
      <c r="H40" s="8" t="n">
        <f aca="false">IFERROR(G40/G$20,0)</f>
        <v>0.773287464085891</v>
      </c>
      <c r="I40" s="7" t="n">
        <f aca="false">I29+I38</f>
        <v>18764</v>
      </c>
      <c r="J40" s="8" t="n">
        <f aca="false">IFERROR(I40/I$20,0)</f>
        <v>0.911714688304747</v>
      </c>
      <c r="K40" s="7" t="n">
        <f aca="false">K29+K38</f>
        <v>25581</v>
      </c>
      <c r="L40" s="8" t="n">
        <f aca="false">IFERROR(K40/K$20,0)</f>
        <v>1.02829923222253</v>
      </c>
      <c r="M40" s="7" t="n">
        <f aca="false">M29+M38</f>
        <v>29934</v>
      </c>
      <c r="N40" s="8" t="n">
        <f aca="false">IFERROR(M40/M$20,0)</f>
        <v>1.10624930706974</v>
      </c>
      <c r="O40" s="7" t="n">
        <f aca="false">O29+O38</f>
        <v>23533</v>
      </c>
      <c r="P40" s="8" t="n">
        <f aca="false">IFERROR(O40/O$20,0)</f>
        <v>0.916786785616892</v>
      </c>
      <c r="Q40" s="7" t="n">
        <f aca="false">Q29+Q38</f>
        <v>20627.6210333333</v>
      </c>
      <c r="R40" s="8" t="n">
        <f aca="false">IFERROR(Q40/Q$20,0)</f>
        <v>0.667460113613918</v>
      </c>
      <c r="S40" s="7" t="n">
        <f aca="false">S29+S38</f>
        <v>20594.6210333333</v>
      </c>
      <c r="T40" s="8" t="n">
        <f aca="false">IFERROR(S40/S$20,0)</f>
        <v>0.666392313128653</v>
      </c>
      <c r="U40" s="7" t="n">
        <f aca="false">U29+U38</f>
        <v>20629.6210333333</v>
      </c>
      <c r="V40" s="8" t="n">
        <f aca="false">IFERROR(U40/U$20,0)</f>
        <v>0.667524828794843</v>
      </c>
      <c r="W40" s="7" t="n">
        <f aca="false">W29+W38</f>
        <v>20616.6210333333</v>
      </c>
      <c r="X40" s="8" t="n">
        <f aca="false">IFERROR(W40/W$20,0)</f>
        <v>0.667104180118829</v>
      </c>
      <c r="Y40" s="7" t="n">
        <f aca="false">Y29+Y38</f>
        <v>20612.6210333333</v>
      </c>
      <c r="Z40" s="8" t="n">
        <f aca="false">IFERROR(Y40/Y$20,0)</f>
        <v>0.666974749756979</v>
      </c>
      <c r="AB40" s="7" t="n">
        <f aca="false">AB29+AB38</f>
        <v>259239.105166667</v>
      </c>
      <c r="AC40" s="8" t="n">
        <f aca="false">IFERROR(AB40/AB$20,0)</f>
        <v>0.823320419111736</v>
      </c>
    </row>
    <row r="41" customFormat="false" ht="15" hidden="false" customHeight="true" outlineLevel="0" collapsed="false">
      <c r="A41" s="6" t="s">
        <v>201</v>
      </c>
      <c r="C41" s="7" t="n">
        <f aca="false">C30-C38</f>
        <v>-2871</v>
      </c>
      <c r="D41" s="8" t="n">
        <f aca="false">IFERROR(C41/C$20,0)</f>
        <v>-0.160642345568487</v>
      </c>
      <c r="E41" s="7" t="n">
        <f aca="false">E30-E38</f>
        <v>689</v>
      </c>
      <c r="F41" s="8" t="n">
        <f aca="false">IFERROR(E41/E$20,0)</f>
        <v>0.0386275719011045</v>
      </c>
      <c r="G41" s="7" t="n">
        <f aca="false">G30-G38</f>
        <v>5997</v>
      </c>
      <c r="H41" s="8" t="n">
        <f aca="false">IFERROR(G41/G$20,0)</f>
        <v>0.226712535914109</v>
      </c>
      <c r="I41" s="7" t="n">
        <f aca="false">I30-I38</f>
        <v>1817</v>
      </c>
      <c r="J41" s="8" t="n">
        <f aca="false">IFERROR(I41/I$20,0)</f>
        <v>0.0882853116952529</v>
      </c>
      <c r="K41" s="7" t="n">
        <f aca="false">K30-K38</f>
        <v>-704</v>
      </c>
      <c r="L41" s="8" t="n">
        <f aca="false">IFERROR(K41/K$20,0)</f>
        <v>-0.0282992322225349</v>
      </c>
      <c r="M41" s="7" t="n">
        <f aca="false">M30-M38</f>
        <v>-2875</v>
      </c>
      <c r="N41" s="8" t="n">
        <f aca="false">IFERROR(M41/M$20,0)</f>
        <v>-0.106249307069737</v>
      </c>
      <c r="O41" s="7" t="n">
        <f aca="false">O30-O38</f>
        <v>2136</v>
      </c>
      <c r="P41" s="8" t="n">
        <f aca="false">IFERROR(O41/O$20,0)</f>
        <v>0.083213214383108</v>
      </c>
      <c r="Q41" s="7" t="n">
        <f aca="false">Q30-Q38</f>
        <v>10277.0287166667</v>
      </c>
      <c r="R41" s="8" t="n">
        <f aca="false">IFERROR(Q41/Q$20,0)</f>
        <v>0.332539886386082</v>
      </c>
      <c r="S41" s="7" t="n">
        <f aca="false">S30-S38</f>
        <v>10310.0287166667</v>
      </c>
      <c r="T41" s="8" t="n">
        <f aca="false">IFERROR(S41/S$20,0)</f>
        <v>0.333607686871348</v>
      </c>
      <c r="U41" s="7" t="n">
        <f aca="false">U30-U38</f>
        <v>10275.0287166667</v>
      </c>
      <c r="V41" s="8" t="n">
        <f aca="false">IFERROR(U41/U$20,0)</f>
        <v>0.332475171205157</v>
      </c>
      <c r="W41" s="7" t="n">
        <f aca="false">W30-W38</f>
        <v>10288.0287166667</v>
      </c>
      <c r="X41" s="8" t="n">
        <f aca="false">IFERROR(W41/W$20,0)</f>
        <v>0.332895819881171</v>
      </c>
      <c r="Y41" s="7" t="n">
        <f aca="false">Y30-Y38</f>
        <v>10292.0287166667</v>
      </c>
      <c r="Z41" s="8" t="n">
        <f aca="false">IFERROR(Y41/Y$20,0)</f>
        <v>0.333025250243021</v>
      </c>
      <c r="AB41" s="7" t="n">
        <f aca="false">AB30-AB38</f>
        <v>55631.1435833333</v>
      </c>
      <c r="AC41" s="8" t="n">
        <f aca="false">IFERROR(AB41/AB$20,0)</f>
        <v>0.176679580888264</v>
      </c>
    </row>
    <row r="43" customFormat="false" ht="15" hidden="false" customHeight="true" outlineLevel="0" collapsed="false">
      <c r="A43" s="6" t="s">
        <v>202</v>
      </c>
    </row>
    <row r="44" customFormat="false" ht="15" hidden="false" customHeight="true" outlineLevel="0" collapsed="false">
      <c r="A44" s="5" t="s">
        <v>558</v>
      </c>
      <c r="C44" s="24" t="n">
        <f aca="false">IF(1&gt;=MONTH($C$4),C20*'LW Assumptions'!$C$48,'LW 2026 P&amp;L'!C39)</f>
        <v>3310</v>
      </c>
      <c r="D44" s="34" t="n">
        <f aca="false">IFERROR(C44/C$20,0)</f>
        <v>0.185205908683975</v>
      </c>
      <c r="E44" s="24" t="n">
        <f aca="false">IF(2&gt;=MONTH($C$4),E20*'LW Assumptions'!$C$48,'LW 2026 P&amp;L'!E39)</f>
        <v>5119</v>
      </c>
      <c r="F44" s="34" t="n">
        <f aca="false">IFERROR(E44/E$20,0)</f>
        <v>0.286987722150586</v>
      </c>
      <c r="G44" s="24" t="n">
        <f aca="false">IF(3&gt;=MONTH($C$4),G20*'LW Assumptions'!$C$48,'LW 2026 P&amp;L'!G39)</f>
        <v>1987</v>
      </c>
      <c r="H44" s="34" t="n">
        <f aca="false">IFERROR(G44/G$20,0)</f>
        <v>0.0751171934069258</v>
      </c>
      <c r="I44" s="24" t="n">
        <f aca="false">IF(4&gt;=MONTH($C$4),I20*'LW Assumptions'!$C$48,'LW 2026 P&amp;L'!I39)</f>
        <v>4160</v>
      </c>
      <c r="J44" s="34" t="n">
        <f aca="false">IFERROR(I44/I$20,0)</f>
        <v>0.202128176473446</v>
      </c>
      <c r="K44" s="24" t="n">
        <f aca="false">IF(5&gt;=MONTH($C$4),K20*'LW Assumptions'!$C$48,'LW 2026 P&amp;L'!K39)</f>
        <v>3982</v>
      </c>
      <c r="L44" s="34" t="n">
        <f aca="false">IFERROR(K44/K$20,0)</f>
        <v>0.160067532258713</v>
      </c>
      <c r="M44" s="24" t="n">
        <f aca="false">IF(6&gt;=MONTH($C$4),M20*'LW Assumptions'!$C$48,'LW 2026 P&amp;L'!M39)</f>
        <v>3744</v>
      </c>
      <c r="N44" s="34" t="n">
        <f aca="false">IFERROR(M44/M$20,0)</f>
        <v>0.138364315015337</v>
      </c>
      <c r="O44" s="24" t="n">
        <f aca="false">IF(7&gt;=MONTH($C$4),O20*'LW Assumptions'!$C$48,'LW 2026 P&amp;L'!O39)</f>
        <v>3982</v>
      </c>
      <c r="P44" s="34" t="n">
        <f aca="false">IFERROR(O44/O$20,0)</f>
        <v>0.155128754528809</v>
      </c>
      <c r="Q44" s="24" t="n">
        <f aca="false">IF(8&gt;=MONTH($C$4),Q20*'LW Assumptions'!$C$48,'LW 2026 P&amp;L'!Q39)</f>
        <v>3863.08121875</v>
      </c>
      <c r="R44" s="34" t="n">
        <f aca="false">IFERROR(Q44/Q$20,0)</f>
        <v>0.125</v>
      </c>
      <c r="S44" s="24" t="n">
        <f aca="false">IF(9&gt;=MONTH($C$4),S20*'LW Assumptions'!$C$48,'LW 2026 P&amp;L'!S39)</f>
        <v>3863.08121875</v>
      </c>
      <c r="T44" s="34" t="n">
        <f aca="false">IFERROR(S44/S$20,0)</f>
        <v>0.125</v>
      </c>
      <c r="U44" s="24" t="n">
        <f aca="false">IF(10&gt;=MONTH($C$4),U20*'LW Assumptions'!$C$48,'LW 2026 P&amp;L'!U39)</f>
        <v>3863.08121875</v>
      </c>
      <c r="V44" s="34" t="n">
        <f aca="false">IFERROR(U44/U$20,0)</f>
        <v>0.125</v>
      </c>
      <c r="W44" s="24" t="n">
        <f aca="false">IF(11&gt;=MONTH($C$4),W20*'LW Assumptions'!$C$48,'LW 2026 P&amp;L'!W39)</f>
        <v>3863.08121875</v>
      </c>
      <c r="X44" s="34" t="n">
        <f aca="false">IFERROR(W44/W$20,0)</f>
        <v>0.125</v>
      </c>
      <c r="Y44" s="24" t="n">
        <f aca="false">IF(12&gt;=MONTH($C$4),Y20*'LW Assumptions'!$C$48,'LW 2026 P&amp;L'!Y39)</f>
        <v>3863.08121875</v>
      </c>
      <c r="Z44" s="34" t="n">
        <f aca="false">IFERROR(Y44/Y$20,0)</f>
        <v>0.125</v>
      </c>
      <c r="AB44" s="24" t="n">
        <f aca="false">SUM(C44,E44,G44,I44,K44,M44,O44,Q44,S44,U44,W44,Y44)</f>
        <v>45599.40609375</v>
      </c>
      <c r="AC44" s="34" t="n">
        <f aca="false">IFERROR(AB44/AB$20,0)</f>
        <v>0.144819671832365</v>
      </c>
    </row>
    <row r="45" customFormat="false" ht="15" hidden="false" customHeight="true" outlineLevel="0" collapsed="false">
      <c r="A45" s="5" t="s">
        <v>204</v>
      </c>
      <c r="C45" s="24" t="n">
        <f aca="false">'LW 2026 P&amp;L'!C40</f>
        <v>25</v>
      </c>
      <c r="D45" s="34" t="n">
        <f aca="false">IFERROR(C45/C$20,0)</f>
        <v>0.00139883616830797</v>
      </c>
      <c r="E45" s="24" t="n">
        <f aca="false">'LW 2026 P&amp;L'!E40</f>
        <v>0</v>
      </c>
      <c r="F45" s="34" t="n">
        <f aca="false">IFERROR(E45/E$20,0)</f>
        <v>0</v>
      </c>
      <c r="G45" s="24" t="n">
        <f aca="false">'LW 2026 P&amp;L'!G40</f>
        <v>0</v>
      </c>
      <c r="H45" s="34" t="n">
        <f aca="false">IFERROR(G45/G$20,0)</f>
        <v>0</v>
      </c>
      <c r="I45" s="24" t="n">
        <f aca="false">'LW 2026 P&amp;L'!I40</f>
        <v>0</v>
      </c>
      <c r="J45" s="34" t="n">
        <f aca="false">IFERROR(I45/I$20,0)</f>
        <v>0</v>
      </c>
      <c r="K45" s="24" t="n">
        <f aca="false">'LW 2026 P&amp;L'!K40</f>
        <v>0</v>
      </c>
      <c r="L45" s="34" t="n">
        <f aca="false">IFERROR(K45/K$20,0)</f>
        <v>0</v>
      </c>
      <c r="M45" s="24" t="n">
        <f aca="false">'LW 2026 P&amp;L'!M40</f>
        <v>0</v>
      </c>
      <c r="N45" s="34" t="n">
        <f aca="false">IFERROR(M45/M$20,0)</f>
        <v>0</v>
      </c>
      <c r="O45" s="24" t="n">
        <f aca="false">'LW 2026 P&amp;L'!O40</f>
        <v>0</v>
      </c>
      <c r="P45" s="34" t="n">
        <f aca="false">IFERROR(O45/O$20,0)</f>
        <v>0</v>
      </c>
      <c r="Q45" s="24" t="n">
        <f aca="false">'LW 2026 P&amp;L'!Q40</f>
        <v>0</v>
      </c>
      <c r="R45" s="34" t="n">
        <f aca="false">IFERROR(Q45/Q$20,0)</f>
        <v>0</v>
      </c>
      <c r="S45" s="24" t="n">
        <f aca="false">'LW 2026 P&amp;L'!S40</f>
        <v>0</v>
      </c>
      <c r="T45" s="34" t="n">
        <f aca="false">IFERROR(S45/S$20,0)</f>
        <v>0</v>
      </c>
      <c r="U45" s="24" t="n">
        <f aca="false">'LW 2026 P&amp;L'!U40</f>
        <v>0</v>
      </c>
      <c r="V45" s="34" t="n">
        <f aca="false">IFERROR(U45/U$20,0)</f>
        <v>0</v>
      </c>
      <c r="W45" s="24" t="n">
        <f aca="false">'LW 2026 P&amp;L'!W40</f>
        <v>0</v>
      </c>
      <c r="X45" s="34" t="n">
        <f aca="false">IFERROR(W45/W$20,0)</f>
        <v>0</v>
      </c>
      <c r="Y45" s="24" t="n">
        <f aca="false">'LW 2026 P&amp;L'!Y40</f>
        <v>0</v>
      </c>
      <c r="Z45" s="34" t="n">
        <f aca="false">IFERROR(Y45/Y$20,0)</f>
        <v>0</v>
      </c>
      <c r="AB45" s="24" t="n">
        <f aca="false">SUM(C45,E45,G45,I45,K45,M45,O45,Q45,S45,U45,W45,Y45)</f>
        <v>25</v>
      </c>
      <c r="AC45" s="34" t="n">
        <f aca="false">IFERROR(AB45/AB$20,0)</f>
        <v>7.93977840054665E-005</v>
      </c>
    </row>
    <row r="46" customFormat="false" ht="15" hidden="false" customHeight="true" outlineLevel="0" collapsed="false">
      <c r="A46" s="5" t="s">
        <v>205</v>
      </c>
      <c r="C46" s="24" t="n">
        <f aca="false">IF(1&gt;=MONTH($C$4),C20*'LW Assumptions'!$C$49,'LW 2026 P&amp;L'!C41)</f>
        <v>1883</v>
      </c>
      <c r="D46" s="34" t="n">
        <f aca="false">IFERROR(C46/C$20,0)</f>
        <v>0.105360340196956</v>
      </c>
      <c r="E46" s="24" t="n">
        <f aca="false">IF(2&gt;=MONTH($C$4),E20*'LW Assumptions'!$C$49,'LW 2026 P&amp;L'!E41)</f>
        <v>402</v>
      </c>
      <c r="F46" s="34" t="n">
        <f aca="false">IFERROR(E46/E$20,0)</f>
        <v>0.0225374222122554</v>
      </c>
      <c r="G46" s="24" t="n">
        <f aca="false">IF(3&gt;=MONTH($C$4),G20*'LW Assumptions'!$C$49,'LW 2026 P&amp;L'!G41)</f>
        <v>714</v>
      </c>
      <c r="H46" s="34" t="n">
        <f aca="false">IFERROR(G46/G$20,0)</f>
        <v>0.0269922879177378</v>
      </c>
      <c r="I46" s="24" t="n">
        <f aca="false">IF(4&gt;=MONTH($C$4),I20*'LW Assumptions'!$C$49,'LW 2026 P&amp;L'!I41)</f>
        <v>1340</v>
      </c>
      <c r="J46" s="34" t="n">
        <f aca="false">IFERROR(I46/I$20,0)</f>
        <v>0.0651085953063505</v>
      </c>
      <c r="K46" s="24" t="n">
        <f aca="false">IF(5&gt;=MONTH($C$4),K20*'LW Assumptions'!$C$49,'LW 2026 P&amp;L'!K41)</f>
        <v>628</v>
      </c>
      <c r="L46" s="34" t="n">
        <f aca="false">IFERROR(K46/K$20,0)</f>
        <v>0.0252442014712385</v>
      </c>
      <c r="M46" s="24" t="n">
        <f aca="false">IF(6&gt;=MONTH($C$4),M20*'LW Assumptions'!$C$49,'LW 2026 P&amp;L'!M41)</f>
        <v>1047</v>
      </c>
      <c r="N46" s="34" t="n">
        <f aca="false">IFERROR(M46/M$20,0)</f>
        <v>0.038693225913744</v>
      </c>
      <c r="O46" s="24" t="n">
        <f aca="false">IF(7&gt;=MONTH($C$4),O20*'LW Assumptions'!$C$49,'LW 2026 P&amp;L'!O41)</f>
        <v>628</v>
      </c>
      <c r="P46" s="34" t="n">
        <f aca="false">IFERROR(O46/O$20,0)</f>
        <v>0.0244653083485917</v>
      </c>
      <c r="Q46" s="24" t="n">
        <f aca="false">IF(8&gt;=MONTH($C$4),Q20*'LW Assumptions'!$C$49,'LW 2026 P&amp;L'!Q41)</f>
        <v>1081.66274125</v>
      </c>
      <c r="R46" s="34" t="n">
        <f aca="false">IFERROR(Q46/Q$20,0)</f>
        <v>0.035</v>
      </c>
      <c r="S46" s="24" t="n">
        <f aca="false">IF(9&gt;=MONTH($C$4),S20*'LW Assumptions'!$C$49,'LW 2026 P&amp;L'!S41)</f>
        <v>1081.66274125</v>
      </c>
      <c r="T46" s="34" t="n">
        <f aca="false">IFERROR(S46/S$20,0)</f>
        <v>0.035</v>
      </c>
      <c r="U46" s="24" t="n">
        <f aca="false">IF(10&gt;=MONTH($C$4),U20*'LW Assumptions'!$C$49,'LW 2026 P&amp;L'!U41)</f>
        <v>1081.66274125</v>
      </c>
      <c r="V46" s="34" t="n">
        <f aca="false">IFERROR(U46/U$20,0)</f>
        <v>0.035</v>
      </c>
      <c r="W46" s="24" t="n">
        <f aca="false">IF(11&gt;=MONTH($C$4),W20*'LW Assumptions'!$C$49,'LW 2026 P&amp;L'!W41)</f>
        <v>1081.66274125</v>
      </c>
      <c r="X46" s="34" t="n">
        <f aca="false">IFERROR(W46/W$20,0)</f>
        <v>0.035</v>
      </c>
      <c r="Y46" s="24" t="n">
        <f aca="false">IF(12&gt;=MONTH($C$4),Y20*'LW Assumptions'!$C$49,'LW 2026 P&amp;L'!Y41)</f>
        <v>1081.66274125</v>
      </c>
      <c r="Z46" s="34" t="n">
        <f aca="false">IFERROR(Y46/Y$20,0)</f>
        <v>0.035</v>
      </c>
      <c r="AB46" s="24" t="n">
        <f aca="false">SUM(C46,E46,G46,I46,K46,M46,O46,Q46,S46,U46,W46,Y46)</f>
        <v>12050.31370625</v>
      </c>
      <c r="AC46" s="34" t="n">
        <f aca="false">IFERROR(AB46/AB$20,0)</f>
        <v>0.038270728193878</v>
      </c>
    </row>
    <row r="47" customFormat="false" ht="15" hidden="false" customHeight="true" outlineLevel="0" collapsed="false">
      <c r="A47" s="5" t="s">
        <v>206</v>
      </c>
      <c r="C47" s="24" t="n">
        <f aca="false">IF(1&gt;=MONTH($C$4),C20*'LW Assumptions'!$C$50,'LW 2026 P&amp;L'!C42)</f>
        <v>1662</v>
      </c>
      <c r="D47" s="34" t="n">
        <f aca="false">IFERROR(C47/C$20,0)</f>
        <v>0.0929946284691137</v>
      </c>
      <c r="E47" s="24" t="n">
        <f aca="false">IF(2&gt;=MONTH($C$4),E20*'LW Assumptions'!$C$50,'LW 2026 P&amp;L'!E42)</f>
        <v>1547</v>
      </c>
      <c r="F47" s="34" t="n">
        <f aca="false">IFERROR(E47/E$20,0)</f>
        <v>0.0867298312496496</v>
      </c>
      <c r="G47" s="24" t="n">
        <f aca="false">IF(3&gt;=MONTH($C$4),G20*'LW Assumptions'!$C$50,'LW 2026 P&amp;L'!G42)</f>
        <v>4317</v>
      </c>
      <c r="H47" s="34" t="n">
        <f aca="false">IFERROR(G47/G$20,0)</f>
        <v>0.163201270225314</v>
      </c>
      <c r="I47" s="24" t="n">
        <f aca="false">IF(4&gt;=MONTH($C$4),I20*'LW Assumptions'!$C$50,'LW 2026 P&amp;L'!I42)</f>
        <v>1832</v>
      </c>
      <c r="J47" s="34" t="n">
        <f aca="false">IFERROR(I47/I$20,0)</f>
        <v>0.0890141392546524</v>
      </c>
      <c r="K47" s="24" t="n">
        <f aca="false">IF(5&gt;=MONTH($C$4),K20*'LW Assumptions'!$C$50,'LW 2026 P&amp;L'!K42)</f>
        <v>2670</v>
      </c>
      <c r="L47" s="34" t="n">
        <f aca="false">IFERROR(K47/K$20,0)</f>
        <v>0.107328054025807</v>
      </c>
      <c r="M47" s="24" t="n">
        <f aca="false">IF(6&gt;=MONTH($C$4),M20*'LW Assumptions'!$C$50,'LW 2026 P&amp;L'!M42)</f>
        <v>3672</v>
      </c>
      <c r="N47" s="34" t="n">
        <f aca="false">IFERROR(M47/M$20,0)</f>
        <v>0.135703462803503</v>
      </c>
      <c r="O47" s="24" t="n">
        <f aca="false">IF(7&gt;=MONTH($C$4),O20*'LW Assumptions'!$C$50,'LW 2026 P&amp;L'!O42)</f>
        <v>3392</v>
      </c>
      <c r="P47" s="34" t="n">
        <f aca="false">IFERROR(O47/O$20,0)</f>
        <v>0.132143831080291</v>
      </c>
      <c r="Q47" s="24" t="n">
        <f aca="false">IF(8&gt;=MONTH($C$4),Q20*'LW Assumptions'!$C$50,'LW 2026 P&amp;L'!Q42)</f>
        <v>2626.89522875</v>
      </c>
      <c r="R47" s="34" t="n">
        <f aca="false">IFERROR(Q47/Q$20,0)</f>
        <v>0.085</v>
      </c>
      <c r="S47" s="24" t="n">
        <f aca="false">IF(9&gt;=MONTH($C$4),S20*'LW Assumptions'!$C$50,'LW 2026 P&amp;L'!S42)</f>
        <v>2626.89522875</v>
      </c>
      <c r="T47" s="34" t="n">
        <f aca="false">IFERROR(S47/S$20,0)</f>
        <v>0.085</v>
      </c>
      <c r="U47" s="24" t="n">
        <f aca="false">IF(10&gt;=MONTH($C$4),U20*'LW Assumptions'!$C$50,'LW 2026 P&amp;L'!U42)</f>
        <v>2626.89522875</v>
      </c>
      <c r="V47" s="34" t="n">
        <f aca="false">IFERROR(U47/U$20,0)</f>
        <v>0.085</v>
      </c>
      <c r="W47" s="24" t="n">
        <f aca="false">IF(11&gt;=MONTH($C$4),W20*'LW Assumptions'!$C$50,'LW 2026 P&amp;L'!W42)</f>
        <v>2626.89522875</v>
      </c>
      <c r="X47" s="34" t="n">
        <f aca="false">IFERROR(W47/W$20,0)</f>
        <v>0.085</v>
      </c>
      <c r="Y47" s="24" t="n">
        <f aca="false">IF(12&gt;=MONTH($C$4),Y20*'LW Assumptions'!$C$50,'LW 2026 P&amp;L'!Y42)</f>
        <v>2626.89522875</v>
      </c>
      <c r="Z47" s="34" t="n">
        <f aca="false">IFERROR(Y47/Y$20,0)</f>
        <v>0.085</v>
      </c>
      <c r="AB47" s="24" t="n">
        <f aca="false">SUM(C47,E47,G47,I47,K47,M47,O47,Q47,S47,U47,W47,Y47)</f>
        <v>32226.47614375</v>
      </c>
      <c r="AC47" s="34" t="n">
        <f aca="false">IFERROR(AB47/AB$20,0)</f>
        <v>0.102348431684751</v>
      </c>
    </row>
    <row r="48" customFormat="false" ht="15" hidden="false" customHeight="true" outlineLevel="0" collapsed="false">
      <c r="A48" s="5" t="s">
        <v>207</v>
      </c>
      <c r="C48" s="24" t="n">
        <f aca="false">'LW 2026 P&amp;L'!C43</f>
        <v>0</v>
      </c>
      <c r="D48" s="34" t="n">
        <f aca="false">IFERROR(C48/C$20,0)</f>
        <v>0</v>
      </c>
      <c r="E48" s="24" t="n">
        <f aca="false">'LW 2026 P&amp;L'!E43</f>
        <v>73</v>
      </c>
      <c r="F48" s="34" t="n">
        <f aca="false">IFERROR(E48/E$20,0)</f>
        <v>0.00409261647137972</v>
      </c>
      <c r="G48" s="24" t="n">
        <f aca="false">'LW 2026 P&amp;L'!G43</f>
        <v>36</v>
      </c>
      <c r="H48" s="34" t="n">
        <f aca="false">IFERROR(G48/G$20,0)</f>
        <v>0.00136095569333132</v>
      </c>
      <c r="I48" s="24" t="n">
        <f aca="false">'LW 2026 P&amp;L'!I43</f>
        <v>73</v>
      </c>
      <c r="J48" s="34" t="n">
        <f aca="false">IFERROR(I48/I$20,0)</f>
        <v>0.0035469607890773</v>
      </c>
      <c r="K48" s="24" t="n">
        <f aca="false">'LW 2026 P&amp;L'!K43</f>
        <v>73</v>
      </c>
      <c r="L48" s="34" t="n">
        <f aca="false">IFERROR(K48/K$20,0)</f>
        <v>0.00293443743216626</v>
      </c>
      <c r="M48" s="24" t="n">
        <f aca="false">'LW 2026 P&amp;L'!M43</f>
        <v>73</v>
      </c>
      <c r="N48" s="34" t="n">
        <f aca="false">IFERROR(M48/M$20,0)</f>
        <v>0.00269780849255331</v>
      </c>
      <c r="O48" s="24" t="n">
        <f aca="false">'LW 2026 P&amp;L'!O43</f>
        <v>73</v>
      </c>
      <c r="P48" s="34" t="n">
        <f aca="false">IFERROR(O48/O$20,0)</f>
        <v>0.00284389730803693</v>
      </c>
      <c r="Q48" s="24" t="n">
        <f aca="false">'LW 2026 P&amp;L'!Q43</f>
        <v>73</v>
      </c>
      <c r="R48" s="34" t="n">
        <f aca="false">IFERROR(Q48/Q$20,0)</f>
        <v>0.0023621041037684</v>
      </c>
      <c r="S48" s="24" t="n">
        <f aca="false">'LW 2026 P&amp;L'!S43</f>
        <v>73</v>
      </c>
      <c r="T48" s="34" t="n">
        <f aca="false">IFERROR(S48/S$20,0)</f>
        <v>0.0023621041037684</v>
      </c>
      <c r="U48" s="24" t="n">
        <f aca="false">'LW 2026 P&amp;L'!U43</f>
        <v>73</v>
      </c>
      <c r="V48" s="34" t="n">
        <f aca="false">IFERROR(U48/U$20,0)</f>
        <v>0.0023621041037684</v>
      </c>
      <c r="W48" s="24" t="n">
        <f aca="false">'LW 2026 P&amp;L'!W43</f>
        <v>73</v>
      </c>
      <c r="X48" s="34" t="n">
        <f aca="false">IFERROR(W48/W$20,0)</f>
        <v>0.0023621041037684</v>
      </c>
      <c r="Y48" s="24" t="n">
        <f aca="false">'LW 2026 P&amp;L'!Y43</f>
        <v>73</v>
      </c>
      <c r="Z48" s="34" t="n">
        <f aca="false">IFERROR(Y48/Y$20,0)</f>
        <v>0.0023621041037684</v>
      </c>
      <c r="AB48" s="24" t="n">
        <f aca="false">SUM(C48,E48,G48,I48,K48,M48,O48,Q48,S48,U48,W48,Y48)</f>
        <v>766</v>
      </c>
      <c r="AC48" s="34" t="n">
        <f aca="false">IFERROR(AB48/AB$20,0)</f>
        <v>0.00243274810192749</v>
      </c>
    </row>
    <row r="49" customFormat="false" ht="15" hidden="false" customHeight="true" outlineLevel="0" collapsed="false">
      <c r="A49" s="5" t="s">
        <v>208</v>
      </c>
      <c r="C49" s="24" t="n">
        <v>0</v>
      </c>
      <c r="D49" s="34" t="n">
        <f aca="false">IFERROR(C49/C$20,0)</f>
        <v>0</v>
      </c>
      <c r="E49" s="24" t="n">
        <v>0</v>
      </c>
      <c r="F49" s="34" t="n">
        <f aca="false">IFERROR(E49/E$20,0)</f>
        <v>0</v>
      </c>
      <c r="G49" s="24" t="n">
        <v>0</v>
      </c>
      <c r="H49" s="34" t="n">
        <f aca="false">IFERROR(G49/G$20,0)</f>
        <v>0</v>
      </c>
      <c r="I49" s="24" t="n">
        <v>0</v>
      </c>
      <c r="J49" s="34" t="n">
        <f aca="false">IFERROR(I49/I$20,0)</f>
        <v>0</v>
      </c>
      <c r="K49" s="24" t="n">
        <v>0</v>
      </c>
      <c r="L49" s="34" t="n">
        <f aca="false">IFERROR(K49/K$20,0)</f>
        <v>0</v>
      </c>
      <c r="M49" s="24" t="n">
        <v>0</v>
      </c>
      <c r="N49" s="34" t="n">
        <f aca="false">IFERROR(M49/M$20,0)</f>
        <v>0</v>
      </c>
      <c r="O49" s="24" t="n">
        <v>0</v>
      </c>
      <c r="P49" s="34" t="n">
        <f aca="false">IFERROR(O49/O$20,0)</f>
        <v>0</v>
      </c>
      <c r="Q49" s="24" t="n">
        <v>0</v>
      </c>
      <c r="R49" s="34" t="n">
        <f aca="false">IFERROR(Q49/Q$20,0)</f>
        <v>0</v>
      </c>
      <c r="S49" s="24" t="n">
        <v>0</v>
      </c>
      <c r="T49" s="34" t="n">
        <f aca="false">IFERROR(S49/S$20,0)</f>
        <v>0</v>
      </c>
      <c r="U49" s="24" t="n">
        <v>0</v>
      </c>
      <c r="V49" s="34" t="n">
        <f aca="false">IFERROR(U49/U$20,0)</f>
        <v>0</v>
      </c>
      <c r="W49" s="24" t="n">
        <v>0</v>
      </c>
      <c r="X49" s="34" t="n">
        <f aca="false">IFERROR(W49/W$20,0)</f>
        <v>0</v>
      </c>
      <c r="Y49" s="24" t="n">
        <v>0</v>
      </c>
      <c r="Z49" s="34" t="n">
        <f aca="false">IFERROR(Y49/Y$20,0)</f>
        <v>0</v>
      </c>
      <c r="AB49" s="24" t="n">
        <f aca="false">SUM(C49,E49,G49,I49,K49,M49,O49,Q49,S49,U49,W49,Y49)</f>
        <v>0</v>
      </c>
      <c r="AC49" s="34" t="n">
        <f aca="false">IFERROR(AB49/AB$20,0)</f>
        <v>0</v>
      </c>
    </row>
    <row r="50" customFormat="false" ht="15" hidden="false" customHeight="true" outlineLevel="0" collapsed="false">
      <c r="A50" s="6" t="s">
        <v>209</v>
      </c>
      <c r="C50" s="27" t="n">
        <f aca="false">SUM(C44:C49)</f>
        <v>6880</v>
      </c>
      <c r="D50" s="35" t="n">
        <f aca="false">IFERROR(C50/C$20,0)</f>
        <v>0.384959713518353</v>
      </c>
      <c r="E50" s="27" t="n">
        <f aca="false">SUM(E44:E49)</f>
        <v>7141</v>
      </c>
      <c r="F50" s="35" t="n">
        <f aca="false">IFERROR(E50/E$20,0)</f>
        <v>0.400347592083871</v>
      </c>
      <c r="G50" s="27" t="n">
        <f aca="false">SUM(G44:G49)</f>
        <v>7054</v>
      </c>
      <c r="H50" s="35" t="n">
        <f aca="false">IFERROR(G50/G$20,0)</f>
        <v>0.266671707243309</v>
      </c>
      <c r="I50" s="27" t="n">
        <f aca="false">SUM(I44:I49)</f>
        <v>7405</v>
      </c>
      <c r="J50" s="35" t="n">
        <f aca="false">IFERROR(I50/I$20,0)</f>
        <v>0.359797871823527</v>
      </c>
      <c r="K50" s="27" t="n">
        <f aca="false">SUM(K44:K49)</f>
        <v>7353</v>
      </c>
      <c r="L50" s="35" t="n">
        <f aca="false">IFERROR(K50/K$20,0)</f>
        <v>0.295574225187925</v>
      </c>
      <c r="M50" s="27" t="n">
        <f aca="false">SUM(M44:M49)</f>
        <v>8536</v>
      </c>
      <c r="N50" s="35" t="n">
        <f aca="false">IFERROR(M50/M$20,0)</f>
        <v>0.315458812225138</v>
      </c>
      <c r="O50" s="27" t="n">
        <f aca="false">SUM(O44:O49)</f>
        <v>8075</v>
      </c>
      <c r="P50" s="35" t="n">
        <f aca="false">IFERROR(O50/O$20,0)</f>
        <v>0.314581791265729</v>
      </c>
      <c r="Q50" s="27" t="n">
        <f aca="false">SUM(Q44:Q49)</f>
        <v>7644.63918875</v>
      </c>
      <c r="R50" s="35" t="n">
        <f aca="false">IFERROR(Q50/Q$20,0)</f>
        <v>0.247362104103768</v>
      </c>
      <c r="S50" s="27" t="n">
        <f aca="false">SUM(S44:S49)</f>
        <v>7644.63918875</v>
      </c>
      <c r="T50" s="35" t="n">
        <f aca="false">IFERROR(S50/S$20,0)</f>
        <v>0.247362104103768</v>
      </c>
      <c r="U50" s="27" t="n">
        <f aca="false">SUM(U44:U49)</f>
        <v>7644.63918875</v>
      </c>
      <c r="V50" s="35" t="n">
        <f aca="false">IFERROR(U50/U$20,0)</f>
        <v>0.247362104103768</v>
      </c>
      <c r="W50" s="27" t="n">
        <f aca="false">SUM(W44:W49)</f>
        <v>7644.63918875</v>
      </c>
      <c r="X50" s="35" t="n">
        <f aca="false">IFERROR(W50/W$20,0)</f>
        <v>0.247362104103768</v>
      </c>
      <c r="Y50" s="27" t="n">
        <f aca="false">SUM(Y44:Y49)</f>
        <v>7644.63918875</v>
      </c>
      <c r="Z50" s="35" t="n">
        <f aca="false">IFERROR(Y50/Y$20,0)</f>
        <v>0.247362104103768</v>
      </c>
      <c r="AB50" s="27" t="n">
        <f aca="false">SUM(AB44:AB49)</f>
        <v>90667.19594375</v>
      </c>
      <c r="AC50" s="35" t="n">
        <f aca="false">IFERROR(AB50/AB$20,0)</f>
        <v>0.287950977596927</v>
      </c>
    </row>
    <row r="52" customFormat="false" ht="15" hidden="false" customHeight="true" outlineLevel="0" collapsed="false">
      <c r="A52" s="6" t="s">
        <v>210</v>
      </c>
    </row>
    <row r="53" customFormat="false" ht="15" hidden="false" customHeight="true" outlineLevel="0" collapsed="false">
      <c r="A53" s="5" t="s">
        <v>211</v>
      </c>
      <c r="C53" s="24" t="n">
        <f aca="false">'LW 2026 P&amp;L'!C47</f>
        <v>249</v>
      </c>
      <c r="D53" s="34" t="n">
        <f aca="false">IFERROR(C53/C$20,0)</f>
        <v>0.0139324082363474</v>
      </c>
      <c r="E53" s="24" t="n">
        <f aca="false">'LW 2026 P&amp;L'!E47</f>
        <v>225</v>
      </c>
      <c r="F53" s="34" t="n">
        <f aca="false">IFERROR(E53/E$20,0)</f>
        <v>0.012614228850143</v>
      </c>
      <c r="G53" s="24" t="n">
        <f aca="false">'LW 2026 P&amp;L'!G47</f>
        <v>249</v>
      </c>
      <c r="H53" s="34" t="n">
        <f aca="false">IFERROR(G53/G$20,0)</f>
        <v>0.00941327687887494</v>
      </c>
      <c r="I53" s="24" t="n">
        <f aca="false">'LW 2026 P&amp;L'!I47</f>
        <v>241</v>
      </c>
      <c r="J53" s="34" t="n">
        <f aca="false">IFERROR(I53/I$20,0)</f>
        <v>0.0117098294543511</v>
      </c>
      <c r="K53" s="24" t="n">
        <f aca="false">'LW 2026 P&amp;L'!K47</f>
        <v>249</v>
      </c>
      <c r="L53" s="34" t="n">
        <f aca="false">IFERROR(K53/K$20,0)</f>
        <v>0.0100092454878</v>
      </c>
      <c r="M53" s="24" t="n">
        <f aca="false">'LW 2026 P&amp;L'!M47</f>
        <v>241</v>
      </c>
      <c r="N53" s="34" t="n">
        <f aca="false">IFERROR(M53/M$20,0)</f>
        <v>0.00890646365349791</v>
      </c>
      <c r="O53" s="24" t="n">
        <f aca="false">'LW 2026 P&amp;L'!O47</f>
        <v>249</v>
      </c>
      <c r="P53" s="34" t="n">
        <f aca="false">IFERROR(O53/O$20,0)</f>
        <v>0.00970041684522186</v>
      </c>
      <c r="Q53" s="24" t="n">
        <f aca="false">'LW 2026 P&amp;L'!Q47</f>
        <v>249</v>
      </c>
      <c r="R53" s="34" t="n">
        <f aca="false">IFERROR(Q53/Q$20,0)</f>
        <v>0.00805704002518262</v>
      </c>
      <c r="S53" s="24" t="n">
        <f aca="false">'LW 2026 P&amp;L'!S47</f>
        <v>249</v>
      </c>
      <c r="T53" s="34" t="n">
        <f aca="false">IFERROR(S53/S$20,0)</f>
        <v>0.00805704002518262</v>
      </c>
      <c r="U53" s="24" t="n">
        <f aca="false">'LW 2026 P&amp;L'!U47</f>
        <v>249</v>
      </c>
      <c r="V53" s="34" t="n">
        <f aca="false">IFERROR(U53/U$20,0)</f>
        <v>0.00805704002518262</v>
      </c>
      <c r="W53" s="24" t="n">
        <f aca="false">'LW 2026 P&amp;L'!W47</f>
        <v>249</v>
      </c>
      <c r="X53" s="34" t="n">
        <f aca="false">IFERROR(W53/W$20,0)</f>
        <v>0.00805704002518262</v>
      </c>
      <c r="Y53" s="24" t="n">
        <f aca="false">'LW 2026 P&amp;L'!Y47</f>
        <v>249</v>
      </c>
      <c r="Z53" s="34" t="n">
        <f aca="false">IFERROR(Y53/Y$20,0)</f>
        <v>0.00805704002518262</v>
      </c>
      <c r="AB53" s="24" t="n">
        <f aca="false">SUM(C53,E53,G53,I53,K53,M53,O53,Q53,S53,U53,W53,Y53)</f>
        <v>2948</v>
      </c>
      <c r="AC53" s="34" t="n">
        <f aca="false">IFERROR(AB53/AB$20,0)</f>
        <v>0.00936258668992461</v>
      </c>
    </row>
    <row r="54" customFormat="false" ht="15" hidden="false" customHeight="true" outlineLevel="0" collapsed="false">
      <c r="A54" s="5" t="s">
        <v>212</v>
      </c>
      <c r="C54" s="24" t="n">
        <f aca="false">IF(1&gt;=MONTH($C$4),C20*'LW Assumptions'!$C$41,'LW 2026 P&amp;L'!C48)</f>
        <v>1116</v>
      </c>
      <c r="D54" s="34" t="n">
        <f aca="false">IFERROR(C54/C$20,0)</f>
        <v>0.0624440465532677</v>
      </c>
      <c r="E54" s="24" t="n">
        <f aca="false">IF(2&gt;=MONTH($C$4),E20*'LW Assumptions'!$C$41,'LW 2026 P&amp;L'!E48)</f>
        <v>1070</v>
      </c>
      <c r="F54" s="34" t="n">
        <f aca="false">IFERROR(E54/E$20,0)</f>
        <v>0.0599876660873465</v>
      </c>
      <c r="G54" s="24" t="n">
        <f aca="false">IF(3&gt;=MONTH($C$4),G20*'LW Assumptions'!$C$41,'LW 2026 P&amp;L'!G48)</f>
        <v>1587</v>
      </c>
      <c r="H54" s="34" t="n">
        <f aca="false">IFERROR(G54/G$20,0)</f>
        <v>0.0599954634810222</v>
      </c>
      <c r="I54" s="24" t="n">
        <f aca="false">IF(4&gt;=MONTH($C$4),I20*'LW Assumptions'!$C$41,'LW 2026 P&amp;L'!I48)</f>
        <v>1251</v>
      </c>
      <c r="J54" s="34" t="n">
        <f aca="false">IFERROR(I54/I$20,0)</f>
        <v>0.0607842184539138</v>
      </c>
      <c r="K54" s="24" t="n">
        <f aca="false">IF(5&gt;=MONTH($C$4),K20*'LW Assumptions'!$C$41,'LW 2026 P&amp;L'!K48)</f>
        <v>1493</v>
      </c>
      <c r="L54" s="34" t="n">
        <f aca="false">IFERROR(K54/K$20,0)</f>
        <v>0.0600152751537565</v>
      </c>
      <c r="M54" s="24" t="n">
        <f aca="false">IF(6&gt;=MONTH($C$4),M20*'LW Assumptions'!$C$41,'LW 2026 P&amp;L'!M48)</f>
        <v>1624</v>
      </c>
      <c r="N54" s="34" t="n">
        <f aca="false">IFERROR(M54/M$20,0)</f>
        <v>0.0600169998891312</v>
      </c>
      <c r="O54" s="24" t="n">
        <f aca="false">IF(7&gt;=MONTH($C$4),O20*'LW Assumptions'!$C$41,'LW 2026 P&amp;L'!O48)</f>
        <v>1540</v>
      </c>
      <c r="P54" s="34" t="n">
        <f aca="false">IFERROR(O54/O$20,0)</f>
        <v>0.0599945459503682</v>
      </c>
      <c r="Q54" s="24" t="n">
        <f aca="false">IF(8&gt;=MONTH($C$4),Q20*'LW Assumptions'!$C$41,'LW 2026 P&amp;L'!Q48)</f>
        <v>0</v>
      </c>
      <c r="R54" s="34" t="n">
        <f aca="false">IFERROR(Q54/Q$20,0)</f>
        <v>0</v>
      </c>
      <c r="S54" s="24" t="n">
        <f aca="false">IF(9&gt;=MONTH($C$4),S20*'LW Assumptions'!$C$41,'LW 2026 P&amp;L'!S48)</f>
        <v>0</v>
      </c>
      <c r="T54" s="34" t="n">
        <f aca="false">IFERROR(S54/S$20,0)</f>
        <v>0</v>
      </c>
      <c r="U54" s="24" t="n">
        <f aca="false">IF(10&gt;=MONTH($C$4),U20*'LW Assumptions'!$C$41,'LW 2026 P&amp;L'!U48)</f>
        <v>0</v>
      </c>
      <c r="V54" s="34" t="n">
        <f aca="false">IFERROR(U54/U$20,0)</f>
        <v>0</v>
      </c>
      <c r="W54" s="24" t="n">
        <f aca="false">IF(11&gt;=MONTH($C$4),W20*'LW Assumptions'!$C$41,'LW 2026 P&amp;L'!W48)</f>
        <v>0</v>
      </c>
      <c r="X54" s="34" t="n">
        <f aca="false">IFERROR(W54/W$20,0)</f>
        <v>0</v>
      </c>
      <c r="Y54" s="24" t="n">
        <f aca="false">IF(12&gt;=MONTH($C$4),Y20*'LW Assumptions'!$C$41,'LW 2026 P&amp;L'!Y48)</f>
        <v>0</v>
      </c>
      <c r="Z54" s="34" t="n">
        <f aca="false">IFERROR(Y54/Y$20,0)</f>
        <v>0</v>
      </c>
      <c r="AB54" s="24" t="n">
        <f aca="false">SUM(C54,E54,G54,I54,K54,M54,O54,Q54,S54,U54,W54,Y54)</f>
        <v>9681</v>
      </c>
      <c r="AC54" s="34" t="n">
        <f aca="false">IFERROR(AB54/AB$20,0)</f>
        <v>0.0307459978782768</v>
      </c>
    </row>
    <row r="55" customFormat="false" ht="15" hidden="false" customHeight="true" outlineLevel="0" collapsed="false">
      <c r="A55" s="5" t="s">
        <v>559</v>
      </c>
      <c r="C55" s="24" t="n">
        <f aca="false">IF(1&gt;=MONTH($C$4),C20*'LW Assumptions'!$C$52,'LW 2026 P&amp;L'!C49)</f>
        <v>522</v>
      </c>
      <c r="D55" s="34" t="n">
        <f aca="false">IFERROR(C55/C$20,0)</f>
        <v>0.0292076991942704</v>
      </c>
      <c r="E55" s="24" t="n">
        <f aca="false">IF(2&gt;=MONTH($C$4),E20*'LW Assumptions'!$C$52,'LW 2026 P&amp;L'!E49)</f>
        <v>1062</v>
      </c>
      <c r="F55" s="34" t="n">
        <f aca="false">IFERROR(E55/E$20,0)</f>
        <v>0.0595391601726748</v>
      </c>
      <c r="G55" s="24" t="n">
        <f aca="false">IF(3&gt;=MONTH($C$4),G20*'LW Assumptions'!$C$52,'LW 2026 P&amp;L'!G49)</f>
        <v>1577</v>
      </c>
      <c r="H55" s="34" t="n">
        <f aca="false">IFERROR(G55/G$20,0)</f>
        <v>0.0596174202328746</v>
      </c>
      <c r="I55" s="24" t="n">
        <f aca="false">IF(4&gt;=MONTH($C$4),I20*'LW Assumptions'!$C$52,'LW 2026 P&amp;L'!I49)</f>
        <v>629</v>
      </c>
      <c r="J55" s="34" t="n">
        <f aca="false">IFERROR(I55/I$20,0)</f>
        <v>0.0305621689908168</v>
      </c>
      <c r="K55" s="24" t="n">
        <f aca="false">IF(5&gt;=MONTH($C$4),K20*'LW Assumptions'!$C$52,'LW 2026 P&amp;L'!K49)</f>
        <v>1784</v>
      </c>
      <c r="L55" s="34" t="n">
        <f aca="false">IFERROR(K55/K$20,0)</f>
        <v>0.0717128271093781</v>
      </c>
      <c r="M55" s="24" t="n">
        <f aca="false">IF(6&gt;=MONTH($C$4),M20*'LW Assumptions'!$C$52,'LW 2026 P&amp;L'!M49)</f>
        <v>1369</v>
      </c>
      <c r="N55" s="34" t="n">
        <f aca="false">IFERROR(M55/M$20,0)</f>
        <v>0.0505931483055545</v>
      </c>
      <c r="O55" s="24" t="n">
        <f aca="false">IF(7&gt;=MONTH($C$4),O20*'LW Assumptions'!$C$52,'LW 2026 P&amp;L'!O49)</f>
        <v>1618</v>
      </c>
      <c r="P55" s="34" t="n">
        <f aca="false">IFERROR(O55/O$20,0)</f>
        <v>0.0630332307452569</v>
      </c>
      <c r="Q55" s="24" t="n">
        <f aca="false">IF(8&gt;=MONTH($C$4),Q20*'LW Assumptions'!$C$52,'LW 2026 P&amp;L'!Q49)</f>
        <v>1390.70923875</v>
      </c>
      <c r="R55" s="34" t="n">
        <f aca="false">IFERROR(Q55/Q$20,0)</f>
        <v>0.045</v>
      </c>
      <c r="S55" s="24" t="n">
        <f aca="false">IF(9&gt;=MONTH($C$4),S20*'LW Assumptions'!$C$52,'LW 2026 P&amp;L'!S49)</f>
        <v>1390.70923875</v>
      </c>
      <c r="T55" s="34" t="n">
        <f aca="false">IFERROR(S55/S$20,0)</f>
        <v>0.045</v>
      </c>
      <c r="U55" s="24" t="n">
        <f aca="false">IF(10&gt;=MONTH($C$4),U20*'LW Assumptions'!$C$52,'LW 2026 P&amp;L'!U49)</f>
        <v>1390.70923875</v>
      </c>
      <c r="V55" s="34" t="n">
        <f aca="false">IFERROR(U55/U$20,0)</f>
        <v>0.045</v>
      </c>
      <c r="W55" s="24" t="n">
        <f aca="false">IF(11&gt;=MONTH($C$4),W20*'LW Assumptions'!$C$52,'LW 2026 P&amp;L'!W49)</f>
        <v>1390.70923875</v>
      </c>
      <c r="X55" s="34" t="n">
        <f aca="false">IFERROR(W55/W$20,0)</f>
        <v>0.045</v>
      </c>
      <c r="Y55" s="24" t="n">
        <f aca="false">IF(12&gt;=MONTH($C$4),Y20*'LW Assumptions'!$C$52,'LW 2026 P&amp;L'!Y49)</f>
        <v>1390.70923875</v>
      </c>
      <c r="Z55" s="34" t="n">
        <f aca="false">IFERROR(Y55/Y$20,0)</f>
        <v>0.045</v>
      </c>
      <c r="AB55" s="24" t="n">
        <f aca="false">SUM(C55,E55,G55,I55,K55,M55,O55,Q55,S55,U55,W55,Y55)</f>
        <v>15514.54619375</v>
      </c>
      <c r="AC55" s="34" t="n">
        <f aca="false">IFERROR(AB55/AB$20,0)</f>
        <v>0.0492728235053678</v>
      </c>
    </row>
    <row r="56" customFormat="false" ht="15" hidden="false" customHeight="true" outlineLevel="0" collapsed="false">
      <c r="A56" s="5" t="s">
        <v>143</v>
      </c>
      <c r="C56" s="24" t="n">
        <f aca="false">IF(1&gt;=MONTH($C$4),C20*'LW Assumptions'!$C$40,'LW 2026 P&amp;L'!C50)</f>
        <v>4000</v>
      </c>
      <c r="D56" s="34" t="n">
        <f aca="false">IFERROR(C56/C$20,0)</f>
        <v>0.223813786929275</v>
      </c>
      <c r="E56" s="24" t="n">
        <f aca="false">IF(2&gt;=MONTH($C$4),E20*'LW Assumptions'!$C$40,'LW 2026 P&amp;L'!E50)</f>
        <v>4000</v>
      </c>
      <c r="F56" s="34" t="n">
        <f aca="false">IFERROR(E56/E$20,0)</f>
        <v>0.224252957335875</v>
      </c>
      <c r="G56" s="24" t="n">
        <f aca="false">IF(3&gt;=MONTH($C$4),G20*'LW Assumptions'!$C$40,'LW 2026 P&amp;L'!G50)</f>
        <v>4000</v>
      </c>
      <c r="H56" s="34" t="n">
        <f aca="false">IFERROR(G56/G$20,0)</f>
        <v>0.151217299259035</v>
      </c>
      <c r="I56" s="24" t="n">
        <f aca="false">IF(4&gt;=MONTH($C$4),I20*'LW Assumptions'!$C$40,'LW 2026 P&amp;L'!I50)</f>
        <v>4000</v>
      </c>
      <c r="J56" s="34" t="n">
        <f aca="false">IFERROR(I56/I$20,0)</f>
        <v>0.194354015839852</v>
      </c>
      <c r="K56" s="24" t="n">
        <f aca="false">IF(5&gt;=MONTH($C$4),K20*'LW Assumptions'!$C$40,'LW 2026 P&amp;L'!K50)</f>
        <v>4000</v>
      </c>
      <c r="L56" s="34" t="n">
        <f aca="false">IFERROR(K56/K$20,0)</f>
        <v>0.160791092173494</v>
      </c>
      <c r="M56" s="24" t="n">
        <f aca="false">IF(6&gt;=MONTH($C$4),M20*'LW Assumptions'!$C$40,'LW 2026 P&amp;L'!M50)</f>
        <v>4000</v>
      </c>
      <c r="N56" s="34" t="n">
        <f aca="false">IFERROR(M56/M$20,0)</f>
        <v>0.147825122879633</v>
      </c>
      <c r="O56" s="24" t="n">
        <f aca="false">IF(7&gt;=MONTH($C$4),O20*'LW Assumptions'!$C$40,'LW 2026 P&amp;L'!O50)</f>
        <v>4000</v>
      </c>
      <c r="P56" s="34" t="n">
        <f aca="false">IFERROR(O56/O$20,0)</f>
        <v>0.155829989481476</v>
      </c>
      <c r="Q56" s="24" t="n">
        <f aca="false">IF(8&gt;=MONTH($C$4),Q20*'LW Assumptions'!$C$40,'LW 2026 P&amp;L'!Q50)</f>
        <v>1236.18599</v>
      </c>
      <c r="R56" s="34" t="n">
        <f aca="false">IFERROR(Q56/Q$20,0)</f>
        <v>0.04</v>
      </c>
      <c r="S56" s="24" t="n">
        <f aca="false">IF(9&gt;=MONTH($C$4),S20*'LW Assumptions'!$C$40,'LW 2026 P&amp;L'!S50)</f>
        <v>1236.18599</v>
      </c>
      <c r="T56" s="34" t="n">
        <f aca="false">IFERROR(S56/S$20,0)</f>
        <v>0.04</v>
      </c>
      <c r="U56" s="24" t="n">
        <f aca="false">IF(10&gt;=MONTH($C$4),U20*'LW Assumptions'!$C$40,'LW 2026 P&amp;L'!U50)</f>
        <v>1236.18599</v>
      </c>
      <c r="V56" s="34" t="n">
        <f aca="false">IFERROR(U56/U$20,0)</f>
        <v>0.04</v>
      </c>
      <c r="W56" s="24" t="n">
        <f aca="false">IF(11&gt;=MONTH($C$4),W20*'LW Assumptions'!$C$40,'LW 2026 P&amp;L'!W50)</f>
        <v>1236.18599</v>
      </c>
      <c r="X56" s="34" t="n">
        <f aca="false">IFERROR(W56/W$20,0)</f>
        <v>0.04</v>
      </c>
      <c r="Y56" s="24" t="n">
        <f aca="false">IF(12&gt;=MONTH($C$4),Y20*'LW Assumptions'!$C$40,'LW 2026 P&amp;L'!Y50)</f>
        <v>1236.18599</v>
      </c>
      <c r="Z56" s="34" t="n">
        <f aca="false">IFERROR(Y56/Y$20,0)</f>
        <v>0.04</v>
      </c>
      <c r="AB56" s="24" t="n">
        <f aca="false">SUM(C56,E56,G56,I56,K56,M56,O56,Q56,S56,U56,W56,Y56)</f>
        <v>34180.92995</v>
      </c>
      <c r="AC56" s="34" t="n">
        <f aca="false">IFERROR(AB56/AB$20,0)</f>
        <v>0.108555603731043</v>
      </c>
    </row>
    <row r="57" customFormat="false" ht="15" hidden="false" customHeight="true" outlineLevel="0" collapsed="false">
      <c r="A57" s="5" t="s">
        <v>214</v>
      </c>
      <c r="C57" s="24" t="n">
        <v>0</v>
      </c>
      <c r="D57" s="34" t="n">
        <f aca="false">IFERROR(C57/C$20,0)</f>
        <v>0</v>
      </c>
      <c r="E57" s="24" t="n">
        <v>0</v>
      </c>
      <c r="F57" s="34" t="n">
        <f aca="false">IFERROR(E57/E$20,0)</f>
        <v>0</v>
      </c>
      <c r="G57" s="24" t="n">
        <v>0</v>
      </c>
      <c r="H57" s="34" t="n">
        <f aca="false">IFERROR(G57/G$20,0)</f>
        <v>0</v>
      </c>
      <c r="I57" s="24" t="n">
        <v>0</v>
      </c>
      <c r="J57" s="34" t="n">
        <f aca="false">IFERROR(I57/I$20,0)</f>
        <v>0</v>
      </c>
      <c r="K57" s="24" t="n">
        <v>0</v>
      </c>
      <c r="L57" s="34" t="n">
        <f aca="false">IFERROR(K57/K$20,0)</f>
        <v>0</v>
      </c>
      <c r="M57" s="24" t="n">
        <v>0</v>
      </c>
      <c r="N57" s="34" t="n">
        <f aca="false">IFERROR(M57/M$20,0)</f>
        <v>0</v>
      </c>
      <c r="O57" s="24" t="n">
        <v>0</v>
      </c>
      <c r="P57" s="34" t="n">
        <f aca="false">IFERROR(O57/O$20,0)</f>
        <v>0</v>
      </c>
      <c r="Q57" s="24" t="n">
        <v>0</v>
      </c>
      <c r="R57" s="34" t="n">
        <f aca="false">IFERROR(Q57/Q$20,0)</f>
        <v>0</v>
      </c>
      <c r="S57" s="24" t="n">
        <v>0</v>
      </c>
      <c r="T57" s="34" t="n">
        <f aca="false">IFERROR(S57/S$20,0)</f>
        <v>0</v>
      </c>
      <c r="U57" s="24" t="n">
        <v>0</v>
      </c>
      <c r="V57" s="34" t="n">
        <f aca="false">IFERROR(U57/U$20,0)</f>
        <v>0</v>
      </c>
      <c r="W57" s="24" t="n">
        <v>0</v>
      </c>
      <c r="X57" s="34" t="n">
        <f aca="false">IFERROR(W57/W$20,0)</f>
        <v>0</v>
      </c>
      <c r="Y57" s="24" t="n">
        <v>0</v>
      </c>
      <c r="Z57" s="34" t="n">
        <f aca="false">IFERROR(Y57/Y$20,0)</f>
        <v>0</v>
      </c>
      <c r="AB57" s="24" t="n">
        <f aca="false">SUM(C57,E57,G57,I57,K57,M57,O57,Q57,S57,U57,W57,Y57)</f>
        <v>0</v>
      </c>
      <c r="AC57" s="34" t="n">
        <f aca="false">IFERROR(AB57/AB$20,0)</f>
        <v>0</v>
      </c>
    </row>
    <row r="58" customFormat="false" ht="15" hidden="false" customHeight="true" outlineLevel="0" collapsed="false">
      <c r="A58" s="5" t="s">
        <v>215</v>
      </c>
      <c r="C58" s="24" t="n">
        <f aca="false">'LW 2026 P&amp;L'!C51</f>
        <v>0</v>
      </c>
      <c r="D58" s="34" t="n">
        <f aca="false">IFERROR(C58/C$20,0)</f>
        <v>0</v>
      </c>
      <c r="E58" s="24" t="n">
        <f aca="false">'LW 2026 P&amp;L'!E51</f>
        <v>0</v>
      </c>
      <c r="F58" s="34" t="n">
        <f aca="false">IFERROR(E58/E$20,0)</f>
        <v>0</v>
      </c>
      <c r="G58" s="24" t="n">
        <f aca="false">'LW 2026 P&amp;L'!G51</f>
        <v>0</v>
      </c>
      <c r="H58" s="34" t="n">
        <f aca="false">IFERROR(G58/G$20,0)</f>
        <v>0</v>
      </c>
      <c r="I58" s="24" t="n">
        <f aca="false">'LW 2026 P&amp;L'!I51</f>
        <v>0</v>
      </c>
      <c r="J58" s="34" t="n">
        <f aca="false">IFERROR(I58/I$20,0)</f>
        <v>0</v>
      </c>
      <c r="K58" s="24" t="n">
        <f aca="false">'LW 2026 P&amp;L'!K51</f>
        <v>0</v>
      </c>
      <c r="L58" s="34" t="n">
        <f aca="false">IFERROR(K58/K$20,0)</f>
        <v>0</v>
      </c>
      <c r="M58" s="24" t="n">
        <f aca="false">'LW 2026 P&amp;L'!M51</f>
        <v>0</v>
      </c>
      <c r="N58" s="34" t="n">
        <f aca="false">IFERROR(M58/M$20,0)</f>
        <v>0</v>
      </c>
      <c r="O58" s="24" t="n">
        <f aca="false">'LW 2026 P&amp;L'!O51</f>
        <v>0</v>
      </c>
      <c r="P58" s="34" t="n">
        <f aca="false">IFERROR(O58/O$20,0)</f>
        <v>0</v>
      </c>
      <c r="Q58" s="24" t="n">
        <f aca="false">'LW 2026 P&amp;L'!Q51</f>
        <v>0</v>
      </c>
      <c r="R58" s="34" t="n">
        <f aca="false">IFERROR(Q58/Q$20,0)</f>
        <v>0</v>
      </c>
      <c r="S58" s="24" t="n">
        <f aca="false">'LW 2026 P&amp;L'!S51</f>
        <v>0</v>
      </c>
      <c r="T58" s="34" t="n">
        <f aca="false">IFERROR(S58/S$20,0)</f>
        <v>0</v>
      </c>
      <c r="U58" s="24" t="n">
        <f aca="false">'LW 2026 P&amp;L'!U51</f>
        <v>0</v>
      </c>
      <c r="V58" s="34" t="n">
        <f aca="false">IFERROR(U58/U$20,0)</f>
        <v>0</v>
      </c>
      <c r="W58" s="24" t="n">
        <f aca="false">'LW 2026 P&amp;L'!W51</f>
        <v>0</v>
      </c>
      <c r="X58" s="34" t="n">
        <f aca="false">IFERROR(W58/W$20,0)</f>
        <v>0</v>
      </c>
      <c r="Y58" s="24" t="n">
        <f aca="false">'LW 2026 P&amp;L'!Y51</f>
        <v>0</v>
      </c>
      <c r="Z58" s="34" t="n">
        <f aca="false">IFERROR(Y58/Y$20,0)</f>
        <v>0</v>
      </c>
      <c r="AB58" s="24" t="n">
        <f aca="false">SUM(C58,E58,G58,I58,K58,M58,O58,Q58,S58,U58,W58,Y58)</f>
        <v>0</v>
      </c>
      <c r="AC58" s="34" t="n">
        <f aca="false">IFERROR(AB58/AB$20,0)</f>
        <v>0</v>
      </c>
    </row>
    <row r="59" customFormat="false" ht="15" hidden="false" customHeight="true" outlineLevel="0" collapsed="false">
      <c r="A59" s="5" t="s">
        <v>216</v>
      </c>
      <c r="C59" s="24" t="n">
        <f aca="false">'LW 2026 P&amp;L'!C52</f>
        <v>0</v>
      </c>
      <c r="D59" s="34" t="n">
        <f aca="false">IFERROR(C59/C$20,0)</f>
        <v>0</v>
      </c>
      <c r="E59" s="24" t="n">
        <f aca="false">'LW 2026 P&amp;L'!E52</f>
        <v>0</v>
      </c>
      <c r="F59" s="34" t="n">
        <f aca="false">IFERROR(E59/E$20,0)</f>
        <v>0</v>
      </c>
      <c r="G59" s="24" t="n">
        <f aca="false">'LW 2026 P&amp;L'!G52</f>
        <v>0</v>
      </c>
      <c r="H59" s="34" t="n">
        <f aca="false">IFERROR(G59/G$20,0)</f>
        <v>0</v>
      </c>
      <c r="I59" s="24" t="n">
        <f aca="false">'LW 2026 P&amp;L'!I52</f>
        <v>0</v>
      </c>
      <c r="J59" s="34" t="n">
        <f aca="false">IFERROR(I59/I$20,0)</f>
        <v>0</v>
      </c>
      <c r="K59" s="24" t="n">
        <f aca="false">'LW 2026 P&amp;L'!K52</f>
        <v>0</v>
      </c>
      <c r="L59" s="34" t="n">
        <f aca="false">IFERROR(K59/K$20,0)</f>
        <v>0</v>
      </c>
      <c r="M59" s="24" t="n">
        <f aca="false">'LW 2026 P&amp;L'!M52</f>
        <v>0</v>
      </c>
      <c r="N59" s="34" t="n">
        <f aca="false">IFERROR(M59/M$20,0)</f>
        <v>0</v>
      </c>
      <c r="O59" s="24" t="n">
        <f aca="false">'LW 2026 P&amp;L'!O52</f>
        <v>0</v>
      </c>
      <c r="P59" s="34" t="n">
        <f aca="false">IFERROR(O59/O$20,0)</f>
        <v>0</v>
      </c>
      <c r="Q59" s="24" t="n">
        <f aca="false">'LW 2026 P&amp;L'!Q52</f>
        <v>0</v>
      </c>
      <c r="R59" s="34" t="n">
        <f aca="false">IFERROR(Q59/Q$20,0)</f>
        <v>0</v>
      </c>
      <c r="S59" s="24" t="n">
        <f aca="false">'LW 2026 P&amp;L'!S52</f>
        <v>0</v>
      </c>
      <c r="T59" s="34" t="n">
        <f aca="false">IFERROR(S59/S$20,0)</f>
        <v>0</v>
      </c>
      <c r="U59" s="24" t="n">
        <f aca="false">'LW 2026 P&amp;L'!U52</f>
        <v>0</v>
      </c>
      <c r="V59" s="34" t="n">
        <f aca="false">IFERROR(U59/U$20,0)</f>
        <v>0</v>
      </c>
      <c r="W59" s="24" t="n">
        <f aca="false">'LW 2026 P&amp;L'!W52</f>
        <v>0</v>
      </c>
      <c r="X59" s="34" t="n">
        <f aca="false">IFERROR(W59/W$20,0)</f>
        <v>0</v>
      </c>
      <c r="Y59" s="24" t="n">
        <f aca="false">'LW 2026 P&amp;L'!Y52</f>
        <v>0</v>
      </c>
      <c r="Z59" s="34" t="n">
        <f aca="false">IFERROR(Y59/Y$20,0)</f>
        <v>0</v>
      </c>
      <c r="AB59" s="24" t="n">
        <f aca="false">SUM(C59,E59,G59,I59,K59,M59,O59,Q59,S59,U59,W59,Y59)</f>
        <v>0</v>
      </c>
      <c r="AC59" s="34" t="n">
        <f aca="false">IFERROR(AB59/AB$20,0)</f>
        <v>0</v>
      </c>
    </row>
    <row r="60" customFormat="false" ht="15" hidden="false" customHeight="true" outlineLevel="0" collapsed="false">
      <c r="A60" s="6" t="s">
        <v>217</v>
      </c>
      <c r="C60" s="27" t="n">
        <f aca="false">SUM(C53:C59)</f>
        <v>5887</v>
      </c>
      <c r="D60" s="35" t="n">
        <f aca="false">IFERROR(C60/C$20,0)</f>
        <v>0.32939794091316</v>
      </c>
      <c r="E60" s="27" t="n">
        <f aca="false">SUM(E53:E59)</f>
        <v>6357</v>
      </c>
      <c r="F60" s="35" t="n">
        <f aca="false">IFERROR(E60/E$20,0)</f>
        <v>0.356394012446039</v>
      </c>
      <c r="G60" s="27" t="n">
        <f aca="false">SUM(G53:G59)</f>
        <v>7413</v>
      </c>
      <c r="H60" s="35" t="n">
        <f aca="false">IFERROR(G60/G$20,0)</f>
        <v>0.280243459851807</v>
      </c>
      <c r="I60" s="27" t="n">
        <f aca="false">SUM(I53:I59)</f>
        <v>6121</v>
      </c>
      <c r="J60" s="35" t="n">
        <f aca="false">IFERROR(I60/I$20,0)</f>
        <v>0.297410232738934</v>
      </c>
      <c r="K60" s="27" t="n">
        <f aca="false">SUM(K53:K59)</f>
        <v>7526</v>
      </c>
      <c r="L60" s="35" t="n">
        <f aca="false">IFERROR(K60/K$20,0)</f>
        <v>0.302528439924428</v>
      </c>
      <c r="M60" s="27" t="n">
        <f aca="false">SUM(M53:M59)</f>
        <v>7234</v>
      </c>
      <c r="N60" s="35" t="n">
        <f aca="false">IFERROR(M60/M$20,0)</f>
        <v>0.267341734727817</v>
      </c>
      <c r="O60" s="27" t="n">
        <f aca="false">SUM(O53:O59)</f>
        <v>7407</v>
      </c>
      <c r="P60" s="35" t="n">
        <f aca="false">IFERROR(O60/O$20,0)</f>
        <v>0.288558183022323</v>
      </c>
      <c r="Q60" s="27" t="n">
        <f aca="false">SUM(Q53:Q59)</f>
        <v>2875.89522875</v>
      </c>
      <c r="R60" s="35" t="n">
        <f aca="false">IFERROR(Q60/Q$20,0)</f>
        <v>0.0930570400251826</v>
      </c>
      <c r="S60" s="27" t="n">
        <f aca="false">SUM(S53:S59)</f>
        <v>2875.89522875</v>
      </c>
      <c r="T60" s="35" t="n">
        <f aca="false">IFERROR(S60/S$20,0)</f>
        <v>0.0930570400251826</v>
      </c>
      <c r="U60" s="27" t="n">
        <f aca="false">SUM(U53:U59)</f>
        <v>2875.89522875</v>
      </c>
      <c r="V60" s="35" t="n">
        <f aca="false">IFERROR(U60/U$20,0)</f>
        <v>0.0930570400251826</v>
      </c>
      <c r="W60" s="27" t="n">
        <f aca="false">SUM(W53:W59)</f>
        <v>2875.89522875</v>
      </c>
      <c r="X60" s="35" t="n">
        <f aca="false">IFERROR(W60/W$20,0)</f>
        <v>0.0930570400251826</v>
      </c>
      <c r="Y60" s="27" t="n">
        <f aca="false">SUM(Y53:Y59)</f>
        <v>2875.89522875</v>
      </c>
      <c r="Z60" s="35" t="n">
        <f aca="false">IFERROR(Y60/Y$20,0)</f>
        <v>0.0930570400251826</v>
      </c>
      <c r="AB60" s="27" t="n">
        <f aca="false">SUM(AB53:AB59)</f>
        <v>62324.47614375</v>
      </c>
      <c r="AC60" s="35" t="n">
        <f aca="false">IFERROR(AB60/AB$20,0)</f>
        <v>0.197937011804612</v>
      </c>
    </row>
    <row r="62" customFormat="false" ht="15" hidden="false" customHeight="true" outlineLevel="0" collapsed="false">
      <c r="A62" s="6" t="s">
        <v>218</v>
      </c>
      <c r="C62" s="27" t="n">
        <f aca="false">C41-C50-C60</f>
        <v>-15638</v>
      </c>
      <c r="D62" s="35" t="n">
        <f aca="false">IFERROR(C62/C$20,0)</f>
        <v>-0.875</v>
      </c>
      <c r="E62" s="27" t="n">
        <f aca="false">E41-E50-E60</f>
        <v>-12809</v>
      </c>
      <c r="F62" s="35" t="n">
        <f aca="false">IFERROR(E62/E$20,0)</f>
        <v>-0.718114032628805</v>
      </c>
      <c r="G62" s="27" t="n">
        <f aca="false">G41-G50-G60</f>
        <v>-8470</v>
      </c>
      <c r="H62" s="35" t="n">
        <f aca="false">IFERROR(G62/G$20,0)</f>
        <v>-0.320202631181007</v>
      </c>
      <c r="I62" s="27" t="n">
        <f aca="false">I41-I50-I60</f>
        <v>-11709</v>
      </c>
      <c r="J62" s="35" t="n">
        <f aca="false">IFERROR(I62/I$20,0)</f>
        <v>-0.568922792867208</v>
      </c>
      <c r="K62" s="27" t="n">
        <f aca="false">K41-K50-K60</f>
        <v>-15583</v>
      </c>
      <c r="L62" s="35" t="n">
        <f aca="false">IFERROR(K62/K$20,0)</f>
        <v>-0.626401897334888</v>
      </c>
      <c r="M62" s="27" t="n">
        <f aca="false">M41-M50-M60</f>
        <v>-18645</v>
      </c>
      <c r="N62" s="35" t="n">
        <f aca="false">IFERROR(M62/M$20,0)</f>
        <v>-0.689049854022691</v>
      </c>
      <c r="O62" s="27" t="n">
        <f aca="false">O41-O50-O60</f>
        <v>-13346</v>
      </c>
      <c r="P62" s="35" t="n">
        <f aca="false">IFERROR(O62/O$20,0)</f>
        <v>-0.519926759904944</v>
      </c>
      <c r="Q62" s="27" t="n">
        <f aca="false">Q41-Q50-Q60</f>
        <v>-243.505700833331</v>
      </c>
      <c r="R62" s="35" t="n">
        <f aca="false">IFERROR(Q62/Q$20,0)</f>
        <v>-0.00787925774286863</v>
      </c>
      <c r="S62" s="27" t="n">
        <f aca="false">S41-S50-S60</f>
        <v>-210.505700833331</v>
      </c>
      <c r="T62" s="35" t="n">
        <f aca="false">IFERROR(S62/S$20,0)</f>
        <v>-0.00681145725760346</v>
      </c>
      <c r="U62" s="27" t="n">
        <f aca="false">U41-U50-U60</f>
        <v>-245.505700833331</v>
      </c>
      <c r="V62" s="35" t="n">
        <f aca="false">IFERROR(U62/U$20,0)</f>
        <v>-0.00794397292379379</v>
      </c>
      <c r="W62" s="27" t="n">
        <f aca="false">W41-W50-W60</f>
        <v>-232.505700833331</v>
      </c>
      <c r="X62" s="35" t="n">
        <f aca="false">IFERROR(W62/W$20,0)</f>
        <v>-0.00752332424778024</v>
      </c>
      <c r="Y62" s="27" t="n">
        <f aca="false">Y41-Y50-Y60</f>
        <v>-228.505700833331</v>
      </c>
      <c r="Z62" s="35" t="n">
        <f aca="false">IFERROR(Y62/Y$20,0)</f>
        <v>-0.00739389388592992</v>
      </c>
      <c r="AB62" s="27" t="n">
        <f aca="false">AB41-AB50-AB60</f>
        <v>-97360.5285041667</v>
      </c>
      <c r="AC62" s="35" t="n">
        <f aca="false">IFERROR(AB62/AB$20,0)</f>
        <v>-0.309208408513276</v>
      </c>
    </row>
    <row r="64" customFormat="false" ht="15" hidden="false" customHeight="true" outlineLevel="0" collapsed="false">
      <c r="A64" s="5" t="s">
        <v>219</v>
      </c>
      <c r="C64" s="24" t="n">
        <f aca="false">'LW 2026 P&amp;L'!C57</f>
        <v>0</v>
      </c>
      <c r="D64" s="34" t="n">
        <f aca="false">IFERROR(C64/C$20,0)</f>
        <v>0</v>
      </c>
      <c r="E64" s="24" t="n">
        <f aca="false">'LW 2026 P&amp;L'!E57</f>
        <v>0</v>
      </c>
      <c r="F64" s="34" t="n">
        <f aca="false">IFERROR(E64/E$20,0)</f>
        <v>0</v>
      </c>
      <c r="G64" s="24" t="n">
        <f aca="false">'LW 2026 P&amp;L'!G57</f>
        <v>0</v>
      </c>
      <c r="H64" s="34" t="n">
        <f aca="false">IFERROR(G64/G$20,0)</f>
        <v>0</v>
      </c>
      <c r="I64" s="24" t="n">
        <f aca="false">'LW 2026 P&amp;L'!I57</f>
        <v>0</v>
      </c>
      <c r="J64" s="34" t="n">
        <f aca="false">IFERROR(I64/I$20,0)</f>
        <v>0</v>
      </c>
      <c r="K64" s="24" t="n">
        <f aca="false">'LW 2026 P&amp;L'!K57</f>
        <v>0</v>
      </c>
      <c r="L64" s="34" t="n">
        <f aca="false">IFERROR(K64/K$20,0)</f>
        <v>0</v>
      </c>
      <c r="M64" s="24" t="n">
        <f aca="false">'LW 2026 P&amp;L'!M57</f>
        <v>0</v>
      </c>
      <c r="N64" s="34" t="n">
        <f aca="false">IFERROR(M64/M$20,0)</f>
        <v>0</v>
      </c>
      <c r="O64" s="24" t="n">
        <f aca="false">'LW 2026 P&amp;L'!O57</f>
        <v>0</v>
      </c>
      <c r="P64" s="34" t="n">
        <f aca="false">IFERROR(O64/O$20,0)</f>
        <v>0</v>
      </c>
      <c r="Q64" s="24" t="n">
        <f aca="false">'LW 2026 P&amp;L'!Q57</f>
        <v>0</v>
      </c>
      <c r="R64" s="34" t="n">
        <f aca="false">IFERROR(Q64/Q$20,0)</f>
        <v>0</v>
      </c>
      <c r="S64" s="24" t="n">
        <f aca="false">'LW 2026 P&amp;L'!S57</f>
        <v>0</v>
      </c>
      <c r="T64" s="34" t="n">
        <f aca="false">IFERROR(S64/S$20,0)</f>
        <v>0</v>
      </c>
      <c r="U64" s="24" t="n">
        <f aca="false">'LW 2026 P&amp;L'!U57</f>
        <v>0</v>
      </c>
      <c r="V64" s="34" t="n">
        <f aca="false">IFERROR(U64/U$20,0)</f>
        <v>0</v>
      </c>
      <c r="W64" s="24" t="n">
        <f aca="false">'LW 2026 P&amp;L'!W57</f>
        <v>0</v>
      </c>
      <c r="X64" s="34" t="n">
        <f aca="false">IFERROR(W64/W$20,0)</f>
        <v>0</v>
      </c>
      <c r="Y64" s="24" t="n">
        <f aca="false">'LW 2026 P&amp;L'!Y57</f>
        <v>0</v>
      </c>
      <c r="Z64" s="34" t="n">
        <f aca="false">IFERROR(Y64/Y$20,0)</f>
        <v>0</v>
      </c>
      <c r="AB64" s="24" t="n">
        <f aca="false">SUM(C64,E64,G64,I64,K64,M64,O64,Q64,S64,U64,W64,Y64)</f>
        <v>0</v>
      </c>
      <c r="AC64" s="34" t="n">
        <f aca="false">IFERROR(AB64/AB$20,0)</f>
        <v>0</v>
      </c>
    </row>
    <row r="66" customFormat="false" ht="15" hidden="false" customHeight="true" outlineLevel="0" collapsed="false">
      <c r="A66" s="6" t="s">
        <v>220</v>
      </c>
      <c r="C66" s="7" t="n">
        <f aca="false">C62-C64</f>
        <v>-15638</v>
      </c>
      <c r="D66" s="8" t="n">
        <f aca="false">IFERROR(C66/C$20,0)</f>
        <v>-0.875</v>
      </c>
      <c r="E66" s="7" t="n">
        <f aca="false">E62-E64</f>
        <v>-12809</v>
      </c>
      <c r="F66" s="8" t="n">
        <f aca="false">IFERROR(E66/E$20,0)</f>
        <v>-0.718114032628805</v>
      </c>
      <c r="G66" s="7" t="n">
        <f aca="false">G62-G64</f>
        <v>-8470</v>
      </c>
      <c r="H66" s="8" t="n">
        <f aca="false">IFERROR(G66/G$20,0)</f>
        <v>-0.320202631181007</v>
      </c>
      <c r="I66" s="7" t="n">
        <f aca="false">I62-I64</f>
        <v>-11709</v>
      </c>
      <c r="J66" s="8" t="n">
        <f aca="false">IFERROR(I66/I$20,0)</f>
        <v>-0.568922792867208</v>
      </c>
      <c r="K66" s="7" t="n">
        <f aca="false">K62-K64</f>
        <v>-15583</v>
      </c>
      <c r="L66" s="8" t="n">
        <f aca="false">IFERROR(K66/K$20,0)</f>
        <v>-0.626401897334888</v>
      </c>
      <c r="M66" s="7" t="n">
        <f aca="false">M62-M64</f>
        <v>-18645</v>
      </c>
      <c r="N66" s="8" t="n">
        <f aca="false">IFERROR(M66/M$20,0)</f>
        <v>-0.689049854022691</v>
      </c>
      <c r="O66" s="7" t="n">
        <f aca="false">O62-O64</f>
        <v>-13346</v>
      </c>
      <c r="P66" s="8" t="n">
        <f aca="false">IFERROR(O66/O$20,0)</f>
        <v>-0.519926759904944</v>
      </c>
      <c r="Q66" s="7" t="n">
        <f aca="false">Q62-Q64</f>
        <v>-243.505700833331</v>
      </c>
      <c r="R66" s="8" t="n">
        <f aca="false">IFERROR(Q66/Q$20,0)</f>
        <v>-0.00787925774286863</v>
      </c>
      <c r="S66" s="7" t="n">
        <f aca="false">S62-S64</f>
        <v>-210.505700833331</v>
      </c>
      <c r="T66" s="8" t="n">
        <f aca="false">IFERROR(S66/S$20,0)</f>
        <v>-0.00681145725760346</v>
      </c>
      <c r="U66" s="7" t="n">
        <f aca="false">U62-U64</f>
        <v>-245.505700833331</v>
      </c>
      <c r="V66" s="8" t="n">
        <f aca="false">IFERROR(U66/U$20,0)</f>
        <v>-0.00794397292379379</v>
      </c>
      <c r="W66" s="7" t="n">
        <f aca="false">W62-W64</f>
        <v>-232.505700833331</v>
      </c>
      <c r="X66" s="8" t="n">
        <f aca="false">IFERROR(W66/W$20,0)</f>
        <v>-0.00752332424778024</v>
      </c>
      <c r="Y66" s="7" t="n">
        <f aca="false">Y62-Y64</f>
        <v>-228.505700833331</v>
      </c>
      <c r="Z66" s="8" t="n">
        <f aca="false">IFERROR(Y66/Y$20,0)</f>
        <v>-0.00739389388592992</v>
      </c>
      <c r="AB66" s="7" t="n">
        <f aca="false">AB62-AB64</f>
        <v>-97360.5285041667</v>
      </c>
      <c r="AC66" s="8" t="n">
        <f aca="false">IFERROR(AB66/AB$20,0)</f>
        <v>-0.309208408513276</v>
      </c>
    </row>
    <row r="68" customFormat="false" ht="15" hidden="false" customHeight="true" outlineLevel="0" collapsed="false">
      <c r="A68" s="5" t="s">
        <v>221</v>
      </c>
      <c r="C68" s="24" t="n">
        <f aca="false">'LW 2026 P&amp;L'!C61</f>
        <v>0</v>
      </c>
      <c r="D68" s="34" t="n">
        <f aca="false">IFERROR(C68/C$20,0)</f>
        <v>0</v>
      </c>
      <c r="E68" s="24" t="n">
        <f aca="false">'LW 2026 P&amp;L'!E61</f>
        <v>0</v>
      </c>
      <c r="F68" s="34" t="n">
        <f aca="false">IFERROR(E68/E$20,0)</f>
        <v>0</v>
      </c>
      <c r="G68" s="24" t="n">
        <f aca="false">'LW 2026 P&amp;L'!G61</f>
        <v>0</v>
      </c>
      <c r="H68" s="34" t="n">
        <f aca="false">IFERROR(G68/G$20,0)</f>
        <v>0</v>
      </c>
      <c r="I68" s="24" t="n">
        <f aca="false">'LW 2026 P&amp;L'!I61</f>
        <v>0</v>
      </c>
      <c r="J68" s="34" t="n">
        <f aca="false">IFERROR(I68/I$20,0)</f>
        <v>0</v>
      </c>
      <c r="K68" s="24" t="n">
        <f aca="false">'LW 2026 P&amp;L'!K61</f>
        <v>0</v>
      </c>
      <c r="L68" s="34" t="n">
        <f aca="false">IFERROR(K68/K$20,0)</f>
        <v>0</v>
      </c>
      <c r="M68" s="24" t="n">
        <f aca="false">'LW 2026 P&amp;L'!M61</f>
        <v>0</v>
      </c>
      <c r="N68" s="34" t="n">
        <f aca="false">IFERROR(M68/M$20,0)</f>
        <v>0</v>
      </c>
      <c r="O68" s="24" t="n">
        <f aca="false">'LW 2026 P&amp;L'!O61</f>
        <v>0</v>
      </c>
      <c r="P68" s="34" t="n">
        <f aca="false">IFERROR(O68/O$20,0)</f>
        <v>0</v>
      </c>
      <c r="Q68" s="24" t="n">
        <f aca="false">'LW 2026 P&amp;L'!Q61</f>
        <v>0</v>
      </c>
      <c r="R68" s="34" t="n">
        <f aca="false">IFERROR(Q68/Q$20,0)</f>
        <v>0</v>
      </c>
      <c r="S68" s="24" t="n">
        <f aca="false">'LW 2026 P&amp;L'!S61</f>
        <v>0</v>
      </c>
      <c r="T68" s="34" t="n">
        <f aca="false">IFERROR(S68/S$20,0)</f>
        <v>0</v>
      </c>
      <c r="U68" s="24" t="n">
        <f aca="false">'LW 2026 P&amp;L'!U61</f>
        <v>0</v>
      </c>
      <c r="V68" s="34" t="n">
        <f aca="false">IFERROR(U68/U$20,0)</f>
        <v>0</v>
      </c>
      <c r="W68" s="24" t="n">
        <f aca="false">'LW 2026 P&amp;L'!W61</f>
        <v>0</v>
      </c>
      <c r="X68" s="34" t="n">
        <f aca="false">IFERROR(W68/W$20,0)</f>
        <v>0</v>
      </c>
      <c r="Y68" s="24" t="n">
        <f aca="false">'LW 2026 P&amp;L'!Y61</f>
        <v>0</v>
      </c>
      <c r="Z68" s="34" t="n">
        <f aca="false">IFERROR(Y68/Y$20,0)</f>
        <v>0</v>
      </c>
      <c r="AB68" s="24" t="n">
        <f aca="false">SUM(C68,E68,G68,I68,K68,M68,O68,Q68,S68,U68,W68,Y68)</f>
        <v>0</v>
      </c>
      <c r="AC68" s="34" t="n">
        <f aca="false">IFERROR(AB68/AB$20,0)</f>
        <v>0</v>
      </c>
    </row>
    <row r="69" customFormat="false" ht="15" hidden="false" customHeight="true" outlineLevel="0" collapsed="false">
      <c r="A69" s="5" t="s">
        <v>222</v>
      </c>
      <c r="C69" s="24" t="n">
        <f aca="false">'LW 2026 P&amp;L'!C62</f>
        <v>239</v>
      </c>
      <c r="D69" s="34" t="n">
        <f aca="false">IFERROR(C69/C$20,0)</f>
        <v>0.0133728737690242</v>
      </c>
      <c r="E69" s="24" t="n">
        <f aca="false">'LW 2026 P&amp;L'!E62</f>
        <v>217</v>
      </c>
      <c r="F69" s="34" t="n">
        <f aca="false">IFERROR(E69/E$20,0)</f>
        <v>0.0121657229354712</v>
      </c>
      <c r="G69" s="24" t="n">
        <f aca="false">'LW 2026 P&amp;L'!G62</f>
        <v>239</v>
      </c>
      <c r="H69" s="34" t="n">
        <f aca="false">IFERROR(G69/G$20,0)</f>
        <v>0.00903523363072736</v>
      </c>
      <c r="I69" s="24" t="n">
        <f aca="false">'LW 2026 P&amp;L'!I62</f>
        <v>331</v>
      </c>
      <c r="J69" s="34" t="n">
        <f aca="false">IFERROR(I69/I$20,0)</f>
        <v>0.0160827948107478</v>
      </c>
      <c r="K69" s="24" t="n">
        <f aca="false">'LW 2026 P&amp;L'!K62</f>
        <v>249</v>
      </c>
      <c r="L69" s="34" t="n">
        <f aca="false">IFERROR(K69/K$20,0)</f>
        <v>0.0100092454878</v>
      </c>
      <c r="M69" s="24" t="n">
        <f aca="false">'LW 2026 P&amp;L'!M62</f>
        <v>271</v>
      </c>
      <c r="N69" s="34" t="n">
        <f aca="false">IFERROR(M69/M$20,0)</f>
        <v>0.0100151520750952</v>
      </c>
      <c r="O69" s="24" t="n">
        <f aca="false">'LW 2026 P&amp;L'!O62</f>
        <v>249</v>
      </c>
      <c r="P69" s="34" t="n">
        <f aca="false">IFERROR(O69/O$20,0)</f>
        <v>0.00970041684522186</v>
      </c>
      <c r="Q69" s="24" t="n">
        <f aca="false">'LW 2026 P&amp;L'!Q62</f>
        <v>249</v>
      </c>
      <c r="R69" s="34" t="n">
        <f aca="false">IFERROR(Q69/Q$20,0)</f>
        <v>0.00805704002518262</v>
      </c>
      <c r="S69" s="24" t="n">
        <f aca="false">'LW 2026 P&amp;L'!S62</f>
        <v>249</v>
      </c>
      <c r="T69" s="34" t="n">
        <f aca="false">IFERROR(S69/S$20,0)</f>
        <v>0.00805704002518262</v>
      </c>
      <c r="U69" s="24" t="n">
        <f aca="false">'LW 2026 P&amp;L'!U62</f>
        <v>249</v>
      </c>
      <c r="V69" s="34" t="n">
        <f aca="false">IFERROR(U69/U$20,0)</f>
        <v>0.00805704002518262</v>
      </c>
      <c r="W69" s="24" t="n">
        <f aca="false">'LW 2026 P&amp;L'!W62</f>
        <v>249</v>
      </c>
      <c r="X69" s="34" t="n">
        <f aca="false">IFERROR(W69/W$20,0)</f>
        <v>0.00805704002518262</v>
      </c>
      <c r="Y69" s="24" t="n">
        <f aca="false">'LW 2026 P&amp;L'!Y62</f>
        <v>249</v>
      </c>
      <c r="Z69" s="34" t="n">
        <f aca="false">IFERROR(Y69/Y$20,0)</f>
        <v>0.00805704002518262</v>
      </c>
      <c r="AB69" s="24" t="n">
        <f aca="false">SUM(C69,E69,G69,I69,K69,M69,O69,Q69,S69,U69,W69,Y69)</f>
        <v>3040</v>
      </c>
      <c r="AC69" s="34" t="n">
        <f aca="false">IFERROR(AB69/AB$20,0)</f>
        <v>0.00965477053506472</v>
      </c>
    </row>
    <row r="70" customFormat="false" ht="15" hidden="false" customHeight="true" outlineLevel="0" collapsed="false">
      <c r="A70" s="6" t="s">
        <v>223</v>
      </c>
      <c r="C70" s="36" t="n">
        <f aca="false">C66-C68-C69</f>
        <v>-15877</v>
      </c>
      <c r="D70" s="37" t="n">
        <f aca="false">IFERROR(C70/C$20,0)</f>
        <v>-0.888372873769024</v>
      </c>
      <c r="E70" s="36" t="n">
        <f aca="false">E66-E68-E69</f>
        <v>-13026</v>
      </c>
      <c r="F70" s="37" t="n">
        <f aca="false">IFERROR(E70/E$20,0)</f>
        <v>-0.730279755564277</v>
      </c>
      <c r="G70" s="36" t="n">
        <f aca="false">G66-G68-G69</f>
        <v>-8709</v>
      </c>
      <c r="H70" s="37" t="n">
        <f aca="false">IFERROR(G70/G$20,0)</f>
        <v>-0.329237864811734</v>
      </c>
      <c r="I70" s="36" t="n">
        <f aca="false">I66-I68-I69</f>
        <v>-12040</v>
      </c>
      <c r="J70" s="37" t="n">
        <f aca="false">IFERROR(I70/I$20,0)</f>
        <v>-0.585005587677955</v>
      </c>
      <c r="K70" s="36" t="n">
        <f aca="false">K66-K68-K69</f>
        <v>-15832</v>
      </c>
      <c r="L70" s="37" t="n">
        <f aca="false">IFERROR(K70/K$20,0)</f>
        <v>-0.636411142822688</v>
      </c>
      <c r="M70" s="36" t="n">
        <f aca="false">M66-M68-M69</f>
        <v>-18916</v>
      </c>
      <c r="N70" s="37" t="n">
        <f aca="false">IFERROR(M70/M$20,0)</f>
        <v>-0.699065006097786</v>
      </c>
      <c r="O70" s="36" t="n">
        <f aca="false">O66-O68-O69</f>
        <v>-13595</v>
      </c>
      <c r="P70" s="37" t="n">
        <f aca="false">IFERROR(O70/O$20,0)</f>
        <v>-0.529627176750166</v>
      </c>
      <c r="Q70" s="36" t="n">
        <f aca="false">Q66-Q68-Q69</f>
        <v>-492.505700833331</v>
      </c>
      <c r="R70" s="37" t="n">
        <f aca="false">IFERROR(Q70/Q$20,0)</f>
        <v>-0.0159362977680513</v>
      </c>
      <c r="S70" s="36" t="n">
        <f aca="false">S66-S68-S69</f>
        <v>-459.505700833331</v>
      </c>
      <c r="T70" s="37" t="n">
        <f aca="false">IFERROR(S70/S$20,0)</f>
        <v>-0.0148684972827861</v>
      </c>
      <c r="U70" s="36" t="n">
        <f aca="false">U66-U68-U69</f>
        <v>-494.505700833331</v>
      </c>
      <c r="V70" s="37" t="n">
        <f aca="false">IFERROR(U70/U$20,0)</f>
        <v>-0.0160010129489764</v>
      </c>
      <c r="W70" s="36" t="n">
        <f aca="false">W66-W68-W69</f>
        <v>-481.505700833331</v>
      </c>
      <c r="X70" s="37" t="n">
        <f aca="false">IFERROR(W70/W$20,0)</f>
        <v>-0.0155803642729629</v>
      </c>
      <c r="Y70" s="36" t="n">
        <f aca="false">Y66-Y68-Y69</f>
        <v>-477.505700833331</v>
      </c>
      <c r="Z70" s="37" t="n">
        <f aca="false">IFERROR(Y70/Y$20,0)</f>
        <v>-0.0154509339111125</v>
      </c>
      <c r="AB70" s="36" t="n">
        <f aca="false">AB66-AB68-AB69</f>
        <v>-100400.528504167</v>
      </c>
      <c r="AC70" s="37" t="n">
        <f aca="false">IFERROR(AB70/AB$20,0)</f>
        <v>-0.31886317904834</v>
      </c>
    </row>
    <row r="72" customFormat="false" ht="15" hidden="false" customHeight="true" outlineLevel="0" collapsed="false">
      <c r="A72" s="3" t="s">
        <v>560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158</v>
      </c>
    </row>
    <row r="2" customFormat="false" ht="15" hidden="false" customHeight="true" outlineLevel="0" collapsed="false">
      <c r="A2" s="2" t="s">
        <v>561</v>
      </c>
    </row>
    <row r="3" customFormat="false" ht="15" hidden="false" customHeight="true" outlineLevel="0" collapsed="false">
      <c r="A3" s="2" t="s">
        <v>550</v>
      </c>
    </row>
    <row r="4" customFormat="false" ht="15" hidden="false" customHeight="true" outlineLevel="0" collapsed="false">
      <c r="A4" s="6" t="s">
        <v>562</v>
      </c>
      <c r="C4" s="116" t="n">
        <v>46235</v>
      </c>
      <c r="D4" s="3" t="s">
        <v>563</v>
      </c>
      <c r="E4" s="6" t="s">
        <v>564</v>
      </c>
      <c r="G4" s="116" t="n">
        <v>46266</v>
      </c>
      <c r="H4" s="3" t="s">
        <v>565</v>
      </c>
    </row>
    <row r="5" customFormat="false" ht="15" hidden="false" customHeight="true" outlineLevel="0" collapsed="false">
      <c r="C5" s="30" t="s">
        <v>241</v>
      </c>
      <c r="D5" s="30"/>
      <c r="E5" s="30" t="s">
        <v>242</v>
      </c>
      <c r="F5" s="30"/>
      <c r="G5" s="30" t="s">
        <v>243</v>
      </c>
      <c r="H5" s="30"/>
      <c r="I5" s="30" t="s">
        <v>244</v>
      </c>
      <c r="J5" s="30"/>
      <c r="K5" s="30" t="s">
        <v>231</v>
      </c>
      <c r="L5" s="30"/>
      <c r="M5" s="30" t="s">
        <v>245</v>
      </c>
      <c r="N5" s="30"/>
      <c r="O5" s="30" t="s">
        <v>246</v>
      </c>
      <c r="P5" s="30"/>
      <c r="Q5" s="30" t="s">
        <v>247</v>
      </c>
      <c r="R5" s="30"/>
      <c r="S5" s="30" t="s">
        <v>248</v>
      </c>
      <c r="T5" s="30"/>
      <c r="U5" s="30" t="s">
        <v>249</v>
      </c>
      <c r="V5" s="30"/>
      <c r="W5" s="30" t="s">
        <v>250</v>
      </c>
      <c r="X5" s="30"/>
      <c r="Y5" s="30" t="s">
        <v>251</v>
      </c>
      <c r="Z5" s="30"/>
      <c r="AB5" s="30" t="s">
        <v>375</v>
      </c>
      <c r="AC5" s="30"/>
    </row>
    <row r="6" customFormat="false" ht="15" hidden="false" customHeight="true" outlineLevel="0" collapsed="false">
      <c r="C6" s="32" t="s">
        <v>376</v>
      </c>
      <c r="D6" s="32"/>
      <c r="E6" s="32" t="s">
        <v>376</v>
      </c>
      <c r="F6" s="32"/>
      <c r="G6" s="32" t="s">
        <v>376</v>
      </c>
      <c r="H6" s="32"/>
      <c r="I6" s="32" t="s">
        <v>376</v>
      </c>
      <c r="J6" s="32"/>
      <c r="K6" s="32" t="s">
        <v>376</v>
      </c>
      <c r="L6" s="32"/>
      <c r="M6" s="32" t="s">
        <v>376</v>
      </c>
      <c r="N6" s="32"/>
      <c r="O6" s="32" t="s">
        <v>553</v>
      </c>
      <c r="P6" s="32"/>
      <c r="Q6" s="32" t="s">
        <v>553</v>
      </c>
      <c r="R6" s="32"/>
      <c r="S6" s="32" t="s">
        <v>553</v>
      </c>
      <c r="T6" s="32"/>
      <c r="U6" s="32" t="s">
        <v>553</v>
      </c>
      <c r="V6" s="32"/>
      <c r="W6" s="32" t="s">
        <v>553</v>
      </c>
      <c r="X6" s="32"/>
      <c r="Y6" s="32" t="s">
        <v>553</v>
      </c>
      <c r="Z6" s="32"/>
      <c r="AB6" s="32" t="s">
        <v>554</v>
      </c>
      <c r="AC6" s="32"/>
    </row>
    <row r="7" customFormat="false" ht="15" hidden="false" customHeight="true" outlineLevel="0" collapsed="false">
      <c r="C7" s="31" t="s">
        <v>176</v>
      </c>
      <c r="D7" s="31" t="s">
        <v>177</v>
      </c>
      <c r="E7" s="31" t="s">
        <v>176</v>
      </c>
      <c r="F7" s="31" t="s">
        <v>177</v>
      </c>
      <c r="G7" s="31" t="s">
        <v>176</v>
      </c>
      <c r="H7" s="31" t="s">
        <v>177</v>
      </c>
      <c r="I7" s="31" t="s">
        <v>176</v>
      </c>
      <c r="J7" s="31" t="s">
        <v>177</v>
      </c>
      <c r="K7" s="31" t="s">
        <v>176</v>
      </c>
      <c r="L7" s="31" t="s">
        <v>177</v>
      </c>
      <c r="M7" s="31" t="s">
        <v>176</v>
      </c>
      <c r="N7" s="31" t="s">
        <v>177</v>
      </c>
      <c r="O7" s="31" t="s">
        <v>176</v>
      </c>
      <c r="P7" s="31" t="s">
        <v>177</v>
      </c>
      <c r="Q7" s="31" t="s">
        <v>176</v>
      </c>
      <c r="R7" s="31" t="s">
        <v>177</v>
      </c>
      <c r="S7" s="31" t="s">
        <v>176</v>
      </c>
      <c r="T7" s="31" t="s">
        <v>177</v>
      </c>
      <c r="U7" s="31" t="s">
        <v>176</v>
      </c>
      <c r="V7" s="31" t="s">
        <v>177</v>
      </c>
      <c r="W7" s="31" t="s">
        <v>176</v>
      </c>
      <c r="X7" s="31" t="s">
        <v>177</v>
      </c>
      <c r="Y7" s="31" t="s">
        <v>176</v>
      </c>
      <c r="Z7" s="31" t="s">
        <v>177</v>
      </c>
      <c r="AB7" s="31" t="s">
        <v>176</v>
      </c>
      <c r="AC7" s="31" t="s">
        <v>177</v>
      </c>
    </row>
    <row r="11" customFormat="false" ht="15" hidden="false" customHeight="true" outlineLevel="0" collapsed="false">
      <c r="A11" s="6" t="s">
        <v>178</v>
      </c>
    </row>
    <row r="12" customFormat="false" ht="15" hidden="false" customHeight="true" outlineLevel="0" collapsed="false">
      <c r="A12" s="5" t="s">
        <v>179</v>
      </c>
      <c r="C12" s="24" t="n">
        <f aca="false">'Vessel 2026 P&amp;L'!C9</f>
        <v>28343</v>
      </c>
      <c r="D12" s="34" t="n">
        <f aca="false">IFERROR(C12/C$20,0)</f>
        <v>0.743559473214754</v>
      </c>
      <c r="E12" s="24" t="n">
        <f aca="false">'Vessel 2026 P&amp;L'!E9</f>
        <v>9119</v>
      </c>
      <c r="F12" s="34" t="n">
        <f aca="false">IFERROR(E12/E$20,0)</f>
        <v>0.546309609393722</v>
      </c>
      <c r="G12" s="24" t="n">
        <f aca="false">'Vessel 2026 P&amp;L'!G9</f>
        <v>21950</v>
      </c>
      <c r="H12" s="34" t="n">
        <f aca="false">IFERROR(G12/G$20,0)</f>
        <v>0.551438261524934</v>
      </c>
      <c r="I12" s="24" t="n">
        <f aca="false">'Vessel 2026 P&amp;L'!I9</f>
        <v>4645</v>
      </c>
      <c r="J12" s="34" t="n">
        <f aca="false">IFERROR(I12/I$20,0)</f>
        <v>0.37079907400016</v>
      </c>
      <c r="K12" s="24" t="n">
        <f aca="false">'Vessel 2026 P&amp;L'!K9</f>
        <v>14241</v>
      </c>
      <c r="L12" s="34" t="n">
        <f aca="false">IFERROR(K12/K$20,0)</f>
        <v>0.347859009746208</v>
      </c>
      <c r="M12" s="24" t="n">
        <f aca="false">'Vessel 2026 P&amp;L'!M9</f>
        <v>15390</v>
      </c>
      <c r="N12" s="34" t="n">
        <f aca="false">IFERROR(M12/M$20,0)</f>
        <v>0.335857538790564</v>
      </c>
      <c r="O12" s="24" t="n">
        <f aca="false">'Vessel 2026 P&amp;L'!O9</f>
        <v>11504</v>
      </c>
      <c r="P12" s="34" t="n">
        <f aca="false">IFERROR(O12/O$20,0)</f>
        <v>0.347868158451769</v>
      </c>
      <c r="Q12" s="24" t="n">
        <f aca="false">'Vessel 2026 P&amp;L'!Q9</f>
        <v>8697</v>
      </c>
      <c r="R12" s="34" t="n">
        <f aca="false">IFERROR(Q12/Q$20,0)</f>
        <v>0.347866085356586</v>
      </c>
      <c r="S12" s="24" t="n">
        <f aca="false">'Vessel 2026 P&amp;L'!S9</f>
        <v>8697</v>
      </c>
      <c r="T12" s="34" t="n">
        <f aca="false">IFERROR(S12/S$20,0)</f>
        <v>0.338421129432365</v>
      </c>
      <c r="U12" s="24" t="n">
        <f aca="false">'Vessel 2026 P&amp;L'!U9</f>
        <v>6957</v>
      </c>
      <c r="V12" s="34" t="n">
        <f aca="false">IFERROR(U12/U$20,0)</f>
        <v>0.33840593633182</v>
      </c>
      <c r="W12" s="24" t="n">
        <f aca="false">'Vessel 2026 P&amp;L'!W9</f>
        <v>6957</v>
      </c>
      <c r="X12" s="34" t="n">
        <f aca="false">IFERROR(W12/W$20,0)</f>
        <v>0.33840593633182</v>
      </c>
      <c r="Y12" s="24" t="n">
        <f aca="false">'Vessel 2026 P&amp;L'!Y9</f>
        <v>12175</v>
      </c>
      <c r="Z12" s="34" t="n">
        <f aca="false">IFERROR(Y12/Y$20,0)</f>
        <v>0.338422409539759</v>
      </c>
      <c r="AB12" s="24" t="n">
        <f aca="false">SUM(C12,E12,G12,I12,K12,M12,O12,Q12,S12,U12,W12,Y12)</f>
        <v>148675</v>
      </c>
      <c r="AC12" s="34" t="n">
        <f aca="false">IFERROR(AB12/AB$20,0)</f>
        <v>0.419079291183085</v>
      </c>
    </row>
    <row r="13" customFormat="false" ht="15" hidden="false" customHeight="true" outlineLevel="0" collapsed="false">
      <c r="A13" s="5" t="s">
        <v>180</v>
      </c>
      <c r="C13" s="24" t="n">
        <f aca="false">'Vessel 2026 P&amp;L'!C10</f>
        <v>5992</v>
      </c>
      <c r="D13" s="34" t="n">
        <f aca="false">IFERROR(C13/C$20,0)</f>
        <v>0.157196075344981</v>
      </c>
      <c r="E13" s="24" t="n">
        <f aca="false">'Vessel 2026 P&amp;L'!E10</f>
        <v>4542</v>
      </c>
      <c r="F13" s="34" t="n">
        <f aca="false">IFERROR(E13/E$20,0)</f>
        <v>0.272106398274623</v>
      </c>
      <c r="G13" s="24" t="n">
        <f aca="false">'Vessel 2026 P&amp;L'!G10</f>
        <v>3907</v>
      </c>
      <c r="H13" s="34" t="n">
        <f aca="false">IFERROR(G13/G$20,0)</f>
        <v>0.0981534983042331</v>
      </c>
      <c r="I13" s="24" t="n">
        <f aca="false">'Vessel 2026 P&amp;L'!I10</f>
        <v>1012</v>
      </c>
      <c r="J13" s="34" t="n">
        <f aca="false">IFERROR(I13/I$20,0)</f>
        <v>0.0807855033128443</v>
      </c>
      <c r="K13" s="24" t="n">
        <f aca="false">'Vessel 2026 P&amp;L'!K10</f>
        <v>2090</v>
      </c>
      <c r="L13" s="34" t="n">
        <f aca="false">IFERROR(K13/K$20,0)</f>
        <v>0.0510515645228266</v>
      </c>
      <c r="M13" s="24" t="n">
        <f aca="false">'Vessel 2026 P&amp;L'!M10</f>
        <v>2193</v>
      </c>
      <c r="N13" s="34" t="n">
        <f aca="false">IFERROR(M13/M$20,0)</f>
        <v>0.0478580625450102</v>
      </c>
      <c r="O13" s="24" t="n">
        <f aca="false">'Vessel 2026 P&amp;L'!O10</f>
        <v>1688</v>
      </c>
      <c r="P13" s="34" t="n">
        <f aca="false">IFERROR(O13/O$20,0)</f>
        <v>0.0510432416087088</v>
      </c>
      <c r="Q13" s="24" t="n">
        <f aca="false">'Vessel 2026 P&amp;L'!Q10</f>
        <v>1276</v>
      </c>
      <c r="R13" s="34" t="n">
        <f aca="false">IFERROR(Q13/Q$20,0)</f>
        <v>0.0510379584816607</v>
      </c>
      <c r="S13" s="24" t="n">
        <f aca="false">'Vessel 2026 P&amp;L'!S10</f>
        <v>1276</v>
      </c>
      <c r="T13" s="34" t="n">
        <f aca="false">IFERROR(S13/S$20,0)</f>
        <v>0.0496522204387373</v>
      </c>
      <c r="U13" s="24" t="n">
        <f aca="false">'Vessel 2026 P&amp;L'!U10</f>
        <v>1021</v>
      </c>
      <c r="V13" s="34" t="n">
        <f aca="false">IFERROR(U13/U$20,0)</f>
        <v>0.0496640018678724</v>
      </c>
      <c r="W13" s="24" t="n">
        <f aca="false">'Vessel 2026 P&amp;L'!W10</f>
        <v>1021</v>
      </c>
      <c r="X13" s="34" t="n">
        <f aca="false">IFERROR(W13/W$20,0)</f>
        <v>0.0496640018678724</v>
      </c>
      <c r="Y13" s="24" t="n">
        <f aca="false">'Vessel 2026 P&amp;L'!Y10</f>
        <v>1786</v>
      </c>
      <c r="Z13" s="34" t="n">
        <f aca="false">IFERROR(Y13/Y$20,0)</f>
        <v>0.0496445522331015</v>
      </c>
      <c r="AB13" s="24" t="n">
        <f aca="false">SUM(C13,E13,G13,I13,K13,M13,O13,Q13,S13,U13,W13,Y13)</f>
        <v>27804</v>
      </c>
      <c r="AC13" s="34" t="n">
        <f aca="false">IFERROR(AB13/AB$20,0)</f>
        <v>0.078372830752006</v>
      </c>
    </row>
    <row r="14" customFormat="false" ht="15" hidden="false" customHeight="true" outlineLevel="0" collapsed="false">
      <c r="A14" s="5" t="s">
        <v>181</v>
      </c>
      <c r="C14" s="24" t="n">
        <f aca="false">'Vessel 2026 P&amp;L'!C11</f>
        <v>1351</v>
      </c>
      <c r="D14" s="34" t="n">
        <f aca="false">IFERROR(C14/C$20,0)</f>
        <v>0.0354425730625951</v>
      </c>
      <c r="E14" s="24" t="n">
        <f aca="false">'Vessel 2026 P&amp;L'!E11</f>
        <v>2141</v>
      </c>
      <c r="F14" s="34" t="n">
        <f aca="false">IFERROR(E14/E$20,0)</f>
        <v>0.128265037143542</v>
      </c>
      <c r="G14" s="24" t="n">
        <f aca="false">'Vessel 2026 P&amp;L'!G11</f>
        <v>10278</v>
      </c>
      <c r="H14" s="34" t="n">
        <f aca="false">IFERROR(G14/G$20,0)</f>
        <v>0.258208767742746</v>
      </c>
      <c r="I14" s="24" t="n">
        <f aca="false">'Vessel 2026 P&amp;L'!I11</f>
        <v>1836</v>
      </c>
      <c r="J14" s="34" t="n">
        <f aca="false">IFERROR(I14/I$20,0)</f>
        <v>0.146563423006306</v>
      </c>
      <c r="K14" s="24" t="n">
        <f aca="false">'Vessel 2026 P&amp;L'!K11</f>
        <v>5557</v>
      </c>
      <c r="L14" s="34" t="n">
        <f aca="false">IFERROR(K14/K$20,0)</f>
        <v>0.135738537824568</v>
      </c>
      <c r="M14" s="24" t="n">
        <f aca="false">'Vessel 2026 P&amp;L'!M11</f>
        <v>4142</v>
      </c>
      <c r="N14" s="34" t="n">
        <f aca="false">IFERROR(M14/M$20,0)</f>
        <v>0.0903912882177073</v>
      </c>
      <c r="O14" s="24" t="n">
        <f aca="false">'Vessel 2026 P&amp;L'!O11</f>
        <v>4489</v>
      </c>
      <c r="P14" s="34" t="n">
        <f aca="false">IFERROR(O14/O$20,0)</f>
        <v>0.13574236468098</v>
      </c>
      <c r="Q14" s="24" t="n">
        <f aca="false">'Vessel 2026 P&amp;L'!Q11</f>
        <v>3394</v>
      </c>
      <c r="R14" s="34" t="n">
        <f aca="false">IFERROR(Q14/Q$20,0)</f>
        <v>0.135754569817207</v>
      </c>
      <c r="S14" s="24" t="n">
        <f aca="false">'Vessel 2026 P&amp;L'!S11</f>
        <v>3394</v>
      </c>
      <c r="T14" s="34" t="n">
        <f aca="false">IFERROR(S14/S$20,0)</f>
        <v>0.132068680383287</v>
      </c>
      <c r="U14" s="24" t="n">
        <f aca="false">'Vessel 2026 P&amp;L'!U11</f>
        <v>2715</v>
      </c>
      <c r="V14" s="34" t="n">
        <f aca="false">IFERROR(U14/U$20,0)</f>
        <v>0.13206441241065</v>
      </c>
      <c r="W14" s="24" t="n">
        <f aca="false">'Vessel 2026 P&amp;L'!W11</f>
        <v>2715</v>
      </c>
      <c r="X14" s="34" t="n">
        <f aca="false">IFERROR(W14/W$20,0)</f>
        <v>0.13206441241065</v>
      </c>
      <c r="Y14" s="24" t="n">
        <f aca="false">'Vessel 2026 P&amp;L'!Y11</f>
        <v>4751</v>
      </c>
      <c r="Z14" s="34" t="n">
        <f aca="false">IFERROR(Y14/Y$20,0)</f>
        <v>0.132061180100484</v>
      </c>
      <c r="AB14" s="24" t="n">
        <f aca="false">SUM(C14,E14,G14,I14,K14,M14,O14,Q14,S14,U14,W14,Y14)</f>
        <v>46763</v>
      </c>
      <c r="AC14" s="34" t="n">
        <f aca="false">IFERROR(AB14/AB$20,0)</f>
        <v>0.131813720488277</v>
      </c>
    </row>
    <row r="15" customFormat="false" ht="15" hidden="false" customHeight="true" outlineLevel="0" collapsed="false">
      <c r="A15" s="5" t="s">
        <v>182</v>
      </c>
      <c r="C15" s="24" t="n">
        <f aca="false">'Vessel 2026 P&amp;L'!C12</f>
        <v>40</v>
      </c>
      <c r="D15" s="34" t="n">
        <f aca="false">IFERROR(C15/C$20,0)</f>
        <v>0.00104937299963272</v>
      </c>
      <c r="E15" s="24" t="n">
        <f aca="false">'Vessel 2026 P&amp;L'!E12</f>
        <v>0</v>
      </c>
      <c r="F15" s="34" t="n">
        <f aca="false">IFERROR(E15/E$20,0)</f>
        <v>0</v>
      </c>
      <c r="G15" s="24" t="n">
        <f aca="false">'Vessel 2026 P&amp;L'!G12</f>
        <v>187</v>
      </c>
      <c r="H15" s="34" t="n">
        <f aca="false">IFERROR(G15/G$20,0)</f>
        <v>0.00469790227358372</v>
      </c>
      <c r="I15" s="24" t="n">
        <f aca="false">'Vessel 2026 P&amp;L'!I12</f>
        <v>34</v>
      </c>
      <c r="J15" s="34" t="n">
        <f aca="false">IFERROR(I15/I$20,0)</f>
        <v>0.00271413746307975</v>
      </c>
      <c r="K15" s="24" t="n">
        <f aca="false">'Vessel 2026 P&amp;L'!K12</f>
        <v>193</v>
      </c>
      <c r="L15" s="34" t="n">
        <f aca="false">IFERROR(K15/K$20,0)</f>
        <v>0.00471433107794524</v>
      </c>
      <c r="M15" s="24" t="n">
        <f aca="false">'Vessel 2026 P&amp;L'!M12</f>
        <v>525</v>
      </c>
      <c r="N15" s="34" t="n">
        <f aca="false">IFERROR(M15/M$20,0)</f>
        <v>0.0114571285162473</v>
      </c>
      <c r="O15" s="24" t="n">
        <f aca="false">'Vessel 2026 P&amp;L'!O12</f>
        <v>156</v>
      </c>
      <c r="P15" s="34" t="n">
        <f aca="false">IFERROR(O15/O$20,0)</f>
        <v>0.00471726640459631</v>
      </c>
      <c r="Q15" s="24" t="n">
        <f aca="false">'Vessel 2026 P&amp;L'!Q12</f>
        <v>118</v>
      </c>
      <c r="R15" s="34" t="n">
        <f aca="false">IFERROR(Q15/Q$20,0)</f>
        <v>0.0047198112075517</v>
      </c>
      <c r="S15" s="24" t="n">
        <f aca="false">'Vessel 2026 P&amp;L'!S12</f>
        <v>118</v>
      </c>
      <c r="T15" s="34" t="n">
        <f aca="false">IFERROR(S15/S$20,0)</f>
        <v>0.00459166301862931</v>
      </c>
      <c r="U15" s="24" t="n">
        <f aca="false">'Vessel 2026 P&amp;L'!U12</f>
        <v>94</v>
      </c>
      <c r="V15" s="34" t="n">
        <f aca="false">IFERROR(U15/U$20,0)</f>
        <v>0.00457239586246817</v>
      </c>
      <c r="W15" s="24" t="n">
        <f aca="false">'Vessel 2026 P&amp;L'!W12</f>
        <v>94</v>
      </c>
      <c r="X15" s="34" t="n">
        <f aca="false">IFERROR(W15/W$20,0)</f>
        <v>0.00457239586246817</v>
      </c>
      <c r="Y15" s="24" t="n">
        <f aca="false">'Vessel 2026 P&amp;L'!Y12</f>
        <v>165</v>
      </c>
      <c r="Z15" s="34" t="n">
        <f aca="false">IFERROR(Y15/Y$20,0)</f>
        <v>0.00458642279869079</v>
      </c>
      <c r="AB15" s="24" t="n">
        <f aca="false">SUM(C15,E15,G15,I15,K15,M15,O15,Q15,S15,U15,W15,Y15)</f>
        <v>1724</v>
      </c>
      <c r="AC15" s="34" t="n">
        <f aca="false">IFERROR(AB15/AB$20,0)</f>
        <v>0.00485954395829587</v>
      </c>
    </row>
    <row r="16" customFormat="false" ht="15" hidden="false" customHeight="true" outlineLevel="0" collapsed="false">
      <c r="A16" s="5" t="s">
        <v>183</v>
      </c>
      <c r="C16" s="24" t="n">
        <f aca="false">'Vessel 2026 P&amp;L'!C13</f>
        <v>758</v>
      </c>
      <c r="D16" s="34" t="n">
        <f aca="false">IFERROR(C16/C$20,0)</f>
        <v>0.01988561834304</v>
      </c>
      <c r="E16" s="24" t="n">
        <f aca="false">'Vessel 2026 P&amp;L'!E13</f>
        <v>471</v>
      </c>
      <c r="F16" s="34" t="n">
        <f aca="false">IFERROR(E16/E$20,0)</f>
        <v>0.0282171099928109</v>
      </c>
      <c r="G16" s="24" t="n">
        <f aca="false">'Vessel 2026 P&amp;L'!G13</f>
        <v>729</v>
      </c>
      <c r="H16" s="34" t="n">
        <f aca="false">IFERROR(G16/G$20,0)</f>
        <v>0.0183142821253611</v>
      </c>
      <c r="I16" s="24" t="n">
        <f aca="false">'Vessel 2026 P&amp;L'!I13</f>
        <v>426</v>
      </c>
      <c r="J16" s="34" t="n">
        <f aca="false">IFERROR(I16/I$20,0)</f>
        <v>0.0340065458609404</v>
      </c>
      <c r="K16" s="24" t="n">
        <f aca="false">'Vessel 2026 P&amp;L'!K13</f>
        <v>770</v>
      </c>
      <c r="L16" s="34" t="n">
        <f aca="false">IFERROR(K16/K$20,0)</f>
        <v>0.0188084711399888</v>
      </c>
      <c r="M16" s="24" t="n">
        <f aca="false">'Vessel 2026 P&amp;L'!M13</f>
        <v>434</v>
      </c>
      <c r="N16" s="34" t="n">
        <f aca="false">IFERROR(M16/M$20,0)</f>
        <v>0.00947122624009777</v>
      </c>
      <c r="O16" s="24" t="n">
        <f aca="false">'Vessel 2026 P&amp;L'!O13</f>
        <v>622</v>
      </c>
      <c r="P16" s="34" t="n">
        <f aca="false">IFERROR(O16/O$20,0)</f>
        <v>0.0188085878439673</v>
      </c>
      <c r="Q16" s="24" t="n">
        <f aca="false">'Vessel 2026 P&amp;L'!Q13</f>
        <v>470</v>
      </c>
      <c r="R16" s="34" t="n">
        <f aca="false">IFERROR(Q16/Q$20,0)</f>
        <v>0.0187992480300788</v>
      </c>
      <c r="S16" s="24" t="n">
        <f aca="false">'Vessel 2026 P&amp;L'!S13</f>
        <v>470</v>
      </c>
      <c r="T16" s="34" t="n">
        <f aca="false">IFERROR(S16/S$20,0)</f>
        <v>0.0182888272775913</v>
      </c>
      <c r="U16" s="24" t="n">
        <f aca="false">'Vessel 2026 P&amp;L'!U13</f>
        <v>376</v>
      </c>
      <c r="V16" s="34" t="n">
        <f aca="false">IFERROR(U16/U$20,0)</f>
        <v>0.0182895834498727</v>
      </c>
      <c r="W16" s="24" t="n">
        <f aca="false">'Vessel 2026 P&amp;L'!W13</f>
        <v>376</v>
      </c>
      <c r="X16" s="34" t="n">
        <f aca="false">IFERROR(W16/W$20,0)</f>
        <v>0.0182895834498727</v>
      </c>
      <c r="Y16" s="24" t="n">
        <f aca="false">'Vessel 2026 P&amp;L'!Y13</f>
        <v>658</v>
      </c>
      <c r="Z16" s="34" t="n">
        <f aca="false">IFERROR(Y16/Y$20,0)</f>
        <v>0.0182900981911426</v>
      </c>
      <c r="AB16" s="24" t="n">
        <f aca="false">SUM(C16,E16,G16,I16,K16,M16,O16,Q16,S16,U16,W16,Y16)</f>
        <v>6560</v>
      </c>
      <c r="AC16" s="34" t="n">
        <f aca="false">IFERROR(AB16/AB$20,0)</f>
        <v>0.0184910721382952</v>
      </c>
    </row>
    <row r="17" customFormat="false" ht="15" hidden="false" customHeight="true" outlineLevel="0" collapsed="false">
      <c r="A17" s="5" t="s">
        <v>555</v>
      </c>
      <c r="C17" s="24" t="n">
        <v>0</v>
      </c>
      <c r="D17" s="34" t="n">
        <f aca="false">IFERROR(C17/C$20,0)</f>
        <v>0</v>
      </c>
      <c r="E17" s="24" t="n">
        <v>0</v>
      </c>
      <c r="F17" s="34" t="n">
        <f aca="false">IFERROR(E17/E$20,0)</f>
        <v>0</v>
      </c>
      <c r="G17" s="24" t="n">
        <v>0</v>
      </c>
      <c r="H17" s="34" t="n">
        <f aca="false">IFERROR(G17/G$20,0)</f>
        <v>0</v>
      </c>
      <c r="I17" s="24" t="n">
        <v>0</v>
      </c>
      <c r="J17" s="34" t="n">
        <f aca="false">IFERROR(I17/I$20,0)</f>
        <v>0</v>
      </c>
      <c r="K17" s="24" t="n">
        <v>0</v>
      </c>
      <c r="L17" s="34" t="n">
        <f aca="false">IFERROR(K17/K$20,0)</f>
        <v>0</v>
      </c>
      <c r="M17" s="24" t="n">
        <v>0</v>
      </c>
      <c r="N17" s="34" t="n">
        <f aca="false">IFERROR(M17/M$20,0)</f>
        <v>0</v>
      </c>
      <c r="O17" s="24" t="n">
        <v>0</v>
      </c>
      <c r="P17" s="34" t="n">
        <f aca="false">IFERROR(O17/O$20,0)</f>
        <v>0</v>
      </c>
      <c r="Q17" s="24" t="n">
        <v>0</v>
      </c>
      <c r="R17" s="34" t="n">
        <f aca="false">IFERROR(Q17/Q$20,0)</f>
        <v>0</v>
      </c>
      <c r="S17" s="24" t="n">
        <v>0</v>
      </c>
      <c r="T17" s="34" t="n">
        <f aca="false">IFERROR(S17/S$20,0)</f>
        <v>0</v>
      </c>
      <c r="U17" s="24" t="n">
        <v>0</v>
      </c>
      <c r="V17" s="34" t="n">
        <f aca="false">IFERROR(U17/U$20,0)</f>
        <v>0</v>
      </c>
      <c r="W17" s="24" t="n">
        <v>0</v>
      </c>
      <c r="X17" s="34" t="n">
        <f aca="false">IFERROR(W17/W$20,0)</f>
        <v>0</v>
      </c>
      <c r="Y17" s="24" t="n">
        <v>0</v>
      </c>
      <c r="Z17" s="34" t="n">
        <f aca="false">IFERROR(Y17/Y$20,0)</f>
        <v>0</v>
      </c>
      <c r="AB17" s="24" t="n">
        <f aca="false">SUM(C17,E17,G17,I17,K17,M17,O17,Q17,S17,U17,W17,Y17)</f>
        <v>0</v>
      </c>
      <c r="AC17" s="34" t="n">
        <f aca="false">IFERROR(AB17/AB$20,0)</f>
        <v>0</v>
      </c>
    </row>
    <row r="18" customFormat="false" ht="15" hidden="false" customHeight="true" outlineLevel="0" collapsed="false">
      <c r="A18" s="5" t="s">
        <v>566</v>
      </c>
      <c r="C18" s="24" t="n">
        <f aca="false">IF(1&gt;=MONTH($G$4),'Vessel 2026 P&amp;L'!C14+SUM(C12:C16)*'Vessel Assumptions'!$C$32,'Vessel 2026 P&amp;L'!C14)</f>
        <v>3280</v>
      </c>
      <c r="D18" s="34" t="n">
        <f aca="false">IFERROR(C18/C$20,0)</f>
        <v>0.086048585969883</v>
      </c>
      <c r="E18" s="24" t="n">
        <f aca="false">IF(2&gt;=MONTH($G$4),'Vessel 2026 P&amp;L'!E14+SUM(E12:E16)*'Vessel Assumptions'!$C$32,'Vessel 2026 P&amp;L'!E14)</f>
        <v>419</v>
      </c>
      <c r="F18" s="34" t="n">
        <f aca="false">IFERROR(E18/E$20,0)</f>
        <v>0.0251018451953031</v>
      </c>
      <c r="G18" s="24" t="n">
        <f aca="false">IF(3&gt;=MONTH($G$4),'Vessel 2026 P&amp;L'!G14+SUM(G12:G16)*'Vessel Assumptions'!$C$32,'Vessel 2026 P&amp;L'!G14)</f>
        <v>2754</v>
      </c>
      <c r="H18" s="34" t="n">
        <f aca="false">IFERROR(G18/G$20,0)</f>
        <v>0.0691872880291421</v>
      </c>
      <c r="I18" s="24" t="n">
        <f aca="false">IF(4&gt;=MONTH($G$4),'Vessel 2026 P&amp;L'!I14+SUM(I12:I16)*'Vessel Assumptions'!$C$32,'Vessel 2026 P&amp;L'!I14)</f>
        <v>4574</v>
      </c>
      <c r="J18" s="34" t="n">
        <f aca="false">IFERROR(I18/I$20,0)</f>
        <v>0.36513131635667</v>
      </c>
      <c r="K18" s="24" t="n">
        <f aca="false">IF(5&gt;=MONTH($G$4),'Vessel 2026 P&amp;L'!K14+SUM(K12:K16)*'Vessel Assumptions'!$C$32,'Vessel 2026 P&amp;L'!K14)</f>
        <v>18088</v>
      </c>
      <c r="L18" s="34" t="n">
        <f aca="false">IFERROR(K18/K$20,0)</f>
        <v>0.441828085688463</v>
      </c>
      <c r="M18" s="24" t="n">
        <f aca="false">IF(6&gt;=MONTH($G$4),'Vessel 2026 P&amp;L'!M14+SUM(M12:M16)*'Vessel Assumptions'!$C$32,'Vessel 2026 P&amp;L'!M14)</f>
        <v>23139</v>
      </c>
      <c r="N18" s="34" t="n">
        <f aca="false">IFERROR(M18/M$20,0)</f>
        <v>0.504964755690374</v>
      </c>
      <c r="O18" s="24" t="n">
        <f aca="false">IF(7&gt;=MONTH($G$4),'Vessel 2026 P&amp;L'!O14+SUM(O12:O16)*'Vessel Assumptions'!$C$32,'Vessel 2026 P&amp;L'!O14)</f>
        <v>14611</v>
      </c>
      <c r="P18" s="34" t="n">
        <f aca="false">IFERROR(O18/O$20,0)</f>
        <v>0.441820381009979</v>
      </c>
      <c r="Q18" s="24" t="n">
        <f aca="false">IF(8&gt;=MONTH($G$4),'Vessel 2026 P&amp;L'!Q14+SUM(Q12:Q16)*'Vessel Assumptions'!$C$32,'Vessel 2026 P&amp;L'!Q14)</f>
        <v>11046</v>
      </c>
      <c r="R18" s="34" t="n">
        <f aca="false">IFERROR(Q18/Q$20,0)</f>
        <v>0.441822327106916</v>
      </c>
      <c r="S18" s="24" t="n">
        <f aca="false">IF(9&gt;=MONTH($G$4),'Vessel 2026 P&amp;L'!S14+SUM(S12:S16)*'Vessel Assumptions'!$C$32,'Vessel 2026 P&amp;L'!S14)</f>
        <v>11743.75</v>
      </c>
      <c r="T18" s="34" t="n">
        <f aca="false">IFERROR(S18/S$20,0)</f>
        <v>0.45697747944939</v>
      </c>
      <c r="U18" s="24" t="n">
        <f aca="false">IF(10&gt;=MONTH($G$4),'Vessel 2026 P&amp;L'!U14+SUM(U12:U16)*'Vessel Assumptions'!$C$32,'Vessel 2026 P&amp;L'!U14)</f>
        <v>9395.15</v>
      </c>
      <c r="V18" s="34" t="n">
        <f aca="false">IFERROR(U18/U$20,0)</f>
        <v>0.457003670077317</v>
      </c>
      <c r="W18" s="24" t="n">
        <f aca="false">IF(11&gt;=MONTH($G$4),'Vessel 2026 P&amp;L'!W14+SUM(W12:W16)*'Vessel Assumptions'!$C$32,'Vessel 2026 P&amp;L'!W14)</f>
        <v>9395.15</v>
      </c>
      <c r="X18" s="34" t="n">
        <f aca="false">IFERROR(W18/W$20,0)</f>
        <v>0.457003670077317</v>
      </c>
      <c r="Y18" s="24" t="n">
        <f aca="false">IF(12&gt;=MONTH($G$4),'Vessel 2026 P&amp;L'!Y14+SUM(Y12:Y16)*'Vessel Assumptions'!$C$32,'Vessel 2026 P&amp;L'!Y14)</f>
        <v>16440.75</v>
      </c>
      <c r="Z18" s="34" t="n">
        <f aca="false">IFERROR(Y18/Y$20,0)</f>
        <v>0.456995337136821</v>
      </c>
      <c r="AB18" s="24" t="n">
        <f aca="false">SUM(C18,E18,G18,I18,K18,M18,O18,Q18,S18,U18,W18,Y18)</f>
        <v>124885.8</v>
      </c>
      <c r="AC18" s="34" t="n">
        <f aca="false">IFERROR(AB18/AB$20,0)</f>
        <v>0.352023222080595</v>
      </c>
    </row>
    <row r="19" customFormat="false" ht="15" hidden="false" customHeight="true" outlineLevel="0" collapsed="false">
      <c r="A19" s="5" t="s">
        <v>186</v>
      </c>
      <c r="C19" s="24" t="n">
        <f aca="false">'Vessel 2026 P&amp;L'!C15</f>
        <v>-1646</v>
      </c>
      <c r="D19" s="34" t="n">
        <f aca="false">IFERROR(C19/C$20,0)</f>
        <v>-0.0431816989348864</v>
      </c>
      <c r="E19" s="24" t="n">
        <f aca="false">'Vessel 2026 P&amp;L'!E15</f>
        <v>0</v>
      </c>
      <c r="F19" s="34" t="n">
        <f aca="false">IFERROR(E19/E$20,0)</f>
        <v>0</v>
      </c>
      <c r="G19" s="24" t="n">
        <f aca="false">'Vessel 2026 P&amp;L'!G15</f>
        <v>0</v>
      </c>
      <c r="H19" s="34" t="n">
        <f aca="false">IFERROR(G19/G$20,0)</f>
        <v>0</v>
      </c>
      <c r="I19" s="24" t="n">
        <f aca="false">'Vessel 2026 P&amp;L'!I15</f>
        <v>0</v>
      </c>
      <c r="J19" s="34" t="n">
        <f aca="false">IFERROR(I19/I$20,0)</f>
        <v>0</v>
      </c>
      <c r="K19" s="24" t="n">
        <f aca="false">'Vessel 2026 P&amp;L'!K15</f>
        <v>0</v>
      </c>
      <c r="L19" s="34" t="n">
        <f aca="false">IFERROR(K19/K$20,0)</f>
        <v>0</v>
      </c>
      <c r="M19" s="24" t="n">
        <f aca="false">'Vessel 2026 P&amp;L'!M15</f>
        <v>0</v>
      </c>
      <c r="N19" s="34" t="n">
        <f aca="false">IFERROR(M19/M$20,0)</f>
        <v>0</v>
      </c>
      <c r="O19" s="24" t="n">
        <f aca="false">'Vessel 2026 P&amp;L'!O15</f>
        <v>0</v>
      </c>
      <c r="P19" s="34" t="n">
        <f aca="false">IFERROR(O19/O$20,0)</f>
        <v>0</v>
      </c>
      <c r="Q19" s="24" t="n">
        <f aca="false">'Vessel 2026 P&amp;L'!Q15</f>
        <v>0</v>
      </c>
      <c r="R19" s="34" t="n">
        <f aca="false">IFERROR(Q19/Q$20,0)</f>
        <v>0</v>
      </c>
      <c r="S19" s="24" t="n">
        <f aca="false">'Vessel 2026 P&amp;L'!S15</f>
        <v>0</v>
      </c>
      <c r="T19" s="34" t="n">
        <f aca="false">IFERROR(S19/S$20,0)</f>
        <v>0</v>
      </c>
      <c r="U19" s="24" t="n">
        <f aca="false">'Vessel 2026 P&amp;L'!U15</f>
        <v>0</v>
      </c>
      <c r="V19" s="34" t="n">
        <f aca="false">IFERROR(U19/U$20,0)</f>
        <v>0</v>
      </c>
      <c r="W19" s="24" t="n">
        <f aca="false">'Vessel 2026 P&amp;L'!W15</f>
        <v>0</v>
      </c>
      <c r="X19" s="34" t="n">
        <f aca="false">IFERROR(W19/W$20,0)</f>
        <v>0</v>
      </c>
      <c r="Y19" s="24" t="n">
        <f aca="false">'Vessel 2026 P&amp;L'!Y15</f>
        <v>0</v>
      </c>
      <c r="Z19" s="34" t="n">
        <f aca="false">IFERROR(Y19/Y$20,0)</f>
        <v>0</v>
      </c>
      <c r="AB19" s="24" t="n">
        <f aca="false">SUM(C19,E19,G19,I19,K19,M19,O19,Q19,S19,U19,W19,Y19)</f>
        <v>-1646</v>
      </c>
      <c r="AC19" s="34" t="n">
        <f aca="false">IFERROR(AB19/AB$20,0)</f>
        <v>-0.00463968060055394</v>
      </c>
    </row>
    <row r="20" customFormat="false" ht="15" hidden="false" customHeight="true" outlineLevel="0" collapsed="false">
      <c r="A20" s="6" t="s">
        <v>138</v>
      </c>
      <c r="C20" s="27" t="n">
        <f aca="false">SUM(C12:C19)</f>
        <v>38118</v>
      </c>
      <c r="D20" s="35" t="n">
        <f aca="false">IFERROR(C20/C$20,0)</f>
        <v>1</v>
      </c>
      <c r="E20" s="27" t="n">
        <f aca="false">SUM(E12:E19)</f>
        <v>16692</v>
      </c>
      <c r="F20" s="35" t="n">
        <f aca="false">IFERROR(E20/E$20,0)</f>
        <v>1</v>
      </c>
      <c r="G20" s="27" t="n">
        <f aca="false">SUM(G12:G19)</f>
        <v>39805</v>
      </c>
      <c r="H20" s="35" t="n">
        <f aca="false">IFERROR(G20/G$20,0)</f>
        <v>1</v>
      </c>
      <c r="I20" s="27" t="n">
        <f aca="false">SUM(I12:I19)</f>
        <v>12527</v>
      </c>
      <c r="J20" s="35" t="n">
        <f aca="false">IFERROR(I20/I$20,0)</f>
        <v>1</v>
      </c>
      <c r="K20" s="27" t="n">
        <f aca="false">SUM(K12:K19)</f>
        <v>40939</v>
      </c>
      <c r="L20" s="35" t="n">
        <f aca="false">IFERROR(K20/K$20,0)</f>
        <v>1</v>
      </c>
      <c r="M20" s="27" t="n">
        <f aca="false">SUM(M12:M19)</f>
        <v>45823</v>
      </c>
      <c r="N20" s="35" t="n">
        <f aca="false">IFERROR(M20/M$20,0)</f>
        <v>1</v>
      </c>
      <c r="O20" s="27" t="n">
        <f aca="false">SUM(O12:O19)</f>
        <v>33070</v>
      </c>
      <c r="P20" s="35" t="n">
        <f aca="false">IFERROR(O20/O$20,0)</f>
        <v>1</v>
      </c>
      <c r="Q20" s="27" t="n">
        <f aca="false">SUM(Q12:Q19)</f>
        <v>25001</v>
      </c>
      <c r="R20" s="35" t="n">
        <f aca="false">IFERROR(Q20/Q$20,0)</f>
        <v>1</v>
      </c>
      <c r="S20" s="27" t="n">
        <f aca="false">SUM(S12:S19)</f>
        <v>25698.75</v>
      </c>
      <c r="T20" s="35" t="n">
        <f aca="false">IFERROR(S20/S$20,0)</f>
        <v>1</v>
      </c>
      <c r="U20" s="27" t="n">
        <f aca="false">SUM(U12:U19)</f>
        <v>20558.15</v>
      </c>
      <c r="V20" s="35" t="n">
        <f aca="false">IFERROR(U20/U$20,0)</f>
        <v>1</v>
      </c>
      <c r="W20" s="27" t="n">
        <f aca="false">SUM(W12:W19)</f>
        <v>20558.15</v>
      </c>
      <c r="X20" s="35" t="n">
        <f aca="false">IFERROR(W20/W$20,0)</f>
        <v>1</v>
      </c>
      <c r="Y20" s="27" t="n">
        <f aca="false">SUM(Y12:Y19)</f>
        <v>35975.75</v>
      </c>
      <c r="Z20" s="35" t="n">
        <f aca="false">IFERROR(Y20/Y$20,0)</f>
        <v>1</v>
      </c>
      <c r="AB20" s="27" t="n">
        <f aca="false">SUM(AB12:AB19)</f>
        <v>354765.8</v>
      </c>
      <c r="AC20" s="35" t="n">
        <f aca="false">IFERROR(AB20/AB$20,0)</f>
        <v>1</v>
      </c>
    </row>
    <row r="22" customFormat="false" ht="15" hidden="false" customHeight="true" outlineLevel="0" collapsed="false">
      <c r="A22" s="6" t="s">
        <v>187</v>
      </c>
    </row>
    <row r="23" customFormat="false" ht="15" hidden="false" customHeight="true" outlineLevel="0" collapsed="false">
      <c r="A23" s="5" t="s">
        <v>188</v>
      </c>
      <c r="C23" s="24" t="n">
        <f aca="false">'Vessel 2026 P&amp;L'!C19</f>
        <v>18631</v>
      </c>
      <c r="D23" s="34" t="n">
        <f aca="false">IFERROR(C23/C$12,0)</f>
        <v>0.657340436792153</v>
      </c>
      <c r="E23" s="24" t="n">
        <f aca="false">'Vessel 2026 P&amp;L'!E19</f>
        <v>8386</v>
      </c>
      <c r="F23" s="34" t="n">
        <f aca="false">IFERROR(E23/E$12,0)</f>
        <v>0.919618379208247</v>
      </c>
      <c r="G23" s="24" t="n">
        <f aca="false">'Vessel 2026 P&amp;L'!G19</f>
        <v>14740</v>
      </c>
      <c r="H23" s="34" t="n">
        <f aca="false">IFERROR(G23/G$12,0)</f>
        <v>0.671526195899772</v>
      </c>
      <c r="I23" s="24" t="n">
        <f aca="false">'Vessel 2026 P&amp;L'!I19</f>
        <v>4280</v>
      </c>
      <c r="J23" s="34" t="n">
        <f aca="false">IFERROR(I23/I$12,0)</f>
        <v>0.921420882669537</v>
      </c>
      <c r="K23" s="24" t="n">
        <f aca="false">'Vessel 2026 P&amp;L'!K19</f>
        <v>11232</v>
      </c>
      <c r="L23" s="34" t="n">
        <f aca="false">IFERROR(K23/K$12,0)</f>
        <v>0.788708658099853</v>
      </c>
      <c r="M23" s="24" t="n">
        <f aca="false">'Vessel 2026 P&amp;L'!M19</f>
        <v>10735</v>
      </c>
      <c r="N23" s="34" t="n">
        <f aca="false">IFERROR(M23/M$12,0)</f>
        <v>0.697530864197531</v>
      </c>
      <c r="O23" s="24" t="n">
        <f aca="false">'Vessel 2026 P&amp;L'!O19</f>
        <v>7478</v>
      </c>
      <c r="P23" s="34" t="n">
        <f aca="false">IFERROR(O23/O$12,0)</f>
        <v>0.650034770514604</v>
      </c>
      <c r="Q23" s="24" t="n">
        <f aca="false">'Vessel 2026 P&amp;L'!Q19</f>
        <v>5653</v>
      </c>
      <c r="R23" s="34" t="n">
        <f aca="false">IFERROR(Q23/Q$12,0)</f>
        <v>0.649994250891112</v>
      </c>
      <c r="S23" s="24" t="n">
        <f aca="false">'Vessel 2026 P&amp;L'!S19</f>
        <v>5653</v>
      </c>
      <c r="T23" s="34" t="n">
        <f aca="false">IFERROR(S23/S$12,0)</f>
        <v>0.649994250891112</v>
      </c>
      <c r="U23" s="24" t="n">
        <f aca="false">'Vessel 2026 P&amp;L'!U19</f>
        <v>4522</v>
      </c>
      <c r="V23" s="34" t="n">
        <f aca="false">IFERROR(U23/U$12,0)</f>
        <v>0.649992812994107</v>
      </c>
      <c r="W23" s="24" t="n">
        <f aca="false">'Vessel 2026 P&amp;L'!W19</f>
        <v>4522</v>
      </c>
      <c r="X23" s="34" t="n">
        <f aca="false">IFERROR(W23/W$12,0)</f>
        <v>0.649992812994107</v>
      </c>
      <c r="Y23" s="24" t="n">
        <f aca="false">'Vessel 2026 P&amp;L'!Y19</f>
        <v>7914</v>
      </c>
      <c r="Z23" s="34" t="n">
        <f aca="false">IFERROR(Y23/Y$12,0)</f>
        <v>0.650020533880904</v>
      </c>
      <c r="AB23" s="24" t="n">
        <f aca="false">SUM(C23,E23,G23,I23,K23,M23,O23,Q23,S23,U23,W23,Y23)</f>
        <v>103746</v>
      </c>
      <c r="AC23" s="34" t="n">
        <f aca="false">IFERROR(AB23/AB$12,0)</f>
        <v>0.69780393475702</v>
      </c>
    </row>
    <row r="24" customFormat="false" ht="15" hidden="false" customHeight="true" outlineLevel="0" collapsed="false">
      <c r="A24" s="5" t="s">
        <v>189</v>
      </c>
      <c r="C24" s="24" t="n">
        <f aca="false">'Vessel 2026 P&amp;L'!C20</f>
        <v>1198</v>
      </c>
      <c r="D24" s="34" t="n">
        <f aca="false">IFERROR(C24/C$13,0)</f>
        <v>0.199933244325768</v>
      </c>
      <c r="E24" s="24" t="n">
        <f aca="false">'Vessel 2026 P&amp;L'!E20</f>
        <v>895</v>
      </c>
      <c r="F24" s="34" t="n">
        <f aca="false">IFERROR(E24/E$13,0)</f>
        <v>0.19704975781594</v>
      </c>
      <c r="G24" s="24" t="n">
        <f aca="false">'Vessel 2026 P&amp;L'!G20</f>
        <v>1888</v>
      </c>
      <c r="H24" s="34" t="n">
        <f aca="false">IFERROR(G24/G$13,0)</f>
        <v>0.483235218837983</v>
      </c>
      <c r="I24" s="24" t="n">
        <f aca="false">'Vessel 2026 P&amp;L'!I20</f>
        <v>0</v>
      </c>
      <c r="J24" s="34" t="n">
        <f aca="false">IFERROR(I24/I$13,0)</f>
        <v>0</v>
      </c>
      <c r="K24" s="24" t="n">
        <f aca="false">'Vessel 2026 P&amp;L'!K20</f>
        <v>0</v>
      </c>
      <c r="L24" s="34" t="n">
        <f aca="false">IFERROR(K24/K$13,0)</f>
        <v>0</v>
      </c>
      <c r="M24" s="24" t="n">
        <f aca="false">'Vessel 2026 P&amp;L'!M20</f>
        <v>0</v>
      </c>
      <c r="N24" s="34" t="n">
        <f aca="false">IFERROR(M24/M$13,0)</f>
        <v>0</v>
      </c>
      <c r="O24" s="24" t="n">
        <f aca="false">'Vessel 2026 P&amp;L'!O20</f>
        <v>506</v>
      </c>
      <c r="P24" s="34" t="n">
        <f aca="false">IFERROR(O24/O$13,0)</f>
        <v>0.299763033175355</v>
      </c>
      <c r="Q24" s="24" t="n">
        <f aca="false">'Vessel 2026 P&amp;L'!Q20</f>
        <v>383</v>
      </c>
      <c r="R24" s="34" t="n">
        <f aca="false">IFERROR(Q24/Q$13,0)</f>
        <v>0.300156739811912</v>
      </c>
      <c r="S24" s="24" t="n">
        <f aca="false">'Vessel 2026 P&amp;L'!S20</f>
        <v>383</v>
      </c>
      <c r="T24" s="34" t="n">
        <f aca="false">IFERROR(S24/S$13,0)</f>
        <v>0.300156739811912</v>
      </c>
      <c r="U24" s="24" t="n">
        <f aca="false">'Vessel 2026 P&amp;L'!U20</f>
        <v>306</v>
      </c>
      <c r="V24" s="34" t="n">
        <f aca="false">IFERROR(U24/U$13,0)</f>
        <v>0.299706170421156</v>
      </c>
      <c r="W24" s="24" t="n">
        <f aca="false">'Vessel 2026 P&amp;L'!W20</f>
        <v>306</v>
      </c>
      <c r="X24" s="34" t="n">
        <f aca="false">IFERROR(W24/W$13,0)</f>
        <v>0.299706170421156</v>
      </c>
      <c r="Y24" s="24" t="n">
        <f aca="false">'Vessel 2026 P&amp;L'!Y20</f>
        <v>536</v>
      </c>
      <c r="Z24" s="34" t="n">
        <f aca="false">IFERROR(Y24/Y$13,0)</f>
        <v>0.300111982082867</v>
      </c>
      <c r="AB24" s="24" t="n">
        <f aca="false">SUM(C24,E24,G24,I24,K24,M24,O24,Q24,S24,U24,W24,Y24)</f>
        <v>6401</v>
      </c>
      <c r="AC24" s="34" t="n">
        <f aca="false">IFERROR(AB24/AB$13,0)</f>
        <v>0.230218673572148</v>
      </c>
    </row>
    <row r="25" customFormat="false" ht="15" hidden="false" customHeight="true" outlineLevel="0" collapsed="false">
      <c r="A25" s="5" t="s">
        <v>190</v>
      </c>
      <c r="C25" s="24" t="n">
        <f aca="false">'Vessel 2026 P&amp;L'!C21</f>
        <v>243</v>
      </c>
      <c r="D25" s="34" t="n">
        <f aca="false">IFERROR(C25/C$14,0)</f>
        <v>0.179866765358993</v>
      </c>
      <c r="E25" s="24" t="n">
        <f aca="false">'Vessel 2026 P&amp;L'!E21</f>
        <v>931</v>
      </c>
      <c r="F25" s="34" t="n">
        <f aca="false">IFERROR(E25/E$14,0)</f>
        <v>0.434843531060252</v>
      </c>
      <c r="G25" s="24" t="n">
        <f aca="false">'Vessel 2026 P&amp;L'!G21</f>
        <v>723</v>
      </c>
      <c r="H25" s="34" t="n">
        <f aca="false">IFERROR(G25/G$14,0)</f>
        <v>0.0703444249854057</v>
      </c>
      <c r="I25" s="24" t="n">
        <f aca="false">'Vessel 2026 P&amp;L'!I21</f>
        <v>0</v>
      </c>
      <c r="J25" s="34" t="n">
        <f aca="false">IFERROR(I25/I$14,0)</f>
        <v>0</v>
      </c>
      <c r="K25" s="24" t="n">
        <f aca="false">'Vessel 2026 P&amp;L'!K21</f>
        <v>1308</v>
      </c>
      <c r="L25" s="34" t="n">
        <f aca="false">IFERROR(K25/K$14,0)</f>
        <v>0.235378801511607</v>
      </c>
      <c r="M25" s="24" t="n">
        <f aca="false">'Vessel 2026 P&amp;L'!M21</f>
        <v>5238</v>
      </c>
      <c r="N25" s="34" t="n">
        <f aca="false">IFERROR(M25/M$14,0)</f>
        <v>1.2646064703042</v>
      </c>
      <c r="O25" s="24" t="n">
        <f aca="false">'Vessel 2026 P&amp;L'!O21</f>
        <v>0</v>
      </c>
      <c r="P25" s="34" t="n">
        <f aca="false">IFERROR(O25/O$14,0)</f>
        <v>0</v>
      </c>
      <c r="Q25" s="24" t="n">
        <f aca="false">'Vessel 2026 P&amp;L'!Q21</f>
        <v>0</v>
      </c>
      <c r="R25" s="34" t="n">
        <f aca="false">IFERROR(Q25/Q$14,0)</f>
        <v>0</v>
      </c>
      <c r="S25" s="24" t="n">
        <f aca="false">'Vessel 2026 P&amp;L'!S21</f>
        <v>0</v>
      </c>
      <c r="T25" s="34" t="n">
        <f aca="false">IFERROR(S25/S$14,0)</f>
        <v>0</v>
      </c>
      <c r="U25" s="24" t="n">
        <f aca="false">'Vessel 2026 P&amp;L'!U21</f>
        <v>0</v>
      </c>
      <c r="V25" s="34" t="n">
        <f aca="false">IFERROR(U25/U$14,0)</f>
        <v>0</v>
      </c>
      <c r="W25" s="24" t="n">
        <f aca="false">'Vessel 2026 P&amp;L'!W21</f>
        <v>0</v>
      </c>
      <c r="X25" s="34" t="n">
        <f aca="false">IFERROR(W25/W$14,0)</f>
        <v>0</v>
      </c>
      <c r="Y25" s="24" t="n">
        <f aca="false">'Vessel 2026 P&amp;L'!Y21</f>
        <v>0</v>
      </c>
      <c r="Z25" s="34" t="n">
        <f aca="false">IFERROR(Y25/Y$14,0)</f>
        <v>0</v>
      </c>
      <c r="AB25" s="24" t="n">
        <f aca="false">SUM(C25,E25,G25,I25,K25,M25,O25,Q25,S25,U25,W25,Y25)</f>
        <v>8443</v>
      </c>
      <c r="AC25" s="34" t="n">
        <f aca="false">IFERROR(AB25/AB$14,0)</f>
        <v>0.180548724418878</v>
      </c>
    </row>
    <row r="26" customFormat="false" ht="15" hidden="false" customHeight="true" outlineLevel="0" collapsed="false">
      <c r="A26" s="5" t="s">
        <v>191</v>
      </c>
      <c r="C26" s="24" t="n">
        <f aca="false">'Vessel 2026 P&amp;L'!C22</f>
        <v>8</v>
      </c>
      <c r="D26" s="34" t="n">
        <f aca="false">IFERROR(C26/C$15,0)</f>
        <v>0.2</v>
      </c>
      <c r="E26" s="24" t="n">
        <f aca="false">'Vessel 2026 P&amp;L'!E22</f>
        <v>707</v>
      </c>
      <c r="F26" s="34" t="n">
        <f aca="false">IFERROR(E26/E$15,0)</f>
        <v>0</v>
      </c>
      <c r="G26" s="24" t="n">
        <f aca="false">'Vessel 2026 P&amp;L'!G22</f>
        <v>239</v>
      </c>
      <c r="H26" s="34" t="n">
        <f aca="false">IFERROR(G26/G$15,0)</f>
        <v>1.27807486631016</v>
      </c>
      <c r="I26" s="24" t="n">
        <f aca="false">'Vessel 2026 P&amp;L'!I22</f>
        <v>0</v>
      </c>
      <c r="J26" s="34" t="n">
        <f aca="false">IFERROR(I26/I$15,0)</f>
        <v>0</v>
      </c>
      <c r="K26" s="24" t="n">
        <f aca="false">'Vessel 2026 P&amp;L'!K22</f>
        <v>0</v>
      </c>
      <c r="L26" s="34" t="n">
        <f aca="false">IFERROR(K26/K$15,0)</f>
        <v>0</v>
      </c>
      <c r="M26" s="24" t="n">
        <f aca="false">'Vessel 2026 P&amp;L'!M22</f>
        <v>180</v>
      </c>
      <c r="N26" s="34" t="n">
        <f aca="false">IFERROR(M26/M$15,0)</f>
        <v>0.342857142857143</v>
      </c>
      <c r="O26" s="24" t="n">
        <f aca="false">'Vessel 2026 P&amp;L'!O22</f>
        <v>47</v>
      </c>
      <c r="P26" s="34" t="n">
        <f aca="false">IFERROR(O26/O$15,0)</f>
        <v>0.301282051282051</v>
      </c>
      <c r="Q26" s="24" t="n">
        <f aca="false">'Vessel 2026 P&amp;L'!Q22</f>
        <v>35</v>
      </c>
      <c r="R26" s="34" t="n">
        <f aca="false">IFERROR(Q26/Q$15,0)</f>
        <v>0.296610169491525</v>
      </c>
      <c r="S26" s="24" t="n">
        <f aca="false">'Vessel 2026 P&amp;L'!S22</f>
        <v>35</v>
      </c>
      <c r="T26" s="34" t="n">
        <f aca="false">IFERROR(S26/S$15,0)</f>
        <v>0.296610169491525</v>
      </c>
      <c r="U26" s="24" t="n">
        <f aca="false">'Vessel 2026 P&amp;L'!U22</f>
        <v>29</v>
      </c>
      <c r="V26" s="34" t="n">
        <f aca="false">IFERROR(U26/U$15,0)</f>
        <v>0.308510638297872</v>
      </c>
      <c r="W26" s="24" t="n">
        <f aca="false">'Vessel 2026 P&amp;L'!W22</f>
        <v>29</v>
      </c>
      <c r="X26" s="34" t="n">
        <f aca="false">IFERROR(W26/W$15,0)</f>
        <v>0.308510638297872</v>
      </c>
      <c r="Y26" s="24" t="n">
        <f aca="false">'Vessel 2026 P&amp;L'!Y22</f>
        <v>49</v>
      </c>
      <c r="Z26" s="34" t="n">
        <f aca="false">IFERROR(Y26/Y$15,0)</f>
        <v>0.296969696969697</v>
      </c>
      <c r="AB26" s="24" t="n">
        <f aca="false">SUM(C26,E26,G26,I26,K26,M26,O26,Q26,S26,U26,W26,Y26)</f>
        <v>1358</v>
      </c>
      <c r="AC26" s="34" t="n">
        <f aca="false">IFERROR(AB26/AB$15,0)</f>
        <v>0.787703016241299</v>
      </c>
    </row>
    <row r="27" customFormat="false" ht="15" hidden="false" customHeight="true" outlineLevel="0" collapsed="false">
      <c r="A27" s="5" t="s">
        <v>192</v>
      </c>
      <c r="C27" s="24" t="n">
        <f aca="false">'Vessel 2026 P&amp;L'!C23</f>
        <v>190</v>
      </c>
      <c r="D27" s="34" t="n">
        <f aca="false">IFERROR(C27/C$16,0)</f>
        <v>0.25065963060686</v>
      </c>
      <c r="E27" s="24" t="n">
        <f aca="false">'Vessel 2026 P&amp;L'!E23</f>
        <v>888</v>
      </c>
      <c r="F27" s="34" t="n">
        <f aca="false">IFERROR(E27/E$16,0)</f>
        <v>1.88535031847134</v>
      </c>
      <c r="G27" s="24" t="n">
        <f aca="false">'Vessel 2026 P&amp;L'!G23</f>
        <v>699</v>
      </c>
      <c r="H27" s="34" t="n">
        <f aca="false">IFERROR(G27/G$16,0)</f>
        <v>0.958847736625514</v>
      </c>
      <c r="I27" s="24" t="n">
        <f aca="false">'Vessel 2026 P&amp;L'!I23</f>
        <v>252</v>
      </c>
      <c r="J27" s="34" t="n">
        <f aca="false">IFERROR(I27/I$16,0)</f>
        <v>0.591549295774648</v>
      </c>
      <c r="K27" s="24" t="n">
        <f aca="false">'Vessel 2026 P&amp;L'!K23</f>
        <v>404</v>
      </c>
      <c r="L27" s="34" t="n">
        <f aca="false">IFERROR(K27/K$16,0)</f>
        <v>0.524675324675325</v>
      </c>
      <c r="M27" s="24" t="n">
        <f aca="false">'Vessel 2026 P&amp;L'!M23</f>
        <v>551</v>
      </c>
      <c r="N27" s="34" t="n">
        <f aca="false">IFERROR(M27/M$16,0)</f>
        <v>1.26958525345622</v>
      </c>
      <c r="O27" s="24" t="n">
        <f aca="false">'Vessel 2026 P&amp;L'!O23</f>
        <v>0</v>
      </c>
      <c r="P27" s="34" t="n">
        <f aca="false">IFERROR(O27/O$16,0)</f>
        <v>0</v>
      </c>
      <c r="Q27" s="24" t="n">
        <f aca="false">'Vessel 2026 P&amp;L'!Q23</f>
        <v>0</v>
      </c>
      <c r="R27" s="34" t="n">
        <f aca="false">IFERROR(Q27/Q$16,0)</f>
        <v>0</v>
      </c>
      <c r="S27" s="24" t="n">
        <f aca="false">'Vessel 2026 P&amp;L'!S23</f>
        <v>0</v>
      </c>
      <c r="T27" s="34" t="n">
        <f aca="false">IFERROR(S27/S$16,0)</f>
        <v>0</v>
      </c>
      <c r="U27" s="24" t="n">
        <f aca="false">'Vessel 2026 P&amp;L'!U23</f>
        <v>0</v>
      </c>
      <c r="V27" s="34" t="n">
        <f aca="false">IFERROR(U27/U$16,0)</f>
        <v>0</v>
      </c>
      <c r="W27" s="24" t="n">
        <f aca="false">'Vessel 2026 P&amp;L'!W23</f>
        <v>0</v>
      </c>
      <c r="X27" s="34" t="n">
        <f aca="false">IFERROR(W27/W$16,0)</f>
        <v>0</v>
      </c>
      <c r="Y27" s="24" t="n">
        <f aca="false">'Vessel 2026 P&amp;L'!Y23</f>
        <v>0</v>
      </c>
      <c r="Z27" s="34" t="n">
        <f aca="false">IFERROR(Y27/Y$16,0)</f>
        <v>0</v>
      </c>
      <c r="AB27" s="24" t="n">
        <f aca="false">SUM(C27,E27,G27,I27,K27,M27,O27,Q27,S27,U27,W27,Y27)</f>
        <v>2984</v>
      </c>
      <c r="AC27" s="34" t="n">
        <f aca="false">IFERROR(AB27/AB$16,0)</f>
        <v>0.454878048780488</v>
      </c>
    </row>
    <row r="28" customFormat="false" ht="15" hidden="false" customHeight="true" outlineLevel="0" collapsed="false">
      <c r="A28" s="5" t="s">
        <v>193</v>
      </c>
      <c r="C28" s="24" t="n">
        <v>0</v>
      </c>
      <c r="D28" s="34" t="n">
        <f aca="false">IFERROR(C28/C$17,0)</f>
        <v>0</v>
      </c>
      <c r="E28" s="24" t="n">
        <v>0</v>
      </c>
      <c r="F28" s="34" t="n">
        <f aca="false">IFERROR(E28/E$17,0)</f>
        <v>0</v>
      </c>
      <c r="G28" s="24" t="n">
        <v>0</v>
      </c>
      <c r="H28" s="34" t="n">
        <f aca="false">IFERROR(G28/G$17,0)</f>
        <v>0</v>
      </c>
      <c r="I28" s="24" t="n">
        <v>0</v>
      </c>
      <c r="J28" s="34" t="n">
        <f aca="false">IFERROR(I28/I$17,0)</f>
        <v>0</v>
      </c>
      <c r="K28" s="24" t="n">
        <v>0</v>
      </c>
      <c r="L28" s="34" t="n">
        <f aca="false">IFERROR(K28/K$17,0)</f>
        <v>0</v>
      </c>
      <c r="M28" s="24" t="n">
        <v>0</v>
      </c>
      <c r="N28" s="34" t="n">
        <f aca="false">IFERROR(M28/M$17,0)</f>
        <v>0</v>
      </c>
      <c r="O28" s="24" t="n">
        <v>0</v>
      </c>
      <c r="P28" s="34" t="n">
        <f aca="false">IFERROR(O28/O$17,0)</f>
        <v>0</v>
      </c>
      <c r="Q28" s="24" t="n">
        <v>0</v>
      </c>
      <c r="R28" s="34" t="n">
        <f aca="false">IFERROR(Q28/Q$17,0)</f>
        <v>0</v>
      </c>
      <c r="S28" s="24" t="n">
        <v>0</v>
      </c>
      <c r="T28" s="34" t="n">
        <f aca="false">IFERROR(S28/S$17,0)</f>
        <v>0</v>
      </c>
      <c r="U28" s="24" t="n">
        <v>0</v>
      </c>
      <c r="V28" s="34" t="n">
        <f aca="false">IFERROR(U28/U$17,0)</f>
        <v>0</v>
      </c>
      <c r="W28" s="24" t="n">
        <v>0</v>
      </c>
      <c r="X28" s="34" t="n">
        <f aca="false">IFERROR(W28/W$17,0)</f>
        <v>0</v>
      </c>
      <c r="Y28" s="24" t="n">
        <v>0</v>
      </c>
      <c r="Z28" s="34" t="n">
        <f aca="false">IFERROR(Y28/Y$17,0)</f>
        <v>0</v>
      </c>
      <c r="AB28" s="24" t="n">
        <f aca="false">SUM(C28,E28,G28,I28,K28,M28,O28,Q28,S28,U28,W28,Y28)</f>
        <v>0</v>
      </c>
      <c r="AC28" s="34" t="n">
        <f aca="false">IFERROR(AB28/AB$17,0)</f>
        <v>0</v>
      </c>
    </row>
    <row r="29" customFormat="false" ht="15" hidden="false" customHeight="true" outlineLevel="0" collapsed="false">
      <c r="A29" s="6" t="s">
        <v>139</v>
      </c>
      <c r="C29" s="27" t="n">
        <f aca="false">SUM(C23:C28)</f>
        <v>20270</v>
      </c>
      <c r="D29" s="35" t="n">
        <f aca="false">IFERROR(C29/C$20,0)</f>
        <v>0.531769767563881</v>
      </c>
      <c r="E29" s="27" t="n">
        <f aca="false">SUM(E23:E28)</f>
        <v>11807</v>
      </c>
      <c r="F29" s="35" t="n">
        <f aca="false">IFERROR(E29/E$20,0)</f>
        <v>0.707344835849509</v>
      </c>
      <c r="G29" s="27" t="n">
        <f aca="false">SUM(G23:G28)</f>
        <v>18289</v>
      </c>
      <c r="H29" s="35" t="n">
        <f aca="false">IFERROR(G29/G$20,0)</f>
        <v>0.459464891345308</v>
      </c>
      <c r="I29" s="27" t="n">
        <f aca="false">SUM(I23:I28)</f>
        <v>4532</v>
      </c>
      <c r="J29" s="35" t="n">
        <f aca="false">IFERROR(I29/I$20,0)</f>
        <v>0.361778558314042</v>
      </c>
      <c r="K29" s="27" t="n">
        <f aca="false">SUM(K23:K28)</f>
        <v>12944</v>
      </c>
      <c r="L29" s="35" t="n">
        <f aca="false">IFERROR(K29/K$20,0)</f>
        <v>0.31617772783898</v>
      </c>
      <c r="M29" s="27" t="n">
        <f aca="false">SUM(M23:M28)</f>
        <v>16704</v>
      </c>
      <c r="N29" s="35" t="n">
        <f aca="false">IFERROR(M29/M$20,0)</f>
        <v>0.364533094734086</v>
      </c>
      <c r="O29" s="27" t="n">
        <f aca="false">SUM(O23:O28)</f>
        <v>8031</v>
      </c>
      <c r="P29" s="35" t="n">
        <f aca="false">IFERROR(O29/O$20,0)</f>
        <v>0.242848503175083</v>
      </c>
      <c r="Q29" s="27" t="n">
        <f aca="false">SUM(Q23:Q28)</f>
        <v>6071</v>
      </c>
      <c r="R29" s="35" t="n">
        <f aca="false">IFERROR(Q29/Q$20,0)</f>
        <v>0.242830286788528</v>
      </c>
      <c r="S29" s="27" t="n">
        <f aca="false">SUM(S23:S28)</f>
        <v>6071</v>
      </c>
      <c r="T29" s="35" t="n">
        <f aca="false">IFERROR(S29/S$20,0)</f>
        <v>0.236237171068632</v>
      </c>
      <c r="U29" s="27" t="n">
        <f aca="false">SUM(U23:U28)</f>
        <v>4857</v>
      </c>
      <c r="V29" s="35" t="n">
        <f aca="false">IFERROR(U29/U$20,0)</f>
        <v>0.236256667063914</v>
      </c>
      <c r="W29" s="27" t="n">
        <f aca="false">SUM(W23:W28)</f>
        <v>4857</v>
      </c>
      <c r="X29" s="35" t="n">
        <f aca="false">IFERROR(W29/W$20,0)</f>
        <v>0.236256667063914</v>
      </c>
      <c r="Y29" s="27" t="n">
        <f aca="false">SUM(Y23:Y28)</f>
        <v>8499</v>
      </c>
      <c r="Z29" s="35" t="n">
        <f aca="false">IFERROR(Y29/Y$20,0)</f>
        <v>0.236242468885291</v>
      </c>
      <c r="AB29" s="27" t="n">
        <f aca="false">SUM(AB23:AB28)</f>
        <v>122932</v>
      </c>
      <c r="AC29" s="35" t="n">
        <f aca="false">IFERROR(AB29/AB$20,0)</f>
        <v>0.34651592684526</v>
      </c>
    </row>
    <row r="30" customFormat="false" ht="15" hidden="false" customHeight="true" outlineLevel="0" collapsed="false">
      <c r="A30" s="6" t="s">
        <v>140</v>
      </c>
      <c r="C30" s="7" t="n">
        <f aca="false">C20-C29</f>
        <v>17848</v>
      </c>
      <c r="D30" s="8" t="n">
        <f aca="false">IFERROR(C30/C$20,0)</f>
        <v>0.468230232436119</v>
      </c>
      <c r="E30" s="7" t="n">
        <f aca="false">E20-E29</f>
        <v>4885</v>
      </c>
      <c r="F30" s="8" t="n">
        <f aca="false">IFERROR(E30/E$20,0)</f>
        <v>0.292655164150491</v>
      </c>
      <c r="G30" s="7" t="n">
        <f aca="false">G20-G29</f>
        <v>21516</v>
      </c>
      <c r="H30" s="8" t="n">
        <f aca="false">IFERROR(G30/G$20,0)</f>
        <v>0.540535108654692</v>
      </c>
      <c r="I30" s="7" t="n">
        <f aca="false">I20-I29</f>
        <v>7995</v>
      </c>
      <c r="J30" s="8" t="n">
        <f aca="false">IFERROR(I30/I$20,0)</f>
        <v>0.638221441685958</v>
      </c>
      <c r="K30" s="7" t="n">
        <f aca="false">K20-K29</f>
        <v>27995</v>
      </c>
      <c r="L30" s="8" t="n">
        <f aca="false">IFERROR(K30/K$20,0)</f>
        <v>0.68382227216102</v>
      </c>
      <c r="M30" s="7" t="n">
        <f aca="false">M20-M29</f>
        <v>29119</v>
      </c>
      <c r="N30" s="8" t="n">
        <f aca="false">IFERROR(M30/M$20,0)</f>
        <v>0.635466905265915</v>
      </c>
      <c r="O30" s="7" t="n">
        <f aca="false">O20-O29</f>
        <v>25039</v>
      </c>
      <c r="P30" s="8" t="n">
        <f aca="false">IFERROR(O30/O$20,0)</f>
        <v>0.757151496824917</v>
      </c>
      <c r="Q30" s="7" t="n">
        <f aca="false">Q20-Q29</f>
        <v>18930</v>
      </c>
      <c r="R30" s="8" t="n">
        <f aca="false">IFERROR(Q30/Q$20,0)</f>
        <v>0.757169713211472</v>
      </c>
      <c r="S30" s="7" t="n">
        <f aca="false">S20-S29</f>
        <v>19627.75</v>
      </c>
      <c r="T30" s="8" t="n">
        <f aca="false">IFERROR(S30/S$20,0)</f>
        <v>0.763762828931368</v>
      </c>
      <c r="U30" s="7" t="n">
        <f aca="false">U20-U29</f>
        <v>15701.15</v>
      </c>
      <c r="V30" s="8" t="n">
        <f aca="false">IFERROR(U30/U$20,0)</f>
        <v>0.763743332936086</v>
      </c>
      <c r="W30" s="7" t="n">
        <f aca="false">W20-W29</f>
        <v>15701.15</v>
      </c>
      <c r="X30" s="8" t="n">
        <f aca="false">IFERROR(W30/W$20,0)</f>
        <v>0.763743332936086</v>
      </c>
      <c r="Y30" s="7" t="n">
        <f aca="false">Y20-Y29</f>
        <v>27476.75</v>
      </c>
      <c r="Z30" s="8" t="n">
        <f aca="false">IFERROR(Y30/Y$20,0)</f>
        <v>0.763757531114709</v>
      </c>
      <c r="AB30" s="7" t="n">
        <f aca="false">AB20-AB29</f>
        <v>231833.8</v>
      </c>
      <c r="AC30" s="8" t="n">
        <f aca="false">IFERROR(AB30/AB$20,0)</f>
        <v>0.65348407315474</v>
      </c>
    </row>
    <row r="32" customFormat="false" ht="15" hidden="false" customHeight="true" outlineLevel="0" collapsed="false">
      <c r="A32" s="6" t="s">
        <v>194</v>
      </c>
    </row>
    <row r="33" customFormat="false" ht="15" hidden="false" customHeight="true" outlineLevel="0" collapsed="false">
      <c r="A33" s="5" t="s">
        <v>195</v>
      </c>
      <c r="C33" s="24" t="n">
        <f aca="false">'Vessel 2026 P&amp;L'!C28</f>
        <v>1230</v>
      </c>
      <c r="D33" s="34" t="n">
        <f aca="false">IFERROR(C33/C$20,0)</f>
        <v>0.0322682197387061</v>
      </c>
      <c r="E33" s="24" t="n">
        <f aca="false">'Vessel 2026 P&amp;L'!E28</f>
        <v>615</v>
      </c>
      <c r="F33" s="34" t="n">
        <f aca="false">IFERROR(E33/E$20,0)</f>
        <v>0.036843997124371</v>
      </c>
      <c r="G33" s="24" t="n">
        <f aca="false">'Vessel 2026 P&amp;L'!G28</f>
        <v>1277</v>
      </c>
      <c r="H33" s="34" t="n">
        <f aca="false">IFERROR(G33/G$20,0)</f>
        <v>0.0320813968094461</v>
      </c>
      <c r="I33" s="24" t="n">
        <f aca="false">'Vessel 2026 P&amp;L'!I28</f>
        <v>1132</v>
      </c>
      <c r="J33" s="34" t="n">
        <f aca="false">IFERROR(I33/I$20,0)</f>
        <v>0.0903648120060669</v>
      </c>
      <c r="K33" s="24" t="n">
        <f aca="false">'Vessel 2026 P&amp;L'!K28</f>
        <v>1657</v>
      </c>
      <c r="L33" s="34" t="n">
        <f aca="false">IFERROR(K33/K$20,0)</f>
        <v>0.04047485282982</v>
      </c>
      <c r="M33" s="24" t="n">
        <f aca="false">'Vessel 2026 P&amp;L'!M28</f>
        <v>1377</v>
      </c>
      <c r="N33" s="34" t="n">
        <f aca="false">IFERROR(M33/M$20,0)</f>
        <v>0.0300504113654715</v>
      </c>
      <c r="O33" s="24" t="n">
        <f aca="false">'Vessel 2026 P&amp;L'!O28</f>
        <v>1657</v>
      </c>
      <c r="P33" s="34" t="n">
        <f aca="false">IFERROR(O33/O$20,0)</f>
        <v>0.0501058361052313</v>
      </c>
      <c r="Q33" s="24" t="n">
        <f aca="false">'Vessel 2026 P&amp;L'!Q28</f>
        <v>1657</v>
      </c>
      <c r="R33" s="34" t="n">
        <f aca="false">IFERROR(Q33/Q$20,0)</f>
        <v>0.0662773489060438</v>
      </c>
      <c r="S33" s="24" t="n">
        <f aca="false">'Vessel 2026 P&amp;L'!S28</f>
        <v>1657</v>
      </c>
      <c r="T33" s="34" t="n">
        <f aca="false">IFERROR(S33/S$20,0)</f>
        <v>0.0644778442531252</v>
      </c>
      <c r="U33" s="24" t="n">
        <f aca="false">'Vessel 2026 P&amp;L'!U28</f>
        <v>1657</v>
      </c>
      <c r="V33" s="34" t="n">
        <f aca="false">IFERROR(U33/U$20,0)</f>
        <v>0.0806006377032953</v>
      </c>
      <c r="W33" s="24" t="n">
        <f aca="false">'Vessel 2026 P&amp;L'!W28</f>
        <v>1657</v>
      </c>
      <c r="X33" s="34" t="n">
        <f aca="false">IFERROR(W33/W$20,0)</f>
        <v>0.0806006377032953</v>
      </c>
      <c r="Y33" s="24" t="n">
        <f aca="false">'Vessel 2026 P&amp;L'!Y28</f>
        <v>1657</v>
      </c>
      <c r="Z33" s="34" t="n">
        <f aca="false">IFERROR(Y33/Y$20,0)</f>
        <v>0.0460588034995796</v>
      </c>
      <c r="AB33" s="24" t="n">
        <f aca="false">SUM(C33,E33,G33,I33,K33,M33,O33,Q33,S33,U33,W33,Y33)</f>
        <v>17230</v>
      </c>
      <c r="AC33" s="34" t="n">
        <f aca="false">IFERROR(AB33/AB$20,0)</f>
        <v>0.0485672519729918</v>
      </c>
    </row>
    <row r="34" customFormat="false" ht="15" hidden="false" customHeight="true" outlineLevel="0" collapsed="false">
      <c r="A34" s="5" t="s">
        <v>196</v>
      </c>
      <c r="C34" s="24" t="n">
        <f aca="false">'Vessel 2026 P&amp;L'!C29</f>
        <v>1097</v>
      </c>
      <c r="D34" s="34" t="n">
        <f aca="false">IFERROR(C34/C$20,0)</f>
        <v>0.0287790545149273</v>
      </c>
      <c r="E34" s="24" t="n">
        <f aca="false">'Vessel 2026 P&amp;L'!E29</f>
        <v>2016</v>
      </c>
      <c r="F34" s="34" t="n">
        <f aca="false">IFERROR(E34/E$20,0)</f>
        <v>0.12077641984184</v>
      </c>
      <c r="G34" s="24" t="n">
        <f aca="false">'Vessel 2026 P&amp;L'!G29</f>
        <v>1928</v>
      </c>
      <c r="H34" s="34" t="n">
        <f aca="false">IFERROR(G34/G$20,0)</f>
        <v>0.0484361261148097</v>
      </c>
      <c r="I34" s="24" t="n">
        <f aca="false">'Vessel 2026 P&amp;L'!I29</f>
        <v>584</v>
      </c>
      <c r="J34" s="34" t="n">
        <f aca="false">IFERROR(I34/I$20,0)</f>
        <v>0.0466193023070168</v>
      </c>
      <c r="K34" s="24" t="n">
        <f aca="false">'Vessel 2026 P&amp;L'!K29</f>
        <v>0</v>
      </c>
      <c r="L34" s="34" t="n">
        <f aca="false">IFERROR(K34/K$20,0)</f>
        <v>0</v>
      </c>
      <c r="M34" s="24" t="n">
        <f aca="false">'Vessel 2026 P&amp;L'!M29</f>
        <v>-1</v>
      </c>
      <c r="N34" s="34" t="n">
        <f aca="false">IFERROR(M34/M$20,0)</f>
        <v>-2.18231019357091E-005</v>
      </c>
      <c r="O34" s="24" t="n">
        <f aca="false">'Vessel 2026 P&amp;L'!O29</f>
        <v>0</v>
      </c>
      <c r="P34" s="34" t="n">
        <f aca="false">IFERROR(O34/O$20,0)</f>
        <v>0</v>
      </c>
      <c r="Q34" s="24" t="n">
        <f aca="false">'Vessel 2026 P&amp;L'!Q29</f>
        <v>0</v>
      </c>
      <c r="R34" s="34" t="n">
        <f aca="false">IFERROR(Q34/Q$20,0)</f>
        <v>0</v>
      </c>
      <c r="S34" s="24" t="n">
        <f aca="false">'Vessel 2026 P&amp;L'!S29</f>
        <v>0</v>
      </c>
      <c r="T34" s="34" t="n">
        <f aca="false">IFERROR(S34/S$20,0)</f>
        <v>0</v>
      </c>
      <c r="U34" s="24" t="n">
        <f aca="false">'Vessel 2026 P&amp;L'!U29</f>
        <v>0</v>
      </c>
      <c r="V34" s="34" t="n">
        <f aca="false">IFERROR(U34/U$20,0)</f>
        <v>0</v>
      </c>
      <c r="W34" s="24" t="n">
        <f aca="false">'Vessel 2026 P&amp;L'!W29</f>
        <v>0</v>
      </c>
      <c r="X34" s="34" t="n">
        <f aca="false">IFERROR(W34/W$20,0)</f>
        <v>0</v>
      </c>
      <c r="Y34" s="24" t="n">
        <f aca="false">'Vessel 2026 P&amp;L'!Y29</f>
        <v>0</v>
      </c>
      <c r="Z34" s="34" t="n">
        <f aca="false">IFERROR(Y34/Y$20,0)</f>
        <v>0</v>
      </c>
      <c r="AB34" s="24" t="n">
        <f aca="false">SUM(C34,E34,G34,I34,K34,M34,O34,Q34,S34,U34,W34,Y34)</f>
        <v>5624</v>
      </c>
      <c r="AC34" s="34" t="n">
        <f aca="false">IFERROR(AB34/AB$20,0)</f>
        <v>0.0158527118453921</v>
      </c>
    </row>
    <row r="35" customFormat="false" ht="15" hidden="false" customHeight="true" outlineLevel="0" collapsed="false">
      <c r="A35" s="5" t="s">
        <v>197</v>
      </c>
      <c r="C35" s="24" t="n">
        <f aca="false">'Vessel 2026 P&amp;L'!C30</f>
        <v>1384</v>
      </c>
      <c r="D35" s="34" t="n">
        <f aca="false">IFERROR(C35/C$20,0)</f>
        <v>0.0363083057872921</v>
      </c>
      <c r="E35" s="24" t="n">
        <f aca="false">'Vessel 2026 P&amp;L'!E30</f>
        <v>1502</v>
      </c>
      <c r="F35" s="34" t="n">
        <f aca="false">IFERROR(E35/E$20,0)</f>
        <v>0.0899832254972442</v>
      </c>
      <c r="G35" s="24" t="n">
        <f aca="false">'Vessel 2026 P&amp;L'!G30</f>
        <v>5284</v>
      </c>
      <c r="H35" s="34" t="n">
        <f aca="false">IFERROR(G35/G$20,0)</f>
        <v>0.132747142318804</v>
      </c>
      <c r="I35" s="24" t="n">
        <f aca="false">'Vessel 2026 P&amp;L'!I30</f>
        <v>0</v>
      </c>
      <c r="J35" s="34" t="n">
        <f aca="false">IFERROR(I35/I$20,0)</f>
        <v>0</v>
      </c>
      <c r="K35" s="24" t="n">
        <f aca="false">'Vessel 2026 P&amp;L'!K30</f>
        <v>8918</v>
      </c>
      <c r="L35" s="34" t="n">
        <f aca="false">IFERROR(K35/K$20,0)</f>
        <v>0.217836293021324</v>
      </c>
      <c r="M35" s="24" t="n">
        <f aca="false">'Vessel 2026 P&amp;L'!M30</f>
        <v>10928</v>
      </c>
      <c r="N35" s="34" t="n">
        <f aca="false">IFERROR(M35/M$20,0)</f>
        <v>0.23848285795343</v>
      </c>
      <c r="O35" s="24" t="n">
        <f aca="false">'Vessel 2026 P&amp;L'!O30</f>
        <v>5384</v>
      </c>
      <c r="P35" s="34" t="n">
        <f aca="false">IFERROR(O35/O$20,0)</f>
        <v>0.162806168732991</v>
      </c>
      <c r="Q35" s="24" t="n">
        <f aca="false">'Vessel 2026 P&amp;L'!Q30</f>
        <v>2500</v>
      </c>
      <c r="R35" s="34" t="n">
        <f aca="false">IFERROR(Q35/Q$20,0)</f>
        <v>0.0999960001599936</v>
      </c>
      <c r="S35" s="24" t="n">
        <f aca="false">'Vessel 2026 P&amp;L'!S30</f>
        <v>2500</v>
      </c>
      <c r="T35" s="34" t="n">
        <f aca="false">IFERROR(S35/S$20,0)</f>
        <v>0.0972809961574007</v>
      </c>
      <c r="U35" s="24" t="n">
        <f aca="false">'Vessel 2026 P&amp;L'!U30</f>
        <v>2000</v>
      </c>
      <c r="V35" s="34" t="n">
        <f aca="false">IFERROR(U35/U$20,0)</f>
        <v>0.0972850183503866</v>
      </c>
      <c r="W35" s="24" t="n">
        <f aca="false">'Vessel 2026 P&amp;L'!W30</f>
        <v>2000</v>
      </c>
      <c r="X35" s="34" t="n">
        <f aca="false">IFERROR(W35/W$20,0)</f>
        <v>0.0972850183503866</v>
      </c>
      <c r="Y35" s="24" t="n">
        <f aca="false">'Vessel 2026 P&amp;L'!Y30</f>
        <v>3500</v>
      </c>
      <c r="Z35" s="34" t="n">
        <f aca="false">IFERROR(Y35/Y$20,0)</f>
        <v>0.0972877563358651</v>
      </c>
      <c r="AB35" s="24" t="n">
        <f aca="false">SUM(C35,E35,G35,I35,K35,M35,O35,Q35,S35,U35,W35,Y35)</f>
        <v>45900</v>
      </c>
      <c r="AC35" s="34" t="n">
        <f aca="false">IFERROR(AB35/AB$20,0)</f>
        <v>0.129381129748132</v>
      </c>
    </row>
    <row r="36" customFormat="false" ht="15" hidden="false" customHeight="true" outlineLevel="0" collapsed="false">
      <c r="A36" s="5" t="s">
        <v>198</v>
      </c>
      <c r="C36" s="24" t="n">
        <f aca="false">'Vessel 2026 P&amp;L'!C31</f>
        <v>303</v>
      </c>
      <c r="D36" s="34" t="n">
        <f aca="false">IFERROR(C36/C$20,0)</f>
        <v>0.00794900047221785</v>
      </c>
      <c r="E36" s="24" t="n">
        <f aca="false">'Vessel 2026 P&amp;L'!E31</f>
        <v>1318</v>
      </c>
      <c r="F36" s="34" t="n">
        <f aca="false">IFERROR(E36/E$20,0)</f>
        <v>0.0789599808291397</v>
      </c>
      <c r="G36" s="24" t="n">
        <f aca="false">'Vessel 2026 P&amp;L'!G31</f>
        <v>842</v>
      </c>
      <c r="H36" s="34" t="n">
        <f aca="false">IFERROR(G36/G$20,0)</f>
        <v>0.0211531214671524</v>
      </c>
      <c r="I36" s="24" t="n">
        <f aca="false">'Vessel 2026 P&amp;L'!I31</f>
        <v>479</v>
      </c>
      <c r="J36" s="34" t="n">
        <f aca="false">IFERROR(I36/I$20,0)</f>
        <v>0.038237407200447</v>
      </c>
      <c r="K36" s="24" t="n">
        <f aca="false">'Vessel 2026 P&amp;L'!K31</f>
        <v>1667</v>
      </c>
      <c r="L36" s="34" t="n">
        <f aca="false">IFERROR(K36/K$20,0)</f>
        <v>0.0407191186887809</v>
      </c>
      <c r="M36" s="24" t="n">
        <f aca="false">'Vessel 2026 P&amp;L'!M31</f>
        <v>1248</v>
      </c>
      <c r="N36" s="34" t="n">
        <f aca="false">IFERROR(M36/M$20,0)</f>
        <v>0.027235231215765</v>
      </c>
      <c r="O36" s="24" t="n">
        <f aca="false">'Vessel 2026 P&amp;L'!O31</f>
        <v>257</v>
      </c>
      <c r="P36" s="34" t="n">
        <f aca="false">IFERROR(O36/O$20,0)</f>
        <v>0.00777139401270033</v>
      </c>
      <c r="Q36" s="24" t="n">
        <f aca="false">'Vessel 2026 P&amp;L'!Q31</f>
        <v>257</v>
      </c>
      <c r="R36" s="34" t="n">
        <f aca="false">IFERROR(Q36/Q$20,0)</f>
        <v>0.0102795888164473</v>
      </c>
      <c r="S36" s="24" t="n">
        <f aca="false">'Vessel 2026 P&amp;L'!S31</f>
        <v>257</v>
      </c>
      <c r="T36" s="34" t="n">
        <f aca="false">IFERROR(S36/S$20,0)</f>
        <v>0.0100004864049808</v>
      </c>
      <c r="U36" s="24" t="n">
        <f aca="false">'Vessel 2026 P&amp;L'!U31</f>
        <v>257</v>
      </c>
      <c r="V36" s="34" t="n">
        <f aca="false">IFERROR(U36/U$20,0)</f>
        <v>0.0125011248580247</v>
      </c>
      <c r="W36" s="24" t="n">
        <f aca="false">'Vessel 2026 P&amp;L'!W31</f>
        <v>257</v>
      </c>
      <c r="X36" s="34" t="n">
        <f aca="false">IFERROR(W36/W$20,0)</f>
        <v>0.0125011248580247</v>
      </c>
      <c r="Y36" s="24" t="n">
        <f aca="false">'Vessel 2026 P&amp;L'!Y31</f>
        <v>257</v>
      </c>
      <c r="Z36" s="34" t="n">
        <f aca="false">IFERROR(Y36/Y$20,0)</f>
        <v>0.00714370096523353</v>
      </c>
      <c r="AB36" s="24" t="n">
        <f aca="false">SUM(C36,E36,G36,I36,K36,M36,O36,Q36,S36,U36,W36,Y36)</f>
        <v>7399</v>
      </c>
      <c r="AC36" s="34" t="n">
        <f aca="false">IFERROR(AB36/AB$20,0)</f>
        <v>0.0208560126145192</v>
      </c>
    </row>
    <row r="37" customFormat="false" ht="15" hidden="false" customHeight="true" outlineLevel="0" collapsed="false">
      <c r="A37" s="5" t="s">
        <v>199</v>
      </c>
      <c r="C37" s="24" t="n">
        <f aca="false">'Vessel 2026 P&amp;L'!C32</f>
        <v>313</v>
      </c>
      <c r="D37" s="34" t="n">
        <f aca="false">IFERROR(C37/C$20,0)</f>
        <v>0.00821134372212603</v>
      </c>
      <c r="E37" s="24" t="n">
        <f aca="false">'Vessel 2026 P&amp;L'!E32</f>
        <v>311</v>
      </c>
      <c r="F37" s="34" t="n">
        <f aca="false">IFERROR(E37/E$20,0)</f>
        <v>0.0186316798466331</v>
      </c>
      <c r="G37" s="24" t="n">
        <f aca="false">'Vessel 2026 P&amp;L'!G32</f>
        <v>380</v>
      </c>
      <c r="H37" s="34" t="n">
        <f aca="false">IFERROR(G37/G$20,0)</f>
        <v>0.00954653937947494</v>
      </c>
      <c r="I37" s="24" t="n">
        <f aca="false">'Vessel 2026 P&amp;L'!I32</f>
        <v>380</v>
      </c>
      <c r="J37" s="34" t="n">
        <f aca="false">IFERROR(I37/I$20,0)</f>
        <v>0.0303344775285384</v>
      </c>
      <c r="K37" s="24" t="n">
        <f aca="false">'Vessel 2026 P&amp;L'!K32</f>
        <v>551</v>
      </c>
      <c r="L37" s="34" t="n">
        <f aca="false">IFERROR(K37/K$20,0)</f>
        <v>0.0134590488287452</v>
      </c>
      <c r="M37" s="24" t="n">
        <f aca="false">'Vessel 2026 P&amp;L'!M32</f>
        <v>1598</v>
      </c>
      <c r="N37" s="34" t="n">
        <f aca="false">IFERROR(M37/M$20,0)</f>
        <v>0.0348733168932632</v>
      </c>
      <c r="O37" s="24" t="n">
        <f aca="false">'Vessel 2026 P&amp;L'!O32</f>
        <v>58</v>
      </c>
      <c r="P37" s="34" t="n">
        <f aca="false">IFERROR(O37/O$20,0)</f>
        <v>0.00175385545811914</v>
      </c>
      <c r="Q37" s="24" t="n">
        <f aca="false">'Vessel 2026 P&amp;L'!Q32</f>
        <v>58</v>
      </c>
      <c r="R37" s="34" t="n">
        <f aca="false">IFERROR(Q37/Q$20,0)</f>
        <v>0.00231990720371185</v>
      </c>
      <c r="S37" s="24" t="n">
        <f aca="false">'Vessel 2026 P&amp;L'!S32</f>
        <v>58</v>
      </c>
      <c r="T37" s="34" t="n">
        <f aca="false">IFERROR(S37/S$20,0)</f>
        <v>0.0022569191108517</v>
      </c>
      <c r="U37" s="24" t="n">
        <f aca="false">'Vessel 2026 P&amp;L'!U32</f>
        <v>58</v>
      </c>
      <c r="V37" s="34" t="n">
        <f aca="false">IFERROR(U37/U$20,0)</f>
        <v>0.00282126553216121</v>
      </c>
      <c r="W37" s="24" t="n">
        <f aca="false">'Vessel 2026 P&amp;L'!W32</f>
        <v>58</v>
      </c>
      <c r="X37" s="34" t="n">
        <f aca="false">IFERROR(W37/W$20,0)</f>
        <v>0.00282126553216121</v>
      </c>
      <c r="Y37" s="24" t="n">
        <f aca="false">'Vessel 2026 P&amp;L'!Y32</f>
        <v>58</v>
      </c>
      <c r="Z37" s="34" t="n">
        <f aca="false">IFERROR(Y37/Y$20,0)</f>
        <v>0.00161219710499434</v>
      </c>
      <c r="AB37" s="24" t="n">
        <f aca="false">SUM(C37,E37,G37,I37,K37,M37,O37,Q37,S37,U37,W37,Y37)</f>
        <v>3881</v>
      </c>
      <c r="AC37" s="34" t="n">
        <f aca="false">IFERROR(AB37/AB$20,0)</f>
        <v>0.0109396114281591</v>
      </c>
    </row>
    <row r="38" customFormat="false" ht="15" hidden="false" customHeight="true" outlineLevel="0" collapsed="false">
      <c r="A38" s="6" t="s">
        <v>141</v>
      </c>
      <c r="C38" s="27" t="n">
        <f aca="false">SUM(C33:C37)</f>
        <v>4327</v>
      </c>
      <c r="D38" s="35" t="n">
        <f aca="false">IFERROR(C38/C$20,0)</f>
        <v>0.113515924235269</v>
      </c>
      <c r="E38" s="27" t="n">
        <f aca="false">SUM(E33:E37)</f>
        <v>5762</v>
      </c>
      <c r="F38" s="35" t="n">
        <f aca="false">IFERROR(E38/E$20,0)</f>
        <v>0.345195303139228</v>
      </c>
      <c r="G38" s="27" t="n">
        <f aca="false">SUM(G33:G37)</f>
        <v>9711</v>
      </c>
      <c r="H38" s="35" t="n">
        <f aca="false">IFERROR(G38/G$20,0)</f>
        <v>0.243964326089687</v>
      </c>
      <c r="I38" s="27" t="n">
        <f aca="false">SUM(I33:I37)</f>
        <v>2575</v>
      </c>
      <c r="J38" s="35" t="n">
        <f aca="false">IFERROR(I38/I$20,0)</f>
        <v>0.205555999042069</v>
      </c>
      <c r="K38" s="27" t="n">
        <f aca="false">SUM(K33:K37)</f>
        <v>12793</v>
      </c>
      <c r="L38" s="35" t="n">
        <f aca="false">IFERROR(K38/K$20,0)</f>
        <v>0.312489313368671</v>
      </c>
      <c r="M38" s="27" t="n">
        <f aca="false">SUM(M33:M37)</f>
        <v>15150</v>
      </c>
      <c r="N38" s="35" t="n">
        <f aca="false">IFERROR(M38/M$20,0)</f>
        <v>0.330619994325994</v>
      </c>
      <c r="O38" s="27" t="n">
        <f aca="false">SUM(O33:O37)</f>
        <v>7356</v>
      </c>
      <c r="P38" s="35" t="n">
        <f aca="false">IFERROR(O38/O$20,0)</f>
        <v>0.222437254309041</v>
      </c>
      <c r="Q38" s="27" t="n">
        <f aca="false">SUM(Q33:Q37)</f>
        <v>4472</v>
      </c>
      <c r="R38" s="35" t="n">
        <f aca="false">IFERROR(Q38/Q$20,0)</f>
        <v>0.178872845086197</v>
      </c>
      <c r="S38" s="27" t="n">
        <f aca="false">SUM(S33:S37)</f>
        <v>4472</v>
      </c>
      <c r="T38" s="35" t="n">
        <f aca="false">IFERROR(S38/S$20,0)</f>
        <v>0.174016245926358</v>
      </c>
      <c r="U38" s="27" t="n">
        <f aca="false">SUM(U33:U37)</f>
        <v>3972</v>
      </c>
      <c r="V38" s="35" t="n">
        <f aca="false">IFERROR(U38/U$20,0)</f>
        <v>0.193208046443868</v>
      </c>
      <c r="W38" s="27" t="n">
        <f aca="false">SUM(W33:W37)</f>
        <v>3972</v>
      </c>
      <c r="X38" s="35" t="n">
        <f aca="false">IFERROR(W38/W$20,0)</f>
        <v>0.193208046443868</v>
      </c>
      <c r="Y38" s="27" t="n">
        <f aca="false">SUM(Y33:Y37)</f>
        <v>5472</v>
      </c>
      <c r="Z38" s="35" t="n">
        <f aca="false">IFERROR(Y38/Y$20,0)</f>
        <v>0.152102457905673</v>
      </c>
      <c r="AB38" s="27" t="n">
        <f aca="false">SUM(AB33:AB37)</f>
        <v>80034</v>
      </c>
      <c r="AC38" s="35" t="n">
        <f aca="false">IFERROR(AB38/AB$20,0)</f>
        <v>0.225596717609195</v>
      </c>
    </row>
    <row r="40" customFormat="false" ht="15" hidden="false" customHeight="true" outlineLevel="0" collapsed="false">
      <c r="A40" s="6" t="s">
        <v>200</v>
      </c>
      <c r="C40" s="7" t="n">
        <f aca="false">C29+C38</f>
        <v>24597</v>
      </c>
      <c r="D40" s="8" t="n">
        <f aca="false">IFERROR(C40/C$20,0)</f>
        <v>0.64528569179915</v>
      </c>
      <c r="E40" s="7" t="n">
        <f aca="false">E29+E38</f>
        <v>17569</v>
      </c>
      <c r="F40" s="8" t="n">
        <f aca="false">IFERROR(E40/E$20,0)</f>
        <v>1.05254013898874</v>
      </c>
      <c r="G40" s="7" t="n">
        <f aca="false">G29+G38</f>
        <v>28000</v>
      </c>
      <c r="H40" s="8" t="n">
        <f aca="false">IFERROR(G40/G$20,0)</f>
        <v>0.703429217434996</v>
      </c>
      <c r="I40" s="7" t="n">
        <f aca="false">I29+I38</f>
        <v>7107</v>
      </c>
      <c r="J40" s="8" t="n">
        <f aca="false">IFERROR(I40/I$20,0)</f>
        <v>0.567334557356111</v>
      </c>
      <c r="K40" s="7" t="n">
        <f aca="false">K29+K38</f>
        <v>25737</v>
      </c>
      <c r="L40" s="8" t="n">
        <f aca="false">IFERROR(K40/K$20,0)</f>
        <v>0.62866704120765</v>
      </c>
      <c r="M40" s="7" t="n">
        <f aca="false">M29+M38</f>
        <v>31854</v>
      </c>
      <c r="N40" s="8" t="n">
        <f aca="false">IFERROR(M40/M$20,0)</f>
        <v>0.695153089060079</v>
      </c>
      <c r="O40" s="7" t="n">
        <f aca="false">O29+O38</f>
        <v>15387</v>
      </c>
      <c r="P40" s="8" t="n">
        <f aca="false">IFERROR(O40/O$20,0)</f>
        <v>0.465285757484125</v>
      </c>
      <c r="Q40" s="7" t="n">
        <f aca="false">Q29+Q38</f>
        <v>10543</v>
      </c>
      <c r="R40" s="8" t="n">
        <f aca="false">IFERROR(Q40/Q$20,0)</f>
        <v>0.421703131874725</v>
      </c>
      <c r="S40" s="7" t="n">
        <f aca="false">S29+S38</f>
        <v>10543</v>
      </c>
      <c r="T40" s="8" t="n">
        <f aca="false">IFERROR(S40/S$20,0)</f>
        <v>0.41025341699499</v>
      </c>
      <c r="U40" s="7" t="n">
        <f aca="false">U29+U38</f>
        <v>8829</v>
      </c>
      <c r="V40" s="8" t="n">
        <f aca="false">IFERROR(U40/U$20,0)</f>
        <v>0.429464713507782</v>
      </c>
      <c r="W40" s="7" t="n">
        <f aca="false">W29+W38</f>
        <v>8829</v>
      </c>
      <c r="X40" s="8" t="n">
        <f aca="false">IFERROR(W40/W$20,0)</f>
        <v>0.429464713507782</v>
      </c>
      <c r="Y40" s="7" t="n">
        <f aca="false">Y29+Y38</f>
        <v>13971</v>
      </c>
      <c r="Z40" s="8" t="n">
        <f aca="false">IFERROR(Y40/Y$20,0)</f>
        <v>0.388344926790963</v>
      </c>
      <c r="AB40" s="7" t="n">
        <f aca="false">AB29+AB38</f>
        <v>202966</v>
      </c>
      <c r="AC40" s="8" t="n">
        <f aca="false">IFERROR(AB40/AB$20,0)</f>
        <v>0.572112644454454</v>
      </c>
    </row>
    <row r="41" customFormat="false" ht="15" hidden="false" customHeight="true" outlineLevel="0" collapsed="false">
      <c r="A41" s="6" t="s">
        <v>201</v>
      </c>
      <c r="C41" s="7" t="n">
        <f aca="false">C30-C38</f>
        <v>13521</v>
      </c>
      <c r="D41" s="8" t="n">
        <f aca="false">IFERROR(C41/C$20,0)</f>
        <v>0.35471430820085</v>
      </c>
      <c r="E41" s="7" t="n">
        <f aca="false">E30-E38</f>
        <v>-877</v>
      </c>
      <c r="F41" s="8" t="n">
        <f aca="false">IFERROR(E41/E$20,0)</f>
        <v>-0.0525401389887371</v>
      </c>
      <c r="G41" s="7" t="n">
        <f aca="false">G30-G38</f>
        <v>11805</v>
      </c>
      <c r="H41" s="8" t="n">
        <f aca="false">IFERROR(G41/G$20,0)</f>
        <v>0.296570782565004</v>
      </c>
      <c r="I41" s="7" t="n">
        <f aca="false">I30-I38</f>
        <v>5420</v>
      </c>
      <c r="J41" s="8" t="n">
        <f aca="false">IFERROR(I41/I$20,0)</f>
        <v>0.432665442643889</v>
      </c>
      <c r="K41" s="7" t="n">
        <f aca="false">K30-K38</f>
        <v>15202</v>
      </c>
      <c r="L41" s="8" t="n">
        <f aca="false">IFERROR(K41/K$20,0)</f>
        <v>0.37133295879235</v>
      </c>
      <c r="M41" s="7" t="n">
        <f aca="false">M30-M38</f>
        <v>13969</v>
      </c>
      <c r="N41" s="8" t="n">
        <f aca="false">IFERROR(M41/M$20,0)</f>
        <v>0.304846910939921</v>
      </c>
      <c r="O41" s="7" t="n">
        <f aca="false">O30-O38</f>
        <v>17683</v>
      </c>
      <c r="P41" s="8" t="n">
        <f aca="false">IFERROR(O41/O$20,0)</f>
        <v>0.534714242515875</v>
      </c>
      <c r="Q41" s="7" t="n">
        <f aca="false">Q30-Q38</f>
        <v>14458</v>
      </c>
      <c r="R41" s="8" t="n">
        <f aca="false">IFERROR(Q41/Q$20,0)</f>
        <v>0.578296868125275</v>
      </c>
      <c r="S41" s="7" t="n">
        <f aca="false">S30-S38</f>
        <v>15155.75</v>
      </c>
      <c r="T41" s="8" t="n">
        <f aca="false">IFERROR(S41/S$20,0)</f>
        <v>0.58974658300501</v>
      </c>
      <c r="U41" s="7" t="n">
        <f aca="false">U30-U38</f>
        <v>11729.15</v>
      </c>
      <c r="V41" s="8" t="n">
        <f aca="false">IFERROR(U41/U$20,0)</f>
        <v>0.570535286492218</v>
      </c>
      <c r="W41" s="7" t="n">
        <f aca="false">W30-W38</f>
        <v>11729.15</v>
      </c>
      <c r="X41" s="8" t="n">
        <f aca="false">IFERROR(W41/W$20,0)</f>
        <v>0.570535286492218</v>
      </c>
      <c r="Y41" s="7" t="n">
        <f aca="false">Y30-Y38</f>
        <v>22004.75</v>
      </c>
      <c r="Z41" s="8" t="n">
        <f aca="false">IFERROR(Y41/Y$20,0)</f>
        <v>0.611655073209037</v>
      </c>
      <c r="AB41" s="7" t="n">
        <f aca="false">AB30-AB38</f>
        <v>151799.8</v>
      </c>
      <c r="AC41" s="8" t="n">
        <f aca="false">IFERROR(AB41/AB$20,0)</f>
        <v>0.427887355545546</v>
      </c>
    </row>
    <row r="43" customFormat="false" ht="15" hidden="false" customHeight="true" outlineLevel="0" collapsed="false">
      <c r="A43" s="6" t="s">
        <v>202</v>
      </c>
    </row>
    <row r="44" customFormat="false" ht="15" hidden="false" customHeight="true" outlineLevel="0" collapsed="false">
      <c r="A44" s="5" t="s">
        <v>567</v>
      </c>
      <c r="C44" s="24" t="n">
        <f aca="false">IF(1&gt;=MONTH($C$4),C20*'Vessel Assumptions'!$C$34,'Vessel 2026 P&amp;L'!C39)</f>
        <v>1631</v>
      </c>
      <c r="D44" s="34" t="n">
        <f aca="false">IFERROR(C44/C$20,0)</f>
        <v>0.0427881840600241</v>
      </c>
      <c r="E44" s="24" t="n">
        <f aca="false">IF(2&gt;=MONTH($C$4),E20*'Vessel Assumptions'!$C$34,'Vessel 2026 P&amp;L'!E39)</f>
        <v>1306</v>
      </c>
      <c r="F44" s="34" t="n">
        <f aca="false">IFERROR(E44/E$20,0)</f>
        <v>0.0782410735681764</v>
      </c>
      <c r="G44" s="24" t="n">
        <f aca="false">IF(3&gt;=MONTH($C$4),G20*'Vessel Assumptions'!$C$34,'Vessel 2026 P&amp;L'!G39)</f>
        <v>3262</v>
      </c>
      <c r="H44" s="34" t="n">
        <f aca="false">IFERROR(G44/G$20,0)</f>
        <v>0.081949503831177</v>
      </c>
      <c r="I44" s="24" t="n">
        <f aca="false">IF(4&gt;=MONTH($C$4),I20*'Vessel Assumptions'!$C$34,'Vessel 2026 P&amp;L'!I39)</f>
        <v>580</v>
      </c>
      <c r="J44" s="34" t="n">
        <f aca="false">IFERROR(I44/I$20,0)</f>
        <v>0.0462999920172428</v>
      </c>
      <c r="K44" s="24" t="n">
        <f aca="false">IF(5&gt;=MONTH($C$4),K20*'Vessel Assumptions'!$C$34,'Vessel 2026 P&amp;L'!K39)</f>
        <v>947</v>
      </c>
      <c r="L44" s="34" t="n">
        <f aca="false">IFERROR(K44/K$20,0)</f>
        <v>0.0231319768435966</v>
      </c>
      <c r="M44" s="24" t="n">
        <f aca="false">IF(6&gt;=MONTH($C$4),M20*'Vessel Assumptions'!$C$34,'Vessel 2026 P&amp;L'!M39)</f>
        <v>929</v>
      </c>
      <c r="N44" s="34" t="n">
        <f aca="false">IFERROR(M44/M$20,0)</f>
        <v>0.0202736616982738</v>
      </c>
      <c r="O44" s="24" t="n">
        <f aca="false">IF(7&gt;=MONTH($C$4),O20*'Vessel Assumptions'!$C$34,'Vessel 2026 P&amp;L'!O39)</f>
        <v>1262</v>
      </c>
      <c r="P44" s="34" t="n">
        <f aca="false">IFERROR(O44/O$20,0)</f>
        <v>0.0381614756576958</v>
      </c>
      <c r="Q44" s="24" t="n">
        <f aca="false">IF(8&gt;=MONTH($C$4),Q20*'Vessel Assumptions'!$C$34,'Vessel 2026 P&amp;L'!Q39)</f>
        <v>750.03</v>
      </c>
      <c r="R44" s="34" t="n">
        <f aca="false">IFERROR(Q44/Q$20,0)</f>
        <v>0.03</v>
      </c>
      <c r="S44" s="24" t="n">
        <f aca="false">IF(9&gt;=MONTH($C$4),S20*'Vessel Assumptions'!$C$34,'Vessel 2026 P&amp;L'!S39)</f>
        <v>770.9625</v>
      </c>
      <c r="T44" s="34" t="n">
        <f aca="false">IFERROR(S44/S$20,0)</f>
        <v>0.03</v>
      </c>
      <c r="U44" s="24" t="n">
        <f aca="false">IF(10&gt;=MONTH($C$4),U20*'Vessel Assumptions'!$C$34,'Vessel 2026 P&amp;L'!U39)</f>
        <v>616.7445</v>
      </c>
      <c r="V44" s="34" t="n">
        <f aca="false">IFERROR(U44/U$20,0)</f>
        <v>0.03</v>
      </c>
      <c r="W44" s="24" t="n">
        <f aca="false">IF(11&gt;=MONTH($C$4),W20*'Vessel Assumptions'!$C$34,'Vessel 2026 P&amp;L'!W39)</f>
        <v>616.7445</v>
      </c>
      <c r="X44" s="34" t="n">
        <f aca="false">IFERROR(W44/W$20,0)</f>
        <v>0.03</v>
      </c>
      <c r="Y44" s="24" t="n">
        <f aca="false">IF(12&gt;=MONTH($C$4),Y20*'Vessel Assumptions'!$C$34,'Vessel 2026 P&amp;L'!Y39)</f>
        <v>1079.2725</v>
      </c>
      <c r="Z44" s="34" t="n">
        <f aca="false">IFERROR(Y44/Y$20,0)</f>
        <v>0.03</v>
      </c>
      <c r="AB44" s="24" t="n">
        <f aca="false">SUM(C44,E44,G44,I44,K44,M44,O44,Q44,S44,U44,W44,Y44)</f>
        <v>13750.754</v>
      </c>
      <c r="AC44" s="34" t="n">
        <f aca="false">IFERROR(AB44/AB$20,0)</f>
        <v>0.0387600890502974</v>
      </c>
    </row>
    <row r="45" customFormat="false" ht="15" hidden="false" customHeight="true" outlineLevel="0" collapsed="false">
      <c r="A45" s="5" t="s">
        <v>204</v>
      </c>
      <c r="C45" s="24" t="n">
        <f aca="false">'Vessel 2026 P&amp;L'!C40</f>
        <v>0</v>
      </c>
      <c r="D45" s="34" t="n">
        <f aca="false">IFERROR(C45/C$20,0)</f>
        <v>0</v>
      </c>
      <c r="E45" s="24" t="n">
        <f aca="false">'Vessel 2026 P&amp;L'!E40</f>
        <v>1112</v>
      </c>
      <c r="F45" s="34" t="n">
        <f aca="false">IFERROR(E45/E$20,0)</f>
        <v>0.0666187395159358</v>
      </c>
      <c r="G45" s="24" t="n">
        <f aca="false">'Vessel 2026 P&amp;L'!G40</f>
        <v>256</v>
      </c>
      <c r="H45" s="34" t="n">
        <f aca="false">IFERROR(G45/G$20,0)</f>
        <v>0.00643135284511996</v>
      </c>
      <c r="I45" s="24" t="n">
        <f aca="false">'Vessel 2026 P&amp;L'!I40</f>
        <v>0</v>
      </c>
      <c r="J45" s="34" t="n">
        <f aca="false">IFERROR(I45/I$20,0)</f>
        <v>0</v>
      </c>
      <c r="K45" s="24" t="n">
        <f aca="false">'Vessel 2026 P&amp;L'!K40</f>
        <v>1445</v>
      </c>
      <c r="L45" s="34" t="n">
        <f aca="false">IFERROR(K45/K$20,0)</f>
        <v>0.035296416619849</v>
      </c>
      <c r="M45" s="24" t="n">
        <f aca="false">'Vessel 2026 P&amp;L'!M40</f>
        <v>0</v>
      </c>
      <c r="N45" s="34" t="n">
        <f aca="false">IFERROR(M45/M$20,0)</f>
        <v>0</v>
      </c>
      <c r="O45" s="24" t="n">
        <f aca="false">'Vessel 2026 P&amp;L'!O40</f>
        <v>1445</v>
      </c>
      <c r="P45" s="34" t="n">
        <f aca="false">IFERROR(O45/O$20,0)</f>
        <v>0.0436951920169338</v>
      </c>
      <c r="Q45" s="24" t="n">
        <f aca="false">'Vessel 2026 P&amp;L'!Q40</f>
        <v>1445</v>
      </c>
      <c r="R45" s="34" t="n">
        <f aca="false">IFERROR(Q45/Q$20,0)</f>
        <v>0.0577976880924763</v>
      </c>
      <c r="S45" s="24" t="n">
        <f aca="false">'Vessel 2026 P&amp;L'!S40</f>
        <v>1445</v>
      </c>
      <c r="T45" s="34" t="n">
        <f aca="false">IFERROR(S45/S$20,0)</f>
        <v>0.0562284157789776</v>
      </c>
      <c r="U45" s="24" t="n">
        <f aca="false">'Vessel 2026 P&amp;L'!U40</f>
        <v>1445</v>
      </c>
      <c r="V45" s="34" t="n">
        <f aca="false">IFERROR(U45/U$20,0)</f>
        <v>0.0702884257581543</v>
      </c>
      <c r="W45" s="24" t="n">
        <f aca="false">'Vessel 2026 P&amp;L'!W40</f>
        <v>1445</v>
      </c>
      <c r="X45" s="34" t="n">
        <f aca="false">IFERROR(W45/W$20,0)</f>
        <v>0.0702884257581543</v>
      </c>
      <c r="Y45" s="24" t="n">
        <f aca="false">'Vessel 2026 P&amp;L'!Y40</f>
        <v>1445</v>
      </c>
      <c r="Z45" s="34" t="n">
        <f aca="false">IFERROR(Y45/Y$20,0)</f>
        <v>0.0401659451158072</v>
      </c>
      <c r="AB45" s="24" t="n">
        <f aca="false">SUM(C45,E45,G45,I45,K45,M45,O45,Q45,S45,U45,W45,Y45)</f>
        <v>11483</v>
      </c>
      <c r="AC45" s="34" t="n">
        <f aca="false">IFERROR(AB45/AB$20,0)</f>
        <v>0.0323678325250066</v>
      </c>
    </row>
    <row r="46" customFormat="false" ht="15" hidden="false" customHeight="true" outlineLevel="0" collapsed="false">
      <c r="A46" s="5" t="s">
        <v>205</v>
      </c>
      <c r="C46" s="24" t="n">
        <f aca="false">'Vessel 2026 P&amp;L'!C41</f>
        <v>827</v>
      </c>
      <c r="D46" s="34" t="n">
        <f aca="false">IFERROR(C46/C$20,0)</f>
        <v>0.0216957867674065</v>
      </c>
      <c r="E46" s="24" t="n">
        <f aca="false">'Vessel 2026 P&amp;L'!E41</f>
        <v>1090</v>
      </c>
      <c r="F46" s="34" t="n">
        <f aca="false">IFERROR(E46/E$20,0)</f>
        <v>0.0653007428708363</v>
      </c>
      <c r="G46" s="24" t="n">
        <f aca="false">'Vessel 2026 P&amp;L'!G41</f>
        <v>1821</v>
      </c>
      <c r="H46" s="34" t="n">
        <f aca="false">IFERROR(G46/G$20,0)</f>
        <v>0.045748021605326</v>
      </c>
      <c r="I46" s="24" t="n">
        <f aca="false">'Vessel 2026 P&amp;L'!I41</f>
        <v>1386</v>
      </c>
      <c r="J46" s="34" t="n">
        <f aca="false">IFERROR(I46/I$20,0)</f>
        <v>0.110641015406721</v>
      </c>
      <c r="K46" s="24" t="n">
        <f aca="false">'Vessel 2026 P&amp;L'!K41</f>
        <v>674</v>
      </c>
      <c r="L46" s="34" t="n">
        <f aca="false">IFERROR(K46/K$20,0)</f>
        <v>0.0164635188939642</v>
      </c>
      <c r="M46" s="24" t="n">
        <f aca="false">'Vessel 2026 P&amp;L'!M41</f>
        <v>697</v>
      </c>
      <c r="N46" s="34" t="n">
        <f aca="false">IFERROR(M46/M$20,0)</f>
        <v>0.0152107020491893</v>
      </c>
      <c r="O46" s="24" t="n">
        <f aca="false">'Vessel 2026 P&amp;L'!O41</f>
        <v>674</v>
      </c>
      <c r="P46" s="34" t="n">
        <f aca="false">IFERROR(O46/O$20,0)</f>
        <v>0.0203810099788328</v>
      </c>
      <c r="Q46" s="24" t="n">
        <f aca="false">'Vessel 2026 P&amp;L'!Q41</f>
        <v>674</v>
      </c>
      <c r="R46" s="34" t="n">
        <f aca="false">IFERROR(Q46/Q$20,0)</f>
        <v>0.0269589216431343</v>
      </c>
      <c r="S46" s="24" t="n">
        <f aca="false">'Vessel 2026 P&amp;L'!S41</f>
        <v>674</v>
      </c>
      <c r="T46" s="34" t="n">
        <f aca="false">IFERROR(S46/S$20,0)</f>
        <v>0.0262269565640352</v>
      </c>
      <c r="U46" s="24" t="n">
        <f aca="false">'Vessel 2026 P&amp;L'!U41</f>
        <v>674</v>
      </c>
      <c r="V46" s="34" t="n">
        <f aca="false">IFERROR(U46/U$20,0)</f>
        <v>0.0327850511840803</v>
      </c>
      <c r="W46" s="24" t="n">
        <f aca="false">'Vessel 2026 P&amp;L'!W41</f>
        <v>674</v>
      </c>
      <c r="X46" s="34" t="n">
        <f aca="false">IFERROR(W46/W$20,0)</f>
        <v>0.0327850511840803</v>
      </c>
      <c r="Y46" s="24" t="n">
        <f aca="false">'Vessel 2026 P&amp;L'!Y41</f>
        <v>674</v>
      </c>
      <c r="Z46" s="34" t="n">
        <f aca="false">IFERROR(Y46/Y$20,0)</f>
        <v>0.0187348422201066</v>
      </c>
      <c r="AB46" s="24" t="n">
        <f aca="false">SUM(C46,E46,G46,I46,K46,M46,O46,Q46,S46,U46,W46,Y46)</f>
        <v>10539</v>
      </c>
      <c r="AC46" s="34" t="n">
        <f aca="false">IFERROR(AB46/AB$20,0)</f>
        <v>0.02970692214413</v>
      </c>
    </row>
    <row r="47" customFormat="false" ht="15" hidden="false" customHeight="true" outlineLevel="0" collapsed="false">
      <c r="A47" s="5" t="s">
        <v>206</v>
      </c>
      <c r="C47" s="24" t="n">
        <f aca="false">IF(1&gt;=MONTH($C$4),C20*'Vessel Assumptions'!$C$35,'Vessel 2026 P&amp;L'!C42)</f>
        <v>3621</v>
      </c>
      <c r="D47" s="34" t="n">
        <f aca="false">IFERROR(C47/C$20,0)</f>
        <v>0.0949944907917519</v>
      </c>
      <c r="E47" s="24" t="n">
        <f aca="false">IF(2&gt;=MONTH($C$4),E20*'Vessel Assumptions'!$C$35,'Vessel 2026 P&amp;L'!E42)</f>
        <v>3804</v>
      </c>
      <c r="F47" s="34" t="n">
        <f aca="false">IFERROR(E47/E$20,0)</f>
        <v>0.227893601725377</v>
      </c>
      <c r="G47" s="24" t="n">
        <f aca="false">IF(3&gt;=MONTH($C$4),G20*'Vessel Assumptions'!$C$35,'Vessel 2026 P&amp;L'!G42)</f>
        <v>5208</v>
      </c>
      <c r="H47" s="34" t="n">
        <f aca="false">IFERROR(G47/G$20,0)</f>
        <v>0.130837834442909</v>
      </c>
      <c r="I47" s="24" t="n">
        <f aca="false">IF(4&gt;=MONTH($C$4),I20*'Vessel Assumptions'!$C$35,'Vessel 2026 P&amp;L'!I42)</f>
        <v>2705</v>
      </c>
      <c r="J47" s="34" t="n">
        <f aca="false">IFERROR(I47/I$20,0)</f>
        <v>0.215933583459727</v>
      </c>
      <c r="K47" s="24" t="n">
        <f aca="false">IF(5&gt;=MONTH($C$4),K20*'Vessel Assumptions'!$C$35,'Vessel 2026 P&amp;L'!K42)</f>
        <v>4709</v>
      </c>
      <c r="L47" s="34" t="n">
        <f aca="false">IFERROR(K47/K$20,0)</f>
        <v>0.115024792984685</v>
      </c>
      <c r="M47" s="24" t="n">
        <f aca="false">IF(6&gt;=MONTH($C$4),M20*'Vessel Assumptions'!$C$35,'Vessel 2026 P&amp;L'!M42)</f>
        <v>2584</v>
      </c>
      <c r="N47" s="34" t="n">
        <f aca="false">IFERROR(M47/M$20,0)</f>
        <v>0.0563908954018724</v>
      </c>
      <c r="O47" s="24" t="n">
        <f aca="false">IF(7&gt;=MONTH($C$4),O20*'Vessel Assumptions'!$C$35,'Vessel 2026 P&amp;L'!O42)</f>
        <v>3340</v>
      </c>
      <c r="P47" s="34" t="n">
        <f aca="false">IFERROR(O47/O$20,0)</f>
        <v>0.100997883277895</v>
      </c>
      <c r="Q47" s="24" t="n">
        <f aca="false">IF(8&gt;=MONTH($C$4),Q20*'Vessel Assumptions'!$C$35,'Vessel 2026 P&amp;L'!Q42)</f>
        <v>1000.04</v>
      </c>
      <c r="R47" s="34" t="n">
        <f aca="false">IFERROR(Q47/Q$20,0)</f>
        <v>0.04</v>
      </c>
      <c r="S47" s="24" t="n">
        <f aca="false">IF(9&gt;=MONTH($C$4),S20*'Vessel Assumptions'!$C$35,'Vessel 2026 P&amp;L'!S42)</f>
        <v>1027.95</v>
      </c>
      <c r="T47" s="34" t="n">
        <f aca="false">IFERROR(S47/S$20,0)</f>
        <v>0.04</v>
      </c>
      <c r="U47" s="24" t="n">
        <f aca="false">IF(10&gt;=MONTH($C$4),U20*'Vessel Assumptions'!$C$35,'Vessel 2026 P&amp;L'!U42)</f>
        <v>822.326</v>
      </c>
      <c r="V47" s="34" t="n">
        <f aca="false">IFERROR(U47/U$20,0)</f>
        <v>0.04</v>
      </c>
      <c r="W47" s="24" t="n">
        <f aca="false">IF(11&gt;=MONTH($C$4),W20*'Vessel Assumptions'!$C$35,'Vessel 2026 P&amp;L'!W42)</f>
        <v>822.326</v>
      </c>
      <c r="X47" s="34" t="n">
        <f aca="false">IFERROR(W47/W$20,0)</f>
        <v>0.04</v>
      </c>
      <c r="Y47" s="24" t="n">
        <f aca="false">IF(12&gt;=MONTH($C$4),Y20*'Vessel Assumptions'!$C$35,'Vessel 2026 P&amp;L'!Y42)</f>
        <v>1439.03</v>
      </c>
      <c r="Z47" s="34" t="n">
        <f aca="false">IFERROR(Y47/Y$20,0)</f>
        <v>0.04</v>
      </c>
      <c r="AB47" s="24" t="n">
        <f aca="false">SUM(C47,E47,G47,I47,K47,M47,O47,Q47,S47,U47,W47,Y47)</f>
        <v>31082.672</v>
      </c>
      <c r="AC47" s="34" t="n">
        <f aca="false">IFERROR(AB47/AB$20,0)</f>
        <v>0.08761462350655</v>
      </c>
    </row>
    <row r="48" customFormat="false" ht="15" hidden="false" customHeight="true" outlineLevel="0" collapsed="false">
      <c r="A48" s="5" t="s">
        <v>207</v>
      </c>
      <c r="C48" s="24" t="n">
        <f aca="false">'Vessel 2026 P&amp;L'!C43</f>
        <v>0</v>
      </c>
      <c r="D48" s="34" t="n">
        <f aca="false">IFERROR(C48/C$20,0)</f>
        <v>0</v>
      </c>
      <c r="E48" s="24" t="n">
        <f aca="false">'Vessel 2026 P&amp;L'!E43</f>
        <v>0</v>
      </c>
      <c r="F48" s="34" t="n">
        <f aca="false">IFERROR(E48/E$20,0)</f>
        <v>0</v>
      </c>
      <c r="G48" s="24" t="n">
        <f aca="false">'Vessel 2026 P&amp;L'!G43</f>
        <v>520</v>
      </c>
      <c r="H48" s="34" t="n">
        <f aca="false">IFERROR(G48/G$20,0)</f>
        <v>0.0130636854666499</v>
      </c>
      <c r="I48" s="24" t="n">
        <f aca="false">'Vessel 2026 P&amp;L'!I43</f>
        <v>1875</v>
      </c>
      <c r="J48" s="34" t="n">
        <f aca="false">IFERROR(I48/I$20,0)</f>
        <v>0.149676698331604</v>
      </c>
      <c r="K48" s="24" t="n">
        <f aca="false">'Vessel 2026 P&amp;L'!K43</f>
        <v>0</v>
      </c>
      <c r="L48" s="34" t="n">
        <f aca="false">IFERROR(K48/K$20,0)</f>
        <v>0</v>
      </c>
      <c r="M48" s="24" t="n">
        <f aca="false">'Vessel 2026 P&amp;L'!M43</f>
        <v>0</v>
      </c>
      <c r="N48" s="34" t="n">
        <f aca="false">IFERROR(M48/M$20,0)</f>
        <v>0</v>
      </c>
      <c r="O48" s="24" t="n">
        <f aca="false">'Vessel 2026 P&amp;L'!O43</f>
        <v>0</v>
      </c>
      <c r="P48" s="34" t="n">
        <f aca="false">IFERROR(O48/O$20,0)</f>
        <v>0</v>
      </c>
      <c r="Q48" s="24" t="n">
        <f aca="false">'Vessel 2026 P&amp;L'!Q43</f>
        <v>0</v>
      </c>
      <c r="R48" s="34" t="n">
        <f aca="false">IFERROR(Q48/Q$20,0)</f>
        <v>0</v>
      </c>
      <c r="S48" s="24" t="n">
        <f aca="false">'Vessel 2026 P&amp;L'!S43</f>
        <v>0</v>
      </c>
      <c r="T48" s="34" t="n">
        <f aca="false">IFERROR(S48/S$20,0)</f>
        <v>0</v>
      </c>
      <c r="U48" s="24" t="n">
        <f aca="false">'Vessel 2026 P&amp;L'!U43</f>
        <v>0</v>
      </c>
      <c r="V48" s="34" t="n">
        <f aca="false">IFERROR(U48/U$20,0)</f>
        <v>0</v>
      </c>
      <c r="W48" s="24" t="n">
        <f aca="false">'Vessel 2026 P&amp;L'!W43</f>
        <v>0</v>
      </c>
      <c r="X48" s="34" t="n">
        <f aca="false">IFERROR(W48/W$20,0)</f>
        <v>0</v>
      </c>
      <c r="Y48" s="24" t="n">
        <f aca="false">'Vessel 2026 P&amp;L'!Y43</f>
        <v>0</v>
      </c>
      <c r="Z48" s="34" t="n">
        <f aca="false">IFERROR(Y48/Y$20,0)</f>
        <v>0</v>
      </c>
      <c r="AB48" s="24" t="n">
        <f aca="false">SUM(C48,E48,G48,I48,K48,M48,O48,Q48,S48,U48,W48,Y48)</f>
        <v>2395</v>
      </c>
      <c r="AC48" s="34" t="n">
        <f aca="false">IFERROR(AB48/AB$20,0)</f>
        <v>0.00675093258707576</v>
      </c>
    </row>
    <row r="49" customFormat="false" ht="15" hidden="false" customHeight="true" outlineLevel="0" collapsed="false">
      <c r="A49" s="5" t="s">
        <v>208</v>
      </c>
      <c r="C49" s="24" t="n">
        <v>0</v>
      </c>
      <c r="D49" s="34" t="n">
        <f aca="false">IFERROR(C49/C$20,0)</f>
        <v>0</v>
      </c>
      <c r="E49" s="24" t="n">
        <v>0</v>
      </c>
      <c r="F49" s="34" t="n">
        <f aca="false">IFERROR(E49/E$20,0)</f>
        <v>0</v>
      </c>
      <c r="G49" s="24" t="n">
        <v>0</v>
      </c>
      <c r="H49" s="34" t="n">
        <f aca="false">IFERROR(G49/G$20,0)</f>
        <v>0</v>
      </c>
      <c r="I49" s="24" t="n">
        <v>0</v>
      </c>
      <c r="J49" s="34" t="n">
        <f aca="false">IFERROR(I49/I$20,0)</f>
        <v>0</v>
      </c>
      <c r="K49" s="24" t="n">
        <v>0</v>
      </c>
      <c r="L49" s="34" t="n">
        <f aca="false">IFERROR(K49/K$20,0)</f>
        <v>0</v>
      </c>
      <c r="M49" s="24" t="n">
        <v>0</v>
      </c>
      <c r="N49" s="34" t="n">
        <f aca="false">IFERROR(M49/M$20,0)</f>
        <v>0</v>
      </c>
      <c r="O49" s="24" t="n">
        <v>0</v>
      </c>
      <c r="P49" s="34" t="n">
        <f aca="false">IFERROR(O49/O$20,0)</f>
        <v>0</v>
      </c>
      <c r="Q49" s="24" t="n">
        <v>0</v>
      </c>
      <c r="R49" s="34" t="n">
        <f aca="false">IFERROR(Q49/Q$20,0)</f>
        <v>0</v>
      </c>
      <c r="S49" s="24" t="n">
        <v>0</v>
      </c>
      <c r="T49" s="34" t="n">
        <f aca="false">IFERROR(S49/S$20,0)</f>
        <v>0</v>
      </c>
      <c r="U49" s="24" t="n">
        <v>0</v>
      </c>
      <c r="V49" s="34" t="n">
        <f aca="false">IFERROR(U49/U$20,0)</f>
        <v>0</v>
      </c>
      <c r="W49" s="24" t="n">
        <v>0</v>
      </c>
      <c r="X49" s="34" t="n">
        <f aca="false">IFERROR(W49/W$20,0)</f>
        <v>0</v>
      </c>
      <c r="Y49" s="24" t="n">
        <v>0</v>
      </c>
      <c r="Z49" s="34" t="n">
        <f aca="false">IFERROR(Y49/Y$20,0)</f>
        <v>0</v>
      </c>
      <c r="AB49" s="24" t="n">
        <f aca="false">SUM(C49,E49,G49,I49,K49,M49,O49,Q49,S49,U49,W49,Y49)</f>
        <v>0</v>
      </c>
      <c r="AC49" s="34" t="n">
        <f aca="false">IFERROR(AB49/AB$20,0)</f>
        <v>0</v>
      </c>
    </row>
    <row r="50" customFormat="false" ht="15" hidden="false" customHeight="true" outlineLevel="0" collapsed="false">
      <c r="A50" s="6" t="s">
        <v>209</v>
      </c>
      <c r="C50" s="27" t="n">
        <f aca="false">SUM(C44:C49)</f>
        <v>6079</v>
      </c>
      <c r="D50" s="35" t="n">
        <f aca="false">IFERROR(C50/C$20,0)</f>
        <v>0.159478461619183</v>
      </c>
      <c r="E50" s="27" t="n">
        <f aca="false">SUM(E44:E49)</f>
        <v>7312</v>
      </c>
      <c r="F50" s="35" t="n">
        <f aca="false">IFERROR(E50/E$20,0)</f>
        <v>0.438054157680326</v>
      </c>
      <c r="G50" s="27" t="n">
        <f aca="false">SUM(G44:G49)</f>
        <v>11067</v>
      </c>
      <c r="H50" s="35" t="n">
        <f aca="false">IFERROR(G50/G$20,0)</f>
        <v>0.278030398191182</v>
      </c>
      <c r="I50" s="27" t="n">
        <f aca="false">SUM(I44:I49)</f>
        <v>6546</v>
      </c>
      <c r="J50" s="35" t="n">
        <f aca="false">IFERROR(I50/I$20,0)</f>
        <v>0.522551289215295</v>
      </c>
      <c r="K50" s="27" t="n">
        <f aca="false">SUM(K44:K49)</f>
        <v>7775</v>
      </c>
      <c r="L50" s="35" t="n">
        <f aca="false">IFERROR(K50/K$20,0)</f>
        <v>0.189916705342094</v>
      </c>
      <c r="M50" s="27" t="n">
        <f aca="false">SUM(M44:M49)</f>
        <v>4210</v>
      </c>
      <c r="N50" s="35" t="n">
        <f aca="false">IFERROR(M50/M$20,0)</f>
        <v>0.0918752591493355</v>
      </c>
      <c r="O50" s="27" t="n">
        <f aca="false">SUM(O44:O49)</f>
        <v>6721</v>
      </c>
      <c r="P50" s="35" t="n">
        <f aca="false">IFERROR(O50/O$20,0)</f>
        <v>0.203235560931358</v>
      </c>
      <c r="Q50" s="27" t="n">
        <f aca="false">SUM(Q44:Q49)</f>
        <v>3869.07</v>
      </c>
      <c r="R50" s="35" t="n">
        <f aca="false">IFERROR(Q50/Q$20,0)</f>
        <v>0.154756609735611</v>
      </c>
      <c r="S50" s="27" t="n">
        <f aca="false">SUM(S44:S49)</f>
        <v>3917.9125</v>
      </c>
      <c r="T50" s="35" t="n">
        <f aca="false">IFERROR(S50/S$20,0)</f>
        <v>0.152455372343013</v>
      </c>
      <c r="U50" s="27" t="n">
        <f aca="false">SUM(U44:U49)</f>
        <v>3558.0705</v>
      </c>
      <c r="V50" s="35" t="n">
        <f aca="false">IFERROR(U50/U$20,0)</f>
        <v>0.173073476942235</v>
      </c>
      <c r="W50" s="27" t="n">
        <f aca="false">SUM(W44:W49)</f>
        <v>3558.0705</v>
      </c>
      <c r="X50" s="35" t="n">
        <f aca="false">IFERROR(W50/W$20,0)</f>
        <v>0.173073476942235</v>
      </c>
      <c r="Y50" s="27" t="n">
        <f aca="false">SUM(Y44:Y49)</f>
        <v>4637.3025</v>
      </c>
      <c r="Z50" s="35" t="n">
        <f aca="false">IFERROR(Y50/Y$20,0)</f>
        <v>0.128900787335914</v>
      </c>
      <c r="AB50" s="27" t="n">
        <f aca="false">SUM(AB44:AB49)</f>
        <v>69250.426</v>
      </c>
      <c r="AC50" s="35" t="n">
        <f aca="false">IFERROR(AB50/AB$20,0)</f>
        <v>0.19520039981306</v>
      </c>
    </row>
    <row r="52" customFormat="false" ht="15" hidden="false" customHeight="true" outlineLevel="0" collapsed="false">
      <c r="A52" s="6" t="s">
        <v>210</v>
      </c>
    </row>
    <row r="53" customFormat="false" ht="15" hidden="false" customHeight="true" outlineLevel="0" collapsed="false">
      <c r="A53" s="5" t="s">
        <v>211</v>
      </c>
      <c r="C53" s="24" t="n">
        <f aca="false">'Vessel 2026 P&amp;L'!C47</f>
        <v>479</v>
      </c>
      <c r="D53" s="34" t="n">
        <f aca="false">IFERROR(C53/C$20,0)</f>
        <v>0.0125662416706018</v>
      </c>
      <c r="E53" s="24" t="n">
        <f aca="false">'Vessel 2026 P&amp;L'!E47</f>
        <v>433</v>
      </c>
      <c r="F53" s="34" t="n">
        <f aca="false">IFERROR(E53/E$20,0)</f>
        <v>0.0259405703330937</v>
      </c>
      <c r="G53" s="24" t="n">
        <f aca="false">'Vessel 2026 P&amp;L'!G47</f>
        <v>479</v>
      </c>
      <c r="H53" s="34" t="n">
        <f aca="false">IFERROR(G53/G$20,0)</f>
        <v>0.0120336641125487</v>
      </c>
      <c r="I53" s="24" t="n">
        <f aca="false">'Vessel 2026 P&amp;L'!I47</f>
        <v>464</v>
      </c>
      <c r="J53" s="34" t="n">
        <f aca="false">IFERROR(I53/I$20,0)</f>
        <v>0.0370399936137942</v>
      </c>
      <c r="K53" s="24" t="n">
        <f aca="false">'Vessel 2026 P&amp;L'!K47</f>
        <v>479</v>
      </c>
      <c r="L53" s="34" t="n">
        <f aca="false">IFERROR(K53/K$20,0)</f>
        <v>0.0117003346442268</v>
      </c>
      <c r="M53" s="24" t="n">
        <f aca="false">'Vessel 2026 P&amp;L'!M47</f>
        <v>479</v>
      </c>
      <c r="N53" s="34" t="n">
        <f aca="false">IFERROR(M53/M$20,0)</f>
        <v>0.0104532658272047</v>
      </c>
      <c r="O53" s="24" t="n">
        <f aca="false">'Vessel 2026 P&amp;L'!O47</f>
        <v>479</v>
      </c>
      <c r="P53" s="34" t="n">
        <f aca="false">IFERROR(O53/O$20,0)</f>
        <v>0.0144844269730874</v>
      </c>
      <c r="Q53" s="24" t="n">
        <f aca="false">'Vessel 2026 P&amp;L'!Q47</f>
        <v>479</v>
      </c>
      <c r="R53" s="34" t="n">
        <f aca="false">IFERROR(Q53/Q$20,0)</f>
        <v>0.0191592336306548</v>
      </c>
      <c r="S53" s="24" t="n">
        <f aca="false">'Vessel 2026 P&amp;L'!S47</f>
        <v>479</v>
      </c>
      <c r="T53" s="34" t="n">
        <f aca="false">IFERROR(S53/S$20,0)</f>
        <v>0.018639038863758</v>
      </c>
      <c r="U53" s="24" t="n">
        <f aca="false">'Vessel 2026 P&amp;L'!U47</f>
        <v>479</v>
      </c>
      <c r="V53" s="34" t="n">
        <f aca="false">IFERROR(U53/U$20,0)</f>
        <v>0.0232997618949176</v>
      </c>
      <c r="W53" s="24" t="n">
        <f aca="false">'Vessel 2026 P&amp;L'!W47</f>
        <v>479</v>
      </c>
      <c r="X53" s="34" t="n">
        <f aca="false">IFERROR(W53/W$20,0)</f>
        <v>0.0232997618949176</v>
      </c>
      <c r="Y53" s="24" t="n">
        <f aca="false">'Vessel 2026 P&amp;L'!Y47</f>
        <v>479</v>
      </c>
      <c r="Z53" s="34" t="n">
        <f aca="false">IFERROR(Y53/Y$20,0)</f>
        <v>0.0133145243671084</v>
      </c>
      <c r="AB53" s="24" t="n">
        <f aca="false">SUM(C53,E53,G53,I53,K53,M53,O53,Q53,S53,U53,W53,Y53)</f>
        <v>5687</v>
      </c>
      <c r="AC53" s="34" t="n">
        <f aca="false">IFERROR(AB53/AB$20,0)</f>
        <v>0.0160302937881836</v>
      </c>
    </row>
    <row r="54" customFormat="false" ht="15" hidden="false" customHeight="true" outlineLevel="0" collapsed="false">
      <c r="A54" s="5" t="s">
        <v>212</v>
      </c>
      <c r="C54" s="24" t="n">
        <f aca="false">IF(1&gt;=MONTH($C$4),C20*'Vessel Assumptions'!$C$31,'Vessel 2026 P&amp;L'!C48)</f>
        <v>2509</v>
      </c>
      <c r="D54" s="34" t="n">
        <f aca="false">IFERROR(C54/C$20,0)</f>
        <v>0.0658219214019623</v>
      </c>
      <c r="E54" s="24" t="n">
        <f aca="false">IF(2&gt;=MONTH($C$4),E20*'Vessel Assumptions'!$C$31,'Vessel 2026 P&amp;L'!E48)</f>
        <v>1020</v>
      </c>
      <c r="F54" s="34" t="n">
        <f aca="false">IFERROR(E54/E$20,0)</f>
        <v>0.0611071171818835</v>
      </c>
      <c r="G54" s="24" t="n">
        <f aca="false">IF(3&gt;=MONTH($C$4),G20*'Vessel Assumptions'!$C$31,'Vessel 2026 P&amp;L'!G48)</f>
        <v>2388</v>
      </c>
      <c r="H54" s="34" t="n">
        <f aca="false">IFERROR(G54/G$20,0)</f>
        <v>0.0599924632583846</v>
      </c>
      <c r="I54" s="24" t="n">
        <f aca="false">IF(4&gt;=MONTH($C$4),I20*'Vessel Assumptions'!$C$31,'Vessel 2026 P&amp;L'!I48)</f>
        <v>735</v>
      </c>
      <c r="J54" s="34" t="n">
        <f aca="false">IFERROR(I54/I$20,0)</f>
        <v>0.0586732657459887</v>
      </c>
      <c r="K54" s="24" t="n">
        <f aca="false">IF(5&gt;=MONTH($C$4),K20*'Vessel Assumptions'!$C$31,'Vessel 2026 P&amp;L'!K48)</f>
        <v>2456</v>
      </c>
      <c r="L54" s="34" t="n">
        <f aca="false">IFERROR(K54/K$20,0)</f>
        <v>0.0599916949607953</v>
      </c>
      <c r="M54" s="24" t="n">
        <f aca="false">IF(6&gt;=MONTH($C$4),M20*'Vessel Assumptions'!$C$31,'Vessel 2026 P&amp;L'!M48)</f>
        <v>2749</v>
      </c>
      <c r="N54" s="34" t="n">
        <f aca="false">IFERROR(M54/M$20,0)</f>
        <v>0.0599917072212644</v>
      </c>
      <c r="O54" s="24" t="n">
        <f aca="false">IF(7&gt;=MONTH($C$4),O20*'Vessel Assumptions'!$C$31,'Vessel 2026 P&amp;L'!O48)</f>
        <v>1984</v>
      </c>
      <c r="P54" s="34" t="n">
        <f aca="false">IFERROR(O54/O$20,0)</f>
        <v>0.0599939522225582</v>
      </c>
      <c r="Q54" s="24" t="n">
        <f aca="false">IF(8&gt;=MONTH($C$4),Q20*'Vessel Assumptions'!$C$31,'Vessel 2026 P&amp;L'!Q48)</f>
        <v>0</v>
      </c>
      <c r="R54" s="34" t="n">
        <f aca="false">IFERROR(Q54/Q$20,0)</f>
        <v>0</v>
      </c>
      <c r="S54" s="24" t="n">
        <f aca="false">IF(9&gt;=MONTH($C$4),S20*'Vessel Assumptions'!$C$31,'Vessel 2026 P&amp;L'!S48)</f>
        <v>0</v>
      </c>
      <c r="T54" s="34" t="n">
        <f aca="false">IFERROR(S54/S$20,0)</f>
        <v>0</v>
      </c>
      <c r="U54" s="24" t="n">
        <f aca="false">IF(10&gt;=MONTH($C$4),U20*'Vessel Assumptions'!$C$31,'Vessel 2026 P&amp;L'!U48)</f>
        <v>0</v>
      </c>
      <c r="V54" s="34" t="n">
        <f aca="false">IFERROR(U54/U$20,0)</f>
        <v>0</v>
      </c>
      <c r="W54" s="24" t="n">
        <f aca="false">IF(11&gt;=MONTH($C$4),W20*'Vessel Assumptions'!$C$31,'Vessel 2026 P&amp;L'!W48)</f>
        <v>0</v>
      </c>
      <c r="X54" s="34" t="n">
        <f aca="false">IFERROR(W54/W$20,0)</f>
        <v>0</v>
      </c>
      <c r="Y54" s="24" t="n">
        <f aca="false">IF(12&gt;=MONTH($C$4),Y20*'Vessel Assumptions'!$C$31,'Vessel 2026 P&amp;L'!Y48)</f>
        <v>0</v>
      </c>
      <c r="Z54" s="34" t="n">
        <f aca="false">IFERROR(Y54/Y$20,0)</f>
        <v>0</v>
      </c>
      <c r="AB54" s="24" t="n">
        <f aca="false">SUM(C54,E54,G54,I54,K54,M54,O54,Q54,S54,U54,W54,Y54)</f>
        <v>13841</v>
      </c>
      <c r="AC54" s="34" t="n">
        <f aca="false">IFERROR(AB54/AB$20,0)</f>
        <v>0.0390144709552048</v>
      </c>
    </row>
    <row r="55" customFormat="false" ht="15" hidden="false" customHeight="true" outlineLevel="0" collapsed="false">
      <c r="A55" s="5" t="s">
        <v>213</v>
      </c>
      <c r="C55" s="24" t="n">
        <f aca="false">'Vessel 2026 P&amp;L'!C49</f>
        <v>1669</v>
      </c>
      <c r="D55" s="34" t="n">
        <f aca="false">IFERROR(C55/C$20,0)</f>
        <v>0.0437850884096752</v>
      </c>
      <c r="E55" s="24" t="n">
        <f aca="false">'Vessel 2026 P&amp;L'!E49</f>
        <v>223</v>
      </c>
      <c r="F55" s="34" t="n">
        <f aca="false">IFERROR(E55/E$20,0)</f>
        <v>0.0133596932662353</v>
      </c>
      <c r="G55" s="24" t="n">
        <f aca="false">'Vessel 2026 P&amp;L'!G49</f>
        <v>627</v>
      </c>
      <c r="H55" s="34" t="n">
        <f aca="false">IFERROR(G55/G$20,0)</f>
        <v>0.0157517899761337</v>
      </c>
      <c r="I55" s="24" t="n">
        <f aca="false">'Vessel 2026 P&amp;L'!I49</f>
        <v>-128</v>
      </c>
      <c r="J55" s="34" t="n">
        <f aca="false">IFERROR(I55/I$20,0)</f>
        <v>-0.0102179292727708</v>
      </c>
      <c r="K55" s="24" t="n">
        <f aca="false">'Vessel 2026 P&amp;L'!K49</f>
        <v>0</v>
      </c>
      <c r="L55" s="34" t="n">
        <f aca="false">IFERROR(K55/K$20,0)</f>
        <v>0</v>
      </c>
      <c r="M55" s="24" t="n">
        <f aca="false">'Vessel 2026 P&amp;L'!M49</f>
        <v>1306</v>
      </c>
      <c r="N55" s="34" t="n">
        <f aca="false">IFERROR(M55/M$20,0)</f>
        <v>0.0285009711280361</v>
      </c>
      <c r="O55" s="24" t="n">
        <f aca="false">'Vessel 2026 P&amp;L'!O49</f>
        <v>661</v>
      </c>
      <c r="P55" s="34" t="n">
        <f aca="false">IFERROR(O55/O$20,0)</f>
        <v>0.0199879044451164</v>
      </c>
      <c r="Q55" s="24" t="n">
        <f aca="false">'Vessel 2026 P&amp;L'!Q49</f>
        <v>500</v>
      </c>
      <c r="R55" s="34" t="n">
        <f aca="false">IFERROR(Q55/Q$20,0)</f>
        <v>0.0199992000319987</v>
      </c>
      <c r="S55" s="24" t="n">
        <f aca="false">'Vessel 2026 P&amp;L'!S49</f>
        <v>500</v>
      </c>
      <c r="T55" s="34" t="n">
        <f aca="false">IFERROR(S55/S$20,0)</f>
        <v>0.0194561992314801</v>
      </c>
      <c r="U55" s="24" t="n">
        <f aca="false">'Vessel 2026 P&amp;L'!U49</f>
        <v>400</v>
      </c>
      <c r="V55" s="34" t="n">
        <f aca="false">IFERROR(U55/U$20,0)</f>
        <v>0.0194570036700773</v>
      </c>
      <c r="W55" s="24" t="n">
        <f aca="false">'Vessel 2026 P&amp;L'!W49</f>
        <v>400</v>
      </c>
      <c r="X55" s="34" t="n">
        <f aca="false">IFERROR(W55/W$20,0)</f>
        <v>0.0194570036700773</v>
      </c>
      <c r="Y55" s="24" t="n">
        <f aca="false">'Vessel 2026 P&amp;L'!Y49</f>
        <v>700</v>
      </c>
      <c r="Z55" s="34" t="n">
        <f aca="false">IFERROR(Y55/Y$20,0)</f>
        <v>0.019457551267173</v>
      </c>
      <c r="AB55" s="24" t="n">
        <f aca="false">SUM(C55,E55,G55,I55,K55,M55,O55,Q55,S55,U55,W55,Y55)</f>
        <v>6858</v>
      </c>
      <c r="AC55" s="34" t="n">
        <f aca="false">IFERROR(AB55/AB$20,0)</f>
        <v>0.0193310629153092</v>
      </c>
    </row>
    <row r="56" customFormat="false" ht="15" hidden="false" customHeight="true" outlineLevel="0" collapsed="false">
      <c r="A56" s="5" t="s">
        <v>143</v>
      </c>
      <c r="C56" s="24" t="n">
        <f aca="false">IF(1&gt;=MONTH($C$4),C20*'Vessel Assumptions'!$C$30,'Vessel 2026 P&amp;L'!C50)</f>
        <v>4000</v>
      </c>
      <c r="D56" s="34" t="n">
        <f aca="false">IFERROR(C56/C$20,0)</f>
        <v>0.104937299963272</v>
      </c>
      <c r="E56" s="24" t="n">
        <f aca="false">IF(2&gt;=MONTH($C$4),E20*'Vessel Assumptions'!$C$30,'Vessel 2026 P&amp;L'!E50)</f>
        <v>4000</v>
      </c>
      <c r="F56" s="34" t="n">
        <f aca="false">IFERROR(E56/E$20,0)</f>
        <v>0.239635753654445</v>
      </c>
      <c r="G56" s="24" t="n">
        <f aca="false">IF(3&gt;=MONTH($C$4),G20*'Vessel Assumptions'!$C$30,'Vessel 2026 P&amp;L'!G50)</f>
        <v>4000</v>
      </c>
      <c r="H56" s="34" t="n">
        <f aca="false">IFERROR(G56/G$20,0)</f>
        <v>0.100489888204999</v>
      </c>
      <c r="I56" s="24" t="n">
        <f aca="false">IF(4&gt;=MONTH($C$4),I20*'Vessel Assumptions'!$C$30,'Vessel 2026 P&amp;L'!I50)</f>
        <v>4000</v>
      </c>
      <c r="J56" s="34" t="n">
        <f aca="false">IFERROR(I56/I$20,0)</f>
        <v>0.319310289774088</v>
      </c>
      <c r="K56" s="24" t="n">
        <f aca="false">IF(5&gt;=MONTH($C$4),K20*'Vessel Assumptions'!$C$30,'Vessel 2026 P&amp;L'!K50)</f>
        <v>4000</v>
      </c>
      <c r="L56" s="34" t="n">
        <f aca="false">IFERROR(K56/K$20,0)</f>
        <v>0.0977063435843572</v>
      </c>
      <c r="M56" s="24" t="n">
        <f aca="false">IF(6&gt;=MONTH($C$4),M20*'Vessel Assumptions'!$C$30,'Vessel 2026 P&amp;L'!M50)</f>
        <v>4000</v>
      </c>
      <c r="N56" s="34" t="n">
        <f aca="false">IFERROR(M56/M$20,0)</f>
        <v>0.0872924077428366</v>
      </c>
      <c r="O56" s="24" t="n">
        <f aca="false">IF(7&gt;=MONTH($C$4),O20*'Vessel Assumptions'!$C$30,'Vessel 2026 P&amp;L'!O50)</f>
        <v>4000</v>
      </c>
      <c r="P56" s="34" t="n">
        <f aca="false">IFERROR(O56/O$20,0)</f>
        <v>0.120955548835803</v>
      </c>
      <c r="Q56" s="24" t="n">
        <f aca="false">IF(8&gt;=MONTH($C$4),Q20*'Vessel Assumptions'!$C$30,'Vessel 2026 P&amp;L'!Q50)</f>
        <v>1000.04</v>
      </c>
      <c r="R56" s="34" t="n">
        <f aca="false">IFERROR(Q56/Q$20,0)</f>
        <v>0.04</v>
      </c>
      <c r="S56" s="24" t="n">
        <f aca="false">IF(9&gt;=MONTH($C$4),S20*'Vessel Assumptions'!$C$30,'Vessel 2026 P&amp;L'!S50)</f>
        <v>1027.95</v>
      </c>
      <c r="T56" s="34" t="n">
        <f aca="false">IFERROR(S56/S$20,0)</f>
        <v>0.04</v>
      </c>
      <c r="U56" s="24" t="n">
        <f aca="false">IF(10&gt;=MONTH($C$4),U20*'Vessel Assumptions'!$C$30,'Vessel 2026 P&amp;L'!U50)</f>
        <v>822.326</v>
      </c>
      <c r="V56" s="34" t="n">
        <f aca="false">IFERROR(U56/U$20,0)</f>
        <v>0.04</v>
      </c>
      <c r="W56" s="24" t="n">
        <f aca="false">IF(11&gt;=MONTH($C$4),W20*'Vessel Assumptions'!$C$30,'Vessel 2026 P&amp;L'!W50)</f>
        <v>822.326</v>
      </c>
      <c r="X56" s="34" t="n">
        <f aca="false">IFERROR(W56/W$20,0)</f>
        <v>0.04</v>
      </c>
      <c r="Y56" s="24" t="n">
        <f aca="false">IF(12&gt;=MONTH($C$4),Y20*'Vessel Assumptions'!$C$30,'Vessel 2026 P&amp;L'!Y50)</f>
        <v>1439.03</v>
      </c>
      <c r="Z56" s="34" t="n">
        <f aca="false">IFERROR(Y56/Y$20,0)</f>
        <v>0.04</v>
      </c>
      <c r="AB56" s="24" t="n">
        <f aca="false">SUM(C56,E56,G56,I56,K56,M56,O56,Q56,S56,U56,W56,Y56)</f>
        <v>33111.672</v>
      </c>
      <c r="AC56" s="34" t="n">
        <f aca="false">IFERROR(AB56/AB$20,0)</f>
        <v>0.0933338895688367</v>
      </c>
    </row>
    <row r="57" customFormat="false" ht="15" hidden="false" customHeight="true" outlineLevel="0" collapsed="false">
      <c r="A57" s="5" t="s">
        <v>333</v>
      </c>
      <c r="C57" s="24" t="n">
        <v>0</v>
      </c>
      <c r="D57" s="34" t="n">
        <f aca="false">IFERROR(C57/C$20,0)</f>
        <v>0</v>
      </c>
      <c r="E57" s="24" t="n">
        <v>0</v>
      </c>
      <c r="F57" s="34" t="n">
        <f aca="false">IFERROR(E57/E$20,0)</f>
        <v>0</v>
      </c>
      <c r="G57" s="24" t="n">
        <v>0</v>
      </c>
      <c r="H57" s="34" t="n">
        <f aca="false">IFERROR(G57/G$20,0)</f>
        <v>0</v>
      </c>
      <c r="I57" s="24" t="n">
        <v>0</v>
      </c>
      <c r="J57" s="34" t="n">
        <f aca="false">IFERROR(I57/I$20,0)</f>
        <v>0</v>
      </c>
      <c r="K57" s="24" t="n">
        <v>0</v>
      </c>
      <c r="L57" s="34" t="n">
        <f aca="false">IFERROR(K57/K$20,0)</f>
        <v>0</v>
      </c>
      <c r="M57" s="24" t="n">
        <v>0</v>
      </c>
      <c r="N57" s="34" t="n">
        <f aca="false">IFERROR(M57/M$20,0)</f>
        <v>0</v>
      </c>
      <c r="O57" s="24" t="n">
        <v>0</v>
      </c>
      <c r="P57" s="34" t="n">
        <f aca="false">IFERROR(O57/O$20,0)</f>
        <v>0</v>
      </c>
      <c r="Q57" s="24" t="n">
        <v>0</v>
      </c>
      <c r="R57" s="34" t="n">
        <f aca="false">IFERROR(Q57/Q$20,0)</f>
        <v>0</v>
      </c>
      <c r="S57" s="24" t="n">
        <v>0</v>
      </c>
      <c r="T57" s="34" t="n">
        <f aca="false">IFERROR(S57/S$20,0)</f>
        <v>0</v>
      </c>
      <c r="U57" s="24" t="n">
        <v>0</v>
      </c>
      <c r="V57" s="34" t="n">
        <f aca="false">IFERROR(U57/U$20,0)</f>
        <v>0</v>
      </c>
      <c r="W57" s="24" t="n">
        <v>0</v>
      </c>
      <c r="X57" s="34" t="n">
        <f aca="false">IFERROR(W57/W$20,0)</f>
        <v>0</v>
      </c>
      <c r="Y57" s="24" t="n">
        <v>0</v>
      </c>
      <c r="Z57" s="34" t="n">
        <f aca="false">IFERROR(Y57/Y$20,0)</f>
        <v>0</v>
      </c>
      <c r="AB57" s="24" t="n">
        <f aca="false">SUM(C57,E57,G57,I57,K57,M57,O57,Q57,S57,U57,W57,Y57)</f>
        <v>0</v>
      </c>
      <c r="AC57" s="34" t="n">
        <f aca="false">IFERROR(AB57/AB$20,0)</f>
        <v>0</v>
      </c>
    </row>
    <row r="58" customFormat="false" ht="15" hidden="false" customHeight="true" outlineLevel="0" collapsed="false">
      <c r="A58" s="5" t="s">
        <v>215</v>
      </c>
      <c r="C58" s="24" t="n">
        <f aca="false">'Vessel 2026 P&amp;L'!C51</f>
        <v>0</v>
      </c>
      <c r="D58" s="34" t="n">
        <f aca="false">IFERROR(C58/C$20,0)</f>
        <v>0</v>
      </c>
      <c r="E58" s="24" t="n">
        <f aca="false">'Vessel 2026 P&amp;L'!E51</f>
        <v>0</v>
      </c>
      <c r="F58" s="34" t="n">
        <f aca="false">IFERROR(E58/E$20,0)</f>
        <v>0</v>
      </c>
      <c r="G58" s="24" t="n">
        <f aca="false">'Vessel 2026 P&amp;L'!G51</f>
        <v>0</v>
      </c>
      <c r="H58" s="34" t="n">
        <f aca="false">IFERROR(G58/G$20,0)</f>
        <v>0</v>
      </c>
      <c r="I58" s="24" t="n">
        <f aca="false">'Vessel 2026 P&amp;L'!I51</f>
        <v>0</v>
      </c>
      <c r="J58" s="34" t="n">
        <f aca="false">IFERROR(I58/I$20,0)</f>
        <v>0</v>
      </c>
      <c r="K58" s="24" t="n">
        <f aca="false">'Vessel 2026 P&amp;L'!K51</f>
        <v>0</v>
      </c>
      <c r="L58" s="34" t="n">
        <f aca="false">IFERROR(K58/K$20,0)</f>
        <v>0</v>
      </c>
      <c r="M58" s="24" t="n">
        <f aca="false">'Vessel 2026 P&amp;L'!M51</f>
        <v>0</v>
      </c>
      <c r="N58" s="34" t="n">
        <f aca="false">IFERROR(M58/M$20,0)</f>
        <v>0</v>
      </c>
      <c r="O58" s="24" t="n">
        <f aca="false">'Vessel 2026 P&amp;L'!O51</f>
        <v>0</v>
      </c>
      <c r="P58" s="34" t="n">
        <f aca="false">IFERROR(O58/O$20,0)</f>
        <v>0</v>
      </c>
      <c r="Q58" s="24" t="n">
        <f aca="false">'Vessel 2026 P&amp;L'!Q51</f>
        <v>0</v>
      </c>
      <c r="R58" s="34" t="n">
        <f aca="false">IFERROR(Q58/Q$20,0)</f>
        <v>0</v>
      </c>
      <c r="S58" s="24" t="n">
        <f aca="false">'Vessel 2026 P&amp;L'!S51</f>
        <v>0</v>
      </c>
      <c r="T58" s="34" t="n">
        <f aca="false">IFERROR(S58/S$20,0)</f>
        <v>0</v>
      </c>
      <c r="U58" s="24" t="n">
        <f aca="false">'Vessel 2026 P&amp;L'!U51</f>
        <v>0</v>
      </c>
      <c r="V58" s="34" t="n">
        <f aca="false">IFERROR(U58/U$20,0)</f>
        <v>0</v>
      </c>
      <c r="W58" s="24" t="n">
        <f aca="false">'Vessel 2026 P&amp;L'!W51</f>
        <v>0</v>
      </c>
      <c r="X58" s="34" t="n">
        <f aca="false">IFERROR(W58/W$20,0)</f>
        <v>0</v>
      </c>
      <c r="Y58" s="24" t="n">
        <f aca="false">'Vessel 2026 P&amp;L'!Y51</f>
        <v>0</v>
      </c>
      <c r="Z58" s="34" t="n">
        <f aca="false">IFERROR(Y58/Y$20,0)</f>
        <v>0</v>
      </c>
      <c r="AB58" s="24" t="n">
        <f aca="false">SUM(C58,E58,G58,I58,K58,M58,O58,Q58,S58,U58,W58,Y58)</f>
        <v>0</v>
      </c>
      <c r="AC58" s="34" t="n">
        <f aca="false">IFERROR(AB58/AB$20,0)</f>
        <v>0</v>
      </c>
    </row>
    <row r="59" customFormat="false" ht="15" hidden="false" customHeight="true" outlineLevel="0" collapsed="false">
      <c r="A59" s="5" t="s">
        <v>216</v>
      </c>
      <c r="C59" s="24" t="n">
        <f aca="false">'Vessel 2026 P&amp;L'!C52</f>
        <v>0</v>
      </c>
      <c r="D59" s="34" t="n">
        <f aca="false">IFERROR(C59/C$20,0)</f>
        <v>0</v>
      </c>
      <c r="E59" s="24" t="n">
        <f aca="false">'Vessel 2026 P&amp;L'!E52</f>
        <v>0</v>
      </c>
      <c r="F59" s="34" t="n">
        <f aca="false">IFERROR(E59/E$20,0)</f>
        <v>0</v>
      </c>
      <c r="G59" s="24" t="n">
        <f aca="false">'Vessel 2026 P&amp;L'!G52</f>
        <v>0</v>
      </c>
      <c r="H59" s="34" t="n">
        <f aca="false">IFERROR(G59/G$20,0)</f>
        <v>0</v>
      </c>
      <c r="I59" s="24" t="n">
        <f aca="false">'Vessel 2026 P&amp;L'!I52</f>
        <v>0</v>
      </c>
      <c r="J59" s="34" t="n">
        <f aca="false">IFERROR(I59/I$20,0)</f>
        <v>0</v>
      </c>
      <c r="K59" s="24" t="n">
        <f aca="false">'Vessel 2026 P&amp;L'!K52</f>
        <v>0</v>
      </c>
      <c r="L59" s="34" t="n">
        <f aca="false">IFERROR(K59/K$20,0)</f>
        <v>0</v>
      </c>
      <c r="M59" s="24" t="n">
        <f aca="false">'Vessel 2026 P&amp;L'!M52</f>
        <v>0</v>
      </c>
      <c r="N59" s="34" t="n">
        <f aca="false">IFERROR(M59/M$20,0)</f>
        <v>0</v>
      </c>
      <c r="O59" s="24" t="n">
        <f aca="false">'Vessel 2026 P&amp;L'!O52</f>
        <v>0</v>
      </c>
      <c r="P59" s="34" t="n">
        <f aca="false">IFERROR(O59/O$20,0)</f>
        <v>0</v>
      </c>
      <c r="Q59" s="24" t="n">
        <f aca="false">'Vessel 2026 P&amp;L'!Q52</f>
        <v>0</v>
      </c>
      <c r="R59" s="34" t="n">
        <f aca="false">IFERROR(Q59/Q$20,0)</f>
        <v>0</v>
      </c>
      <c r="S59" s="24" t="n">
        <f aca="false">'Vessel 2026 P&amp;L'!S52</f>
        <v>0</v>
      </c>
      <c r="T59" s="34" t="n">
        <f aca="false">IFERROR(S59/S$20,0)</f>
        <v>0</v>
      </c>
      <c r="U59" s="24" t="n">
        <f aca="false">'Vessel 2026 P&amp;L'!U52</f>
        <v>0</v>
      </c>
      <c r="V59" s="34" t="n">
        <f aca="false">IFERROR(U59/U$20,0)</f>
        <v>0</v>
      </c>
      <c r="W59" s="24" t="n">
        <f aca="false">'Vessel 2026 P&amp;L'!W52</f>
        <v>0</v>
      </c>
      <c r="X59" s="34" t="n">
        <f aca="false">IFERROR(W59/W$20,0)</f>
        <v>0</v>
      </c>
      <c r="Y59" s="24" t="n">
        <f aca="false">'Vessel 2026 P&amp;L'!Y52</f>
        <v>0</v>
      </c>
      <c r="Z59" s="34" t="n">
        <f aca="false">IFERROR(Y59/Y$20,0)</f>
        <v>0</v>
      </c>
      <c r="AB59" s="24" t="n">
        <f aca="false">SUM(C59,E59,G59,I59,K59,M59,O59,Q59,S59,U59,W59,Y59)</f>
        <v>0</v>
      </c>
      <c r="AC59" s="34" t="n">
        <f aca="false">IFERROR(AB59/AB$20,0)</f>
        <v>0</v>
      </c>
    </row>
    <row r="60" customFormat="false" ht="15" hidden="false" customHeight="true" outlineLevel="0" collapsed="false">
      <c r="A60" s="6" t="s">
        <v>217</v>
      </c>
      <c r="C60" s="27" t="n">
        <f aca="false">SUM(C53:C59)</f>
        <v>8657</v>
      </c>
      <c r="D60" s="35" t="n">
        <f aca="false">IFERROR(C60/C$20,0)</f>
        <v>0.227110551445511</v>
      </c>
      <c r="E60" s="27" t="n">
        <f aca="false">SUM(E53:E59)</f>
        <v>5676</v>
      </c>
      <c r="F60" s="35" t="n">
        <f aca="false">IFERROR(E60/E$20,0)</f>
        <v>0.340043134435658</v>
      </c>
      <c r="G60" s="27" t="n">
        <f aca="false">SUM(G53:G59)</f>
        <v>7494</v>
      </c>
      <c r="H60" s="35" t="n">
        <f aca="false">IFERROR(G60/G$20,0)</f>
        <v>0.188267805552066</v>
      </c>
      <c r="I60" s="27" t="n">
        <f aca="false">SUM(I53:I59)</f>
        <v>5071</v>
      </c>
      <c r="J60" s="35" t="n">
        <f aca="false">IFERROR(I60/I$20,0)</f>
        <v>0.4048056198611</v>
      </c>
      <c r="K60" s="27" t="n">
        <f aca="false">SUM(K53:K59)</f>
        <v>6935</v>
      </c>
      <c r="L60" s="35" t="n">
        <f aca="false">IFERROR(K60/K$20,0)</f>
        <v>0.169398373189379</v>
      </c>
      <c r="M60" s="27" t="n">
        <f aca="false">SUM(M53:M59)</f>
        <v>8534</v>
      </c>
      <c r="N60" s="35" t="n">
        <f aca="false">IFERROR(M60/M$20,0)</f>
        <v>0.186238351919342</v>
      </c>
      <c r="O60" s="27" t="n">
        <f aca="false">SUM(O53:O59)</f>
        <v>7124</v>
      </c>
      <c r="P60" s="35" t="n">
        <f aca="false">IFERROR(O60/O$20,0)</f>
        <v>0.215421832476565</v>
      </c>
      <c r="Q60" s="27" t="n">
        <f aca="false">SUM(Q53:Q59)</f>
        <v>1979.04</v>
      </c>
      <c r="R60" s="35" t="n">
        <f aca="false">IFERROR(Q60/Q$20,0)</f>
        <v>0.0791584336626535</v>
      </c>
      <c r="S60" s="27" t="n">
        <f aca="false">SUM(S53:S59)</f>
        <v>2006.95</v>
      </c>
      <c r="T60" s="35" t="n">
        <f aca="false">IFERROR(S60/S$20,0)</f>
        <v>0.0780952380952381</v>
      </c>
      <c r="U60" s="27" t="n">
        <f aca="false">SUM(U53:U59)</f>
        <v>1701.326</v>
      </c>
      <c r="V60" s="35" t="n">
        <f aca="false">IFERROR(U60/U$20,0)</f>
        <v>0.0827567655649949</v>
      </c>
      <c r="W60" s="27" t="n">
        <f aca="false">SUM(W53:W59)</f>
        <v>1701.326</v>
      </c>
      <c r="X60" s="35" t="n">
        <f aca="false">IFERROR(W60/W$20,0)</f>
        <v>0.0827567655649949</v>
      </c>
      <c r="Y60" s="27" t="n">
        <f aca="false">SUM(Y53:Y59)</f>
        <v>2618.03</v>
      </c>
      <c r="Z60" s="35" t="n">
        <f aca="false">IFERROR(Y60/Y$20,0)</f>
        <v>0.0727720756342814</v>
      </c>
      <c r="AB60" s="27" t="n">
        <f aca="false">SUM(AB53:AB59)</f>
        <v>59497.672</v>
      </c>
      <c r="AC60" s="35" t="n">
        <f aca="false">IFERROR(AB60/AB$20,0)</f>
        <v>0.167709717227534</v>
      </c>
    </row>
    <row r="62" customFormat="false" ht="15" hidden="false" customHeight="true" outlineLevel="0" collapsed="false">
      <c r="A62" s="6" t="s">
        <v>218</v>
      </c>
      <c r="C62" s="27" t="n">
        <f aca="false">C41-C50-C60</f>
        <v>-1215</v>
      </c>
      <c r="D62" s="35" t="n">
        <f aca="false">IFERROR(C62/C$20,0)</f>
        <v>-0.0318747048638439</v>
      </c>
      <c r="E62" s="27" t="n">
        <f aca="false">E41-E50-E60</f>
        <v>-13865</v>
      </c>
      <c r="F62" s="35" t="n">
        <f aca="false">IFERROR(E62/E$20,0)</f>
        <v>-0.830637431104721</v>
      </c>
      <c r="G62" s="27" t="n">
        <f aca="false">G41-G50-G60</f>
        <v>-6756</v>
      </c>
      <c r="H62" s="35" t="n">
        <f aca="false">IFERROR(G62/G$20,0)</f>
        <v>-0.169727421178244</v>
      </c>
      <c r="I62" s="27" t="n">
        <f aca="false">I41-I50-I60</f>
        <v>-6197</v>
      </c>
      <c r="J62" s="35" t="n">
        <f aca="false">IFERROR(I62/I$20,0)</f>
        <v>-0.494691466432506</v>
      </c>
      <c r="K62" s="27" t="n">
        <f aca="false">K41-K50-K60</f>
        <v>492</v>
      </c>
      <c r="L62" s="35" t="n">
        <f aca="false">IFERROR(K62/K$20,0)</f>
        <v>0.0120178802608759</v>
      </c>
      <c r="M62" s="27" t="n">
        <f aca="false">M41-M50-M60</f>
        <v>1225</v>
      </c>
      <c r="N62" s="35" t="n">
        <f aca="false">IFERROR(M62/M$20,0)</f>
        <v>0.0267332998712437</v>
      </c>
      <c r="O62" s="27" t="n">
        <f aca="false">O41-O50-O60</f>
        <v>3838</v>
      </c>
      <c r="P62" s="35" t="n">
        <f aca="false">IFERROR(O62/O$20,0)</f>
        <v>0.116056849107953</v>
      </c>
      <c r="Q62" s="27" t="n">
        <f aca="false">Q41-Q50-Q60</f>
        <v>8609.89</v>
      </c>
      <c r="R62" s="35" t="n">
        <f aca="false">IFERROR(Q62/Q$20,0)</f>
        <v>0.344381824727011</v>
      </c>
      <c r="S62" s="27" t="n">
        <f aca="false">S41-S50-S60</f>
        <v>9230.8875</v>
      </c>
      <c r="T62" s="35" t="n">
        <f aca="false">IFERROR(S62/S$20,0)</f>
        <v>0.359195972566759</v>
      </c>
      <c r="U62" s="27" t="n">
        <f aca="false">U41-U50-U60</f>
        <v>6469.7535</v>
      </c>
      <c r="V62" s="35" t="n">
        <f aca="false">IFERROR(U62/U$20,0)</f>
        <v>0.314705043984989</v>
      </c>
      <c r="W62" s="27" t="n">
        <f aca="false">W41-W50-W60</f>
        <v>6469.7535</v>
      </c>
      <c r="X62" s="35" t="n">
        <f aca="false">IFERROR(W62/W$20,0)</f>
        <v>0.314705043984989</v>
      </c>
      <c r="Y62" s="27" t="n">
        <f aca="false">Y41-Y50-Y60</f>
        <v>14749.4175</v>
      </c>
      <c r="Z62" s="35" t="n">
        <f aca="false">IFERROR(Y62/Y$20,0)</f>
        <v>0.409982210238842</v>
      </c>
      <c r="AB62" s="27" t="n">
        <f aca="false">AB41-AB50-AB60</f>
        <v>23051.702</v>
      </c>
      <c r="AC62" s="35" t="n">
        <f aca="false">IFERROR(AB62/AB$20,0)</f>
        <v>0.0649772385049517</v>
      </c>
    </row>
    <row r="64" customFormat="false" ht="15" hidden="false" customHeight="true" outlineLevel="0" collapsed="false">
      <c r="A64" s="5" t="s">
        <v>219</v>
      </c>
      <c r="C64" s="24" t="n">
        <f aca="false">'Vessel 2026 P&amp;L'!C57</f>
        <v>0</v>
      </c>
      <c r="D64" s="34" t="n">
        <f aca="false">IFERROR(C64/C$20,0)</f>
        <v>0</v>
      </c>
      <c r="E64" s="24" t="n">
        <f aca="false">'Vessel 2026 P&amp;L'!E57</f>
        <v>0</v>
      </c>
      <c r="F64" s="34" t="n">
        <f aca="false">IFERROR(E64/E$20,0)</f>
        <v>0</v>
      </c>
      <c r="G64" s="24" t="n">
        <f aca="false">'Vessel 2026 P&amp;L'!G57</f>
        <v>0</v>
      </c>
      <c r="H64" s="34" t="n">
        <f aca="false">IFERROR(G64/G$20,0)</f>
        <v>0</v>
      </c>
      <c r="I64" s="24" t="n">
        <f aca="false">'Vessel 2026 P&amp;L'!I57</f>
        <v>0</v>
      </c>
      <c r="J64" s="34" t="n">
        <f aca="false">IFERROR(I64/I$20,0)</f>
        <v>0</v>
      </c>
      <c r="K64" s="24" t="n">
        <f aca="false">'Vessel 2026 P&amp;L'!K57</f>
        <v>0</v>
      </c>
      <c r="L64" s="34" t="n">
        <f aca="false">IFERROR(K64/K$20,0)</f>
        <v>0</v>
      </c>
      <c r="M64" s="24" t="n">
        <f aca="false">'Vessel 2026 P&amp;L'!M57</f>
        <v>0</v>
      </c>
      <c r="N64" s="34" t="n">
        <f aca="false">IFERROR(M64/M$20,0)</f>
        <v>0</v>
      </c>
      <c r="O64" s="24" t="n">
        <f aca="false">'Vessel 2026 P&amp;L'!O57</f>
        <v>0</v>
      </c>
      <c r="P64" s="34" t="n">
        <f aca="false">IFERROR(O64/O$20,0)</f>
        <v>0</v>
      </c>
      <c r="Q64" s="24" t="n">
        <f aca="false">'Vessel 2026 P&amp;L'!Q57</f>
        <v>0</v>
      </c>
      <c r="R64" s="34" t="n">
        <f aca="false">IFERROR(Q64/Q$20,0)</f>
        <v>0</v>
      </c>
      <c r="S64" s="24" t="n">
        <f aca="false">'Vessel 2026 P&amp;L'!S57</f>
        <v>0</v>
      </c>
      <c r="T64" s="34" t="n">
        <f aca="false">IFERROR(S64/S$20,0)</f>
        <v>0</v>
      </c>
      <c r="U64" s="24" t="n">
        <f aca="false">'Vessel 2026 P&amp;L'!U57</f>
        <v>0</v>
      </c>
      <c r="V64" s="34" t="n">
        <f aca="false">IFERROR(U64/U$20,0)</f>
        <v>0</v>
      </c>
      <c r="W64" s="24" t="n">
        <f aca="false">'Vessel 2026 P&amp;L'!W57</f>
        <v>0</v>
      </c>
      <c r="X64" s="34" t="n">
        <f aca="false">IFERROR(W64/W$20,0)</f>
        <v>0</v>
      </c>
      <c r="Y64" s="24" t="n">
        <f aca="false">'Vessel 2026 P&amp;L'!Y57</f>
        <v>0</v>
      </c>
      <c r="Z64" s="34" t="n">
        <f aca="false">IFERROR(Y64/Y$20,0)</f>
        <v>0</v>
      </c>
      <c r="AB64" s="24" t="n">
        <f aca="false">SUM(C64,E64,G64,I64,K64,M64,O64,Q64,S64,U64,W64,Y64)</f>
        <v>0</v>
      </c>
      <c r="AC64" s="34" t="n">
        <f aca="false">IFERROR(AB64/AB$20,0)</f>
        <v>0</v>
      </c>
    </row>
    <row r="66" customFormat="false" ht="15" hidden="false" customHeight="true" outlineLevel="0" collapsed="false">
      <c r="A66" s="6" t="s">
        <v>220</v>
      </c>
      <c r="C66" s="7" t="n">
        <f aca="false">C62-C64</f>
        <v>-1215</v>
      </c>
      <c r="D66" s="8" t="n">
        <f aca="false">IFERROR(C66/C$20,0)</f>
        <v>-0.0318747048638439</v>
      </c>
      <c r="E66" s="7" t="n">
        <f aca="false">E62-E64</f>
        <v>-13865</v>
      </c>
      <c r="F66" s="8" t="n">
        <f aca="false">IFERROR(E66/E$20,0)</f>
        <v>-0.830637431104721</v>
      </c>
      <c r="G66" s="7" t="n">
        <f aca="false">G62-G64</f>
        <v>-6756</v>
      </c>
      <c r="H66" s="8" t="n">
        <f aca="false">IFERROR(G66/G$20,0)</f>
        <v>-0.169727421178244</v>
      </c>
      <c r="I66" s="7" t="n">
        <f aca="false">I62-I64</f>
        <v>-6197</v>
      </c>
      <c r="J66" s="8" t="n">
        <f aca="false">IFERROR(I66/I$20,0)</f>
        <v>-0.494691466432506</v>
      </c>
      <c r="K66" s="7" t="n">
        <f aca="false">K62-K64</f>
        <v>492</v>
      </c>
      <c r="L66" s="8" t="n">
        <f aca="false">IFERROR(K66/K$20,0)</f>
        <v>0.0120178802608759</v>
      </c>
      <c r="M66" s="7" t="n">
        <f aca="false">M62-M64</f>
        <v>1225</v>
      </c>
      <c r="N66" s="8" t="n">
        <f aca="false">IFERROR(M66/M$20,0)</f>
        <v>0.0267332998712437</v>
      </c>
      <c r="O66" s="7" t="n">
        <f aca="false">O62-O64</f>
        <v>3838</v>
      </c>
      <c r="P66" s="8" t="n">
        <f aca="false">IFERROR(O66/O$20,0)</f>
        <v>0.116056849107953</v>
      </c>
      <c r="Q66" s="7" t="n">
        <f aca="false">Q62-Q64</f>
        <v>8609.89</v>
      </c>
      <c r="R66" s="8" t="n">
        <f aca="false">IFERROR(Q66/Q$20,0)</f>
        <v>0.344381824727011</v>
      </c>
      <c r="S66" s="7" t="n">
        <f aca="false">S62-S64</f>
        <v>9230.8875</v>
      </c>
      <c r="T66" s="8" t="n">
        <f aca="false">IFERROR(S66/S$20,0)</f>
        <v>0.359195972566759</v>
      </c>
      <c r="U66" s="7" t="n">
        <f aca="false">U62-U64</f>
        <v>6469.7535</v>
      </c>
      <c r="V66" s="8" t="n">
        <f aca="false">IFERROR(U66/U$20,0)</f>
        <v>0.314705043984989</v>
      </c>
      <c r="W66" s="7" t="n">
        <f aca="false">W62-W64</f>
        <v>6469.7535</v>
      </c>
      <c r="X66" s="8" t="n">
        <f aca="false">IFERROR(W66/W$20,0)</f>
        <v>0.314705043984989</v>
      </c>
      <c r="Y66" s="7" t="n">
        <f aca="false">Y62-Y64</f>
        <v>14749.4175</v>
      </c>
      <c r="Z66" s="8" t="n">
        <f aca="false">IFERROR(Y66/Y$20,0)</f>
        <v>0.409982210238842</v>
      </c>
      <c r="AB66" s="7" t="n">
        <f aca="false">AB62-AB64</f>
        <v>23051.702</v>
      </c>
      <c r="AC66" s="8" t="n">
        <f aca="false">IFERROR(AB66/AB$20,0)</f>
        <v>0.0649772385049517</v>
      </c>
    </row>
    <row r="68" customFormat="false" ht="15" hidden="false" customHeight="true" outlineLevel="0" collapsed="false">
      <c r="A68" s="5" t="s">
        <v>221</v>
      </c>
      <c r="C68" s="24" t="n">
        <f aca="false">'Vessel 2026 P&amp;L'!C61</f>
        <v>0</v>
      </c>
      <c r="D68" s="34" t="n">
        <f aca="false">IFERROR(C68/C$20,0)</f>
        <v>0</v>
      </c>
      <c r="E68" s="24" t="n">
        <f aca="false">'Vessel 2026 P&amp;L'!E61</f>
        <v>0</v>
      </c>
      <c r="F68" s="34" t="n">
        <f aca="false">IFERROR(E68/E$20,0)</f>
        <v>0</v>
      </c>
      <c r="G68" s="24" t="n">
        <f aca="false">'Vessel 2026 P&amp;L'!G61</f>
        <v>0</v>
      </c>
      <c r="H68" s="34" t="n">
        <f aca="false">IFERROR(G68/G$20,0)</f>
        <v>0</v>
      </c>
      <c r="I68" s="24" t="n">
        <f aca="false">'Vessel 2026 P&amp;L'!I61</f>
        <v>0</v>
      </c>
      <c r="J68" s="34" t="n">
        <f aca="false">IFERROR(I68/I$20,0)</f>
        <v>0</v>
      </c>
      <c r="K68" s="24" t="n">
        <f aca="false">'Vessel 2026 P&amp;L'!K61</f>
        <v>0</v>
      </c>
      <c r="L68" s="34" t="n">
        <f aca="false">IFERROR(K68/K$20,0)</f>
        <v>0</v>
      </c>
      <c r="M68" s="24" t="n">
        <f aca="false">'Vessel 2026 P&amp;L'!M61</f>
        <v>0</v>
      </c>
      <c r="N68" s="34" t="n">
        <f aca="false">IFERROR(M68/M$20,0)</f>
        <v>0</v>
      </c>
      <c r="O68" s="24" t="n">
        <f aca="false">'Vessel 2026 P&amp;L'!O61</f>
        <v>0</v>
      </c>
      <c r="P68" s="34" t="n">
        <f aca="false">IFERROR(O68/O$20,0)</f>
        <v>0</v>
      </c>
      <c r="Q68" s="24" t="n">
        <f aca="false">'Vessel 2026 P&amp;L'!Q61</f>
        <v>0</v>
      </c>
      <c r="R68" s="34" t="n">
        <f aca="false">IFERROR(Q68/Q$20,0)</f>
        <v>0</v>
      </c>
      <c r="S68" s="24" t="n">
        <f aca="false">'Vessel 2026 P&amp;L'!S61</f>
        <v>0</v>
      </c>
      <c r="T68" s="34" t="n">
        <f aca="false">IFERROR(S68/S$20,0)</f>
        <v>0</v>
      </c>
      <c r="U68" s="24" t="n">
        <f aca="false">'Vessel 2026 P&amp;L'!U61</f>
        <v>0</v>
      </c>
      <c r="V68" s="34" t="n">
        <f aca="false">IFERROR(U68/U$20,0)</f>
        <v>0</v>
      </c>
      <c r="W68" s="24" t="n">
        <f aca="false">'Vessel 2026 P&amp;L'!W61</f>
        <v>0</v>
      </c>
      <c r="X68" s="34" t="n">
        <f aca="false">IFERROR(W68/W$20,0)</f>
        <v>0</v>
      </c>
      <c r="Y68" s="24" t="n">
        <f aca="false">'Vessel 2026 P&amp;L'!Y61</f>
        <v>0</v>
      </c>
      <c r="Z68" s="34" t="n">
        <f aca="false">IFERROR(Y68/Y$20,0)</f>
        <v>0</v>
      </c>
      <c r="AB68" s="24" t="n">
        <f aca="false">SUM(C68,E68,G68,I68,K68,M68,O68,Q68,S68,U68,W68,Y68)</f>
        <v>0</v>
      </c>
      <c r="AC68" s="34" t="n">
        <f aca="false">IFERROR(AB68/AB$20,0)</f>
        <v>0</v>
      </c>
    </row>
    <row r="69" customFormat="false" ht="15" hidden="false" customHeight="true" outlineLevel="0" collapsed="false">
      <c r="A69" s="5" t="s">
        <v>222</v>
      </c>
      <c r="C69" s="24" t="n">
        <f aca="false">'Vessel 2026 P&amp;L'!C62</f>
        <v>239</v>
      </c>
      <c r="D69" s="34" t="n">
        <f aca="false">IFERROR(C69/C$20,0)</f>
        <v>0.0062700036728055</v>
      </c>
      <c r="E69" s="24" t="n">
        <f aca="false">'Vessel 2026 P&amp;L'!E62</f>
        <v>375</v>
      </c>
      <c r="F69" s="34" t="n">
        <f aca="false">IFERROR(E69/E$20,0)</f>
        <v>0.0224658519051042</v>
      </c>
      <c r="G69" s="24" t="n">
        <f aca="false">'Vessel 2026 P&amp;L'!G62</f>
        <v>500</v>
      </c>
      <c r="H69" s="34" t="n">
        <f aca="false">IFERROR(G69/G$20,0)</f>
        <v>0.0125612360256249</v>
      </c>
      <c r="I69" s="24" t="n">
        <f aca="false">'Vessel 2026 P&amp;L'!I62</f>
        <v>500</v>
      </c>
      <c r="J69" s="34" t="n">
        <f aca="false">IFERROR(I69/I$20,0)</f>
        <v>0.039913786221761</v>
      </c>
      <c r="K69" s="24" t="n">
        <f aca="false">'Vessel 2026 P&amp;L'!K62</f>
        <v>409</v>
      </c>
      <c r="L69" s="34" t="n">
        <f aca="false">IFERROR(K69/K$20,0)</f>
        <v>0.00999047363150053</v>
      </c>
      <c r="M69" s="24" t="n">
        <f aca="false">'Vessel 2026 P&amp;L'!M62</f>
        <v>458</v>
      </c>
      <c r="N69" s="34" t="n">
        <f aca="false">IFERROR(M69/M$20,0)</f>
        <v>0.00999498068655479</v>
      </c>
      <c r="O69" s="24" t="n">
        <f aca="false">'Vessel 2026 P&amp;L'!O62</f>
        <v>409</v>
      </c>
      <c r="P69" s="34" t="n">
        <f aca="false">IFERROR(O69/O$20,0)</f>
        <v>0.0123677048684608</v>
      </c>
      <c r="Q69" s="24" t="n">
        <f aca="false">'Vessel 2026 P&amp;L'!Q62</f>
        <v>409</v>
      </c>
      <c r="R69" s="34" t="n">
        <f aca="false">IFERROR(Q69/Q$20,0)</f>
        <v>0.016359345626175</v>
      </c>
      <c r="S69" s="24" t="n">
        <f aca="false">'Vessel 2026 P&amp;L'!S62</f>
        <v>409</v>
      </c>
      <c r="T69" s="34" t="n">
        <f aca="false">IFERROR(S69/S$20,0)</f>
        <v>0.0159151709713507</v>
      </c>
      <c r="U69" s="24" t="n">
        <f aca="false">'Vessel 2026 P&amp;L'!U62</f>
        <v>409</v>
      </c>
      <c r="V69" s="34" t="n">
        <f aca="false">IFERROR(U69/U$20,0)</f>
        <v>0.0198947862526541</v>
      </c>
      <c r="W69" s="24" t="n">
        <f aca="false">'Vessel 2026 P&amp;L'!W62</f>
        <v>409</v>
      </c>
      <c r="X69" s="34" t="n">
        <f aca="false">IFERROR(W69/W$20,0)</f>
        <v>0.0198947862526541</v>
      </c>
      <c r="Y69" s="24" t="n">
        <f aca="false">'Vessel 2026 P&amp;L'!Y62</f>
        <v>409</v>
      </c>
      <c r="Z69" s="34" t="n">
        <f aca="false">IFERROR(Y69/Y$20,0)</f>
        <v>0.0113687692403911</v>
      </c>
      <c r="AB69" s="24" t="n">
        <f aca="false">SUM(C69,E69,G69,I69,K69,M69,O69,Q69,S69,U69,W69,Y69)</f>
        <v>4935</v>
      </c>
      <c r="AC69" s="34" t="n">
        <f aca="false">IFERROR(AB69/AB$20,0)</f>
        <v>0.0139105855186718</v>
      </c>
    </row>
    <row r="70" customFormat="false" ht="15" hidden="false" customHeight="true" outlineLevel="0" collapsed="false">
      <c r="A70" s="6" t="s">
        <v>223</v>
      </c>
      <c r="C70" s="36" t="n">
        <f aca="false">C66-C68-C69</f>
        <v>-1454</v>
      </c>
      <c r="D70" s="37" t="n">
        <f aca="false">IFERROR(C70/C$20,0)</f>
        <v>-0.0381447085366494</v>
      </c>
      <c r="E70" s="36" t="n">
        <f aca="false">E66-E68-E69</f>
        <v>-14240</v>
      </c>
      <c r="F70" s="37" t="n">
        <f aca="false">IFERROR(E70/E$20,0)</f>
        <v>-0.853103283009825</v>
      </c>
      <c r="G70" s="36" t="n">
        <f aca="false">G66-G68-G69</f>
        <v>-7256</v>
      </c>
      <c r="H70" s="37" t="n">
        <f aca="false">IFERROR(G70/G$20,0)</f>
        <v>-0.182288657203869</v>
      </c>
      <c r="I70" s="36" t="n">
        <f aca="false">I66-I68-I69</f>
        <v>-6697</v>
      </c>
      <c r="J70" s="37" t="n">
        <f aca="false">IFERROR(I70/I$20,0)</f>
        <v>-0.534605252654267</v>
      </c>
      <c r="K70" s="36" t="n">
        <f aca="false">K66-K68-K69</f>
        <v>83</v>
      </c>
      <c r="L70" s="37" t="n">
        <f aca="false">IFERROR(K70/K$20,0)</f>
        <v>0.00202740662937541</v>
      </c>
      <c r="M70" s="36" t="n">
        <f aca="false">M66-M68-M69</f>
        <v>767</v>
      </c>
      <c r="N70" s="37" t="n">
        <f aca="false">IFERROR(M70/M$20,0)</f>
        <v>0.0167383191846889</v>
      </c>
      <c r="O70" s="36" t="n">
        <f aca="false">O66-O68-O69</f>
        <v>3429</v>
      </c>
      <c r="P70" s="37" t="n">
        <f aca="false">IFERROR(O70/O$20,0)</f>
        <v>0.103689144239492</v>
      </c>
      <c r="Q70" s="36" t="n">
        <f aca="false">Q66-Q68-Q69</f>
        <v>8200.89</v>
      </c>
      <c r="R70" s="37" t="n">
        <f aca="false">IFERROR(Q70/Q$20,0)</f>
        <v>0.328022479100836</v>
      </c>
      <c r="S70" s="36" t="n">
        <f aca="false">S66-S68-S69</f>
        <v>8821.8875</v>
      </c>
      <c r="T70" s="37" t="n">
        <f aca="false">IFERROR(S70/S$20,0)</f>
        <v>0.343280801595408</v>
      </c>
      <c r="U70" s="36" t="n">
        <f aca="false">U66-U68-U69</f>
        <v>6060.7535</v>
      </c>
      <c r="V70" s="37" t="n">
        <f aca="false">IFERROR(U70/U$20,0)</f>
        <v>0.294810257732335</v>
      </c>
      <c r="W70" s="36" t="n">
        <f aca="false">W66-W68-W69</f>
        <v>6060.7535</v>
      </c>
      <c r="X70" s="37" t="n">
        <f aca="false">IFERROR(W70/W$20,0)</f>
        <v>0.294810257732335</v>
      </c>
      <c r="Y70" s="36" t="n">
        <f aca="false">Y66-Y68-Y69</f>
        <v>14340.4175</v>
      </c>
      <c r="Z70" s="37" t="n">
        <f aca="false">IFERROR(Y70/Y$20,0)</f>
        <v>0.39861344099845</v>
      </c>
      <c r="AB70" s="36" t="n">
        <f aca="false">AB66-AB68-AB69</f>
        <v>18116.702</v>
      </c>
      <c r="AC70" s="37" t="n">
        <f aca="false">IFERROR(AB70/AB$20,0)</f>
        <v>0.0510666529862799</v>
      </c>
    </row>
    <row r="72" customFormat="false" ht="15" hidden="false" customHeight="true" outlineLevel="0" collapsed="false">
      <c r="A72" s="3" t="s">
        <v>568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3" min="3" style="1" width="15"/>
    <col collapsed="false" customWidth="true" hidden="false" outlineLevel="0" max="4" min="4" style="1" width="46"/>
  </cols>
  <sheetData>
    <row r="1" customFormat="false" ht="37.5" hidden="false" customHeight="true" outlineLevel="0" collapsed="false">
      <c r="A1" s="40" t="s">
        <v>569</v>
      </c>
      <c r="B1" s="40"/>
      <c r="C1" s="40"/>
      <c r="D1" s="40"/>
    </row>
    <row r="2" customFormat="false" ht="15" hidden="false" customHeight="true" outlineLevel="0" collapsed="false">
      <c r="A2" s="41" t="s">
        <v>570</v>
      </c>
      <c r="B2" s="41"/>
      <c r="C2" s="41"/>
      <c r="D2" s="41"/>
    </row>
    <row r="4" customFormat="false" ht="19.5" hidden="false" customHeight="true" outlineLevel="0" collapsed="false">
      <c r="B4" s="61" t="s">
        <v>571</v>
      </c>
      <c r="C4" s="61"/>
      <c r="D4" s="61"/>
    </row>
    <row r="5" customFormat="false" ht="15" hidden="false" customHeight="true" outlineLevel="0" collapsed="false">
      <c r="B5" s="47" t="s">
        <v>572</v>
      </c>
      <c r="C5" s="62" t="n">
        <v>106838.2</v>
      </c>
    </row>
    <row r="6" customFormat="false" ht="15" hidden="false" customHeight="true" outlineLevel="0" collapsed="false">
      <c r="B6" s="47" t="s">
        <v>573</v>
      </c>
      <c r="C6" s="62" t="n">
        <v>131727.36</v>
      </c>
      <c r="D6" s="63" t="s">
        <v>574</v>
      </c>
    </row>
    <row r="7" customFormat="false" ht="15" hidden="false" customHeight="true" outlineLevel="0" collapsed="false">
      <c r="B7" s="47" t="s">
        <v>575</v>
      </c>
      <c r="C7" s="62" t="n">
        <v>13996.3</v>
      </c>
    </row>
    <row r="8" customFormat="false" ht="15" hidden="false" customHeight="true" outlineLevel="0" collapsed="false">
      <c r="B8" s="47" t="s">
        <v>576</v>
      </c>
      <c r="C8" s="62" t="n">
        <v>5847.56</v>
      </c>
    </row>
    <row r="9" customFormat="false" ht="15" hidden="false" customHeight="true" outlineLevel="0" collapsed="false">
      <c r="B9" s="47" t="s">
        <v>577</v>
      </c>
      <c r="C9" s="62" t="n">
        <v>7792.6</v>
      </c>
      <c r="D9" s="1" t="s">
        <v>578</v>
      </c>
    </row>
    <row r="10" customFormat="false" ht="15" hidden="false" customHeight="true" outlineLevel="0" collapsed="false">
      <c r="B10" s="66" t="s">
        <v>579</v>
      </c>
      <c r="C10" s="67" t="n">
        <f aca="false">SUM(C5:C9)</f>
        <v>266202.02</v>
      </c>
    </row>
    <row r="12" customFormat="false" ht="19.5" hidden="false" customHeight="true" outlineLevel="0" collapsed="false">
      <c r="B12" s="61" t="s">
        <v>580</v>
      </c>
      <c r="C12" s="61"/>
      <c r="D12" s="61"/>
    </row>
    <row r="13" customFormat="false" ht="15" hidden="false" customHeight="true" outlineLevel="0" collapsed="false">
      <c r="B13" s="47" t="s">
        <v>581</v>
      </c>
      <c r="C13" s="64" t="n">
        <v>0.4407</v>
      </c>
      <c r="D13" s="1" t="s">
        <v>582</v>
      </c>
    </row>
    <row r="14" customFormat="false" ht="15" hidden="false" customHeight="true" outlineLevel="0" collapsed="false">
      <c r="B14" s="47" t="s">
        <v>583</v>
      </c>
      <c r="C14" s="64" t="n">
        <v>0.2216</v>
      </c>
    </row>
    <row r="15" customFormat="false" ht="15" hidden="false" customHeight="true" outlineLevel="0" collapsed="false">
      <c r="B15" s="47" t="s">
        <v>584</v>
      </c>
      <c r="C15" s="64" t="n">
        <v>0.3328</v>
      </c>
    </row>
    <row r="16" customFormat="false" ht="15" hidden="false" customHeight="true" outlineLevel="0" collapsed="false">
      <c r="B16" s="47" t="s">
        <v>585</v>
      </c>
      <c r="C16" s="64" t="n">
        <v>0</v>
      </c>
      <c r="D16" s="1" t="s">
        <v>586</v>
      </c>
    </row>
    <row r="17" customFormat="false" ht="15" hidden="false" customHeight="true" outlineLevel="0" collapsed="false">
      <c r="B17" s="47" t="s">
        <v>587</v>
      </c>
      <c r="C17" s="64" t="n">
        <v>0</v>
      </c>
      <c r="D17" s="1" t="s">
        <v>588</v>
      </c>
    </row>
    <row r="19" customFormat="false" ht="19.5" hidden="false" customHeight="true" outlineLevel="0" collapsed="false">
      <c r="B19" s="61" t="s">
        <v>589</v>
      </c>
      <c r="C19" s="61"/>
      <c r="D19" s="61"/>
    </row>
    <row r="20" customFormat="false" ht="15" hidden="false" customHeight="true" outlineLevel="0" collapsed="false">
      <c r="B20" s="47" t="s">
        <v>590</v>
      </c>
      <c r="C20" s="65" t="n">
        <v>10</v>
      </c>
      <c r="D20" s="63" t="s">
        <v>591</v>
      </c>
    </row>
    <row r="21" customFormat="false" ht="15" hidden="false" customHeight="true" outlineLevel="0" collapsed="false">
      <c r="B21" s="47" t="s">
        <v>592</v>
      </c>
      <c r="C21" s="65" t="n">
        <f aca="false">2*4/7</f>
        <v>1.14285714285714</v>
      </c>
      <c r="D21" s="63" t="s">
        <v>593</v>
      </c>
    </row>
    <row r="22" customFormat="false" ht="15" hidden="false" customHeight="true" outlineLevel="0" collapsed="false">
      <c r="B22" s="47" t="s">
        <v>594</v>
      </c>
      <c r="C22" s="65" t="n">
        <v>7</v>
      </c>
    </row>
    <row r="23" customFormat="false" ht="15" hidden="false" customHeight="true" outlineLevel="0" collapsed="false">
      <c r="B23" s="47" t="s">
        <v>595</v>
      </c>
      <c r="C23" s="62" t="n">
        <v>20</v>
      </c>
      <c r="D23" s="63" t="s">
        <v>596</v>
      </c>
    </row>
    <row r="24" customFormat="false" ht="15" hidden="false" customHeight="true" outlineLevel="0" collapsed="false">
      <c r="B24" s="47" t="s">
        <v>299</v>
      </c>
      <c r="C24" s="64" t="n">
        <v>0.16</v>
      </c>
    </row>
    <row r="25" customFormat="false" ht="15" hidden="false" customHeight="true" outlineLevel="0" collapsed="false">
      <c r="B25" s="66" t="s">
        <v>597</v>
      </c>
      <c r="C25" s="67" t="n">
        <f aca="false">(C20+C21)*C22*52*C23*(1+C24)+C26*52*(1+C24)</f>
        <v>111953.92</v>
      </c>
      <c r="D25" s="63" t="s">
        <v>598</v>
      </c>
    </row>
    <row r="26" customFormat="false" ht="15" hidden="false" customHeight="true" outlineLevel="0" collapsed="false">
      <c r="B26" s="47" t="s">
        <v>599</v>
      </c>
      <c r="C26" s="62" t="n">
        <v>296</v>
      </c>
      <c r="D26" s="1" t="s">
        <v>600</v>
      </c>
    </row>
    <row r="27" customFormat="false" ht="19.5" hidden="false" customHeight="true" outlineLevel="0" collapsed="false">
      <c r="B27" s="61" t="s">
        <v>601</v>
      </c>
      <c r="C27" s="61"/>
      <c r="D27" s="61"/>
    </row>
    <row r="28" customFormat="false" ht="15" hidden="false" customHeight="true" outlineLevel="0" collapsed="false">
      <c r="B28" s="47" t="s">
        <v>602</v>
      </c>
      <c r="C28" s="62" t="n">
        <v>164857</v>
      </c>
      <c r="D28" s="63" t="s">
        <v>603</v>
      </c>
    </row>
    <row r="30" customFormat="false" ht="19.5" hidden="false" customHeight="true" outlineLevel="0" collapsed="false">
      <c r="B30" s="61" t="s">
        <v>604</v>
      </c>
      <c r="C30" s="61"/>
      <c r="D30" s="61"/>
    </row>
    <row r="31" customFormat="false" ht="15" hidden="false" customHeight="true" outlineLevel="0" collapsed="false">
      <c r="B31" s="47" t="s">
        <v>304</v>
      </c>
      <c r="C31" s="64" t="n">
        <v>0.025</v>
      </c>
      <c r="D31" s="63" t="s">
        <v>605</v>
      </c>
    </row>
    <row r="32" customFormat="false" ht="15" hidden="false" customHeight="true" outlineLevel="0" collapsed="false">
      <c r="B32" s="47" t="s">
        <v>606</v>
      </c>
      <c r="C32" s="62" t="n">
        <v>89675</v>
      </c>
      <c r="D32" s="63" t="s">
        <v>607</v>
      </c>
    </row>
    <row r="33" customFormat="false" ht="15" hidden="false" customHeight="true" outlineLevel="0" collapsed="false">
      <c r="B33" s="47" t="s">
        <v>270</v>
      </c>
      <c r="C33" s="62" t="n">
        <v>5657</v>
      </c>
      <c r="D33" s="63" t="s">
        <v>608</v>
      </c>
    </row>
    <row r="35" customFormat="false" ht="19.5" hidden="false" customHeight="true" outlineLevel="0" collapsed="false">
      <c r="B35" s="61" t="s">
        <v>609</v>
      </c>
      <c r="C35" s="61"/>
      <c r="D35" s="61"/>
    </row>
    <row r="36" customFormat="false" ht="15" hidden="false" customHeight="true" outlineLevel="0" collapsed="false">
      <c r="B36" s="47" t="s">
        <v>610</v>
      </c>
      <c r="C36" s="62" t="n">
        <f aca="false">'LW Retail Plan'!$C$19</f>
        <v>42000.22</v>
      </c>
      <c r="D36" s="1" t="s">
        <v>611</v>
      </c>
    </row>
    <row r="37" customFormat="false" ht="15" hidden="false" customHeight="true" outlineLevel="0" collapsed="false">
      <c r="B37" s="47" t="s">
        <v>612</v>
      </c>
      <c r="C37" s="117" t="n">
        <f aca="false">'LW Retail Plan'!$C$20</f>
        <v>0.42</v>
      </c>
      <c r="D37" s="1" t="s">
        <v>613</v>
      </c>
    </row>
    <row r="39" customFormat="false" ht="15" hidden="false" customHeight="true" outlineLevel="0" collapsed="false">
      <c r="B39" s="118" t="s">
        <v>614</v>
      </c>
      <c r="C39" s="118"/>
      <c r="D39" s="118"/>
    </row>
    <row r="40" customFormat="false" ht="15" hidden="false" customHeight="true" outlineLevel="0" collapsed="false">
      <c r="B40" s="47" t="s">
        <v>615</v>
      </c>
      <c r="C40" s="119" t="n">
        <v>0.04</v>
      </c>
      <c r="D40" s="63" t="s">
        <v>616</v>
      </c>
    </row>
    <row r="41" customFormat="false" ht="15" hidden="false" customHeight="true" outlineLevel="0" collapsed="false">
      <c r="B41" s="47" t="s">
        <v>617</v>
      </c>
      <c r="C41" s="119" t="n">
        <v>0</v>
      </c>
      <c r="D41" s="63" t="s">
        <v>618</v>
      </c>
    </row>
    <row r="42" customFormat="false" ht="15" hidden="false" customHeight="true" outlineLevel="0" collapsed="false">
      <c r="B42" s="47" t="s">
        <v>619</v>
      </c>
      <c r="C42" s="45" t="n">
        <v>10012</v>
      </c>
      <c r="D42" s="63" t="s">
        <v>620</v>
      </c>
    </row>
    <row r="43" customFormat="false" ht="15" hidden="false" customHeight="true" outlineLevel="0" collapsed="false">
      <c r="B43" s="47" t="s">
        <v>621</v>
      </c>
      <c r="C43" s="45" t="n">
        <f aca="false">'LW Menu Pricing'!$C$53</f>
        <v>9160.92</v>
      </c>
      <c r="D43" s="63" t="s">
        <v>622</v>
      </c>
    </row>
    <row r="44" customFormat="false" ht="15" hidden="false" customHeight="true" outlineLevel="0" collapsed="false">
      <c r="B44" s="47" t="s">
        <v>623</v>
      </c>
      <c r="C44" s="120" t="n">
        <v>1</v>
      </c>
      <c r="D44" s="63" t="s">
        <v>624</v>
      </c>
    </row>
    <row r="45" customFormat="false" ht="15" hidden="false" customHeight="true" outlineLevel="0" collapsed="false">
      <c r="B45" s="47" t="s">
        <v>625</v>
      </c>
      <c r="C45" s="45" t="n">
        <v>12880</v>
      </c>
      <c r="D45" s="63" t="s">
        <v>626</v>
      </c>
    </row>
    <row r="46" customFormat="false" ht="15" hidden="false" customHeight="true" outlineLevel="0" collapsed="false">
      <c r="B46" s="1" t="s">
        <v>627</v>
      </c>
      <c r="C46" s="121" t="n">
        <v>0.5</v>
      </c>
      <c r="D46" s="1" t="s">
        <v>628</v>
      </c>
    </row>
    <row r="47" customFormat="false" ht="15" hidden="false" customHeight="true" outlineLevel="0" collapsed="false">
      <c r="B47" s="1" t="s">
        <v>629</v>
      </c>
      <c r="C47" s="84" t="n">
        <f aca="false">'LW Assumptions'!$C$8*'LW Assumptions'!$C$46</f>
        <v>2923.78</v>
      </c>
    </row>
    <row r="48" customFormat="false" ht="15" hidden="false" customHeight="true" outlineLevel="0" collapsed="false">
      <c r="B48" s="47" t="s">
        <v>313</v>
      </c>
      <c r="C48" s="119" t="n">
        <v>0.125</v>
      </c>
      <c r="D48" s="63" t="s">
        <v>630</v>
      </c>
    </row>
    <row r="49" customFormat="false" ht="15" hidden="false" customHeight="true" outlineLevel="0" collapsed="false">
      <c r="B49" s="47" t="s">
        <v>631</v>
      </c>
      <c r="C49" s="119" t="n">
        <v>0.035</v>
      </c>
      <c r="D49" s="63"/>
    </row>
    <row r="50" customFormat="false" ht="15" hidden="false" customHeight="true" outlineLevel="0" collapsed="false">
      <c r="B50" s="47" t="s">
        <v>315</v>
      </c>
      <c r="C50" s="119" t="n">
        <v>0.085</v>
      </c>
      <c r="D50" s="63"/>
    </row>
    <row r="51" customFormat="false" ht="15" hidden="false" customHeight="true" outlineLevel="0" collapsed="false">
      <c r="B51" s="47" t="s">
        <v>632</v>
      </c>
      <c r="C51" s="119" t="n">
        <v>0.4</v>
      </c>
      <c r="D51" s="63" t="s">
        <v>633</v>
      </c>
    </row>
    <row r="52" customFormat="false" ht="15" hidden="false" customHeight="true" outlineLevel="0" collapsed="false">
      <c r="B52" s="47" t="s">
        <v>634</v>
      </c>
      <c r="C52" s="119" t="n">
        <v>0.045</v>
      </c>
      <c r="D52" s="63" t="s">
        <v>635</v>
      </c>
    </row>
    <row r="53" customFormat="false" ht="15" hidden="false" customHeight="true" outlineLevel="0" collapsed="false">
      <c r="B53" s="47" t="s">
        <v>636</v>
      </c>
      <c r="C53" s="119" t="n">
        <v>0.025</v>
      </c>
      <c r="D53" s="63" t="s">
        <v>637</v>
      </c>
    </row>
  </sheetData>
  <mergeCells count="9">
    <mergeCell ref="A1:D1"/>
    <mergeCell ref="A2:D2"/>
    <mergeCell ref="B4:D4"/>
    <mergeCell ref="B12:D12"/>
    <mergeCell ref="B19:D19"/>
    <mergeCell ref="B27:D27"/>
    <mergeCell ref="B30:D30"/>
    <mergeCell ref="B35:D35"/>
    <mergeCell ref="B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1"/>
    <col collapsed="false" customWidth="true" hidden="false" outlineLevel="0" max="5" min="4" style="1" width="7"/>
    <col collapsed="false" customWidth="true" hidden="false" outlineLevel="0" max="6" min="6" style="1" width="11"/>
    <col collapsed="false" customWidth="true" hidden="false" outlineLevel="0" max="8" min="7" style="1" width="7"/>
    <col collapsed="false" customWidth="true" hidden="false" outlineLevel="0" max="9" min="9" style="1" width="11"/>
    <col collapsed="false" customWidth="true" hidden="false" outlineLevel="0" max="10" min="10" style="1" width="7"/>
  </cols>
  <sheetData>
    <row r="1" customFormat="false" ht="15" hidden="false" customHeight="true" outlineLevel="0" collapsed="false">
      <c r="A1" s="2" t="s">
        <v>379</v>
      </c>
    </row>
    <row r="2" customFormat="false" ht="15" hidden="false" customHeight="true" outlineLevel="0" collapsed="false">
      <c r="A2" s="2" t="s">
        <v>638</v>
      </c>
    </row>
    <row r="3" customFormat="false" ht="15" hidden="false" customHeight="true" outlineLevel="0" collapsed="false">
      <c r="A3" s="2" t="s">
        <v>173</v>
      </c>
    </row>
    <row r="5" customFormat="false" ht="15" hidden="false" customHeight="true" outlineLevel="0" collapsed="false">
      <c r="C5" s="30" t="s">
        <v>639</v>
      </c>
      <c r="D5" s="30"/>
      <c r="E5" s="31"/>
      <c r="F5" s="30" t="s">
        <v>640</v>
      </c>
      <c r="G5" s="30"/>
      <c r="H5" s="31"/>
      <c r="I5" s="30" t="s">
        <v>641</v>
      </c>
      <c r="J5" s="30"/>
    </row>
    <row r="6" customFormat="false" ht="15" hidden="false" customHeight="true" outlineLevel="0" collapsed="false">
      <c r="C6" s="32" t="s">
        <v>353</v>
      </c>
      <c r="D6" s="32"/>
      <c r="E6" s="33"/>
      <c r="F6" s="32" t="s">
        <v>353</v>
      </c>
      <c r="G6" s="32"/>
      <c r="H6" s="33"/>
      <c r="I6" s="32" t="s">
        <v>353</v>
      </c>
      <c r="J6" s="32"/>
    </row>
    <row r="7" customFormat="false" ht="15" hidden="false" customHeight="true" outlineLevel="0" collapsed="false">
      <c r="C7" s="31" t="s">
        <v>176</v>
      </c>
      <c r="D7" s="31" t="s">
        <v>177</v>
      </c>
      <c r="E7" s="31"/>
      <c r="F7" s="31" t="s">
        <v>176</v>
      </c>
      <c r="G7" s="31" t="s">
        <v>177</v>
      </c>
      <c r="H7" s="31"/>
      <c r="I7" s="31" t="s">
        <v>176</v>
      </c>
      <c r="J7" s="31" t="s">
        <v>177</v>
      </c>
    </row>
    <row r="11" customFormat="false" ht="15" hidden="false" customHeight="true" outlineLevel="0" collapsed="false">
      <c r="A11" s="6" t="s">
        <v>178</v>
      </c>
    </row>
    <row r="12" customFormat="false" ht="15" hidden="false" customHeight="true" outlineLevel="0" collapsed="false">
      <c r="A12" s="5" t="s">
        <v>179</v>
      </c>
      <c r="C12" s="24" t="n">
        <f aca="false">'LW Assumptions'!$C$5</f>
        <v>106838.2</v>
      </c>
      <c r="D12" s="34" t="n">
        <f aca="false">IFERROR(C12/C$20,0)</f>
        <v>0.401342559308904</v>
      </c>
      <c r="F12" s="24" t="n">
        <f aca="false">'LW Assumptions'!$C$5</f>
        <v>106838.2</v>
      </c>
      <c r="G12" s="34" t="n">
        <f aca="false">IFERROR(F12/F$20,0)</f>
        <v>0.401342559308904</v>
      </c>
      <c r="I12" s="24" t="n">
        <f aca="false">F12-C12</f>
        <v>0</v>
      </c>
      <c r="J12" s="34" t="n">
        <f aca="false">IFERROR(I12/C12,0)</f>
        <v>0</v>
      </c>
    </row>
    <row r="13" customFormat="false" ht="15" hidden="false" customHeight="true" outlineLevel="0" collapsed="false">
      <c r="A13" s="5" t="s">
        <v>180</v>
      </c>
      <c r="C13" s="24" t="n">
        <f aca="false">'LW Assumptions'!$C$6</f>
        <v>131727.36</v>
      </c>
      <c r="D13" s="34" t="n">
        <f aca="false">IFERROR(C13/C$20,0)</f>
        <v>0.494839821275586</v>
      </c>
      <c r="F13" s="24" t="n">
        <f aca="false">'LW Assumptions'!$C$6</f>
        <v>131727.36</v>
      </c>
      <c r="G13" s="34" t="n">
        <f aca="false">IFERROR(F13/F$20,0)</f>
        <v>0.494839821275586</v>
      </c>
      <c r="I13" s="24" t="n">
        <f aca="false">F13-C13</f>
        <v>0</v>
      </c>
      <c r="J13" s="34" t="n">
        <f aca="false">IFERROR(I13/C13,0)</f>
        <v>0</v>
      </c>
    </row>
    <row r="14" customFormat="false" ht="15" hidden="false" customHeight="true" outlineLevel="0" collapsed="false">
      <c r="A14" s="5" t="s">
        <v>181</v>
      </c>
      <c r="C14" s="24" t="n">
        <f aca="false">'LW Assumptions'!$C$7</f>
        <v>13996.3</v>
      </c>
      <c r="D14" s="34" t="n">
        <f aca="false">IFERROR(C14/C$20,0)</f>
        <v>0.0525777377647247</v>
      </c>
      <c r="F14" s="24" t="n">
        <f aca="false">'LW Assumptions'!$C$7</f>
        <v>13996.3</v>
      </c>
      <c r="G14" s="34" t="n">
        <f aca="false">IFERROR(F14/F$20,0)</f>
        <v>0.0525777377647247</v>
      </c>
      <c r="I14" s="24" t="n">
        <f aca="false">F14-C14</f>
        <v>0</v>
      </c>
      <c r="J14" s="34" t="n">
        <f aca="false">IFERROR(I14/C14,0)</f>
        <v>0</v>
      </c>
    </row>
    <row r="15" customFormat="false" ht="15" hidden="false" customHeight="true" outlineLevel="0" collapsed="false">
      <c r="A15" s="5" t="s">
        <v>182</v>
      </c>
      <c r="C15" s="24" t="n">
        <v>0</v>
      </c>
      <c r="D15" s="34" t="n">
        <f aca="false">IFERROR(C15/C$20,0)</f>
        <v>0</v>
      </c>
      <c r="F15" s="24" t="n">
        <v>0</v>
      </c>
      <c r="G15" s="34" t="n">
        <f aca="false">IFERROR(F15/F$20,0)</f>
        <v>0</v>
      </c>
      <c r="I15" s="24" t="n">
        <f aca="false">F15-C15</f>
        <v>0</v>
      </c>
      <c r="J15" s="34" t="n">
        <f aca="false">IFERROR(I15/C15,0)</f>
        <v>0</v>
      </c>
    </row>
    <row r="16" customFormat="false" ht="15" hidden="false" customHeight="true" outlineLevel="0" collapsed="false">
      <c r="A16" s="5" t="s">
        <v>183</v>
      </c>
      <c r="C16" s="24" t="n">
        <v>0</v>
      </c>
      <c r="D16" s="34" t="n">
        <f aca="false">IFERROR(C16/C$20,0)</f>
        <v>0</v>
      </c>
      <c r="F16" s="24" t="n">
        <v>0</v>
      </c>
      <c r="G16" s="34" t="n">
        <f aca="false">IFERROR(F16/F$20,0)</f>
        <v>0</v>
      </c>
      <c r="I16" s="24" t="n">
        <f aca="false">F16-C16</f>
        <v>0</v>
      </c>
      <c r="J16" s="34" t="n">
        <f aca="false">IFERROR(I16/C16,0)</f>
        <v>0</v>
      </c>
    </row>
    <row r="17" customFormat="false" ht="15" hidden="false" customHeight="true" outlineLevel="0" collapsed="false">
      <c r="A17" s="5" t="s">
        <v>184</v>
      </c>
      <c r="C17" s="24" t="n">
        <f aca="false">'LW Assumptions'!$C$8</f>
        <v>5847.56</v>
      </c>
      <c r="D17" s="34" t="n">
        <f aca="false">IFERROR(C17/C$20,0)</f>
        <v>0.0219666251969087</v>
      </c>
      <c r="F17" s="24" t="n">
        <f aca="false">'LW Assumptions'!$C$8</f>
        <v>5847.56</v>
      </c>
      <c r="G17" s="34" t="n">
        <f aca="false">IFERROR(F17/F$20,0)</f>
        <v>0.0219666251969087</v>
      </c>
      <c r="I17" s="24" t="n">
        <f aca="false">F17-C17</f>
        <v>0</v>
      </c>
      <c r="J17" s="34" t="n">
        <f aca="false">IFERROR(I17/C17,0)</f>
        <v>0</v>
      </c>
    </row>
    <row r="18" customFormat="false" ht="15" hidden="false" customHeight="true" outlineLevel="0" collapsed="false">
      <c r="A18" s="5" t="s">
        <v>185</v>
      </c>
      <c r="C18" s="24" t="n">
        <f aca="false">'LW Assumptions'!$C$9</f>
        <v>7792.6</v>
      </c>
      <c r="D18" s="34" t="n">
        <f aca="false">IFERROR(C18/C$20,0)</f>
        <v>0.0292732564538767</v>
      </c>
      <c r="F18" s="24" t="n">
        <f aca="false">'LW Assumptions'!$C$9</f>
        <v>7792.6</v>
      </c>
      <c r="G18" s="34" t="n">
        <f aca="false">IFERROR(F18/F$20,0)</f>
        <v>0.0292732564538767</v>
      </c>
      <c r="I18" s="24" t="n">
        <f aca="false">F18-C18</f>
        <v>0</v>
      </c>
      <c r="J18" s="34" t="n">
        <f aca="false">IFERROR(I18/C18,0)</f>
        <v>0</v>
      </c>
    </row>
    <row r="19" customFormat="false" ht="15" hidden="false" customHeight="true" outlineLevel="0" collapsed="false">
      <c r="A19" s="5" t="s">
        <v>186</v>
      </c>
      <c r="C19" s="24" t="n">
        <v>0</v>
      </c>
      <c r="D19" s="34" t="n">
        <f aca="false">IFERROR(C19/C$20,0)</f>
        <v>0</v>
      </c>
      <c r="F19" s="24" t="n">
        <v>0</v>
      </c>
      <c r="G19" s="34" t="n">
        <f aca="false">IFERROR(F19/F$20,0)</f>
        <v>0</v>
      </c>
      <c r="I19" s="24" t="n">
        <f aca="false">F19-C19</f>
        <v>0</v>
      </c>
      <c r="J19" s="34" t="n">
        <f aca="false">IFERROR(I19/C19,0)</f>
        <v>0</v>
      </c>
    </row>
    <row r="20" customFormat="false" ht="15" hidden="false" customHeight="true" outlineLevel="0" collapsed="false">
      <c r="A20" s="6" t="s">
        <v>138</v>
      </c>
      <c r="C20" s="27" t="n">
        <f aca="false">SUM(C12:C19)</f>
        <v>266202.02</v>
      </c>
      <c r="D20" s="35" t="n">
        <f aca="false">IFERROR(C20/C$20,0)</f>
        <v>1</v>
      </c>
      <c r="F20" s="27" t="n">
        <f aca="false">SUM(F12:F19)</f>
        <v>266202.02</v>
      </c>
      <c r="G20" s="35" t="n">
        <f aca="false">IFERROR(F20/F$20,0)</f>
        <v>1</v>
      </c>
      <c r="I20" s="27" t="n">
        <f aca="false">F20-C20</f>
        <v>0</v>
      </c>
      <c r="J20" s="35" t="n">
        <f aca="false">IFERROR(I20/C20,0)</f>
        <v>0</v>
      </c>
    </row>
    <row r="22" customFormat="false" ht="15" hidden="false" customHeight="true" outlineLevel="0" collapsed="false">
      <c r="A22" s="6" t="s">
        <v>187</v>
      </c>
    </row>
    <row r="23" customFormat="false" ht="15" hidden="false" customHeight="true" outlineLevel="0" collapsed="false">
      <c r="A23" s="5" t="s">
        <v>188</v>
      </c>
      <c r="C23" s="24" t="n">
        <f aca="false">'LW Assumptions'!$C$5*'LW Assumptions'!$C$13</f>
        <v>47083.59474</v>
      </c>
      <c r="D23" s="34" t="n">
        <f aca="false">IFERROR(C23/C$12,0)</f>
        <v>0.4407</v>
      </c>
      <c r="F23" s="24" t="n">
        <f aca="false">'LW Assumptions'!$C$5*'LW Assumptions'!$C$13</f>
        <v>47083.59474</v>
      </c>
      <c r="G23" s="34" t="n">
        <f aca="false">IFERROR(F23/F$12,0)</f>
        <v>0.4407</v>
      </c>
      <c r="I23" s="24" t="n">
        <f aca="false">F23-C23</f>
        <v>0</v>
      </c>
      <c r="J23" s="34" t="n">
        <f aca="false">IFERROR(I23/C23,0)</f>
        <v>0</v>
      </c>
    </row>
    <row r="24" customFormat="false" ht="15" hidden="false" customHeight="true" outlineLevel="0" collapsed="false">
      <c r="A24" s="5" t="s">
        <v>189</v>
      </c>
      <c r="C24" s="24" t="n">
        <f aca="false">'LW Assumptions'!$C$6*'LW Assumptions'!$C$14</f>
        <v>29190.782976</v>
      </c>
      <c r="D24" s="34" t="n">
        <f aca="false">IFERROR(C24/C$13,0)</f>
        <v>0.2216</v>
      </c>
      <c r="F24" s="24" t="n">
        <f aca="false">'LW Assumptions'!$C$6*'LW Assumptions'!$C$14</f>
        <v>29190.782976</v>
      </c>
      <c r="G24" s="34" t="n">
        <f aca="false">IFERROR(F24/F$13,0)</f>
        <v>0.2216</v>
      </c>
      <c r="I24" s="24" t="n">
        <f aca="false">F24-C24</f>
        <v>0</v>
      </c>
      <c r="J24" s="34" t="n">
        <f aca="false">IFERROR(I24/C24,0)</f>
        <v>0</v>
      </c>
    </row>
    <row r="25" customFormat="false" ht="15" hidden="false" customHeight="true" outlineLevel="0" collapsed="false">
      <c r="A25" s="5" t="s">
        <v>190</v>
      </c>
      <c r="C25" s="24" t="n">
        <f aca="false">'LW Assumptions'!$C$7*'LW Assumptions'!$C$15</f>
        <v>4657.96864</v>
      </c>
      <c r="D25" s="34" t="n">
        <f aca="false">IFERROR(C25/C$14,0)</f>
        <v>0.3328</v>
      </c>
      <c r="F25" s="24" t="n">
        <f aca="false">'LW Assumptions'!$C$7*'LW Assumptions'!$C$15</f>
        <v>4657.96864</v>
      </c>
      <c r="G25" s="34" t="n">
        <f aca="false">IFERROR(F25/F$14,0)</f>
        <v>0.3328</v>
      </c>
      <c r="I25" s="24" t="n">
        <f aca="false">F25-C25</f>
        <v>0</v>
      </c>
      <c r="J25" s="34" t="n">
        <f aca="false">IFERROR(I25/C25,0)</f>
        <v>0</v>
      </c>
    </row>
    <row r="26" customFormat="false" ht="15" hidden="false" customHeight="true" outlineLevel="0" collapsed="false">
      <c r="A26" s="5" t="s">
        <v>191</v>
      </c>
      <c r="C26" s="24" t="n">
        <v>0</v>
      </c>
      <c r="D26" s="34" t="n">
        <f aca="false">IFERROR(C26/C$15,0)</f>
        <v>0</v>
      </c>
      <c r="F26" s="24" t="n">
        <v>0</v>
      </c>
      <c r="G26" s="34" t="n">
        <f aca="false">IFERROR(F26/F$15,0)</f>
        <v>0</v>
      </c>
      <c r="I26" s="24" t="n">
        <f aca="false">F26-C26</f>
        <v>0</v>
      </c>
      <c r="J26" s="34" t="n">
        <f aca="false">IFERROR(I26/C26,0)</f>
        <v>0</v>
      </c>
    </row>
    <row r="27" customFormat="false" ht="15" hidden="false" customHeight="true" outlineLevel="0" collapsed="false">
      <c r="A27" s="5" t="s">
        <v>192</v>
      </c>
      <c r="C27" s="24" t="n">
        <v>0</v>
      </c>
      <c r="D27" s="34" t="n">
        <f aca="false">IFERROR(C27/C$16,0)</f>
        <v>0</v>
      </c>
      <c r="F27" s="24" t="n">
        <v>0</v>
      </c>
      <c r="G27" s="34" t="n">
        <f aca="false">IFERROR(F27/F$16,0)</f>
        <v>0</v>
      </c>
      <c r="I27" s="24" t="n">
        <f aca="false">F27-C27</f>
        <v>0</v>
      </c>
      <c r="J27" s="34" t="n">
        <f aca="false">IFERROR(I27/C27,0)</f>
        <v>0</v>
      </c>
    </row>
    <row r="28" customFormat="false" ht="15" hidden="false" customHeight="true" outlineLevel="0" collapsed="false">
      <c r="A28" s="5" t="s">
        <v>193</v>
      </c>
      <c r="C28" s="24" t="n">
        <f aca="false">'LW Assumptions'!$C$8*'LW Assumptions'!$C$16</f>
        <v>0</v>
      </c>
      <c r="D28" s="34" t="n">
        <f aca="false">IFERROR(C28/C$17,0)</f>
        <v>0</v>
      </c>
      <c r="F28" s="24" t="n">
        <f aca="false">'LW Assumptions'!$C$8*'LW Assumptions'!$C$16</f>
        <v>0</v>
      </c>
      <c r="G28" s="34" t="n">
        <f aca="false">IFERROR(F28/F$17,0)</f>
        <v>0</v>
      </c>
      <c r="I28" s="24" t="n">
        <f aca="false">F28-C28</f>
        <v>0</v>
      </c>
      <c r="J28" s="34" t="n">
        <f aca="false">IFERROR(I28/C28,0)</f>
        <v>0</v>
      </c>
    </row>
    <row r="29" customFormat="false" ht="15" hidden="false" customHeight="true" outlineLevel="0" collapsed="false">
      <c r="A29" s="6" t="s">
        <v>139</v>
      </c>
      <c r="C29" s="27" t="n">
        <f aca="false">SUM(C23:C28)</f>
        <v>80932.346356</v>
      </c>
      <c r="D29" s="35" t="n">
        <f aca="false">IFERROR(C29/C$20,0)</f>
        <v>0.304026041410204</v>
      </c>
      <c r="F29" s="27" t="n">
        <f aca="false">SUM(F23:F28)</f>
        <v>80932.346356</v>
      </c>
      <c r="G29" s="35" t="n">
        <f aca="false">IFERROR(F29/F$20,0)</f>
        <v>0.304026041410204</v>
      </c>
      <c r="I29" s="27" t="n">
        <f aca="false">F29-C29</f>
        <v>0</v>
      </c>
      <c r="J29" s="35" t="n">
        <f aca="false">IFERROR(I29/C29,0)</f>
        <v>0</v>
      </c>
    </row>
    <row r="30" customFormat="false" ht="15" hidden="false" customHeight="true" outlineLevel="0" collapsed="false">
      <c r="A30" s="6" t="s">
        <v>140</v>
      </c>
      <c r="C30" s="7" t="n">
        <f aca="false">C20-C29</f>
        <v>185269.673644</v>
      </c>
      <c r="D30" s="8" t="n">
        <f aca="false">IFERROR(C30/C$20,0)</f>
        <v>0.695973958589796</v>
      </c>
      <c r="F30" s="7" t="n">
        <f aca="false">F20-F29</f>
        <v>185269.673644</v>
      </c>
      <c r="G30" s="8" t="n">
        <f aca="false">IFERROR(F30/F$20,0)</f>
        <v>0.695973958589796</v>
      </c>
      <c r="I30" s="7" t="n">
        <f aca="false">F30-C30</f>
        <v>0</v>
      </c>
      <c r="J30" s="8" t="n">
        <f aca="false">IFERROR(I30/C30,0)</f>
        <v>0</v>
      </c>
    </row>
    <row r="32" customFormat="false" ht="15" hidden="false" customHeight="true" outlineLevel="0" collapsed="false">
      <c r="A32" s="6" t="s">
        <v>194</v>
      </c>
    </row>
    <row r="33" customFormat="false" ht="15" hidden="false" customHeight="true" outlineLevel="0" collapsed="false">
      <c r="A33" s="5" t="s">
        <v>195</v>
      </c>
      <c r="C33" s="24" t="n">
        <f aca="false">'LW Assumptions'!$C$45</f>
        <v>12880</v>
      </c>
      <c r="D33" s="34" t="n">
        <f aca="false">IFERROR(C33/C$20,0)</f>
        <v>0.0483843060244246</v>
      </c>
      <c r="F33" s="24" t="n">
        <v>0</v>
      </c>
      <c r="G33" s="34" t="n">
        <f aca="false">IFERROR(F33/F$20,0)</f>
        <v>0</v>
      </c>
      <c r="I33" s="24" t="n">
        <f aca="false">F33-C33</f>
        <v>-12880</v>
      </c>
      <c r="J33" s="34" t="n">
        <f aca="false">IFERROR(I33/C33,0)</f>
        <v>-1</v>
      </c>
    </row>
    <row r="34" customFormat="false" ht="15" hidden="false" customHeight="true" outlineLevel="0" collapsed="false">
      <c r="A34" s="5" t="s">
        <v>196</v>
      </c>
      <c r="C34" s="24" t="n">
        <v>30727</v>
      </c>
      <c r="D34" s="34" t="n">
        <f aca="false">IFERROR(C34/C$20,0)</f>
        <v>0.115427373541343</v>
      </c>
      <c r="F34" s="24" t="n">
        <f aca="false">'LW Assumptions'!$C$26*52</f>
        <v>15392</v>
      </c>
      <c r="G34" s="34" t="n">
        <f aca="false">IFERROR(F34/F$20,0)</f>
        <v>0.0578207483173869</v>
      </c>
      <c r="I34" s="24" t="n">
        <f aca="false">F34-C34</f>
        <v>-15335</v>
      </c>
      <c r="J34" s="34" t="n">
        <f aca="false">IFERROR(I34/C34,0)</f>
        <v>-0.499072476974648</v>
      </c>
    </row>
    <row r="35" customFormat="false" ht="15" hidden="false" customHeight="true" outlineLevel="0" collapsed="false">
      <c r="A35" s="5" t="s">
        <v>197</v>
      </c>
      <c r="C35" s="24" t="n">
        <f aca="false">42998+54634+886</f>
        <v>98518</v>
      </c>
      <c r="D35" s="34" t="n">
        <f aca="false">IFERROR(C35/C$20,0)</f>
        <v>0.370087349449865</v>
      </c>
      <c r="F35" s="24" t="n">
        <f aca="false">('LW Assumptions'!$C$20+'LW Assumptions'!$C$21)*'LW Assumptions'!$C$22*52*'LW Assumptions'!$C$23</f>
        <v>81120</v>
      </c>
      <c r="G35" s="34" t="n">
        <f aca="false">IFERROR(F35/F$20,0)</f>
        <v>0.304730970861904</v>
      </c>
      <c r="I35" s="24" t="n">
        <f aca="false">F35-C35</f>
        <v>-17398</v>
      </c>
      <c r="J35" s="34" t="n">
        <f aca="false">IFERROR(I35/C35,0)</f>
        <v>-0.176597170060294</v>
      </c>
    </row>
    <row r="36" customFormat="false" ht="15" hidden="false" customHeight="true" outlineLevel="0" collapsed="false">
      <c r="A36" s="5" t="s">
        <v>198</v>
      </c>
      <c r="C36" s="24" t="n">
        <v>22733</v>
      </c>
      <c r="D36" s="34" t="n">
        <f aca="false">IFERROR(C36/C$20,0)</f>
        <v>0.0853975488240097</v>
      </c>
      <c r="F36" s="24" t="n">
        <f aca="false">(F34+F35)*'LW Assumptions'!$C$24</f>
        <v>15441.92</v>
      </c>
      <c r="G36" s="34" t="n">
        <f aca="false">IFERROR(F36/F$20,0)</f>
        <v>0.0580082750686866</v>
      </c>
      <c r="I36" s="24" t="n">
        <f aca="false">F36-C36</f>
        <v>-7291.08</v>
      </c>
      <c r="J36" s="34" t="n">
        <f aca="false">IFERROR(I36/C36,0)</f>
        <v>-0.320726696872388</v>
      </c>
    </row>
    <row r="37" customFormat="false" ht="15" hidden="false" customHeight="true" outlineLevel="0" collapsed="false">
      <c r="A37" s="5" t="s">
        <v>199</v>
      </c>
      <c r="C37" s="24" t="n">
        <v>0</v>
      </c>
      <c r="D37" s="34" t="n">
        <f aca="false">IFERROR(C37/C$20,0)</f>
        <v>0</v>
      </c>
      <c r="F37" s="24" t="n">
        <v>0</v>
      </c>
      <c r="G37" s="34" t="n">
        <f aca="false">IFERROR(F37/F$20,0)</f>
        <v>0</v>
      </c>
      <c r="I37" s="24" t="n">
        <f aca="false">F37-C37</f>
        <v>0</v>
      </c>
      <c r="J37" s="34" t="n">
        <f aca="false">IFERROR(I37/C37,0)</f>
        <v>0</v>
      </c>
    </row>
    <row r="38" customFormat="false" ht="15" hidden="false" customHeight="true" outlineLevel="0" collapsed="false">
      <c r="A38" s="6" t="s">
        <v>141</v>
      </c>
      <c r="C38" s="27" t="n">
        <f aca="false">SUM(C33:C37)</f>
        <v>164858</v>
      </c>
      <c r="D38" s="35" t="n">
        <f aca="false">IFERROR(C38/C$20,0)</f>
        <v>0.619296577839642</v>
      </c>
      <c r="F38" s="27" t="n">
        <f aca="false">SUM(F33:F37)</f>
        <v>111953.92</v>
      </c>
      <c r="G38" s="35" t="n">
        <f aca="false">IFERROR(F38/F$20,0)</f>
        <v>0.420559994247978</v>
      </c>
      <c r="I38" s="27" t="n">
        <f aca="false">F38-C38</f>
        <v>-52904.08</v>
      </c>
      <c r="J38" s="35" t="n">
        <f aca="false">IFERROR(I38/C38,0)</f>
        <v>-0.320906962355482</v>
      </c>
    </row>
    <row r="40" customFormat="false" ht="15" hidden="false" customHeight="true" outlineLevel="0" collapsed="false">
      <c r="A40" s="6" t="s">
        <v>200</v>
      </c>
      <c r="C40" s="7" t="n">
        <f aca="false">C29+C38</f>
        <v>245790.346356</v>
      </c>
      <c r="D40" s="8" t="n">
        <f aca="false">IFERROR(C40/C$20,0)</f>
        <v>0.923322619249847</v>
      </c>
      <c r="F40" s="7" t="n">
        <f aca="false">F29+F38</f>
        <v>192886.266356</v>
      </c>
      <c r="G40" s="8" t="n">
        <f aca="false">IFERROR(F40/F$20,0)</f>
        <v>0.724586035658182</v>
      </c>
      <c r="I40" s="7" t="n">
        <f aca="false">F40-C40</f>
        <v>-52904.08</v>
      </c>
      <c r="J40" s="8" t="n">
        <f aca="false">IFERROR(I40/C40,0)</f>
        <v>-0.215240674763419</v>
      </c>
    </row>
    <row r="41" customFormat="false" ht="15" hidden="false" customHeight="true" outlineLevel="0" collapsed="false">
      <c r="A41" s="6" t="s">
        <v>201</v>
      </c>
      <c r="C41" s="7" t="n">
        <f aca="false">C30-C38</f>
        <v>20411.673644</v>
      </c>
      <c r="D41" s="8" t="n">
        <f aca="false">IFERROR(C41/C$20,0)</f>
        <v>0.0766773807501535</v>
      </c>
      <c r="F41" s="7" t="n">
        <f aca="false">F30-F38</f>
        <v>73315.753644</v>
      </c>
      <c r="G41" s="8" t="n">
        <f aca="false">IFERROR(F41/F$20,0)</f>
        <v>0.275413964341818</v>
      </c>
      <c r="I41" s="7" t="n">
        <f aca="false">F41-C41</f>
        <v>52904.08</v>
      </c>
      <c r="J41" s="8" t="n">
        <f aca="false">IFERROR(I41/C41,0)</f>
        <v>2.59185409891909</v>
      </c>
    </row>
    <row r="43" customFormat="false" ht="15" hidden="false" customHeight="true" outlineLevel="0" collapsed="false">
      <c r="A43" s="6" t="s">
        <v>202</v>
      </c>
    </row>
    <row r="44" customFormat="false" ht="15" hidden="false" customHeight="true" outlineLevel="0" collapsed="false">
      <c r="A44" s="5" t="s">
        <v>203</v>
      </c>
      <c r="C44" s="24" t="n">
        <f aca="false">'LW Assumptions'!$C$32</f>
        <v>89675</v>
      </c>
      <c r="D44" s="34" t="n">
        <f aca="false">IFERROR(C44/C$20,0)</f>
        <v>0.336868217604059</v>
      </c>
      <c r="F44" s="24" t="n">
        <f aca="false">'LW Assumptions'!$C$32</f>
        <v>89675</v>
      </c>
      <c r="G44" s="34" t="n">
        <f aca="false">IFERROR(F44/F$20,0)</f>
        <v>0.336868217604059</v>
      </c>
      <c r="I44" s="24" t="n">
        <f aca="false">F44-C44</f>
        <v>0</v>
      </c>
      <c r="J44" s="34" t="n">
        <f aca="false">IFERROR(I44/C44,0)</f>
        <v>0</v>
      </c>
    </row>
    <row r="45" customFormat="false" ht="15" hidden="false" customHeight="true" outlineLevel="0" collapsed="false">
      <c r="A45" s="5" t="s">
        <v>204</v>
      </c>
      <c r="C45" s="24" t="n">
        <v>0</v>
      </c>
      <c r="D45" s="34" t="n">
        <f aca="false">IFERROR(C45/C$20,0)</f>
        <v>0</v>
      </c>
      <c r="F45" s="24" t="n">
        <v>0</v>
      </c>
      <c r="G45" s="34" t="n">
        <f aca="false">IFERROR(F45/F$20,0)</f>
        <v>0</v>
      </c>
      <c r="I45" s="24" t="n">
        <f aca="false">F45-C45</f>
        <v>0</v>
      </c>
      <c r="J45" s="34" t="n">
        <f aca="false">IFERROR(I45/C45,0)</f>
        <v>0</v>
      </c>
    </row>
    <row r="46" customFormat="false" ht="15" hidden="false" customHeight="true" outlineLevel="0" collapsed="false">
      <c r="A46" s="5" t="s">
        <v>205</v>
      </c>
      <c r="C46" s="24" t="n">
        <v>0</v>
      </c>
      <c r="D46" s="34" t="n">
        <f aca="false">IFERROR(C46/C$20,0)</f>
        <v>0</v>
      </c>
      <c r="F46" s="24" t="n">
        <v>0</v>
      </c>
      <c r="G46" s="34" t="n">
        <f aca="false">IFERROR(F46/F$20,0)</f>
        <v>0</v>
      </c>
      <c r="I46" s="24" t="n">
        <f aca="false">F46-C46</f>
        <v>0</v>
      </c>
      <c r="J46" s="34" t="n">
        <f aca="false">IFERROR(I46/C46,0)</f>
        <v>0</v>
      </c>
    </row>
    <row r="47" customFormat="false" ht="15" hidden="false" customHeight="true" outlineLevel="0" collapsed="false">
      <c r="A47" s="5" t="s">
        <v>206</v>
      </c>
      <c r="C47" s="24" t="n">
        <v>0</v>
      </c>
      <c r="D47" s="34" t="n">
        <f aca="false">IFERROR(C47/C$20,0)</f>
        <v>0</v>
      </c>
      <c r="F47" s="24" t="n">
        <v>0</v>
      </c>
      <c r="G47" s="34" t="n">
        <f aca="false">IFERROR(F47/F$20,0)</f>
        <v>0</v>
      </c>
      <c r="I47" s="24" t="n">
        <f aca="false">F47-C47</f>
        <v>0</v>
      </c>
      <c r="J47" s="34" t="n">
        <f aca="false">IFERROR(I47/C47,0)</f>
        <v>0</v>
      </c>
    </row>
    <row r="48" customFormat="false" ht="15" hidden="false" customHeight="true" outlineLevel="0" collapsed="false">
      <c r="A48" s="5" t="s">
        <v>207</v>
      </c>
      <c r="C48" s="24" t="n">
        <v>0</v>
      </c>
      <c r="D48" s="34" t="n">
        <f aca="false">IFERROR(C48/C$20,0)</f>
        <v>0</v>
      </c>
      <c r="F48" s="24" t="n">
        <v>0</v>
      </c>
      <c r="G48" s="34" t="n">
        <f aca="false">IFERROR(F48/F$20,0)</f>
        <v>0</v>
      </c>
      <c r="I48" s="24" t="n">
        <f aca="false">F48-C48</f>
        <v>0</v>
      </c>
      <c r="J48" s="34" t="n">
        <f aca="false">IFERROR(I48/C48,0)</f>
        <v>0</v>
      </c>
    </row>
    <row r="49" customFormat="false" ht="15" hidden="false" customHeight="true" outlineLevel="0" collapsed="false">
      <c r="A49" s="5" t="s">
        <v>208</v>
      </c>
      <c r="C49" s="24" t="n">
        <f aca="false">'LW Assumptions'!$C$42</f>
        <v>10012</v>
      </c>
      <c r="D49" s="34" t="n">
        <f aca="false">IFERROR(C49/C$20,0)</f>
        <v>0.0376105335338928</v>
      </c>
      <c r="F49" s="24" t="n">
        <f aca="false">F20*'LW Assumptions'!$C$31</f>
        <v>6655.0505</v>
      </c>
      <c r="G49" s="34" t="n">
        <f aca="false">IFERROR(F49/F$20,0)</f>
        <v>0.025</v>
      </c>
      <c r="I49" s="24" t="n">
        <f aca="false">F49-C49</f>
        <v>-3356.9495</v>
      </c>
      <c r="J49" s="34" t="n">
        <f aca="false">IFERROR(I49/C49,0)</f>
        <v>-0.335292598881342</v>
      </c>
    </row>
    <row r="50" customFormat="false" ht="15" hidden="false" customHeight="true" outlineLevel="0" collapsed="false">
      <c r="A50" s="6" t="s">
        <v>209</v>
      </c>
      <c r="C50" s="27" t="n">
        <f aca="false">SUM(C44:C49)</f>
        <v>99687</v>
      </c>
      <c r="D50" s="35" t="n">
        <f aca="false">IFERROR(C50/C$20,0)</f>
        <v>0.374478751137952</v>
      </c>
      <c r="F50" s="27" t="n">
        <f aca="false">SUM(F44:F49)</f>
        <v>96330.0505</v>
      </c>
      <c r="G50" s="35" t="n">
        <f aca="false">IFERROR(F50/F$20,0)</f>
        <v>0.361868217604059</v>
      </c>
      <c r="I50" s="27" t="n">
        <f aca="false">F50-C50</f>
        <v>-3356.9495</v>
      </c>
      <c r="J50" s="35" t="n">
        <f aca="false">IFERROR(I50/C50,0)</f>
        <v>-0.0336748974289526</v>
      </c>
    </row>
    <row r="52" customFormat="false" ht="15" hidden="false" customHeight="true" outlineLevel="0" collapsed="false">
      <c r="A52" s="6" t="s">
        <v>210</v>
      </c>
    </row>
    <row r="53" customFormat="false" ht="15" hidden="false" customHeight="true" outlineLevel="0" collapsed="false">
      <c r="A53" s="5" t="s">
        <v>211</v>
      </c>
      <c r="C53" s="24" t="n">
        <v>0</v>
      </c>
      <c r="D53" s="34" t="n">
        <f aca="false">IFERROR(C53/C$20,0)</f>
        <v>0</v>
      </c>
      <c r="F53" s="24" t="n">
        <v>0</v>
      </c>
      <c r="G53" s="34" t="n">
        <f aca="false">IFERROR(F53/F$20,0)</f>
        <v>0</v>
      </c>
      <c r="I53" s="24" t="n">
        <f aca="false">F53-C53</f>
        <v>0</v>
      </c>
      <c r="J53" s="34" t="n">
        <f aca="false">IFERROR(I53/C53,0)</f>
        <v>0</v>
      </c>
    </row>
    <row r="54" customFormat="false" ht="15" hidden="false" customHeight="true" outlineLevel="0" collapsed="false">
      <c r="A54" s="5" t="s">
        <v>642</v>
      </c>
      <c r="C54" s="24" t="n">
        <f aca="false">C20*0.06</f>
        <v>15972.1212</v>
      </c>
      <c r="D54" s="34" t="n">
        <f aca="false">IFERROR(C54/C$20,0)</f>
        <v>0.06</v>
      </c>
      <c r="F54" s="24" t="n">
        <f aca="false">F20*'LW Assumptions'!$C$41</f>
        <v>0</v>
      </c>
      <c r="G54" s="34" t="n">
        <f aca="false">IFERROR(F54/F$20,0)</f>
        <v>0</v>
      </c>
      <c r="I54" s="24" t="n">
        <f aca="false">F54-C54</f>
        <v>-15972.1212</v>
      </c>
      <c r="J54" s="34" t="n">
        <f aca="false">IFERROR(I54/C54,0)</f>
        <v>-1</v>
      </c>
    </row>
    <row r="55" customFormat="false" ht="15" hidden="false" customHeight="true" outlineLevel="0" collapsed="false">
      <c r="A55" s="5" t="s">
        <v>213</v>
      </c>
      <c r="C55" s="24" t="n">
        <f aca="false">'LW Assumptions'!$C$33</f>
        <v>5657</v>
      </c>
      <c r="D55" s="34" t="n">
        <f aca="false">IFERROR(C55/C$20,0)</f>
        <v>0.0212507778866592</v>
      </c>
      <c r="F55" s="24" t="n">
        <f aca="false">'LW Assumptions'!$C$33</f>
        <v>5657</v>
      </c>
      <c r="G55" s="34" t="n">
        <f aca="false">IFERROR(F55/F$20,0)</f>
        <v>0.0212507778866592</v>
      </c>
      <c r="I55" s="24" t="n">
        <f aca="false">F55-C55</f>
        <v>0</v>
      </c>
      <c r="J55" s="34" t="n">
        <f aca="false">IFERROR(I55/C55,0)</f>
        <v>0</v>
      </c>
    </row>
    <row r="56" customFormat="false" ht="15" hidden="false" customHeight="true" outlineLevel="0" collapsed="false">
      <c r="A56" s="5" t="s">
        <v>143</v>
      </c>
      <c r="C56" s="24" t="n">
        <f aca="false">C20*'LW Assumptions'!$C$40</f>
        <v>10648.0808</v>
      </c>
      <c r="D56" s="34" t="n">
        <f aca="false">IFERROR(C56/C$20,0)</f>
        <v>0.04</v>
      </c>
      <c r="F56" s="24" t="n">
        <f aca="false">F20*'LW Assumptions'!$C$40</f>
        <v>10648.0808</v>
      </c>
      <c r="G56" s="34" t="n">
        <f aca="false">IFERROR(F56/F$20,0)</f>
        <v>0.04</v>
      </c>
      <c r="I56" s="24" t="n">
        <f aca="false">F56-C56</f>
        <v>0</v>
      </c>
      <c r="J56" s="34" t="n">
        <f aca="false">IFERROR(I56/C56,0)</f>
        <v>0</v>
      </c>
    </row>
    <row r="57" customFormat="false" ht="15" hidden="false" customHeight="true" outlineLevel="0" collapsed="false">
      <c r="A57" s="5" t="s">
        <v>214</v>
      </c>
      <c r="C57" s="24" t="n">
        <v>0</v>
      </c>
      <c r="D57" s="34" t="n">
        <f aca="false">IFERROR(C57/C$20,0)</f>
        <v>0</v>
      </c>
      <c r="F57" s="24" t="n">
        <v>0</v>
      </c>
      <c r="G57" s="34" t="n">
        <f aca="false">IFERROR(F57/F$20,0)</f>
        <v>0</v>
      </c>
      <c r="I57" s="24" t="n">
        <f aca="false">F57-C57</f>
        <v>0</v>
      </c>
      <c r="J57" s="34" t="n">
        <f aca="false">IFERROR(I57/C57,0)</f>
        <v>0</v>
      </c>
    </row>
    <row r="58" customFormat="false" ht="15" hidden="false" customHeight="true" outlineLevel="0" collapsed="false">
      <c r="A58" s="5" t="s">
        <v>215</v>
      </c>
      <c r="C58" s="24" t="n">
        <v>0</v>
      </c>
      <c r="D58" s="34" t="n">
        <f aca="false">IFERROR(C58/C$20,0)</f>
        <v>0</v>
      </c>
      <c r="F58" s="24" t="n">
        <v>0</v>
      </c>
      <c r="G58" s="34" t="n">
        <f aca="false">IFERROR(F58/F$20,0)</f>
        <v>0</v>
      </c>
      <c r="I58" s="24" t="n">
        <f aca="false">F58-C58</f>
        <v>0</v>
      </c>
      <c r="J58" s="34" t="n">
        <f aca="false">IFERROR(I58/C58,0)</f>
        <v>0</v>
      </c>
    </row>
    <row r="59" customFormat="false" ht="15" hidden="false" customHeight="true" outlineLevel="0" collapsed="false">
      <c r="A59" s="5" t="s">
        <v>216</v>
      </c>
      <c r="C59" s="24" t="n">
        <v>0</v>
      </c>
      <c r="D59" s="34" t="n">
        <f aca="false">IFERROR(C59/C$20,0)</f>
        <v>0</v>
      </c>
      <c r="F59" s="24" t="n">
        <v>0</v>
      </c>
      <c r="G59" s="34" t="n">
        <f aca="false">IFERROR(F59/F$20,0)</f>
        <v>0</v>
      </c>
      <c r="I59" s="24" t="n">
        <f aca="false">F59-C59</f>
        <v>0</v>
      </c>
      <c r="J59" s="34" t="n">
        <f aca="false">IFERROR(I59/C59,0)</f>
        <v>0</v>
      </c>
    </row>
    <row r="60" customFormat="false" ht="15" hidden="false" customHeight="true" outlineLevel="0" collapsed="false">
      <c r="A60" s="6" t="s">
        <v>217</v>
      </c>
      <c r="C60" s="27" t="n">
        <f aca="false">SUM(C53:C59)</f>
        <v>32277.202</v>
      </c>
      <c r="D60" s="35" t="n">
        <f aca="false">IFERROR(C60/C$20,0)</f>
        <v>0.121250777886659</v>
      </c>
      <c r="F60" s="27" t="n">
        <f aca="false">SUM(F53:F59)</f>
        <v>16305.0808</v>
      </c>
      <c r="G60" s="35" t="n">
        <f aca="false">IFERROR(F60/F$20,0)</f>
        <v>0.0612507778866592</v>
      </c>
      <c r="I60" s="27" t="n">
        <f aca="false">F60-C60</f>
        <v>-15972.1212</v>
      </c>
      <c r="J60" s="35" t="n">
        <f aca="false">IFERROR(I60/C60,0)</f>
        <v>-0.494842186134969</v>
      </c>
    </row>
    <row r="62" customFormat="false" ht="15" hidden="false" customHeight="true" outlineLevel="0" collapsed="false">
      <c r="A62" s="6" t="s">
        <v>218</v>
      </c>
      <c r="C62" s="27" t="n">
        <f aca="false">C41-C50-C60</f>
        <v>-111552.528356</v>
      </c>
      <c r="D62" s="35" t="n">
        <f aca="false">IFERROR(C62/C$20,0)</f>
        <v>-0.419052148274457</v>
      </c>
      <c r="F62" s="27" t="n">
        <f aca="false">F41-F50-F60</f>
        <v>-39319.377656</v>
      </c>
      <c r="G62" s="35" t="n">
        <f aca="false">IFERROR(F62/F$20,0)</f>
        <v>-0.1477050311489</v>
      </c>
      <c r="I62" s="27" t="n">
        <f aca="false">F62-C62</f>
        <v>72233.1507</v>
      </c>
      <c r="J62" s="35" t="n">
        <f aca="false">IFERROR(I62/C62,0)</f>
        <v>-0.647525894433166</v>
      </c>
    </row>
    <row r="64" customFormat="false" ht="15" hidden="false" customHeight="true" outlineLevel="0" collapsed="false">
      <c r="A64" s="5" t="s">
        <v>219</v>
      </c>
      <c r="C64" s="24" t="n">
        <v>0</v>
      </c>
      <c r="D64" s="34" t="n">
        <f aca="false">IFERROR(C64/C$20,0)</f>
        <v>0</v>
      </c>
      <c r="F64" s="24" t="n">
        <v>0</v>
      </c>
      <c r="G64" s="34" t="n">
        <f aca="false">IFERROR(F64/F$20,0)</f>
        <v>0</v>
      </c>
      <c r="I64" s="24" t="n">
        <f aca="false">F64-C64</f>
        <v>0</v>
      </c>
      <c r="J64" s="34" t="n">
        <f aca="false">IFERROR(I64/C64,0)</f>
        <v>0</v>
      </c>
    </row>
    <row r="66" customFormat="false" ht="15" hidden="false" customHeight="true" outlineLevel="0" collapsed="false">
      <c r="A66" s="6" t="s">
        <v>220</v>
      </c>
      <c r="C66" s="7" t="n">
        <f aca="false">C62-C64</f>
        <v>-111552.528356</v>
      </c>
      <c r="D66" s="8" t="n">
        <f aca="false">IFERROR(C66/C$20,0)</f>
        <v>-0.419052148274457</v>
      </c>
      <c r="F66" s="7" t="n">
        <f aca="false">F62-F64</f>
        <v>-39319.377656</v>
      </c>
      <c r="G66" s="8" t="n">
        <f aca="false">IFERROR(F66/F$20,0)</f>
        <v>-0.1477050311489</v>
      </c>
      <c r="I66" s="7" t="n">
        <f aca="false">F66-C66</f>
        <v>72233.1507</v>
      </c>
      <c r="J66" s="8" t="n">
        <f aca="false">IFERROR(I66/C66,0)</f>
        <v>-0.647525894433166</v>
      </c>
    </row>
    <row r="68" customFormat="false" ht="15" hidden="false" customHeight="true" outlineLevel="0" collapsed="false">
      <c r="A68" s="5" t="s">
        <v>221</v>
      </c>
      <c r="C68" s="24" t="n">
        <v>0</v>
      </c>
      <c r="D68" s="34" t="n">
        <f aca="false">IFERROR(C68/C$20,0)</f>
        <v>0</v>
      </c>
      <c r="F68" s="24" t="n">
        <v>0</v>
      </c>
      <c r="G68" s="34" t="n">
        <f aca="false">IFERROR(F68/F$20,0)</f>
        <v>0</v>
      </c>
      <c r="I68" s="24" t="n">
        <f aca="false">F68-C68</f>
        <v>0</v>
      </c>
      <c r="J68" s="34" t="n">
        <f aca="false">IFERROR(I68/C68,0)</f>
        <v>0</v>
      </c>
    </row>
    <row r="69" customFormat="false" ht="15" hidden="false" customHeight="true" outlineLevel="0" collapsed="false">
      <c r="A69" s="5" t="s">
        <v>222</v>
      </c>
      <c r="C69" s="24" t="n">
        <v>0</v>
      </c>
      <c r="D69" s="34" t="n">
        <f aca="false">IFERROR(C69/C$20,0)</f>
        <v>0</v>
      </c>
      <c r="F69" s="24" t="n">
        <v>0</v>
      </c>
      <c r="G69" s="34" t="n">
        <f aca="false">IFERROR(F69/F$20,0)</f>
        <v>0</v>
      </c>
      <c r="I69" s="24" t="n">
        <f aca="false">F69-C69</f>
        <v>0</v>
      </c>
      <c r="J69" s="34" t="n">
        <f aca="false">IFERROR(I69/C69,0)</f>
        <v>0</v>
      </c>
    </row>
    <row r="70" customFormat="false" ht="15" hidden="false" customHeight="true" outlineLevel="0" collapsed="false">
      <c r="A70" s="6" t="s">
        <v>223</v>
      </c>
      <c r="C70" s="36" t="n">
        <f aca="false">C66-C68-C69</f>
        <v>-111552.528356</v>
      </c>
      <c r="D70" s="37" t="n">
        <f aca="false">IFERROR(C70/C$20,0)</f>
        <v>-0.419052148274457</v>
      </c>
      <c r="F70" s="36" t="n">
        <f aca="false">F66-F68-F69</f>
        <v>-39319.377656</v>
      </c>
      <c r="G70" s="37" t="n">
        <f aca="false">IFERROR(F70/F$20,0)</f>
        <v>-0.1477050311489</v>
      </c>
      <c r="I70" s="36" t="n">
        <f aca="false">F70-C70</f>
        <v>72233.1507</v>
      </c>
      <c r="J70" s="37" t="n">
        <f aca="false">IFERROR(I70/C70,0)</f>
        <v>-0.647525894433166</v>
      </c>
    </row>
    <row r="72" customFormat="false" ht="15" hidden="false" customHeight="true" outlineLevel="0" collapsed="false">
      <c r="A72" s="3" t="s">
        <v>643</v>
      </c>
    </row>
  </sheetData>
  <mergeCells count="6">
    <mergeCell ref="C5:D5"/>
    <mergeCell ref="F5:G5"/>
    <mergeCell ref="I5:J5"/>
    <mergeCell ref="C6:D6"/>
    <mergeCell ref="F6:G6"/>
    <mergeCell ref="I6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379</v>
      </c>
    </row>
    <row r="2" customFormat="false" ht="15" hidden="false" customHeight="true" outlineLevel="0" collapsed="false">
      <c r="A2" s="2" t="s">
        <v>644</v>
      </c>
    </row>
    <row r="3" customFormat="false" ht="15" hidden="false" customHeight="true" outlineLevel="0" collapsed="false">
      <c r="A3" s="2" t="s">
        <v>173</v>
      </c>
    </row>
    <row r="5" customFormat="false" ht="15" hidden="false" customHeight="true" outlineLevel="0" collapsed="false">
      <c r="C5" s="30" t="s">
        <v>241</v>
      </c>
      <c r="D5" s="30"/>
      <c r="E5" s="30" t="s">
        <v>242</v>
      </c>
      <c r="F5" s="30"/>
      <c r="G5" s="30" t="s">
        <v>243</v>
      </c>
      <c r="H5" s="30"/>
      <c r="I5" s="30" t="s">
        <v>244</v>
      </c>
      <c r="J5" s="30"/>
      <c r="K5" s="30" t="s">
        <v>231</v>
      </c>
      <c r="L5" s="30"/>
      <c r="M5" s="30" t="s">
        <v>245</v>
      </c>
      <c r="N5" s="30"/>
      <c r="O5" s="30" t="s">
        <v>246</v>
      </c>
      <c r="P5" s="30"/>
      <c r="Q5" s="30" t="s">
        <v>247</v>
      </c>
      <c r="R5" s="30"/>
      <c r="S5" s="30" t="s">
        <v>248</v>
      </c>
      <c r="T5" s="30"/>
      <c r="U5" s="30" t="s">
        <v>249</v>
      </c>
      <c r="V5" s="30"/>
      <c r="W5" s="30" t="s">
        <v>250</v>
      </c>
      <c r="X5" s="30"/>
      <c r="Y5" s="30" t="s">
        <v>251</v>
      </c>
      <c r="Z5" s="30"/>
      <c r="AB5" s="30" t="s">
        <v>173</v>
      </c>
      <c r="AC5" s="30"/>
    </row>
    <row r="6" customFormat="false" ht="15" hidden="false" customHeight="true" outlineLevel="0" collapsed="false">
      <c r="C6" s="32" t="s">
        <v>252</v>
      </c>
      <c r="D6" s="32"/>
      <c r="E6" s="32" t="s">
        <v>252</v>
      </c>
      <c r="F6" s="32"/>
      <c r="G6" s="32" t="s">
        <v>252</v>
      </c>
      <c r="H6" s="32"/>
      <c r="I6" s="32" t="s">
        <v>252</v>
      </c>
      <c r="J6" s="32"/>
      <c r="K6" s="32" t="s">
        <v>252</v>
      </c>
      <c r="L6" s="32"/>
      <c r="M6" s="32" t="s">
        <v>252</v>
      </c>
      <c r="N6" s="32"/>
      <c r="O6" s="32" t="s">
        <v>252</v>
      </c>
      <c r="P6" s="32"/>
      <c r="Q6" s="32" t="s">
        <v>252</v>
      </c>
      <c r="R6" s="32"/>
      <c r="S6" s="32" t="s">
        <v>252</v>
      </c>
      <c r="T6" s="32"/>
      <c r="U6" s="32" t="s">
        <v>252</v>
      </c>
      <c r="V6" s="32"/>
      <c r="W6" s="32" t="s">
        <v>252</v>
      </c>
      <c r="X6" s="32"/>
      <c r="Y6" s="32" t="s">
        <v>252</v>
      </c>
      <c r="Z6" s="32"/>
      <c r="AB6" s="32" t="s">
        <v>175</v>
      </c>
      <c r="AC6" s="32"/>
    </row>
    <row r="7" customFormat="false" ht="15" hidden="false" customHeight="true" outlineLevel="0" collapsed="false">
      <c r="C7" s="31" t="s">
        <v>176</v>
      </c>
      <c r="D7" s="31" t="s">
        <v>177</v>
      </c>
      <c r="E7" s="31" t="s">
        <v>176</v>
      </c>
      <c r="F7" s="31" t="s">
        <v>177</v>
      </c>
      <c r="G7" s="31" t="s">
        <v>176</v>
      </c>
      <c r="H7" s="31" t="s">
        <v>177</v>
      </c>
      <c r="I7" s="31" t="s">
        <v>176</v>
      </c>
      <c r="J7" s="31" t="s">
        <v>177</v>
      </c>
      <c r="K7" s="31" t="s">
        <v>176</v>
      </c>
      <c r="L7" s="31" t="s">
        <v>177</v>
      </c>
      <c r="M7" s="31" t="s">
        <v>176</v>
      </c>
      <c r="N7" s="31" t="s">
        <v>177</v>
      </c>
      <c r="O7" s="31" t="s">
        <v>176</v>
      </c>
      <c r="P7" s="31" t="s">
        <v>177</v>
      </c>
      <c r="Q7" s="31" t="s">
        <v>176</v>
      </c>
      <c r="R7" s="31" t="s">
        <v>177</v>
      </c>
      <c r="S7" s="31" t="s">
        <v>176</v>
      </c>
      <c r="T7" s="31" t="s">
        <v>177</v>
      </c>
      <c r="U7" s="31" t="s">
        <v>176</v>
      </c>
      <c r="V7" s="31" t="s">
        <v>177</v>
      </c>
      <c r="W7" s="31" t="s">
        <v>176</v>
      </c>
      <c r="X7" s="31" t="s">
        <v>177</v>
      </c>
      <c r="Y7" s="31" t="s">
        <v>176</v>
      </c>
      <c r="Z7" s="31" t="s">
        <v>177</v>
      </c>
      <c r="AB7" s="31" t="s">
        <v>176</v>
      </c>
      <c r="AC7" s="31" t="s">
        <v>177</v>
      </c>
    </row>
    <row r="11" customFormat="false" ht="15" hidden="false" customHeight="true" outlineLevel="0" collapsed="false">
      <c r="A11" s="6" t="s">
        <v>178</v>
      </c>
    </row>
    <row r="12" customFormat="false" ht="15" hidden="false" customHeight="true" outlineLevel="0" collapsed="false">
      <c r="A12" s="5" t="s">
        <v>179</v>
      </c>
      <c r="C12" s="24" t="n">
        <f aca="false">'LW 2026 P&amp;L'!$Y$9+('LW Assumptions'!$C$43*'LW Assumptions'!$C$44/12)*IFERROR('LW Menu Pricing'!$C$34/'LW Menu Pricing'!$C$35,0)</f>
        <v>11280.525</v>
      </c>
      <c r="D12" s="34" t="n">
        <f aca="false">IFERROR(C12/C$20,0)</f>
        <v>0.365010608152904</v>
      </c>
      <c r="E12" s="24" t="n">
        <f aca="false">'LW 2026 P&amp;L'!$Y$9+('LW Assumptions'!$C$43*'LW Assumptions'!$C$44/12)*IFERROR('LW Menu Pricing'!$C$34/'LW Menu Pricing'!$C$35,0)</f>
        <v>11280.525</v>
      </c>
      <c r="F12" s="34" t="n">
        <f aca="false">IFERROR(E12/E$20,0)</f>
        <v>0.365010608152904</v>
      </c>
      <c r="G12" s="24" t="n">
        <f aca="false">'LW 2026 P&amp;L'!$Y$9+('LW Assumptions'!$C$43*'LW Assumptions'!$C$44/12)*IFERROR('LW Menu Pricing'!$C$34/'LW Menu Pricing'!$C$35,0)</f>
        <v>11280.525</v>
      </c>
      <c r="H12" s="34" t="n">
        <f aca="false">IFERROR(G12/G$20,0)</f>
        <v>0.365010608152904</v>
      </c>
      <c r="I12" s="24" t="n">
        <f aca="false">'LW 2026 P&amp;L'!$Y$9+('LW Assumptions'!$C$43*'LW Assumptions'!$C$44/12)*IFERROR('LW Menu Pricing'!$C$34/'LW Menu Pricing'!$C$35,0)</f>
        <v>11280.525</v>
      </c>
      <c r="J12" s="34" t="n">
        <f aca="false">IFERROR(I12/I$20,0)</f>
        <v>0.365010608152904</v>
      </c>
      <c r="K12" s="24" t="n">
        <f aca="false">'LW 2026 P&amp;L'!$Y$9+('LW Assumptions'!$C$43*'LW Assumptions'!$C$44/12)*IFERROR('LW Menu Pricing'!$C$34/'LW Menu Pricing'!$C$35,0)</f>
        <v>11280.525</v>
      </c>
      <c r="L12" s="34" t="n">
        <f aca="false">IFERROR(K12/K$20,0)</f>
        <v>0.365010608152904</v>
      </c>
      <c r="M12" s="24" t="n">
        <f aca="false">'LW 2026 P&amp;L'!$Y$9+('LW Assumptions'!$C$43*'LW Assumptions'!$C$44/12)*IFERROR('LW Menu Pricing'!$C$34/'LW Menu Pricing'!$C$35,0)</f>
        <v>11280.525</v>
      </c>
      <c r="N12" s="34" t="n">
        <f aca="false">IFERROR(M12/M$20,0)</f>
        <v>0.365010608152904</v>
      </c>
      <c r="O12" s="24" t="n">
        <f aca="false">'LW 2026 P&amp;L'!$Y$9+('LW Assumptions'!$C$43*'LW Assumptions'!$C$44/12)*IFERROR('LW Menu Pricing'!$C$34/'LW Menu Pricing'!$C$35,0)</f>
        <v>11280.525</v>
      </c>
      <c r="P12" s="34" t="n">
        <f aca="false">IFERROR(O12/O$20,0)</f>
        <v>0.365010608152904</v>
      </c>
      <c r="Q12" s="24" t="n">
        <f aca="false">'LW 2026 P&amp;L'!$Y$9+('LW Assumptions'!$C$43*'LW Assumptions'!$C$44/12)*IFERROR('LW Menu Pricing'!$C$34/'LW Menu Pricing'!$C$35,0)</f>
        <v>11280.525</v>
      </c>
      <c r="R12" s="34" t="n">
        <f aca="false">IFERROR(Q12/Q$20,0)</f>
        <v>0.365010608152904</v>
      </c>
      <c r="S12" s="24" t="n">
        <f aca="false">'LW 2026 P&amp;L'!$Y$9+('LW Assumptions'!$C$43*'LW Assumptions'!$C$44/12)*IFERROR('LW Menu Pricing'!$C$34/'LW Menu Pricing'!$C$35,0)</f>
        <v>11280.525</v>
      </c>
      <c r="T12" s="34" t="n">
        <f aca="false">IFERROR(S12/S$20,0)</f>
        <v>0.365010608152904</v>
      </c>
      <c r="U12" s="24" t="n">
        <f aca="false">'LW 2026 P&amp;L'!$Y$9+('LW Assumptions'!$C$43*'LW Assumptions'!$C$44/12)*IFERROR('LW Menu Pricing'!$C$34/'LW Menu Pricing'!$C$35,0)</f>
        <v>11280.525</v>
      </c>
      <c r="V12" s="34" t="n">
        <f aca="false">IFERROR(U12/U$20,0)</f>
        <v>0.365010608152904</v>
      </c>
      <c r="W12" s="24" t="n">
        <f aca="false">'LW 2026 P&amp;L'!$Y$9+('LW Assumptions'!$C$43*'LW Assumptions'!$C$44/12)*IFERROR('LW Menu Pricing'!$C$34/'LW Menu Pricing'!$C$35,0)</f>
        <v>11280.525</v>
      </c>
      <c r="X12" s="34" t="n">
        <f aca="false">IFERROR(W12/W$20,0)</f>
        <v>0.365010608152904</v>
      </c>
      <c r="Y12" s="24" t="n">
        <f aca="false">'LW 2026 P&amp;L'!$Y$9+('LW Assumptions'!$C$43*'LW Assumptions'!$C$44/12)*IFERROR('LW Menu Pricing'!$C$34/'LW Menu Pricing'!$C$35,0)</f>
        <v>11280.525</v>
      </c>
      <c r="Z12" s="34" t="n">
        <f aca="false">IFERROR(Y12/Y$20,0)</f>
        <v>0.365010608152904</v>
      </c>
      <c r="AB12" s="24" t="n">
        <f aca="false">SUM(C12,E12,G12,I12,K12,M12,O12,Q12,S12,U12,W12,Y12)</f>
        <v>135366.3</v>
      </c>
      <c r="AC12" s="34" t="n">
        <f aca="false">IFERROR(AB12/AB$20,0)</f>
        <v>0.365010608152904</v>
      </c>
    </row>
    <row r="13" customFormat="false" ht="15" hidden="false" customHeight="true" outlineLevel="0" collapsed="false">
      <c r="A13" s="5" t="s">
        <v>180</v>
      </c>
      <c r="C13" s="24" t="n">
        <f aca="false">'LW 2026 P&amp;L'!$Y$10+('LW Assumptions'!$C$43*'LW Assumptions'!$C$44/12)*IFERROR('LW Menu Pricing'!$C$33/'LW Menu Pricing'!$C$35,0)</f>
        <v>14063.885</v>
      </c>
      <c r="D13" s="34" t="n">
        <f aca="false">IFERROR(C13/C$20,0)</f>
        <v>0.455073431142833</v>
      </c>
      <c r="E13" s="24" t="n">
        <f aca="false">'LW 2026 P&amp;L'!$Y$10+('LW Assumptions'!$C$43*'LW Assumptions'!$C$44/12)*IFERROR('LW Menu Pricing'!$C$33/'LW Menu Pricing'!$C$35,0)</f>
        <v>14063.885</v>
      </c>
      <c r="F13" s="34" t="n">
        <f aca="false">IFERROR(E13/E$20,0)</f>
        <v>0.455073431142833</v>
      </c>
      <c r="G13" s="24" t="n">
        <f aca="false">'LW 2026 P&amp;L'!$Y$10+('LW Assumptions'!$C$43*'LW Assumptions'!$C$44/12)*IFERROR('LW Menu Pricing'!$C$33/'LW Menu Pricing'!$C$35,0)</f>
        <v>14063.885</v>
      </c>
      <c r="H13" s="34" t="n">
        <f aca="false">IFERROR(G13/G$20,0)</f>
        <v>0.455073431142833</v>
      </c>
      <c r="I13" s="24" t="n">
        <f aca="false">'LW 2026 P&amp;L'!$Y$10+('LW Assumptions'!$C$43*'LW Assumptions'!$C$44/12)*IFERROR('LW Menu Pricing'!$C$33/'LW Menu Pricing'!$C$35,0)</f>
        <v>14063.885</v>
      </c>
      <c r="J13" s="34" t="n">
        <f aca="false">IFERROR(I13/I$20,0)</f>
        <v>0.455073431142833</v>
      </c>
      <c r="K13" s="24" t="n">
        <f aca="false">'LW 2026 P&amp;L'!$Y$10+('LW Assumptions'!$C$43*'LW Assumptions'!$C$44/12)*IFERROR('LW Menu Pricing'!$C$33/'LW Menu Pricing'!$C$35,0)</f>
        <v>14063.885</v>
      </c>
      <c r="L13" s="34" t="n">
        <f aca="false">IFERROR(K13/K$20,0)</f>
        <v>0.455073431142833</v>
      </c>
      <c r="M13" s="24" t="n">
        <f aca="false">'LW 2026 P&amp;L'!$Y$10+('LW Assumptions'!$C$43*'LW Assumptions'!$C$44/12)*IFERROR('LW Menu Pricing'!$C$33/'LW Menu Pricing'!$C$35,0)</f>
        <v>14063.885</v>
      </c>
      <c r="N13" s="34" t="n">
        <f aca="false">IFERROR(M13/M$20,0)</f>
        <v>0.455073431142833</v>
      </c>
      <c r="O13" s="24" t="n">
        <f aca="false">'LW 2026 P&amp;L'!$Y$10+('LW Assumptions'!$C$43*'LW Assumptions'!$C$44/12)*IFERROR('LW Menu Pricing'!$C$33/'LW Menu Pricing'!$C$35,0)</f>
        <v>14063.885</v>
      </c>
      <c r="P13" s="34" t="n">
        <f aca="false">IFERROR(O13/O$20,0)</f>
        <v>0.455073431142833</v>
      </c>
      <c r="Q13" s="24" t="n">
        <f aca="false">'LW 2026 P&amp;L'!$Y$10+('LW Assumptions'!$C$43*'LW Assumptions'!$C$44/12)*IFERROR('LW Menu Pricing'!$C$33/'LW Menu Pricing'!$C$35,0)</f>
        <v>14063.885</v>
      </c>
      <c r="R13" s="34" t="n">
        <f aca="false">IFERROR(Q13/Q$20,0)</f>
        <v>0.455073431142833</v>
      </c>
      <c r="S13" s="24" t="n">
        <f aca="false">'LW 2026 P&amp;L'!$Y$10+('LW Assumptions'!$C$43*'LW Assumptions'!$C$44/12)*IFERROR('LW Menu Pricing'!$C$33/'LW Menu Pricing'!$C$35,0)</f>
        <v>14063.885</v>
      </c>
      <c r="T13" s="34" t="n">
        <f aca="false">IFERROR(S13/S$20,0)</f>
        <v>0.455073431142833</v>
      </c>
      <c r="U13" s="24" t="n">
        <f aca="false">'LW 2026 P&amp;L'!$Y$10+('LW Assumptions'!$C$43*'LW Assumptions'!$C$44/12)*IFERROR('LW Menu Pricing'!$C$33/'LW Menu Pricing'!$C$35,0)</f>
        <v>14063.885</v>
      </c>
      <c r="V13" s="34" t="n">
        <f aca="false">IFERROR(U13/U$20,0)</f>
        <v>0.455073431142833</v>
      </c>
      <c r="W13" s="24" t="n">
        <f aca="false">'LW 2026 P&amp;L'!$Y$10+('LW Assumptions'!$C$43*'LW Assumptions'!$C$44/12)*IFERROR('LW Menu Pricing'!$C$33/'LW Menu Pricing'!$C$35,0)</f>
        <v>14063.885</v>
      </c>
      <c r="X13" s="34" t="n">
        <f aca="false">IFERROR(W13/W$20,0)</f>
        <v>0.455073431142833</v>
      </c>
      <c r="Y13" s="24" t="n">
        <f aca="false">'LW 2026 P&amp;L'!$Y$10+('LW Assumptions'!$C$43*'LW Assumptions'!$C$44/12)*IFERROR('LW Menu Pricing'!$C$33/'LW Menu Pricing'!$C$35,0)</f>
        <v>14063.885</v>
      </c>
      <c r="Z13" s="34" t="n">
        <f aca="false">IFERROR(Y13/Y$20,0)</f>
        <v>0.455073431142833</v>
      </c>
      <c r="AB13" s="24" t="n">
        <f aca="false">SUM(C13,E13,G13,I13,K13,M13,O13,Q13,S13,U13,W13,Y13)</f>
        <v>168766.62</v>
      </c>
      <c r="AC13" s="34" t="n">
        <f aca="false">IFERROR(AB13/AB$20,0)</f>
        <v>0.455073431142833</v>
      </c>
    </row>
    <row r="14" customFormat="false" ht="15" hidden="false" customHeight="true" outlineLevel="0" collapsed="false">
      <c r="A14" s="5" t="s">
        <v>181</v>
      </c>
      <c r="C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D14" s="34" t="n">
        <f aca="false">IFERROR(C14/C$20,0)</f>
        <v>0.0197057725917117</v>
      </c>
      <c r="E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F14" s="34" t="n">
        <f aca="false">IFERROR(E14/E$20,0)</f>
        <v>0.0197057725917117</v>
      </c>
      <c r="G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H14" s="34" t="n">
        <f aca="false">IFERROR(G14/G$20,0)</f>
        <v>0.0197057725917117</v>
      </c>
      <c r="I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J14" s="34" t="n">
        <f aca="false">IFERROR(I14/I$20,0)</f>
        <v>0.0197057725917117</v>
      </c>
      <c r="K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L14" s="34" t="n">
        <f aca="false">IFERROR(K14/K$20,0)</f>
        <v>0.0197057725917117</v>
      </c>
      <c r="M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N14" s="34" t="n">
        <f aca="false">IFERROR(M14/M$20,0)</f>
        <v>0.0197057725917117</v>
      </c>
      <c r="O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P14" s="34" t="n">
        <f aca="false">IFERROR(O14/O$20,0)</f>
        <v>0.0197057725917117</v>
      </c>
      <c r="Q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R14" s="34" t="n">
        <f aca="false">IFERROR(Q14/Q$20,0)</f>
        <v>0.0197057725917117</v>
      </c>
      <c r="S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T14" s="34" t="n">
        <f aca="false">IFERROR(S14/S$20,0)</f>
        <v>0.0197057725917117</v>
      </c>
      <c r="U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V14" s="34" t="n">
        <f aca="false">IFERROR(U14/U$20,0)</f>
        <v>0.0197057725917117</v>
      </c>
      <c r="W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X14" s="34" t="n">
        <f aca="false">IFERROR(W14/W$20,0)</f>
        <v>0.0197057725917117</v>
      </c>
      <c r="Y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Z14" s="34" t="n">
        <f aca="false">IFERROR(Y14/Y$20,0)</f>
        <v>0.0197057725917117</v>
      </c>
      <c r="AB14" s="24" t="n">
        <f aca="false">SUM(C14,E14,G14,I14,K14,M14,O14,Q14,S14,U14,W14,Y14)</f>
        <v>7308</v>
      </c>
      <c r="AC14" s="34" t="n">
        <f aca="false">IFERROR(AB14/AB$20,0)</f>
        <v>0.0197057725917117</v>
      </c>
    </row>
    <row r="15" customFormat="false" ht="15" hidden="false" customHeight="true" outlineLevel="0" collapsed="false">
      <c r="A15" s="5" t="s">
        <v>182</v>
      </c>
      <c r="C15" s="24" t="n">
        <f aca="false">'LW 2026 P&amp;L'!$Y$12</f>
        <v>615</v>
      </c>
      <c r="D15" s="34" t="n">
        <f aca="false">IFERROR(C15/C$20,0)</f>
        <v>0.0198999181344872</v>
      </c>
      <c r="E15" s="24" t="n">
        <f aca="false">'LW 2026 P&amp;L'!$Y$12</f>
        <v>615</v>
      </c>
      <c r="F15" s="34" t="n">
        <f aca="false">IFERROR(E15/E$20,0)</f>
        <v>0.0198999181344872</v>
      </c>
      <c r="G15" s="24" t="n">
        <f aca="false">'LW 2026 P&amp;L'!$Y$12</f>
        <v>615</v>
      </c>
      <c r="H15" s="34" t="n">
        <f aca="false">IFERROR(G15/G$20,0)</f>
        <v>0.0198999181344872</v>
      </c>
      <c r="I15" s="24" t="n">
        <f aca="false">'LW 2026 P&amp;L'!$Y$12</f>
        <v>615</v>
      </c>
      <c r="J15" s="34" t="n">
        <f aca="false">IFERROR(I15/I$20,0)</f>
        <v>0.0198999181344872</v>
      </c>
      <c r="K15" s="24" t="n">
        <f aca="false">'LW 2026 P&amp;L'!$Y$12</f>
        <v>615</v>
      </c>
      <c r="L15" s="34" t="n">
        <f aca="false">IFERROR(K15/K$20,0)</f>
        <v>0.0198999181344872</v>
      </c>
      <c r="M15" s="24" t="n">
        <f aca="false">'LW 2026 P&amp;L'!$Y$12</f>
        <v>615</v>
      </c>
      <c r="N15" s="34" t="n">
        <f aca="false">IFERROR(M15/M$20,0)</f>
        <v>0.0198999181344872</v>
      </c>
      <c r="O15" s="24" t="n">
        <f aca="false">'LW 2026 P&amp;L'!$Y$12</f>
        <v>615</v>
      </c>
      <c r="P15" s="34" t="n">
        <f aca="false">IFERROR(O15/O$20,0)</f>
        <v>0.0198999181344872</v>
      </c>
      <c r="Q15" s="24" t="n">
        <f aca="false">'LW 2026 P&amp;L'!$Y$12</f>
        <v>615</v>
      </c>
      <c r="R15" s="34" t="n">
        <f aca="false">IFERROR(Q15/Q$20,0)</f>
        <v>0.0198999181344872</v>
      </c>
      <c r="S15" s="24" t="n">
        <f aca="false">'LW 2026 P&amp;L'!$Y$12</f>
        <v>615</v>
      </c>
      <c r="T15" s="34" t="n">
        <f aca="false">IFERROR(S15/S$20,0)</f>
        <v>0.0198999181344872</v>
      </c>
      <c r="U15" s="24" t="n">
        <f aca="false">'LW 2026 P&amp;L'!$Y$12</f>
        <v>615</v>
      </c>
      <c r="V15" s="34" t="n">
        <f aca="false">IFERROR(U15/U$20,0)</f>
        <v>0.0198999181344872</v>
      </c>
      <c r="W15" s="24" t="n">
        <f aca="false">'LW 2026 P&amp;L'!$Y$12</f>
        <v>615</v>
      </c>
      <c r="X15" s="34" t="n">
        <f aca="false">IFERROR(W15/W$20,0)</f>
        <v>0.0198999181344872</v>
      </c>
      <c r="Y15" s="24" t="n">
        <f aca="false">'LW 2026 P&amp;L'!$Y$12</f>
        <v>615</v>
      </c>
      <c r="Z15" s="34" t="n">
        <f aca="false">IFERROR(Y15/Y$20,0)</f>
        <v>0.0198999181344872</v>
      </c>
      <c r="AB15" s="24" t="n">
        <f aca="false">SUM(C15,E15,G15,I15,K15,M15,O15,Q15,S15,U15,W15,Y15)</f>
        <v>7380</v>
      </c>
      <c r="AC15" s="34" t="n">
        <f aca="false">IFERROR(AB15/AB$20,0)</f>
        <v>0.0198999181344872</v>
      </c>
    </row>
    <row r="16" customFormat="false" ht="15" hidden="false" customHeight="true" outlineLevel="0" collapsed="false">
      <c r="A16" s="5" t="s">
        <v>183</v>
      </c>
      <c r="C16" s="24" t="n">
        <f aca="false">'LW 2026 P&amp;L'!$Y$13</f>
        <v>1045</v>
      </c>
      <c r="D16" s="34" t="n">
        <f aca="false">IFERROR(C16/C$20,0)</f>
        <v>0.0338136820333969</v>
      </c>
      <c r="E16" s="24" t="n">
        <f aca="false">'LW 2026 P&amp;L'!$Y$13</f>
        <v>1045</v>
      </c>
      <c r="F16" s="34" t="n">
        <f aca="false">IFERROR(E16/E$20,0)</f>
        <v>0.0338136820333969</v>
      </c>
      <c r="G16" s="24" t="n">
        <f aca="false">'LW 2026 P&amp;L'!$Y$13</f>
        <v>1045</v>
      </c>
      <c r="H16" s="34" t="n">
        <f aca="false">IFERROR(G16/G$20,0)</f>
        <v>0.0338136820333969</v>
      </c>
      <c r="I16" s="24" t="n">
        <f aca="false">'LW 2026 P&amp;L'!$Y$13</f>
        <v>1045</v>
      </c>
      <c r="J16" s="34" t="n">
        <f aca="false">IFERROR(I16/I$20,0)</f>
        <v>0.0338136820333969</v>
      </c>
      <c r="K16" s="24" t="n">
        <f aca="false">'LW 2026 P&amp;L'!$Y$13</f>
        <v>1045</v>
      </c>
      <c r="L16" s="34" t="n">
        <f aca="false">IFERROR(K16/K$20,0)</f>
        <v>0.0338136820333969</v>
      </c>
      <c r="M16" s="24" t="n">
        <f aca="false">'LW 2026 P&amp;L'!$Y$13</f>
        <v>1045</v>
      </c>
      <c r="N16" s="34" t="n">
        <f aca="false">IFERROR(M16/M$20,0)</f>
        <v>0.0338136820333969</v>
      </c>
      <c r="O16" s="24" t="n">
        <f aca="false">'LW 2026 P&amp;L'!$Y$13</f>
        <v>1045</v>
      </c>
      <c r="P16" s="34" t="n">
        <f aca="false">IFERROR(O16/O$20,0)</f>
        <v>0.0338136820333969</v>
      </c>
      <c r="Q16" s="24" t="n">
        <f aca="false">'LW 2026 P&amp;L'!$Y$13</f>
        <v>1045</v>
      </c>
      <c r="R16" s="34" t="n">
        <f aca="false">IFERROR(Q16/Q$20,0)</f>
        <v>0.0338136820333969</v>
      </c>
      <c r="S16" s="24" t="n">
        <f aca="false">'LW 2026 P&amp;L'!$Y$13</f>
        <v>1045</v>
      </c>
      <c r="T16" s="34" t="n">
        <f aca="false">IFERROR(S16/S$20,0)</f>
        <v>0.0338136820333969</v>
      </c>
      <c r="U16" s="24" t="n">
        <f aca="false">'LW 2026 P&amp;L'!$Y$13</f>
        <v>1045</v>
      </c>
      <c r="V16" s="34" t="n">
        <f aca="false">IFERROR(U16/U$20,0)</f>
        <v>0.0338136820333969</v>
      </c>
      <c r="W16" s="24" t="n">
        <f aca="false">'LW 2026 P&amp;L'!$Y$13</f>
        <v>1045</v>
      </c>
      <c r="X16" s="34" t="n">
        <f aca="false">IFERROR(W16/W$20,0)</f>
        <v>0.0338136820333969</v>
      </c>
      <c r="Y16" s="24" t="n">
        <f aca="false">'LW 2026 P&amp;L'!$Y$13</f>
        <v>1045</v>
      </c>
      <c r="Z16" s="34" t="n">
        <f aca="false">IFERROR(Y16/Y$20,0)</f>
        <v>0.0338136820333969</v>
      </c>
      <c r="AB16" s="24" t="n">
        <f aca="false">SUM(C16,E16,G16,I16,K16,M16,O16,Q16,S16,U16,W16,Y16)</f>
        <v>12540</v>
      </c>
      <c r="AC16" s="34" t="n">
        <f aca="false">IFERROR(AB16/AB$20,0)</f>
        <v>0.0338136820333969</v>
      </c>
    </row>
    <row r="17" customFormat="false" ht="15" hidden="false" customHeight="true" outlineLevel="0" collapsed="false">
      <c r="A17" s="5" t="s">
        <v>555</v>
      </c>
      <c r="C17" s="24" t="n">
        <f aca="false">('LW Assumptions'!$C$47+'LW Assumptions'!$C$36)/12</f>
        <v>3743.66666666667</v>
      </c>
      <c r="D17" s="34" t="n">
        <f aca="false">IFERROR(C17/C$20,0)</f>
        <v>0.121136032828415</v>
      </c>
      <c r="E17" s="24" t="n">
        <f aca="false">('LW Assumptions'!$C$47+'LW Assumptions'!$C$36)/12</f>
        <v>3743.66666666667</v>
      </c>
      <c r="F17" s="34" t="n">
        <f aca="false">IFERROR(E17/E$20,0)</f>
        <v>0.121136032828415</v>
      </c>
      <c r="G17" s="24" t="n">
        <f aca="false">('LW Assumptions'!$C$47+'LW Assumptions'!$C$36)/12</f>
        <v>3743.66666666667</v>
      </c>
      <c r="H17" s="34" t="n">
        <f aca="false">IFERROR(G17/G$20,0)</f>
        <v>0.121136032828415</v>
      </c>
      <c r="I17" s="24" t="n">
        <f aca="false">('LW Assumptions'!$C$47+'LW Assumptions'!$C$36)/12</f>
        <v>3743.66666666667</v>
      </c>
      <c r="J17" s="34" t="n">
        <f aca="false">IFERROR(I17/I$20,0)</f>
        <v>0.121136032828415</v>
      </c>
      <c r="K17" s="24" t="n">
        <f aca="false">('LW Assumptions'!$C$47+'LW Assumptions'!$C$36)/12</f>
        <v>3743.66666666667</v>
      </c>
      <c r="L17" s="34" t="n">
        <f aca="false">IFERROR(K17/K$20,0)</f>
        <v>0.121136032828415</v>
      </c>
      <c r="M17" s="24" t="n">
        <f aca="false">('LW Assumptions'!$C$47+'LW Assumptions'!$C$36)/12</f>
        <v>3743.66666666667</v>
      </c>
      <c r="N17" s="34" t="n">
        <f aca="false">IFERROR(M17/M$20,0)</f>
        <v>0.121136032828415</v>
      </c>
      <c r="O17" s="24" t="n">
        <f aca="false">('LW Assumptions'!$C$47+'LW Assumptions'!$C$36)/12</f>
        <v>3743.66666666667</v>
      </c>
      <c r="P17" s="34" t="n">
        <f aca="false">IFERROR(O17/O$20,0)</f>
        <v>0.121136032828415</v>
      </c>
      <c r="Q17" s="24" t="n">
        <f aca="false">('LW Assumptions'!$C$47+'LW Assumptions'!$C$36)/12</f>
        <v>3743.66666666667</v>
      </c>
      <c r="R17" s="34" t="n">
        <f aca="false">IFERROR(Q17/Q$20,0)</f>
        <v>0.121136032828415</v>
      </c>
      <c r="S17" s="24" t="n">
        <f aca="false">('LW Assumptions'!$C$47+'LW Assumptions'!$C$36)/12</f>
        <v>3743.66666666667</v>
      </c>
      <c r="T17" s="34" t="n">
        <f aca="false">IFERROR(S17/S$20,0)</f>
        <v>0.121136032828415</v>
      </c>
      <c r="U17" s="24" t="n">
        <f aca="false">('LW Assumptions'!$C$47+'LW Assumptions'!$C$36)/12</f>
        <v>3743.66666666667</v>
      </c>
      <c r="V17" s="34" t="n">
        <f aca="false">IFERROR(U17/U$20,0)</f>
        <v>0.121136032828415</v>
      </c>
      <c r="W17" s="24" t="n">
        <f aca="false">('LW Assumptions'!$C$47+'LW Assumptions'!$C$36)/12</f>
        <v>3743.66666666667</v>
      </c>
      <c r="X17" s="34" t="n">
        <f aca="false">IFERROR(W17/W$20,0)</f>
        <v>0.121136032828415</v>
      </c>
      <c r="Y17" s="24" t="n">
        <f aca="false">('LW Assumptions'!$C$47+'LW Assumptions'!$C$36)/12</f>
        <v>3743.66666666667</v>
      </c>
      <c r="Z17" s="34" t="n">
        <f aca="false">IFERROR(Y17/Y$20,0)</f>
        <v>0.121136032828415</v>
      </c>
      <c r="AB17" s="24" t="n">
        <f aca="false">SUM(C17,E17,G17,I17,K17,M17,O17,Q17,S17,U17,W17,Y17)</f>
        <v>44924</v>
      </c>
      <c r="AC17" s="34" t="n">
        <f aca="false">IFERROR(AB17/AB$20,0)</f>
        <v>0.121136032828415</v>
      </c>
    </row>
    <row r="18" customFormat="false" ht="15" hidden="false" customHeight="true" outlineLevel="0" collapsed="false">
      <c r="A18" s="5" t="s">
        <v>185</v>
      </c>
      <c r="C18" s="24" t="n">
        <f aca="false">'LW 2026 P&amp;L'!$Y$14</f>
        <v>340</v>
      </c>
      <c r="D18" s="34" t="n">
        <f aca="false">IFERROR(C18/C$20,0)</f>
        <v>0.0110015807572775</v>
      </c>
      <c r="E18" s="24" t="n">
        <f aca="false">'LW 2026 P&amp;L'!$Y$14</f>
        <v>340</v>
      </c>
      <c r="F18" s="34" t="n">
        <f aca="false">IFERROR(E18/E$20,0)</f>
        <v>0.0110015807572775</v>
      </c>
      <c r="G18" s="24" t="n">
        <f aca="false">'LW 2026 P&amp;L'!$Y$14</f>
        <v>340</v>
      </c>
      <c r="H18" s="34" t="n">
        <f aca="false">IFERROR(G18/G$20,0)</f>
        <v>0.0110015807572775</v>
      </c>
      <c r="I18" s="24" t="n">
        <f aca="false">'LW 2026 P&amp;L'!$Y$14</f>
        <v>340</v>
      </c>
      <c r="J18" s="34" t="n">
        <f aca="false">IFERROR(I18/I$20,0)</f>
        <v>0.0110015807572775</v>
      </c>
      <c r="K18" s="24" t="n">
        <f aca="false">'LW 2026 P&amp;L'!$Y$14</f>
        <v>340</v>
      </c>
      <c r="L18" s="34" t="n">
        <f aca="false">IFERROR(K18/K$20,0)</f>
        <v>0.0110015807572775</v>
      </c>
      <c r="M18" s="24" t="n">
        <f aca="false">'LW 2026 P&amp;L'!$Y$14</f>
        <v>340</v>
      </c>
      <c r="N18" s="34" t="n">
        <f aca="false">IFERROR(M18/M$20,0)</f>
        <v>0.0110015807572775</v>
      </c>
      <c r="O18" s="24" t="n">
        <f aca="false">'LW 2026 P&amp;L'!$Y$14</f>
        <v>340</v>
      </c>
      <c r="P18" s="34" t="n">
        <f aca="false">IFERROR(O18/O$20,0)</f>
        <v>0.0110015807572775</v>
      </c>
      <c r="Q18" s="24" t="n">
        <f aca="false">'LW 2026 P&amp;L'!$Y$14</f>
        <v>340</v>
      </c>
      <c r="R18" s="34" t="n">
        <f aca="false">IFERROR(Q18/Q$20,0)</f>
        <v>0.0110015807572775</v>
      </c>
      <c r="S18" s="24" t="n">
        <f aca="false">'LW 2026 P&amp;L'!$Y$14</f>
        <v>340</v>
      </c>
      <c r="T18" s="34" t="n">
        <f aca="false">IFERROR(S18/S$20,0)</f>
        <v>0.0110015807572775</v>
      </c>
      <c r="U18" s="24" t="n">
        <f aca="false">'LW 2026 P&amp;L'!$Y$14</f>
        <v>340</v>
      </c>
      <c r="V18" s="34" t="n">
        <f aca="false">IFERROR(U18/U$20,0)</f>
        <v>0.0110015807572775</v>
      </c>
      <c r="W18" s="24" t="n">
        <f aca="false">'LW 2026 P&amp;L'!$Y$14</f>
        <v>340</v>
      </c>
      <c r="X18" s="34" t="n">
        <f aca="false">IFERROR(W18/W$20,0)</f>
        <v>0.0110015807572775</v>
      </c>
      <c r="Y18" s="24" t="n">
        <f aca="false">'LW 2026 P&amp;L'!$Y$14</f>
        <v>340</v>
      </c>
      <c r="Z18" s="34" t="n">
        <f aca="false">IFERROR(Y18/Y$20,0)</f>
        <v>0.0110015807572775</v>
      </c>
      <c r="AB18" s="24" t="n">
        <f aca="false">SUM(C18,E18,G18,I18,K18,M18,O18,Q18,S18,U18,W18,Y18)</f>
        <v>4080</v>
      </c>
      <c r="AC18" s="34" t="n">
        <f aca="false">IFERROR(AB18/AB$20,0)</f>
        <v>0.0110015807572775</v>
      </c>
    </row>
    <row r="19" customFormat="false" ht="15" hidden="false" customHeight="true" outlineLevel="0" collapsed="false">
      <c r="A19" s="5" t="s">
        <v>645</v>
      </c>
      <c r="C19" s="24" t="n">
        <f aca="false">-SUM(C12:C18)*'LW Assumptions'!$C$53</f>
        <v>-792.426916666667</v>
      </c>
      <c r="D19" s="34" t="n">
        <f aca="false">IFERROR(C19/C$20,0)</f>
        <v>-0.0256410256410256</v>
      </c>
      <c r="E19" s="24" t="n">
        <f aca="false">-SUM(E12:E18)*'LW Assumptions'!$C$53</f>
        <v>-792.426916666667</v>
      </c>
      <c r="F19" s="34" t="n">
        <f aca="false">IFERROR(E19/E$20,0)</f>
        <v>-0.0256410256410256</v>
      </c>
      <c r="G19" s="24" t="n">
        <f aca="false">-SUM(G12:G18)*'LW Assumptions'!$C$53</f>
        <v>-792.426916666667</v>
      </c>
      <c r="H19" s="34" t="n">
        <f aca="false">IFERROR(G19/G$20,0)</f>
        <v>-0.0256410256410256</v>
      </c>
      <c r="I19" s="24" t="n">
        <f aca="false">-SUM(I12:I18)*'LW Assumptions'!$C$53</f>
        <v>-792.426916666667</v>
      </c>
      <c r="J19" s="34" t="n">
        <f aca="false">IFERROR(I19/I$20,0)</f>
        <v>-0.0256410256410256</v>
      </c>
      <c r="K19" s="24" t="n">
        <f aca="false">-SUM(K12:K18)*'LW Assumptions'!$C$53</f>
        <v>-792.426916666667</v>
      </c>
      <c r="L19" s="34" t="n">
        <f aca="false">IFERROR(K19/K$20,0)</f>
        <v>-0.0256410256410256</v>
      </c>
      <c r="M19" s="24" t="n">
        <f aca="false">-SUM(M12:M18)*'LW Assumptions'!$C$53</f>
        <v>-792.426916666667</v>
      </c>
      <c r="N19" s="34" t="n">
        <f aca="false">IFERROR(M19/M$20,0)</f>
        <v>-0.0256410256410256</v>
      </c>
      <c r="O19" s="24" t="n">
        <f aca="false">-SUM(O12:O18)*'LW Assumptions'!$C$53</f>
        <v>-792.426916666667</v>
      </c>
      <c r="P19" s="34" t="n">
        <f aca="false">IFERROR(O19/O$20,0)</f>
        <v>-0.0256410256410256</v>
      </c>
      <c r="Q19" s="24" t="n">
        <f aca="false">-SUM(Q12:Q18)*'LW Assumptions'!$C$53</f>
        <v>-792.426916666667</v>
      </c>
      <c r="R19" s="34" t="n">
        <f aca="false">IFERROR(Q19/Q$20,0)</f>
        <v>-0.0256410256410256</v>
      </c>
      <c r="S19" s="24" t="n">
        <f aca="false">-SUM(S12:S18)*'LW Assumptions'!$C$53</f>
        <v>-792.426916666667</v>
      </c>
      <c r="T19" s="34" t="n">
        <f aca="false">IFERROR(S19/S$20,0)</f>
        <v>-0.0256410256410256</v>
      </c>
      <c r="U19" s="24" t="n">
        <f aca="false">-SUM(U12:U18)*'LW Assumptions'!$C$53</f>
        <v>-792.426916666667</v>
      </c>
      <c r="V19" s="34" t="n">
        <f aca="false">IFERROR(U19/U$20,0)</f>
        <v>-0.0256410256410256</v>
      </c>
      <c r="W19" s="24" t="n">
        <f aca="false">-SUM(W12:W18)*'LW Assumptions'!$C$53</f>
        <v>-792.426916666667</v>
      </c>
      <c r="X19" s="34" t="n">
        <f aca="false">IFERROR(W19/W$20,0)</f>
        <v>-0.0256410256410256</v>
      </c>
      <c r="Y19" s="24" t="n">
        <f aca="false">-SUM(Y12:Y18)*'LW Assumptions'!$C$53</f>
        <v>-792.426916666667</v>
      </c>
      <c r="Z19" s="34" t="n">
        <f aca="false">IFERROR(Y19/Y$20,0)</f>
        <v>-0.0256410256410256</v>
      </c>
      <c r="AB19" s="24" t="n">
        <f aca="false">SUM(C19,E19,G19,I19,K19,M19,O19,Q19,S19,U19,W19,Y19)</f>
        <v>-9509.123</v>
      </c>
      <c r="AC19" s="34" t="n">
        <f aca="false">IFERROR(AB19/AB$20,0)</f>
        <v>-0.0256410256410256</v>
      </c>
    </row>
    <row r="20" customFormat="false" ht="15" hidden="false" customHeight="true" outlineLevel="0" collapsed="false">
      <c r="A20" s="6" t="s">
        <v>138</v>
      </c>
      <c r="C20" s="27" t="n">
        <f aca="false">SUM(C12:C19)</f>
        <v>30904.64975</v>
      </c>
      <c r="D20" s="35" t="n">
        <f aca="false">IFERROR(C20/C$20,0)</f>
        <v>1</v>
      </c>
      <c r="E20" s="27" t="n">
        <f aca="false">SUM(E12:E19)</f>
        <v>30904.64975</v>
      </c>
      <c r="F20" s="35" t="n">
        <f aca="false">IFERROR(E20/E$20,0)</f>
        <v>1</v>
      </c>
      <c r="G20" s="27" t="n">
        <f aca="false">SUM(G12:G19)</f>
        <v>30904.64975</v>
      </c>
      <c r="H20" s="35" t="n">
        <f aca="false">IFERROR(G20/G$20,0)</f>
        <v>1</v>
      </c>
      <c r="I20" s="27" t="n">
        <f aca="false">SUM(I12:I19)</f>
        <v>30904.64975</v>
      </c>
      <c r="J20" s="35" t="n">
        <f aca="false">IFERROR(I20/I$20,0)</f>
        <v>1</v>
      </c>
      <c r="K20" s="27" t="n">
        <f aca="false">SUM(K12:K19)</f>
        <v>30904.64975</v>
      </c>
      <c r="L20" s="35" t="n">
        <f aca="false">IFERROR(K20/K$20,0)</f>
        <v>1</v>
      </c>
      <c r="M20" s="27" t="n">
        <f aca="false">SUM(M12:M19)</f>
        <v>30904.64975</v>
      </c>
      <c r="N20" s="35" t="n">
        <f aca="false">IFERROR(M20/M$20,0)</f>
        <v>1</v>
      </c>
      <c r="O20" s="27" t="n">
        <f aca="false">SUM(O12:O19)</f>
        <v>30904.64975</v>
      </c>
      <c r="P20" s="35" t="n">
        <f aca="false">IFERROR(O20/O$20,0)</f>
        <v>1</v>
      </c>
      <c r="Q20" s="27" t="n">
        <f aca="false">SUM(Q12:Q19)</f>
        <v>30904.64975</v>
      </c>
      <c r="R20" s="35" t="n">
        <f aca="false">IFERROR(Q20/Q$20,0)</f>
        <v>1</v>
      </c>
      <c r="S20" s="27" t="n">
        <f aca="false">SUM(S12:S19)</f>
        <v>30904.64975</v>
      </c>
      <c r="T20" s="35" t="n">
        <f aca="false">IFERROR(S20/S$20,0)</f>
        <v>1</v>
      </c>
      <c r="U20" s="27" t="n">
        <f aca="false">SUM(U12:U19)</f>
        <v>30904.64975</v>
      </c>
      <c r="V20" s="35" t="n">
        <f aca="false">IFERROR(U20/U$20,0)</f>
        <v>1</v>
      </c>
      <c r="W20" s="27" t="n">
        <f aca="false">SUM(W12:W19)</f>
        <v>30904.64975</v>
      </c>
      <c r="X20" s="35" t="n">
        <f aca="false">IFERROR(W20/W$20,0)</f>
        <v>1</v>
      </c>
      <c r="Y20" s="27" t="n">
        <f aca="false">SUM(Y12:Y19)</f>
        <v>30904.64975</v>
      </c>
      <c r="Z20" s="35" t="n">
        <f aca="false">IFERROR(Y20/Y$20,0)</f>
        <v>1</v>
      </c>
      <c r="AB20" s="27" t="n">
        <f aca="false">SUM(AB12:AB19)</f>
        <v>370855.797</v>
      </c>
      <c r="AC20" s="35" t="n">
        <f aca="false">IFERROR(AB20/AB$20,0)</f>
        <v>1</v>
      </c>
    </row>
    <row r="22" customFormat="false" ht="15" hidden="false" customHeight="true" outlineLevel="0" collapsed="false">
      <c r="A22" s="6" t="s">
        <v>187</v>
      </c>
    </row>
    <row r="23" customFormat="false" ht="15" hidden="false" customHeight="true" outlineLevel="0" collapsed="false">
      <c r="A23" s="5" t="s">
        <v>646</v>
      </c>
      <c r="C23" s="24" t="n">
        <f aca="false">'LW 2026 P&amp;L'!$Y$9*'LW Assumptions'!$C$51</f>
        <v>4434</v>
      </c>
      <c r="D23" s="34" t="n">
        <f aca="false">IFERROR(C23/C$12,0)</f>
        <v>0.393066812049971</v>
      </c>
      <c r="E23" s="24" t="n">
        <f aca="false">'LW 2026 P&amp;L'!$Y$9*'LW Assumptions'!$C$51</f>
        <v>4434</v>
      </c>
      <c r="F23" s="34" t="n">
        <f aca="false">IFERROR(E23/E$12,0)</f>
        <v>0.393066812049971</v>
      </c>
      <c r="G23" s="24" t="n">
        <f aca="false">'LW 2026 P&amp;L'!$Y$9*'LW Assumptions'!$C$51</f>
        <v>4434</v>
      </c>
      <c r="H23" s="34" t="n">
        <f aca="false">IFERROR(G23/G$12,0)</f>
        <v>0.393066812049971</v>
      </c>
      <c r="I23" s="24" t="n">
        <f aca="false">'LW 2026 P&amp;L'!$Y$9*'LW Assumptions'!$C$51</f>
        <v>4434</v>
      </c>
      <c r="J23" s="34" t="n">
        <f aca="false">IFERROR(I23/I$12,0)</f>
        <v>0.393066812049971</v>
      </c>
      <c r="K23" s="24" t="n">
        <f aca="false">'LW 2026 P&amp;L'!$Y$9*'LW Assumptions'!$C$51</f>
        <v>4434</v>
      </c>
      <c r="L23" s="34" t="n">
        <f aca="false">IFERROR(K23/K$12,0)</f>
        <v>0.393066812049971</v>
      </c>
      <c r="M23" s="24" t="n">
        <f aca="false">'LW 2026 P&amp;L'!$Y$9*'LW Assumptions'!$C$51</f>
        <v>4434</v>
      </c>
      <c r="N23" s="34" t="n">
        <f aca="false">IFERROR(M23/M$12,0)</f>
        <v>0.393066812049971</v>
      </c>
      <c r="O23" s="24" t="n">
        <f aca="false">'LW 2026 P&amp;L'!$Y$9*'LW Assumptions'!$C$51</f>
        <v>4434</v>
      </c>
      <c r="P23" s="34" t="n">
        <f aca="false">IFERROR(O23/O$12,0)</f>
        <v>0.393066812049971</v>
      </c>
      <c r="Q23" s="24" t="n">
        <f aca="false">'LW 2026 P&amp;L'!$Y$9*'LW Assumptions'!$C$51</f>
        <v>4434</v>
      </c>
      <c r="R23" s="34" t="n">
        <f aca="false">IFERROR(Q23/Q$12,0)</f>
        <v>0.393066812049971</v>
      </c>
      <c r="S23" s="24" t="n">
        <f aca="false">'LW 2026 P&amp;L'!$Y$9*'LW Assumptions'!$C$51</f>
        <v>4434</v>
      </c>
      <c r="T23" s="34" t="n">
        <f aca="false">IFERROR(S23/S$12,0)</f>
        <v>0.393066812049971</v>
      </c>
      <c r="U23" s="24" t="n">
        <f aca="false">'LW 2026 P&amp;L'!$Y$9*'LW Assumptions'!$C$51</f>
        <v>4434</v>
      </c>
      <c r="V23" s="34" t="n">
        <f aca="false">IFERROR(U23/U$12,0)</f>
        <v>0.393066812049971</v>
      </c>
      <c r="W23" s="24" t="n">
        <f aca="false">'LW 2026 P&amp;L'!$Y$9*'LW Assumptions'!$C$51</f>
        <v>4434</v>
      </c>
      <c r="X23" s="34" t="n">
        <f aca="false">IFERROR(W23/W$12,0)</f>
        <v>0.393066812049971</v>
      </c>
      <c r="Y23" s="24" t="n">
        <f aca="false">'LW 2026 P&amp;L'!$Y$9*'LW Assumptions'!$C$51</f>
        <v>4434</v>
      </c>
      <c r="Z23" s="34" t="n">
        <f aca="false">IFERROR(Y23/Y$12,0)</f>
        <v>0.393066812049971</v>
      </c>
      <c r="AB23" s="24" t="n">
        <f aca="false">SUM(C23,E23,G23,I23,K23,M23,O23,Q23,S23,U23,W23,Y23)</f>
        <v>53208</v>
      </c>
      <c r="AC23" s="34" t="n">
        <f aca="false">IFERROR(AB23/AB$12,0)</f>
        <v>0.393066812049971</v>
      </c>
    </row>
    <row r="24" customFormat="false" ht="15" hidden="false" customHeight="true" outlineLevel="0" collapsed="false">
      <c r="A24" s="5" t="s">
        <v>189</v>
      </c>
      <c r="C24" s="24" t="n">
        <f aca="false">'LW 2026 P&amp;L'!$Y$20</f>
        <v>2833</v>
      </c>
      <c r="D24" s="34" t="n">
        <f aca="false">IFERROR(C24/C$13,0)</f>
        <v>0.201437938379047</v>
      </c>
      <c r="E24" s="24" t="n">
        <f aca="false">'LW 2026 P&amp;L'!$Y$20</f>
        <v>2833</v>
      </c>
      <c r="F24" s="34" t="n">
        <f aca="false">IFERROR(E24/E$13,0)</f>
        <v>0.201437938379047</v>
      </c>
      <c r="G24" s="24" t="n">
        <f aca="false">'LW 2026 P&amp;L'!$Y$20</f>
        <v>2833</v>
      </c>
      <c r="H24" s="34" t="n">
        <f aca="false">IFERROR(G24/G$13,0)</f>
        <v>0.201437938379047</v>
      </c>
      <c r="I24" s="24" t="n">
        <f aca="false">'LW 2026 P&amp;L'!$Y$20</f>
        <v>2833</v>
      </c>
      <c r="J24" s="34" t="n">
        <f aca="false">IFERROR(I24/I$13,0)</f>
        <v>0.201437938379047</v>
      </c>
      <c r="K24" s="24" t="n">
        <f aca="false">'LW 2026 P&amp;L'!$Y$20</f>
        <v>2833</v>
      </c>
      <c r="L24" s="34" t="n">
        <f aca="false">IFERROR(K24/K$13,0)</f>
        <v>0.201437938379047</v>
      </c>
      <c r="M24" s="24" t="n">
        <f aca="false">'LW 2026 P&amp;L'!$Y$20</f>
        <v>2833</v>
      </c>
      <c r="N24" s="34" t="n">
        <f aca="false">IFERROR(M24/M$13,0)</f>
        <v>0.201437938379047</v>
      </c>
      <c r="O24" s="24" t="n">
        <f aca="false">'LW 2026 P&amp;L'!$Y$20</f>
        <v>2833</v>
      </c>
      <c r="P24" s="34" t="n">
        <f aca="false">IFERROR(O24/O$13,0)</f>
        <v>0.201437938379047</v>
      </c>
      <c r="Q24" s="24" t="n">
        <f aca="false">'LW 2026 P&amp;L'!$Y$20</f>
        <v>2833</v>
      </c>
      <c r="R24" s="34" t="n">
        <f aca="false">IFERROR(Q24/Q$13,0)</f>
        <v>0.201437938379047</v>
      </c>
      <c r="S24" s="24" t="n">
        <f aca="false">'LW 2026 P&amp;L'!$Y$20</f>
        <v>2833</v>
      </c>
      <c r="T24" s="34" t="n">
        <f aca="false">IFERROR(S24/S$13,0)</f>
        <v>0.201437938379047</v>
      </c>
      <c r="U24" s="24" t="n">
        <f aca="false">'LW 2026 P&amp;L'!$Y$20</f>
        <v>2833</v>
      </c>
      <c r="V24" s="34" t="n">
        <f aca="false">IFERROR(U24/U$13,0)</f>
        <v>0.201437938379047</v>
      </c>
      <c r="W24" s="24" t="n">
        <f aca="false">'LW 2026 P&amp;L'!$Y$20</f>
        <v>2833</v>
      </c>
      <c r="X24" s="34" t="n">
        <f aca="false">IFERROR(W24/W$13,0)</f>
        <v>0.201437938379047</v>
      </c>
      <c r="Y24" s="24" t="n">
        <f aca="false">'LW 2026 P&amp;L'!$Y$20</f>
        <v>2833</v>
      </c>
      <c r="Z24" s="34" t="n">
        <f aca="false">IFERROR(Y24/Y$13,0)</f>
        <v>0.201437938379047</v>
      </c>
      <c r="AB24" s="24" t="n">
        <f aca="false">SUM(C24,E24,G24,I24,K24,M24,O24,Q24,S24,U24,W24,Y24)</f>
        <v>33996</v>
      </c>
      <c r="AC24" s="34" t="n">
        <f aca="false">IFERROR(AB24/AB$13,0)</f>
        <v>0.201437938379047</v>
      </c>
    </row>
    <row r="25" customFormat="false" ht="15" hidden="false" customHeight="true" outlineLevel="0" collapsed="false">
      <c r="A25" s="5" t="s">
        <v>190</v>
      </c>
      <c r="C25" s="24" t="n">
        <f aca="false">'LW 2026 P&amp;L'!$Y$21</f>
        <v>79</v>
      </c>
      <c r="D25" s="34" t="n">
        <f aca="false">IFERROR(C25/C$14,0)</f>
        <v>0.129720853858785</v>
      </c>
      <c r="E25" s="24" t="n">
        <f aca="false">'LW 2026 P&amp;L'!$Y$21</f>
        <v>79</v>
      </c>
      <c r="F25" s="34" t="n">
        <f aca="false">IFERROR(E25/E$14,0)</f>
        <v>0.129720853858785</v>
      </c>
      <c r="G25" s="24" t="n">
        <f aca="false">'LW 2026 P&amp;L'!$Y$21</f>
        <v>79</v>
      </c>
      <c r="H25" s="34" t="n">
        <f aca="false">IFERROR(G25/G$14,0)</f>
        <v>0.129720853858785</v>
      </c>
      <c r="I25" s="24" t="n">
        <f aca="false">'LW 2026 P&amp;L'!$Y$21</f>
        <v>79</v>
      </c>
      <c r="J25" s="34" t="n">
        <f aca="false">IFERROR(I25/I$14,0)</f>
        <v>0.129720853858785</v>
      </c>
      <c r="K25" s="24" t="n">
        <f aca="false">'LW 2026 P&amp;L'!$Y$21</f>
        <v>79</v>
      </c>
      <c r="L25" s="34" t="n">
        <f aca="false">IFERROR(K25/K$14,0)</f>
        <v>0.129720853858785</v>
      </c>
      <c r="M25" s="24" t="n">
        <f aca="false">'LW 2026 P&amp;L'!$Y$21</f>
        <v>79</v>
      </c>
      <c r="N25" s="34" t="n">
        <f aca="false">IFERROR(M25/M$14,0)</f>
        <v>0.129720853858785</v>
      </c>
      <c r="O25" s="24" t="n">
        <f aca="false">'LW 2026 P&amp;L'!$Y$21</f>
        <v>79</v>
      </c>
      <c r="P25" s="34" t="n">
        <f aca="false">IFERROR(O25/O$14,0)</f>
        <v>0.129720853858785</v>
      </c>
      <c r="Q25" s="24" t="n">
        <f aca="false">'LW 2026 P&amp;L'!$Y$21</f>
        <v>79</v>
      </c>
      <c r="R25" s="34" t="n">
        <f aca="false">IFERROR(Q25/Q$14,0)</f>
        <v>0.129720853858785</v>
      </c>
      <c r="S25" s="24" t="n">
        <f aca="false">'LW 2026 P&amp;L'!$Y$21</f>
        <v>79</v>
      </c>
      <c r="T25" s="34" t="n">
        <f aca="false">IFERROR(S25/S$14,0)</f>
        <v>0.129720853858785</v>
      </c>
      <c r="U25" s="24" t="n">
        <f aca="false">'LW 2026 P&amp;L'!$Y$21</f>
        <v>79</v>
      </c>
      <c r="V25" s="34" t="n">
        <f aca="false">IFERROR(U25/U$14,0)</f>
        <v>0.129720853858785</v>
      </c>
      <c r="W25" s="24" t="n">
        <f aca="false">'LW 2026 P&amp;L'!$Y$21</f>
        <v>79</v>
      </c>
      <c r="X25" s="34" t="n">
        <f aca="false">IFERROR(W25/W$14,0)</f>
        <v>0.129720853858785</v>
      </c>
      <c r="Y25" s="24" t="n">
        <f aca="false">'LW 2026 P&amp;L'!$Y$21</f>
        <v>79</v>
      </c>
      <c r="Z25" s="34" t="n">
        <f aca="false">IFERROR(Y25/Y$14,0)</f>
        <v>0.129720853858785</v>
      </c>
      <c r="AB25" s="24" t="n">
        <f aca="false">SUM(C25,E25,G25,I25,K25,M25,O25,Q25,S25,U25,W25,Y25)</f>
        <v>948</v>
      </c>
      <c r="AC25" s="34" t="n">
        <f aca="false">IFERROR(AB25/AB$14,0)</f>
        <v>0.129720853858785</v>
      </c>
    </row>
    <row r="26" customFormat="false" ht="15" hidden="false" customHeight="true" outlineLevel="0" collapsed="false">
      <c r="A26" s="5" t="s">
        <v>191</v>
      </c>
      <c r="C26" s="24" t="n">
        <f aca="false">'LW 2026 P&amp;L'!$Y$22</f>
        <v>172</v>
      </c>
      <c r="D26" s="34" t="n">
        <f aca="false">IFERROR(C26/C$15,0)</f>
        <v>0.279674796747967</v>
      </c>
      <c r="E26" s="24" t="n">
        <f aca="false">'LW 2026 P&amp;L'!$Y$22</f>
        <v>172</v>
      </c>
      <c r="F26" s="34" t="n">
        <f aca="false">IFERROR(E26/E$15,0)</f>
        <v>0.279674796747967</v>
      </c>
      <c r="G26" s="24" t="n">
        <f aca="false">'LW 2026 P&amp;L'!$Y$22</f>
        <v>172</v>
      </c>
      <c r="H26" s="34" t="n">
        <f aca="false">IFERROR(G26/G$15,0)</f>
        <v>0.279674796747967</v>
      </c>
      <c r="I26" s="24" t="n">
        <f aca="false">'LW 2026 P&amp;L'!$Y$22</f>
        <v>172</v>
      </c>
      <c r="J26" s="34" t="n">
        <f aca="false">IFERROR(I26/I$15,0)</f>
        <v>0.279674796747967</v>
      </c>
      <c r="K26" s="24" t="n">
        <f aca="false">'LW 2026 P&amp;L'!$Y$22</f>
        <v>172</v>
      </c>
      <c r="L26" s="34" t="n">
        <f aca="false">IFERROR(K26/K$15,0)</f>
        <v>0.279674796747967</v>
      </c>
      <c r="M26" s="24" t="n">
        <f aca="false">'LW 2026 P&amp;L'!$Y$22</f>
        <v>172</v>
      </c>
      <c r="N26" s="34" t="n">
        <f aca="false">IFERROR(M26/M$15,0)</f>
        <v>0.279674796747967</v>
      </c>
      <c r="O26" s="24" t="n">
        <f aca="false">'LW 2026 P&amp;L'!$Y$22</f>
        <v>172</v>
      </c>
      <c r="P26" s="34" t="n">
        <f aca="false">IFERROR(O26/O$15,0)</f>
        <v>0.279674796747967</v>
      </c>
      <c r="Q26" s="24" t="n">
        <f aca="false">'LW 2026 P&amp;L'!$Y$22</f>
        <v>172</v>
      </c>
      <c r="R26" s="34" t="n">
        <f aca="false">IFERROR(Q26/Q$15,0)</f>
        <v>0.279674796747967</v>
      </c>
      <c r="S26" s="24" t="n">
        <f aca="false">'LW 2026 P&amp;L'!$Y$22</f>
        <v>172</v>
      </c>
      <c r="T26" s="34" t="n">
        <f aca="false">IFERROR(S26/S$15,0)</f>
        <v>0.279674796747967</v>
      </c>
      <c r="U26" s="24" t="n">
        <f aca="false">'LW 2026 P&amp;L'!$Y$22</f>
        <v>172</v>
      </c>
      <c r="V26" s="34" t="n">
        <f aca="false">IFERROR(U26/U$15,0)</f>
        <v>0.279674796747967</v>
      </c>
      <c r="W26" s="24" t="n">
        <f aca="false">'LW 2026 P&amp;L'!$Y$22</f>
        <v>172</v>
      </c>
      <c r="X26" s="34" t="n">
        <f aca="false">IFERROR(W26/W$15,0)</f>
        <v>0.279674796747967</v>
      </c>
      <c r="Y26" s="24" t="n">
        <f aca="false">'LW 2026 P&amp;L'!$Y$22</f>
        <v>172</v>
      </c>
      <c r="Z26" s="34" t="n">
        <f aca="false">IFERROR(Y26/Y$15,0)</f>
        <v>0.279674796747967</v>
      </c>
      <c r="AB26" s="24" t="n">
        <f aca="false">SUM(C26,E26,G26,I26,K26,M26,O26,Q26,S26,U26,W26,Y26)</f>
        <v>2064</v>
      </c>
      <c r="AC26" s="34" t="n">
        <f aca="false">IFERROR(AB26/AB$15,0)</f>
        <v>0.279674796747967</v>
      </c>
    </row>
    <row r="27" customFormat="false" ht="15" hidden="false" customHeight="true" outlineLevel="0" collapsed="false">
      <c r="A27" s="5" t="s">
        <v>192</v>
      </c>
      <c r="C27" s="24" t="n">
        <f aca="false">'LW 2026 P&amp;L'!$Y$23</f>
        <v>373</v>
      </c>
      <c r="D27" s="34" t="n">
        <f aca="false">IFERROR(C27/C$16,0)</f>
        <v>0.356937799043062</v>
      </c>
      <c r="E27" s="24" t="n">
        <f aca="false">'LW 2026 P&amp;L'!$Y$23</f>
        <v>373</v>
      </c>
      <c r="F27" s="34" t="n">
        <f aca="false">IFERROR(E27/E$16,0)</f>
        <v>0.356937799043062</v>
      </c>
      <c r="G27" s="24" t="n">
        <f aca="false">'LW 2026 P&amp;L'!$Y$23</f>
        <v>373</v>
      </c>
      <c r="H27" s="34" t="n">
        <f aca="false">IFERROR(G27/G$16,0)</f>
        <v>0.356937799043062</v>
      </c>
      <c r="I27" s="24" t="n">
        <f aca="false">'LW 2026 P&amp;L'!$Y$23</f>
        <v>373</v>
      </c>
      <c r="J27" s="34" t="n">
        <f aca="false">IFERROR(I27/I$16,0)</f>
        <v>0.356937799043062</v>
      </c>
      <c r="K27" s="24" t="n">
        <f aca="false">'LW 2026 P&amp;L'!$Y$23</f>
        <v>373</v>
      </c>
      <c r="L27" s="34" t="n">
        <f aca="false">IFERROR(K27/K$16,0)</f>
        <v>0.356937799043062</v>
      </c>
      <c r="M27" s="24" t="n">
        <f aca="false">'LW 2026 P&amp;L'!$Y$23</f>
        <v>373</v>
      </c>
      <c r="N27" s="34" t="n">
        <f aca="false">IFERROR(M27/M$16,0)</f>
        <v>0.356937799043062</v>
      </c>
      <c r="O27" s="24" t="n">
        <f aca="false">'LW 2026 P&amp;L'!$Y$23</f>
        <v>373</v>
      </c>
      <c r="P27" s="34" t="n">
        <f aca="false">IFERROR(O27/O$16,0)</f>
        <v>0.356937799043062</v>
      </c>
      <c r="Q27" s="24" t="n">
        <f aca="false">'LW 2026 P&amp;L'!$Y$23</f>
        <v>373</v>
      </c>
      <c r="R27" s="34" t="n">
        <f aca="false">IFERROR(Q27/Q$16,0)</f>
        <v>0.356937799043062</v>
      </c>
      <c r="S27" s="24" t="n">
        <f aca="false">'LW 2026 P&amp;L'!$Y$23</f>
        <v>373</v>
      </c>
      <c r="T27" s="34" t="n">
        <f aca="false">IFERROR(S27/S$16,0)</f>
        <v>0.356937799043062</v>
      </c>
      <c r="U27" s="24" t="n">
        <f aca="false">'LW 2026 P&amp;L'!$Y$23</f>
        <v>373</v>
      </c>
      <c r="V27" s="34" t="n">
        <f aca="false">IFERROR(U27/U$16,0)</f>
        <v>0.356937799043062</v>
      </c>
      <c r="W27" s="24" t="n">
        <f aca="false">'LW 2026 P&amp;L'!$Y$23</f>
        <v>373</v>
      </c>
      <c r="X27" s="34" t="n">
        <f aca="false">IFERROR(W27/W$16,0)</f>
        <v>0.356937799043062</v>
      </c>
      <c r="Y27" s="24" t="n">
        <f aca="false">'LW 2026 P&amp;L'!$Y$23</f>
        <v>373</v>
      </c>
      <c r="Z27" s="34" t="n">
        <f aca="false">IFERROR(Y27/Y$16,0)</f>
        <v>0.356937799043062</v>
      </c>
      <c r="AB27" s="24" t="n">
        <f aca="false">SUM(C27,E27,G27,I27,K27,M27,O27,Q27,S27,U27,W27,Y27)</f>
        <v>4476</v>
      </c>
      <c r="AC27" s="34" t="n">
        <f aca="false">IFERROR(AB27/AB$16,0)</f>
        <v>0.356937799043062</v>
      </c>
    </row>
    <row r="28" customFormat="false" ht="15" hidden="false" customHeight="true" outlineLevel="0" collapsed="false">
      <c r="A28" s="5" t="s">
        <v>193</v>
      </c>
      <c r="C28" s="24" t="n">
        <f aca="false">'LW Assumptions'!$C$36*'LW Assumptions'!$C$37/12</f>
        <v>1470.0077</v>
      </c>
      <c r="D28" s="34" t="n">
        <f aca="false">IFERROR(C28/C$17,0)</f>
        <v>0.392665221262577</v>
      </c>
      <c r="E28" s="24" t="n">
        <f aca="false">'LW Assumptions'!$C$36*'LW Assumptions'!$C$37/12</f>
        <v>1470.0077</v>
      </c>
      <c r="F28" s="34" t="n">
        <f aca="false">IFERROR(E28/E$17,0)</f>
        <v>0.392665221262577</v>
      </c>
      <c r="G28" s="24" t="n">
        <f aca="false">'LW Assumptions'!$C$36*'LW Assumptions'!$C$37/12</f>
        <v>1470.0077</v>
      </c>
      <c r="H28" s="34" t="n">
        <f aca="false">IFERROR(G28/G$17,0)</f>
        <v>0.392665221262577</v>
      </c>
      <c r="I28" s="24" t="n">
        <f aca="false">'LW Assumptions'!$C$36*'LW Assumptions'!$C$37/12</f>
        <v>1470.0077</v>
      </c>
      <c r="J28" s="34" t="n">
        <f aca="false">IFERROR(I28/I$17,0)</f>
        <v>0.392665221262577</v>
      </c>
      <c r="K28" s="24" t="n">
        <f aca="false">'LW Assumptions'!$C$36*'LW Assumptions'!$C$37/12</f>
        <v>1470.0077</v>
      </c>
      <c r="L28" s="34" t="n">
        <f aca="false">IFERROR(K28/K$17,0)</f>
        <v>0.392665221262577</v>
      </c>
      <c r="M28" s="24" t="n">
        <f aca="false">'LW Assumptions'!$C$36*'LW Assumptions'!$C$37/12</f>
        <v>1470.0077</v>
      </c>
      <c r="N28" s="34" t="n">
        <f aca="false">IFERROR(M28/M$17,0)</f>
        <v>0.392665221262577</v>
      </c>
      <c r="O28" s="24" t="n">
        <f aca="false">'LW Assumptions'!$C$36*'LW Assumptions'!$C$37/12</f>
        <v>1470.0077</v>
      </c>
      <c r="P28" s="34" t="n">
        <f aca="false">IFERROR(O28/O$17,0)</f>
        <v>0.392665221262577</v>
      </c>
      <c r="Q28" s="24" t="n">
        <f aca="false">'LW Assumptions'!$C$36*'LW Assumptions'!$C$37/12</f>
        <v>1470.0077</v>
      </c>
      <c r="R28" s="34" t="n">
        <f aca="false">IFERROR(Q28/Q$17,0)</f>
        <v>0.392665221262577</v>
      </c>
      <c r="S28" s="24" t="n">
        <f aca="false">'LW Assumptions'!$C$36*'LW Assumptions'!$C$37/12</f>
        <v>1470.0077</v>
      </c>
      <c r="T28" s="34" t="n">
        <f aca="false">IFERROR(S28/S$17,0)</f>
        <v>0.392665221262577</v>
      </c>
      <c r="U28" s="24" t="n">
        <f aca="false">'LW Assumptions'!$C$36*'LW Assumptions'!$C$37/12</f>
        <v>1470.0077</v>
      </c>
      <c r="V28" s="34" t="n">
        <f aca="false">IFERROR(U28/U$17,0)</f>
        <v>0.392665221262577</v>
      </c>
      <c r="W28" s="24" t="n">
        <f aca="false">'LW Assumptions'!$C$36*'LW Assumptions'!$C$37/12</f>
        <v>1470.0077</v>
      </c>
      <c r="X28" s="34" t="n">
        <f aca="false">IFERROR(W28/W$17,0)</f>
        <v>0.392665221262577</v>
      </c>
      <c r="Y28" s="24" t="n">
        <f aca="false">'LW Assumptions'!$C$36*'LW Assumptions'!$C$37/12</f>
        <v>1470.0077</v>
      </c>
      <c r="Z28" s="34" t="n">
        <f aca="false">IFERROR(Y28/Y$17,0)</f>
        <v>0.392665221262577</v>
      </c>
      <c r="AB28" s="24" t="n">
        <f aca="false">SUM(C28,E28,G28,I28,K28,M28,O28,Q28,S28,U28,W28,Y28)</f>
        <v>17640.0924</v>
      </c>
      <c r="AC28" s="34" t="n">
        <f aca="false">IFERROR(AB28/AB$17,0)</f>
        <v>0.392665221262577</v>
      </c>
    </row>
    <row r="29" customFormat="false" ht="15" hidden="false" customHeight="true" outlineLevel="0" collapsed="false">
      <c r="A29" s="6" t="s">
        <v>139</v>
      </c>
      <c r="C29" s="27" t="n">
        <f aca="false">SUM(C23:C28)</f>
        <v>9361.0077</v>
      </c>
      <c r="D29" s="35" t="n">
        <f aca="false">IFERROR(C29/C$20,0)</f>
        <v>0.302899653473665</v>
      </c>
      <c r="E29" s="27" t="n">
        <f aca="false">SUM(E23:E28)</f>
        <v>9361.0077</v>
      </c>
      <c r="F29" s="35" t="n">
        <f aca="false">IFERROR(E29/E$20,0)</f>
        <v>0.302899653473665</v>
      </c>
      <c r="G29" s="27" t="n">
        <f aca="false">SUM(G23:G28)</f>
        <v>9361.0077</v>
      </c>
      <c r="H29" s="35" t="n">
        <f aca="false">IFERROR(G29/G$20,0)</f>
        <v>0.302899653473665</v>
      </c>
      <c r="I29" s="27" t="n">
        <f aca="false">SUM(I23:I28)</f>
        <v>9361.0077</v>
      </c>
      <c r="J29" s="35" t="n">
        <f aca="false">IFERROR(I29/I$20,0)</f>
        <v>0.302899653473665</v>
      </c>
      <c r="K29" s="27" t="n">
        <f aca="false">SUM(K23:K28)</f>
        <v>9361.0077</v>
      </c>
      <c r="L29" s="35" t="n">
        <f aca="false">IFERROR(K29/K$20,0)</f>
        <v>0.302899653473665</v>
      </c>
      <c r="M29" s="27" t="n">
        <f aca="false">SUM(M23:M28)</f>
        <v>9361.0077</v>
      </c>
      <c r="N29" s="35" t="n">
        <f aca="false">IFERROR(M29/M$20,0)</f>
        <v>0.302899653473665</v>
      </c>
      <c r="O29" s="27" t="n">
        <f aca="false">SUM(O23:O28)</f>
        <v>9361.0077</v>
      </c>
      <c r="P29" s="35" t="n">
        <f aca="false">IFERROR(O29/O$20,0)</f>
        <v>0.302899653473665</v>
      </c>
      <c r="Q29" s="27" t="n">
        <f aca="false">SUM(Q23:Q28)</f>
        <v>9361.0077</v>
      </c>
      <c r="R29" s="35" t="n">
        <f aca="false">IFERROR(Q29/Q$20,0)</f>
        <v>0.302899653473665</v>
      </c>
      <c r="S29" s="27" t="n">
        <f aca="false">SUM(S23:S28)</f>
        <v>9361.0077</v>
      </c>
      <c r="T29" s="35" t="n">
        <f aca="false">IFERROR(S29/S$20,0)</f>
        <v>0.302899653473665</v>
      </c>
      <c r="U29" s="27" t="n">
        <f aca="false">SUM(U23:U28)</f>
        <v>9361.0077</v>
      </c>
      <c r="V29" s="35" t="n">
        <f aca="false">IFERROR(U29/U$20,0)</f>
        <v>0.302899653473665</v>
      </c>
      <c r="W29" s="27" t="n">
        <f aca="false">SUM(W23:W28)</f>
        <v>9361.0077</v>
      </c>
      <c r="X29" s="35" t="n">
        <f aca="false">IFERROR(W29/W$20,0)</f>
        <v>0.302899653473665</v>
      </c>
      <c r="Y29" s="27" t="n">
        <f aca="false">SUM(Y23:Y28)</f>
        <v>9361.0077</v>
      </c>
      <c r="Z29" s="35" t="n">
        <f aca="false">IFERROR(Y29/Y$20,0)</f>
        <v>0.302899653473665</v>
      </c>
      <c r="AB29" s="27" t="n">
        <f aca="false">SUM(AB23:AB28)</f>
        <v>112332.0924</v>
      </c>
      <c r="AC29" s="35" t="n">
        <f aca="false">IFERROR(AB29/AB$20,0)</f>
        <v>0.302899653473665</v>
      </c>
    </row>
    <row r="30" customFormat="false" ht="15" hidden="false" customHeight="true" outlineLevel="0" collapsed="false">
      <c r="A30" s="6" t="s">
        <v>140</v>
      </c>
      <c r="C30" s="7" t="n">
        <f aca="false">C20-C29</f>
        <v>21543.64205</v>
      </c>
      <c r="D30" s="8" t="n">
        <f aca="false">IFERROR(C30/C$20,0)</f>
        <v>0.697100346526335</v>
      </c>
      <c r="E30" s="7" t="n">
        <f aca="false">E20-E29</f>
        <v>21543.64205</v>
      </c>
      <c r="F30" s="8" t="n">
        <f aca="false">IFERROR(E30/E$20,0)</f>
        <v>0.697100346526335</v>
      </c>
      <c r="G30" s="7" t="n">
        <f aca="false">G20-G29</f>
        <v>21543.64205</v>
      </c>
      <c r="H30" s="8" t="n">
        <f aca="false">IFERROR(G30/G$20,0)</f>
        <v>0.697100346526335</v>
      </c>
      <c r="I30" s="7" t="n">
        <f aca="false">I20-I29</f>
        <v>21543.64205</v>
      </c>
      <c r="J30" s="8" t="n">
        <f aca="false">IFERROR(I30/I$20,0)</f>
        <v>0.697100346526335</v>
      </c>
      <c r="K30" s="7" t="n">
        <f aca="false">K20-K29</f>
        <v>21543.64205</v>
      </c>
      <c r="L30" s="8" t="n">
        <f aca="false">IFERROR(K30/K$20,0)</f>
        <v>0.697100346526335</v>
      </c>
      <c r="M30" s="7" t="n">
        <f aca="false">M20-M29</f>
        <v>21543.64205</v>
      </c>
      <c r="N30" s="8" t="n">
        <f aca="false">IFERROR(M30/M$20,0)</f>
        <v>0.697100346526335</v>
      </c>
      <c r="O30" s="7" t="n">
        <f aca="false">O20-O29</f>
        <v>21543.64205</v>
      </c>
      <c r="P30" s="8" t="n">
        <f aca="false">IFERROR(O30/O$20,0)</f>
        <v>0.697100346526335</v>
      </c>
      <c r="Q30" s="7" t="n">
        <f aca="false">Q20-Q29</f>
        <v>21543.64205</v>
      </c>
      <c r="R30" s="8" t="n">
        <f aca="false">IFERROR(Q30/Q$20,0)</f>
        <v>0.697100346526335</v>
      </c>
      <c r="S30" s="7" t="n">
        <f aca="false">S20-S29</f>
        <v>21543.64205</v>
      </c>
      <c r="T30" s="8" t="n">
        <f aca="false">IFERROR(S30/S$20,0)</f>
        <v>0.697100346526335</v>
      </c>
      <c r="U30" s="7" t="n">
        <f aca="false">U20-U29</f>
        <v>21543.64205</v>
      </c>
      <c r="V30" s="8" t="n">
        <f aca="false">IFERROR(U30/U$20,0)</f>
        <v>0.697100346526335</v>
      </c>
      <c r="W30" s="7" t="n">
        <f aca="false">W20-W29</f>
        <v>21543.64205</v>
      </c>
      <c r="X30" s="8" t="n">
        <f aca="false">IFERROR(W30/W$20,0)</f>
        <v>0.697100346526335</v>
      </c>
      <c r="Y30" s="7" t="n">
        <f aca="false">Y20-Y29</f>
        <v>21543.64205</v>
      </c>
      <c r="Z30" s="8" t="n">
        <f aca="false">IFERROR(Y30/Y$20,0)</f>
        <v>0.697100346526335</v>
      </c>
      <c r="AB30" s="7" t="n">
        <f aca="false">AB20-AB29</f>
        <v>258523.7046</v>
      </c>
      <c r="AC30" s="8" t="n">
        <f aca="false">IFERROR(AB30/AB$20,0)</f>
        <v>0.697100346526335</v>
      </c>
    </row>
    <row r="32" customFormat="false" ht="15" hidden="false" customHeight="true" outlineLevel="0" collapsed="false">
      <c r="A32" s="6" t="s">
        <v>194</v>
      </c>
    </row>
    <row r="33" customFormat="false" ht="15" hidden="false" customHeight="true" outlineLevel="0" collapsed="false">
      <c r="A33" s="5" t="s">
        <v>195</v>
      </c>
      <c r="C33" s="24" t="n">
        <f aca="false">'LW 2026 P&amp;L'!$Y$28</f>
        <v>1657</v>
      </c>
      <c r="D33" s="34" t="n">
        <f aca="false">IFERROR(C33/C$20,0)</f>
        <v>0.0536165273964964</v>
      </c>
      <c r="E33" s="24" t="n">
        <f aca="false">'LW 2026 P&amp;L'!$Y$28</f>
        <v>1657</v>
      </c>
      <c r="F33" s="34" t="n">
        <f aca="false">IFERROR(E33/E$20,0)</f>
        <v>0.0536165273964964</v>
      </c>
      <c r="G33" s="24" t="n">
        <f aca="false">'LW 2026 P&amp;L'!$Y$28</f>
        <v>1657</v>
      </c>
      <c r="H33" s="34" t="n">
        <f aca="false">IFERROR(G33/G$20,0)</f>
        <v>0.0536165273964964</v>
      </c>
      <c r="I33" s="24" t="n">
        <f aca="false">'LW 2026 P&amp;L'!$Y$28</f>
        <v>1657</v>
      </c>
      <c r="J33" s="34" t="n">
        <f aca="false">IFERROR(I33/I$20,0)</f>
        <v>0.0536165273964964</v>
      </c>
      <c r="K33" s="24" t="n">
        <f aca="false">'LW 2026 P&amp;L'!$Y$28</f>
        <v>1657</v>
      </c>
      <c r="L33" s="34" t="n">
        <f aca="false">IFERROR(K33/K$20,0)</f>
        <v>0.0536165273964964</v>
      </c>
      <c r="M33" s="24" t="n">
        <f aca="false">'LW 2026 P&amp;L'!$Y$28</f>
        <v>1657</v>
      </c>
      <c r="N33" s="34" t="n">
        <f aca="false">IFERROR(M33/M$20,0)</f>
        <v>0.0536165273964964</v>
      </c>
      <c r="O33" s="24" t="n">
        <f aca="false">'LW 2026 P&amp;L'!$Y$28</f>
        <v>1657</v>
      </c>
      <c r="P33" s="34" t="n">
        <f aca="false">IFERROR(O33/O$20,0)</f>
        <v>0.0536165273964964</v>
      </c>
      <c r="Q33" s="24" t="n">
        <f aca="false">'LW 2026 P&amp;L'!$Y$28</f>
        <v>1657</v>
      </c>
      <c r="R33" s="34" t="n">
        <f aca="false">IFERROR(Q33/Q$20,0)</f>
        <v>0.0536165273964964</v>
      </c>
      <c r="S33" s="24" t="n">
        <f aca="false">'LW 2026 P&amp;L'!$Y$28</f>
        <v>1657</v>
      </c>
      <c r="T33" s="34" t="n">
        <f aca="false">IFERROR(S33/S$20,0)</f>
        <v>0.0536165273964964</v>
      </c>
      <c r="U33" s="24" t="n">
        <f aca="false">'LW 2026 P&amp;L'!$Y$28</f>
        <v>1657</v>
      </c>
      <c r="V33" s="34" t="n">
        <f aca="false">IFERROR(U33/U$20,0)</f>
        <v>0.0536165273964964</v>
      </c>
      <c r="W33" s="24" t="n">
        <f aca="false">'LW 2026 P&amp;L'!$Y$28</f>
        <v>1657</v>
      </c>
      <c r="X33" s="34" t="n">
        <f aca="false">IFERROR(W33/W$20,0)</f>
        <v>0.0536165273964964</v>
      </c>
      <c r="Y33" s="24" t="n">
        <f aca="false">'LW 2026 P&amp;L'!$Y$28</f>
        <v>1657</v>
      </c>
      <c r="Z33" s="34" t="n">
        <f aca="false">IFERROR(Y33/Y$20,0)</f>
        <v>0.0536165273964964</v>
      </c>
      <c r="AB33" s="24" t="n">
        <f aca="false">SUM(C33,E33,G33,I33,K33,M33,O33,Q33,S33,U33,W33,Y33)</f>
        <v>19884</v>
      </c>
      <c r="AC33" s="34" t="n">
        <f aca="false">IFERROR(AB33/AB$20,0)</f>
        <v>0.0536165273964964</v>
      </c>
    </row>
    <row r="34" customFormat="false" ht="15" hidden="false" customHeight="true" outlineLevel="0" collapsed="false">
      <c r="A34" s="5" t="s">
        <v>196</v>
      </c>
      <c r="C34" s="24" t="n">
        <f aca="false">'LW Assumptions'!$C$26*52/12</f>
        <v>1282.66666666667</v>
      </c>
      <c r="D34" s="34" t="n">
        <f aca="false">IFERROR(C34/C$20,0)</f>
        <v>0.0415040027000036</v>
      </c>
      <c r="E34" s="24" t="n">
        <f aca="false">'LW Assumptions'!$C$26*52/12</f>
        <v>1282.66666666667</v>
      </c>
      <c r="F34" s="34" t="n">
        <f aca="false">IFERROR(E34/E$20,0)</f>
        <v>0.0415040027000036</v>
      </c>
      <c r="G34" s="24" t="n">
        <f aca="false">'LW Assumptions'!$C$26*52/12</f>
        <v>1282.66666666667</v>
      </c>
      <c r="H34" s="34" t="n">
        <f aca="false">IFERROR(G34/G$20,0)</f>
        <v>0.0415040027000036</v>
      </c>
      <c r="I34" s="24" t="n">
        <f aca="false">'LW Assumptions'!$C$26*52/12</f>
        <v>1282.66666666667</v>
      </c>
      <c r="J34" s="34" t="n">
        <f aca="false">IFERROR(I34/I$20,0)</f>
        <v>0.0415040027000036</v>
      </c>
      <c r="K34" s="24" t="n">
        <f aca="false">'LW Assumptions'!$C$26*52/12</f>
        <v>1282.66666666667</v>
      </c>
      <c r="L34" s="34" t="n">
        <f aca="false">IFERROR(K34/K$20,0)</f>
        <v>0.0415040027000036</v>
      </c>
      <c r="M34" s="24" t="n">
        <f aca="false">'LW Assumptions'!$C$26*52/12</f>
        <v>1282.66666666667</v>
      </c>
      <c r="N34" s="34" t="n">
        <f aca="false">IFERROR(M34/M$20,0)</f>
        <v>0.0415040027000036</v>
      </c>
      <c r="O34" s="24" t="n">
        <f aca="false">'LW Assumptions'!$C$26*52/12</f>
        <v>1282.66666666667</v>
      </c>
      <c r="P34" s="34" t="n">
        <f aca="false">IFERROR(O34/O$20,0)</f>
        <v>0.0415040027000036</v>
      </c>
      <c r="Q34" s="24" t="n">
        <f aca="false">'LW Assumptions'!$C$26*52/12</f>
        <v>1282.66666666667</v>
      </c>
      <c r="R34" s="34" t="n">
        <f aca="false">IFERROR(Q34/Q$20,0)</f>
        <v>0.0415040027000036</v>
      </c>
      <c r="S34" s="24" t="n">
        <f aca="false">'LW Assumptions'!$C$26*52/12</f>
        <v>1282.66666666667</v>
      </c>
      <c r="T34" s="34" t="n">
        <f aca="false">IFERROR(S34/S$20,0)</f>
        <v>0.0415040027000036</v>
      </c>
      <c r="U34" s="24" t="n">
        <f aca="false">'LW Assumptions'!$C$26*52/12</f>
        <v>1282.66666666667</v>
      </c>
      <c r="V34" s="34" t="n">
        <f aca="false">IFERROR(U34/U$20,0)</f>
        <v>0.0415040027000036</v>
      </c>
      <c r="W34" s="24" t="n">
        <f aca="false">'LW Assumptions'!$C$26*52/12</f>
        <v>1282.66666666667</v>
      </c>
      <c r="X34" s="34" t="n">
        <f aca="false">IFERROR(W34/W$20,0)</f>
        <v>0.0415040027000036</v>
      </c>
      <c r="Y34" s="24" t="n">
        <f aca="false">'LW Assumptions'!$C$26*52/12</f>
        <v>1282.66666666667</v>
      </c>
      <c r="Z34" s="34" t="n">
        <f aca="false">IFERROR(Y34/Y$20,0)</f>
        <v>0.0415040027000036</v>
      </c>
      <c r="AB34" s="24" t="n">
        <f aca="false">SUM(C34,E34,G34,I34,K34,M34,O34,Q34,S34,U34,W34,Y34)</f>
        <v>15392</v>
      </c>
      <c r="AC34" s="34" t="n">
        <f aca="false">IFERROR(AB34/AB$20,0)</f>
        <v>0.0415040027000036</v>
      </c>
    </row>
    <row r="35" customFormat="false" ht="15" hidden="false" customHeight="true" outlineLevel="0" collapsed="false">
      <c r="A35" s="5" t="s">
        <v>197</v>
      </c>
      <c r="C35" s="24" t="n">
        <f aca="false">('LW Assumptions'!$C$20+'LW Assumptions'!$C$21)*'LW Assumptions'!$C$22*52*'LW Assumptions'!$C$23/12</f>
        <v>6760</v>
      </c>
      <c r="D35" s="34" t="n">
        <f aca="false">IFERROR(C35/C$20,0)</f>
        <v>0.218737311527046</v>
      </c>
      <c r="E35" s="24" t="n">
        <f aca="false">('LW Assumptions'!$C$20+'LW Assumptions'!$C$21)*'LW Assumptions'!$C$22*52*'LW Assumptions'!$C$23/12</f>
        <v>6760</v>
      </c>
      <c r="F35" s="34" t="n">
        <f aca="false">IFERROR(E35/E$20,0)</f>
        <v>0.218737311527046</v>
      </c>
      <c r="G35" s="24" t="n">
        <f aca="false">('LW Assumptions'!$C$20+'LW Assumptions'!$C$21)*'LW Assumptions'!$C$22*52*'LW Assumptions'!$C$23/12</f>
        <v>6760</v>
      </c>
      <c r="H35" s="34" t="n">
        <f aca="false">IFERROR(G35/G$20,0)</f>
        <v>0.218737311527046</v>
      </c>
      <c r="I35" s="24" t="n">
        <f aca="false">('LW Assumptions'!$C$20+'LW Assumptions'!$C$21)*'LW Assumptions'!$C$22*52*'LW Assumptions'!$C$23/12</f>
        <v>6760</v>
      </c>
      <c r="J35" s="34" t="n">
        <f aca="false">IFERROR(I35/I$20,0)</f>
        <v>0.218737311527046</v>
      </c>
      <c r="K35" s="24" t="n">
        <f aca="false">('LW Assumptions'!$C$20+'LW Assumptions'!$C$21)*'LW Assumptions'!$C$22*52*'LW Assumptions'!$C$23/12</f>
        <v>6760</v>
      </c>
      <c r="L35" s="34" t="n">
        <f aca="false">IFERROR(K35/K$20,0)</f>
        <v>0.218737311527046</v>
      </c>
      <c r="M35" s="24" t="n">
        <f aca="false">('LW Assumptions'!$C$20+'LW Assumptions'!$C$21)*'LW Assumptions'!$C$22*52*'LW Assumptions'!$C$23/12</f>
        <v>6760</v>
      </c>
      <c r="N35" s="34" t="n">
        <f aca="false">IFERROR(M35/M$20,0)</f>
        <v>0.218737311527046</v>
      </c>
      <c r="O35" s="24" t="n">
        <f aca="false">('LW Assumptions'!$C$20+'LW Assumptions'!$C$21)*'LW Assumptions'!$C$22*52*'LW Assumptions'!$C$23/12</f>
        <v>6760</v>
      </c>
      <c r="P35" s="34" t="n">
        <f aca="false">IFERROR(O35/O$20,0)</f>
        <v>0.218737311527046</v>
      </c>
      <c r="Q35" s="24" t="n">
        <f aca="false">('LW Assumptions'!$C$20+'LW Assumptions'!$C$21)*'LW Assumptions'!$C$22*52*'LW Assumptions'!$C$23/12</f>
        <v>6760</v>
      </c>
      <c r="R35" s="34" t="n">
        <f aca="false">IFERROR(Q35/Q$20,0)</f>
        <v>0.218737311527046</v>
      </c>
      <c r="S35" s="24" t="n">
        <f aca="false">('LW Assumptions'!$C$20+'LW Assumptions'!$C$21)*'LW Assumptions'!$C$22*52*'LW Assumptions'!$C$23/12</f>
        <v>6760</v>
      </c>
      <c r="T35" s="34" t="n">
        <f aca="false">IFERROR(S35/S$20,0)</f>
        <v>0.218737311527046</v>
      </c>
      <c r="U35" s="24" t="n">
        <f aca="false">('LW Assumptions'!$C$20+'LW Assumptions'!$C$21)*'LW Assumptions'!$C$22*52*'LW Assumptions'!$C$23/12</f>
        <v>6760</v>
      </c>
      <c r="V35" s="34" t="n">
        <f aca="false">IFERROR(U35/U$20,0)</f>
        <v>0.218737311527046</v>
      </c>
      <c r="W35" s="24" t="n">
        <f aca="false">('LW Assumptions'!$C$20+'LW Assumptions'!$C$21)*'LW Assumptions'!$C$22*52*'LW Assumptions'!$C$23/12</f>
        <v>6760</v>
      </c>
      <c r="X35" s="34" t="n">
        <f aca="false">IFERROR(W35/W$20,0)</f>
        <v>0.218737311527046</v>
      </c>
      <c r="Y35" s="24" t="n">
        <f aca="false">('LW Assumptions'!$C$20+'LW Assumptions'!$C$21)*'LW Assumptions'!$C$22*52*'LW Assumptions'!$C$23/12</f>
        <v>6760</v>
      </c>
      <c r="Z35" s="34" t="n">
        <f aca="false">IFERROR(Y35/Y$20,0)</f>
        <v>0.218737311527046</v>
      </c>
      <c r="AB35" s="24" t="n">
        <f aca="false">SUM(C35,E35,G35,I35,K35,M35,O35,Q35,S35,U35,W35,Y35)</f>
        <v>81120</v>
      </c>
      <c r="AC35" s="34" t="n">
        <f aca="false">IFERROR(AB35/AB$20,0)</f>
        <v>0.218737311527046</v>
      </c>
    </row>
    <row r="36" customFormat="false" ht="15" hidden="false" customHeight="true" outlineLevel="0" collapsed="false">
      <c r="A36" s="5" t="s">
        <v>198</v>
      </c>
      <c r="C36" s="24" t="n">
        <f aca="false">(C33+C34+C35)*'LW Assumptions'!$C$24</f>
        <v>1551.94666666667</v>
      </c>
      <c r="D36" s="34" t="n">
        <f aca="false">IFERROR(C36/C$20,0)</f>
        <v>0.0502172546597674</v>
      </c>
      <c r="E36" s="24" t="n">
        <f aca="false">(E33+E34+E35)*'LW Assumptions'!$C$24</f>
        <v>1551.94666666667</v>
      </c>
      <c r="F36" s="34" t="n">
        <f aca="false">IFERROR(E36/E$20,0)</f>
        <v>0.0502172546597674</v>
      </c>
      <c r="G36" s="24" t="n">
        <f aca="false">(G33+G34+G35)*'LW Assumptions'!$C$24</f>
        <v>1551.94666666667</v>
      </c>
      <c r="H36" s="34" t="n">
        <f aca="false">IFERROR(G36/G$20,0)</f>
        <v>0.0502172546597674</v>
      </c>
      <c r="I36" s="24" t="n">
        <f aca="false">(I33+I34+I35)*'LW Assumptions'!$C$24</f>
        <v>1551.94666666667</v>
      </c>
      <c r="J36" s="34" t="n">
        <f aca="false">IFERROR(I36/I$20,0)</f>
        <v>0.0502172546597674</v>
      </c>
      <c r="K36" s="24" t="n">
        <f aca="false">(K33+K34+K35)*'LW Assumptions'!$C$24</f>
        <v>1551.94666666667</v>
      </c>
      <c r="L36" s="34" t="n">
        <f aca="false">IFERROR(K36/K$20,0)</f>
        <v>0.0502172546597674</v>
      </c>
      <c r="M36" s="24" t="n">
        <f aca="false">(M33+M34+M35)*'LW Assumptions'!$C$24</f>
        <v>1551.94666666667</v>
      </c>
      <c r="N36" s="34" t="n">
        <f aca="false">IFERROR(M36/M$20,0)</f>
        <v>0.0502172546597674</v>
      </c>
      <c r="O36" s="24" t="n">
        <f aca="false">(O33+O34+O35)*'LW Assumptions'!$C$24</f>
        <v>1551.94666666667</v>
      </c>
      <c r="P36" s="34" t="n">
        <f aca="false">IFERROR(O36/O$20,0)</f>
        <v>0.0502172546597674</v>
      </c>
      <c r="Q36" s="24" t="n">
        <f aca="false">(Q33+Q34+Q35)*'LW Assumptions'!$C$24</f>
        <v>1551.94666666667</v>
      </c>
      <c r="R36" s="34" t="n">
        <f aca="false">IFERROR(Q36/Q$20,0)</f>
        <v>0.0502172546597674</v>
      </c>
      <c r="S36" s="24" t="n">
        <f aca="false">(S33+S34+S35)*'LW Assumptions'!$C$24</f>
        <v>1551.94666666667</v>
      </c>
      <c r="T36" s="34" t="n">
        <f aca="false">IFERROR(S36/S$20,0)</f>
        <v>0.0502172546597674</v>
      </c>
      <c r="U36" s="24" t="n">
        <f aca="false">(U33+U34+U35)*'LW Assumptions'!$C$24</f>
        <v>1551.94666666667</v>
      </c>
      <c r="V36" s="34" t="n">
        <f aca="false">IFERROR(U36/U$20,0)</f>
        <v>0.0502172546597674</v>
      </c>
      <c r="W36" s="24" t="n">
        <f aca="false">(W33+W34+W35)*'LW Assumptions'!$C$24</f>
        <v>1551.94666666667</v>
      </c>
      <c r="X36" s="34" t="n">
        <f aca="false">IFERROR(W36/W$20,0)</f>
        <v>0.0502172546597674</v>
      </c>
      <c r="Y36" s="24" t="n">
        <f aca="false">(Y33+Y34+Y35)*'LW Assumptions'!$C$24</f>
        <v>1551.94666666667</v>
      </c>
      <c r="Z36" s="34" t="n">
        <f aca="false">IFERROR(Y36/Y$20,0)</f>
        <v>0.0502172546597674</v>
      </c>
      <c r="AB36" s="24" t="n">
        <f aca="false">SUM(C36,E36,G36,I36,K36,M36,O36,Q36,S36,U36,W36,Y36)</f>
        <v>18623.36</v>
      </c>
      <c r="AC36" s="34" t="n">
        <f aca="false">IFERROR(AB36/AB$20,0)</f>
        <v>0.0502172546597674</v>
      </c>
    </row>
    <row r="37" customFormat="false" ht="15" hidden="false" customHeight="true" outlineLevel="0" collapsed="false">
      <c r="A37" s="5" t="s">
        <v>647</v>
      </c>
      <c r="C37" s="24" t="n">
        <v>0</v>
      </c>
      <c r="D37" s="34" t="n">
        <f aca="false">IFERROR(C37/C$20,0)</f>
        <v>0</v>
      </c>
      <c r="E37" s="24" t="n">
        <v>0</v>
      </c>
      <c r="F37" s="34" t="n">
        <f aca="false">IFERROR(E37/E$20,0)</f>
        <v>0</v>
      </c>
      <c r="G37" s="24" t="n">
        <v>0</v>
      </c>
      <c r="H37" s="34" t="n">
        <f aca="false">IFERROR(G37/G$20,0)</f>
        <v>0</v>
      </c>
      <c r="I37" s="24" t="n">
        <v>0</v>
      </c>
      <c r="J37" s="34" t="n">
        <f aca="false">IFERROR(I37/I$20,0)</f>
        <v>0</v>
      </c>
      <c r="K37" s="24" t="n">
        <v>0</v>
      </c>
      <c r="L37" s="34" t="n">
        <f aca="false">IFERROR(K37/K$20,0)</f>
        <v>0</v>
      </c>
      <c r="M37" s="24" t="n">
        <v>0</v>
      </c>
      <c r="N37" s="34" t="n">
        <f aca="false">IFERROR(M37/M$20,0)</f>
        <v>0</v>
      </c>
      <c r="O37" s="24" t="n">
        <v>0</v>
      </c>
      <c r="P37" s="34" t="n">
        <f aca="false">IFERROR(O37/O$20,0)</f>
        <v>0</v>
      </c>
      <c r="Q37" s="24" t="n">
        <v>0</v>
      </c>
      <c r="R37" s="34" t="n">
        <f aca="false">IFERROR(Q37/Q$20,0)</f>
        <v>0</v>
      </c>
      <c r="S37" s="24" t="n">
        <v>0</v>
      </c>
      <c r="T37" s="34" t="n">
        <f aca="false">IFERROR(S37/S$20,0)</f>
        <v>0</v>
      </c>
      <c r="U37" s="24" t="n">
        <v>0</v>
      </c>
      <c r="V37" s="34" t="n">
        <f aca="false">IFERROR(U37/U$20,0)</f>
        <v>0</v>
      </c>
      <c r="W37" s="24" t="n">
        <v>0</v>
      </c>
      <c r="X37" s="34" t="n">
        <f aca="false">IFERROR(W37/W$20,0)</f>
        <v>0</v>
      </c>
      <c r="Y37" s="24" t="n">
        <f aca="false">('LW 2026 P&amp;L'!$AB$33+'LW Weekly Compare'!$D$29)-($AB$33+$AB$34+$AB$35+$AB$36)</f>
        <v>-3776.39999999999</v>
      </c>
      <c r="Z37" s="34" t="n">
        <f aca="false">IFERROR(Y37/Y$20,0)</f>
        <v>-0.12219520462289</v>
      </c>
      <c r="AB37" s="24" t="n">
        <f aca="false">SUM(C37,E37,G37,I37,K37,M37,O37,Q37,S37,U37,W37,Y37)</f>
        <v>-3776.39999999999</v>
      </c>
      <c r="AC37" s="34" t="n">
        <f aca="false">IFERROR(AB37/AB$20,0)</f>
        <v>-0.0101829337185742</v>
      </c>
    </row>
    <row r="38" customFormat="false" ht="15" hidden="false" customHeight="true" outlineLevel="0" collapsed="false">
      <c r="A38" s="6" t="s">
        <v>141</v>
      </c>
      <c r="C38" s="27" t="n">
        <f aca="false">SUM(C33:C37)</f>
        <v>11251.6133333333</v>
      </c>
      <c r="D38" s="35" t="n">
        <f aca="false">IFERROR(C38/C$20,0)</f>
        <v>0.364075096283314</v>
      </c>
      <c r="E38" s="27" t="n">
        <f aca="false">SUM(E33:E37)</f>
        <v>11251.6133333333</v>
      </c>
      <c r="F38" s="35" t="n">
        <f aca="false">IFERROR(E38/E$20,0)</f>
        <v>0.364075096283314</v>
      </c>
      <c r="G38" s="27" t="n">
        <f aca="false">SUM(G33:G37)</f>
        <v>11251.6133333333</v>
      </c>
      <c r="H38" s="35" t="n">
        <f aca="false">IFERROR(G38/G$20,0)</f>
        <v>0.364075096283314</v>
      </c>
      <c r="I38" s="27" t="n">
        <f aca="false">SUM(I33:I37)</f>
        <v>11251.6133333333</v>
      </c>
      <c r="J38" s="35" t="n">
        <f aca="false">IFERROR(I38/I$20,0)</f>
        <v>0.364075096283314</v>
      </c>
      <c r="K38" s="27" t="n">
        <f aca="false">SUM(K33:K37)</f>
        <v>11251.6133333333</v>
      </c>
      <c r="L38" s="35" t="n">
        <f aca="false">IFERROR(K38/K$20,0)</f>
        <v>0.364075096283314</v>
      </c>
      <c r="M38" s="27" t="n">
        <f aca="false">SUM(M33:M37)</f>
        <v>11251.6133333333</v>
      </c>
      <c r="N38" s="35" t="n">
        <f aca="false">IFERROR(M38/M$20,0)</f>
        <v>0.364075096283314</v>
      </c>
      <c r="O38" s="27" t="n">
        <f aca="false">SUM(O33:O37)</f>
        <v>11251.6133333333</v>
      </c>
      <c r="P38" s="35" t="n">
        <f aca="false">IFERROR(O38/O$20,0)</f>
        <v>0.364075096283314</v>
      </c>
      <c r="Q38" s="27" t="n">
        <f aca="false">SUM(Q33:Q37)</f>
        <v>11251.6133333333</v>
      </c>
      <c r="R38" s="35" t="n">
        <f aca="false">IFERROR(Q38/Q$20,0)</f>
        <v>0.364075096283314</v>
      </c>
      <c r="S38" s="27" t="n">
        <f aca="false">SUM(S33:S37)</f>
        <v>11251.6133333333</v>
      </c>
      <c r="T38" s="35" t="n">
        <f aca="false">IFERROR(S38/S$20,0)</f>
        <v>0.364075096283314</v>
      </c>
      <c r="U38" s="27" t="n">
        <f aca="false">SUM(U33:U37)</f>
        <v>11251.6133333333</v>
      </c>
      <c r="V38" s="35" t="n">
        <f aca="false">IFERROR(U38/U$20,0)</f>
        <v>0.364075096283314</v>
      </c>
      <c r="W38" s="27" t="n">
        <f aca="false">SUM(W33:W37)</f>
        <v>11251.6133333333</v>
      </c>
      <c r="X38" s="35" t="n">
        <f aca="false">IFERROR(W38/W$20,0)</f>
        <v>0.364075096283314</v>
      </c>
      <c r="Y38" s="27" t="n">
        <f aca="false">SUM(Y33:Y37)</f>
        <v>7475.21333333334</v>
      </c>
      <c r="Z38" s="35" t="n">
        <f aca="false">IFERROR(Y38/Y$20,0)</f>
        <v>0.241879891660424</v>
      </c>
      <c r="AB38" s="27" t="n">
        <f aca="false">SUM(AB33:AB37)</f>
        <v>131242.96</v>
      </c>
      <c r="AC38" s="35" t="n">
        <f aca="false">IFERROR(AB38/AB$20,0)</f>
        <v>0.35389216256474</v>
      </c>
    </row>
    <row r="40" customFormat="false" ht="15" hidden="false" customHeight="true" outlineLevel="0" collapsed="false">
      <c r="A40" s="6" t="s">
        <v>200</v>
      </c>
      <c r="C40" s="7" t="n">
        <f aca="false">C29+C38</f>
        <v>20612.6210333333</v>
      </c>
      <c r="D40" s="8" t="n">
        <f aca="false">IFERROR(C40/C$20,0)</f>
        <v>0.666974749756979</v>
      </c>
      <c r="E40" s="7" t="n">
        <f aca="false">E29+E38</f>
        <v>20612.6210333333</v>
      </c>
      <c r="F40" s="8" t="n">
        <f aca="false">IFERROR(E40/E$20,0)</f>
        <v>0.666974749756979</v>
      </c>
      <c r="G40" s="7" t="n">
        <f aca="false">G29+G38</f>
        <v>20612.6210333333</v>
      </c>
      <c r="H40" s="8" t="n">
        <f aca="false">IFERROR(G40/G$20,0)</f>
        <v>0.666974749756979</v>
      </c>
      <c r="I40" s="7" t="n">
        <f aca="false">I29+I38</f>
        <v>20612.6210333333</v>
      </c>
      <c r="J40" s="8" t="n">
        <f aca="false">IFERROR(I40/I$20,0)</f>
        <v>0.666974749756979</v>
      </c>
      <c r="K40" s="7" t="n">
        <f aca="false">K29+K38</f>
        <v>20612.6210333333</v>
      </c>
      <c r="L40" s="8" t="n">
        <f aca="false">IFERROR(K40/K$20,0)</f>
        <v>0.666974749756979</v>
      </c>
      <c r="M40" s="7" t="n">
        <f aca="false">M29+M38</f>
        <v>20612.6210333333</v>
      </c>
      <c r="N40" s="8" t="n">
        <f aca="false">IFERROR(M40/M$20,0)</f>
        <v>0.666974749756979</v>
      </c>
      <c r="O40" s="7" t="n">
        <f aca="false">O29+O38</f>
        <v>20612.6210333333</v>
      </c>
      <c r="P40" s="8" t="n">
        <f aca="false">IFERROR(O40/O$20,0)</f>
        <v>0.666974749756979</v>
      </c>
      <c r="Q40" s="7" t="n">
        <f aca="false">Q29+Q38</f>
        <v>20612.6210333333</v>
      </c>
      <c r="R40" s="8" t="n">
        <f aca="false">IFERROR(Q40/Q$20,0)</f>
        <v>0.666974749756979</v>
      </c>
      <c r="S40" s="7" t="n">
        <f aca="false">S29+S38</f>
        <v>20612.6210333333</v>
      </c>
      <c r="T40" s="8" t="n">
        <f aca="false">IFERROR(S40/S$20,0)</f>
        <v>0.666974749756979</v>
      </c>
      <c r="U40" s="7" t="n">
        <f aca="false">U29+U38</f>
        <v>20612.6210333333</v>
      </c>
      <c r="V40" s="8" t="n">
        <f aca="false">IFERROR(U40/U$20,0)</f>
        <v>0.666974749756979</v>
      </c>
      <c r="W40" s="7" t="n">
        <f aca="false">W29+W38</f>
        <v>20612.6210333333</v>
      </c>
      <c r="X40" s="8" t="n">
        <f aca="false">IFERROR(W40/W$20,0)</f>
        <v>0.666974749756979</v>
      </c>
      <c r="Y40" s="7" t="n">
        <f aca="false">Y29+Y38</f>
        <v>16836.2210333333</v>
      </c>
      <c r="Z40" s="8" t="n">
        <f aca="false">IFERROR(Y40/Y$20,0)</f>
        <v>0.544779545134089</v>
      </c>
      <c r="AB40" s="7" t="n">
        <f aca="false">AB29+AB38</f>
        <v>243575.0524</v>
      </c>
      <c r="AC40" s="8" t="n">
        <f aca="false">IFERROR(AB40/AB$20,0)</f>
        <v>0.656791816038405</v>
      </c>
    </row>
    <row r="41" customFormat="false" ht="15" hidden="false" customHeight="true" outlineLevel="0" collapsed="false">
      <c r="A41" s="6" t="s">
        <v>201</v>
      </c>
      <c r="C41" s="7" t="n">
        <f aca="false">C30-C38</f>
        <v>10292.0287166667</v>
      </c>
      <c r="D41" s="8" t="n">
        <f aca="false">IFERROR(C41/C$20,0)</f>
        <v>0.333025250243021</v>
      </c>
      <c r="E41" s="7" t="n">
        <f aca="false">E30-E38</f>
        <v>10292.0287166667</v>
      </c>
      <c r="F41" s="8" t="n">
        <f aca="false">IFERROR(E41/E$20,0)</f>
        <v>0.333025250243021</v>
      </c>
      <c r="G41" s="7" t="n">
        <f aca="false">G30-G38</f>
        <v>10292.0287166667</v>
      </c>
      <c r="H41" s="8" t="n">
        <f aca="false">IFERROR(G41/G$20,0)</f>
        <v>0.333025250243021</v>
      </c>
      <c r="I41" s="7" t="n">
        <f aca="false">I30-I38</f>
        <v>10292.0287166667</v>
      </c>
      <c r="J41" s="8" t="n">
        <f aca="false">IFERROR(I41/I$20,0)</f>
        <v>0.333025250243021</v>
      </c>
      <c r="K41" s="7" t="n">
        <f aca="false">K30-K38</f>
        <v>10292.0287166667</v>
      </c>
      <c r="L41" s="8" t="n">
        <f aca="false">IFERROR(K41/K$20,0)</f>
        <v>0.333025250243021</v>
      </c>
      <c r="M41" s="7" t="n">
        <f aca="false">M30-M38</f>
        <v>10292.0287166667</v>
      </c>
      <c r="N41" s="8" t="n">
        <f aca="false">IFERROR(M41/M$20,0)</f>
        <v>0.333025250243021</v>
      </c>
      <c r="O41" s="7" t="n">
        <f aca="false">O30-O38</f>
        <v>10292.0287166667</v>
      </c>
      <c r="P41" s="8" t="n">
        <f aca="false">IFERROR(O41/O$20,0)</f>
        <v>0.333025250243021</v>
      </c>
      <c r="Q41" s="7" t="n">
        <f aca="false">Q30-Q38</f>
        <v>10292.0287166667</v>
      </c>
      <c r="R41" s="8" t="n">
        <f aca="false">IFERROR(Q41/Q$20,0)</f>
        <v>0.333025250243021</v>
      </c>
      <c r="S41" s="7" t="n">
        <f aca="false">S30-S38</f>
        <v>10292.0287166667</v>
      </c>
      <c r="T41" s="8" t="n">
        <f aca="false">IFERROR(S41/S$20,0)</f>
        <v>0.333025250243021</v>
      </c>
      <c r="U41" s="7" t="n">
        <f aca="false">U30-U38</f>
        <v>10292.0287166667</v>
      </c>
      <c r="V41" s="8" t="n">
        <f aca="false">IFERROR(U41/U$20,0)</f>
        <v>0.333025250243021</v>
      </c>
      <c r="W41" s="7" t="n">
        <f aca="false">W30-W38</f>
        <v>10292.0287166667</v>
      </c>
      <c r="X41" s="8" t="n">
        <f aca="false">IFERROR(W41/W$20,0)</f>
        <v>0.333025250243021</v>
      </c>
      <c r="Y41" s="7" t="n">
        <f aca="false">Y30-Y38</f>
        <v>14068.4287166667</v>
      </c>
      <c r="Z41" s="8" t="n">
        <f aca="false">IFERROR(Y41/Y$20,0)</f>
        <v>0.455220454865911</v>
      </c>
      <c r="AB41" s="7" t="n">
        <f aca="false">AB30-AB38</f>
        <v>127280.7446</v>
      </c>
      <c r="AC41" s="8" t="n">
        <f aca="false">IFERROR(AB41/AB$20,0)</f>
        <v>0.343208183961595</v>
      </c>
    </row>
    <row r="43" customFormat="false" ht="15" hidden="false" customHeight="true" outlineLevel="0" collapsed="false">
      <c r="A43" s="6" t="s">
        <v>202</v>
      </c>
    </row>
    <row r="44" customFormat="false" ht="15" hidden="false" customHeight="true" outlineLevel="0" collapsed="false">
      <c r="A44" s="5" t="s">
        <v>648</v>
      </c>
      <c r="C44" s="24" t="n">
        <f aca="false">C20*'LW Assumptions'!$C$48</f>
        <v>3863.08121875</v>
      </c>
      <c r="D44" s="34" t="n">
        <f aca="false">IFERROR(C44/C$20,0)</f>
        <v>0.125</v>
      </c>
      <c r="E44" s="24" t="n">
        <f aca="false">E20*'LW Assumptions'!$C$48</f>
        <v>3863.08121875</v>
      </c>
      <c r="F44" s="34" t="n">
        <f aca="false">IFERROR(E44/E$20,0)</f>
        <v>0.125</v>
      </c>
      <c r="G44" s="24" t="n">
        <f aca="false">G20*'LW Assumptions'!$C$48</f>
        <v>3863.08121875</v>
      </c>
      <c r="H44" s="34" t="n">
        <f aca="false">IFERROR(G44/G$20,0)</f>
        <v>0.125</v>
      </c>
      <c r="I44" s="24" t="n">
        <f aca="false">I20*'LW Assumptions'!$C$48</f>
        <v>3863.08121875</v>
      </c>
      <c r="J44" s="34" t="n">
        <f aca="false">IFERROR(I44/I$20,0)</f>
        <v>0.125</v>
      </c>
      <c r="K44" s="24" t="n">
        <f aca="false">K20*'LW Assumptions'!$C$48</f>
        <v>3863.08121875</v>
      </c>
      <c r="L44" s="34" t="n">
        <f aca="false">IFERROR(K44/K$20,0)</f>
        <v>0.125</v>
      </c>
      <c r="M44" s="24" t="n">
        <f aca="false">M20*'LW Assumptions'!$C$48</f>
        <v>3863.08121875</v>
      </c>
      <c r="N44" s="34" t="n">
        <f aca="false">IFERROR(M44/M$20,0)</f>
        <v>0.125</v>
      </c>
      <c r="O44" s="24" t="n">
        <f aca="false">O20*'LW Assumptions'!$C$48</f>
        <v>3863.08121875</v>
      </c>
      <c r="P44" s="34" t="n">
        <f aca="false">IFERROR(O44/O$20,0)</f>
        <v>0.125</v>
      </c>
      <c r="Q44" s="24" t="n">
        <f aca="false">Q20*'LW Assumptions'!$C$48</f>
        <v>3863.08121875</v>
      </c>
      <c r="R44" s="34" t="n">
        <f aca="false">IFERROR(Q44/Q$20,0)</f>
        <v>0.125</v>
      </c>
      <c r="S44" s="24" t="n">
        <f aca="false">S20*'LW Assumptions'!$C$48</f>
        <v>3863.08121875</v>
      </c>
      <c r="T44" s="34" t="n">
        <f aca="false">IFERROR(S44/S$20,0)</f>
        <v>0.125</v>
      </c>
      <c r="U44" s="24" t="n">
        <f aca="false">U20*'LW Assumptions'!$C$48</f>
        <v>3863.08121875</v>
      </c>
      <c r="V44" s="34" t="n">
        <f aca="false">IFERROR(U44/U$20,0)</f>
        <v>0.125</v>
      </c>
      <c r="W44" s="24" t="n">
        <f aca="false">W20*'LW Assumptions'!$C$48</f>
        <v>3863.08121875</v>
      </c>
      <c r="X44" s="34" t="n">
        <f aca="false">IFERROR(W44/W$20,0)</f>
        <v>0.125</v>
      </c>
      <c r="Y44" s="24" t="n">
        <f aca="false">Y20*'LW Assumptions'!$C$48</f>
        <v>3863.08121875</v>
      </c>
      <c r="Z44" s="34" t="n">
        <f aca="false">IFERROR(Y44/Y$20,0)</f>
        <v>0.125</v>
      </c>
      <c r="AB44" s="24" t="n">
        <f aca="false">SUM(C44,E44,G44,I44,K44,M44,O44,Q44,S44,U44,W44,Y44)</f>
        <v>46356.974625</v>
      </c>
      <c r="AC44" s="34" t="n">
        <f aca="false">IFERROR(AB44/AB$20,0)</f>
        <v>0.125</v>
      </c>
    </row>
    <row r="45" customFormat="false" ht="15" hidden="false" customHeight="true" outlineLevel="0" collapsed="false">
      <c r="A45" s="5" t="s">
        <v>204</v>
      </c>
      <c r="C45" s="24" t="n">
        <f aca="false">'LW 2026 P&amp;L'!$Y$40</f>
        <v>0</v>
      </c>
      <c r="D45" s="34" t="n">
        <f aca="false">IFERROR(C45/C$20,0)</f>
        <v>0</v>
      </c>
      <c r="E45" s="24" t="n">
        <f aca="false">'LW 2026 P&amp;L'!$Y$40</f>
        <v>0</v>
      </c>
      <c r="F45" s="34" t="n">
        <f aca="false">IFERROR(E45/E$20,0)</f>
        <v>0</v>
      </c>
      <c r="G45" s="24" t="n">
        <f aca="false">'LW 2026 P&amp;L'!$Y$40</f>
        <v>0</v>
      </c>
      <c r="H45" s="34" t="n">
        <f aca="false">IFERROR(G45/G$20,0)</f>
        <v>0</v>
      </c>
      <c r="I45" s="24" t="n">
        <f aca="false">'LW 2026 P&amp;L'!$Y$40</f>
        <v>0</v>
      </c>
      <c r="J45" s="34" t="n">
        <f aca="false">IFERROR(I45/I$20,0)</f>
        <v>0</v>
      </c>
      <c r="K45" s="24" t="n">
        <f aca="false">'LW 2026 P&amp;L'!$Y$40</f>
        <v>0</v>
      </c>
      <c r="L45" s="34" t="n">
        <f aca="false">IFERROR(K45/K$20,0)</f>
        <v>0</v>
      </c>
      <c r="M45" s="24" t="n">
        <f aca="false">'LW 2026 P&amp;L'!$Y$40</f>
        <v>0</v>
      </c>
      <c r="N45" s="34" t="n">
        <f aca="false">IFERROR(M45/M$20,0)</f>
        <v>0</v>
      </c>
      <c r="O45" s="24" t="n">
        <f aca="false">'LW 2026 P&amp;L'!$Y$40</f>
        <v>0</v>
      </c>
      <c r="P45" s="34" t="n">
        <f aca="false">IFERROR(O45/O$20,0)</f>
        <v>0</v>
      </c>
      <c r="Q45" s="24" t="n">
        <f aca="false">'LW 2026 P&amp;L'!$Y$40</f>
        <v>0</v>
      </c>
      <c r="R45" s="34" t="n">
        <f aca="false">IFERROR(Q45/Q$20,0)</f>
        <v>0</v>
      </c>
      <c r="S45" s="24" t="n">
        <f aca="false">'LW 2026 P&amp;L'!$Y$40</f>
        <v>0</v>
      </c>
      <c r="T45" s="34" t="n">
        <f aca="false">IFERROR(S45/S$20,0)</f>
        <v>0</v>
      </c>
      <c r="U45" s="24" t="n">
        <f aca="false">'LW 2026 P&amp;L'!$Y$40</f>
        <v>0</v>
      </c>
      <c r="V45" s="34" t="n">
        <f aca="false">IFERROR(U45/U$20,0)</f>
        <v>0</v>
      </c>
      <c r="W45" s="24" t="n">
        <f aca="false">'LW 2026 P&amp;L'!$Y$40</f>
        <v>0</v>
      </c>
      <c r="X45" s="34" t="n">
        <f aca="false">IFERROR(W45/W$20,0)</f>
        <v>0</v>
      </c>
      <c r="Y45" s="24" t="n">
        <f aca="false">'LW 2026 P&amp;L'!$Y$40</f>
        <v>0</v>
      </c>
      <c r="Z45" s="34" t="n">
        <f aca="false">IFERROR(Y45/Y$20,0)</f>
        <v>0</v>
      </c>
      <c r="AB45" s="24" t="n">
        <f aca="false">SUM(C45,E45,G45,I45,K45,M45,O45,Q45,S45,U45,W45,Y45)</f>
        <v>0</v>
      </c>
      <c r="AC45" s="34" t="n">
        <f aca="false">IFERROR(AB45/AB$20,0)</f>
        <v>0</v>
      </c>
    </row>
    <row r="46" customFormat="false" ht="15" hidden="false" customHeight="true" outlineLevel="0" collapsed="false">
      <c r="A46" s="5" t="s">
        <v>205</v>
      </c>
      <c r="C46" s="24" t="n">
        <f aca="false">C20*'LW Assumptions'!$C$49</f>
        <v>1081.66274125</v>
      </c>
      <c r="D46" s="34" t="n">
        <f aca="false">IFERROR(C46/C$20,0)</f>
        <v>0.035</v>
      </c>
      <c r="E46" s="24" t="n">
        <f aca="false">E20*'LW Assumptions'!$C$49</f>
        <v>1081.66274125</v>
      </c>
      <c r="F46" s="34" t="n">
        <f aca="false">IFERROR(E46/E$20,0)</f>
        <v>0.035</v>
      </c>
      <c r="G46" s="24" t="n">
        <f aca="false">G20*'LW Assumptions'!$C$49</f>
        <v>1081.66274125</v>
      </c>
      <c r="H46" s="34" t="n">
        <f aca="false">IFERROR(G46/G$20,0)</f>
        <v>0.035</v>
      </c>
      <c r="I46" s="24" t="n">
        <f aca="false">I20*'LW Assumptions'!$C$49</f>
        <v>1081.66274125</v>
      </c>
      <c r="J46" s="34" t="n">
        <f aca="false">IFERROR(I46/I$20,0)</f>
        <v>0.035</v>
      </c>
      <c r="K46" s="24" t="n">
        <f aca="false">K20*'LW Assumptions'!$C$49</f>
        <v>1081.66274125</v>
      </c>
      <c r="L46" s="34" t="n">
        <f aca="false">IFERROR(K46/K$20,0)</f>
        <v>0.035</v>
      </c>
      <c r="M46" s="24" t="n">
        <f aca="false">M20*'LW Assumptions'!$C$49</f>
        <v>1081.66274125</v>
      </c>
      <c r="N46" s="34" t="n">
        <f aca="false">IFERROR(M46/M$20,0)</f>
        <v>0.035</v>
      </c>
      <c r="O46" s="24" t="n">
        <f aca="false">O20*'LW Assumptions'!$C$49</f>
        <v>1081.66274125</v>
      </c>
      <c r="P46" s="34" t="n">
        <f aca="false">IFERROR(O46/O$20,0)</f>
        <v>0.035</v>
      </c>
      <c r="Q46" s="24" t="n">
        <f aca="false">Q20*'LW Assumptions'!$C$49</f>
        <v>1081.66274125</v>
      </c>
      <c r="R46" s="34" t="n">
        <f aca="false">IFERROR(Q46/Q$20,0)</f>
        <v>0.035</v>
      </c>
      <c r="S46" s="24" t="n">
        <f aca="false">S20*'LW Assumptions'!$C$49</f>
        <v>1081.66274125</v>
      </c>
      <c r="T46" s="34" t="n">
        <f aca="false">IFERROR(S46/S$20,0)</f>
        <v>0.035</v>
      </c>
      <c r="U46" s="24" t="n">
        <f aca="false">U20*'LW Assumptions'!$C$49</f>
        <v>1081.66274125</v>
      </c>
      <c r="V46" s="34" t="n">
        <f aca="false">IFERROR(U46/U$20,0)</f>
        <v>0.035</v>
      </c>
      <c r="W46" s="24" t="n">
        <f aca="false">W20*'LW Assumptions'!$C$49</f>
        <v>1081.66274125</v>
      </c>
      <c r="X46" s="34" t="n">
        <f aca="false">IFERROR(W46/W$20,0)</f>
        <v>0.035</v>
      </c>
      <c r="Y46" s="24" t="n">
        <f aca="false">Y20*'LW Assumptions'!$C$49</f>
        <v>1081.66274125</v>
      </c>
      <c r="Z46" s="34" t="n">
        <f aca="false">IFERROR(Y46/Y$20,0)</f>
        <v>0.035</v>
      </c>
      <c r="AB46" s="24" t="n">
        <f aca="false">SUM(C46,E46,G46,I46,K46,M46,O46,Q46,S46,U46,W46,Y46)</f>
        <v>12979.952895</v>
      </c>
      <c r="AC46" s="34" t="n">
        <f aca="false">IFERROR(AB46/AB$20,0)</f>
        <v>0.035</v>
      </c>
    </row>
    <row r="47" customFormat="false" ht="15" hidden="false" customHeight="true" outlineLevel="0" collapsed="false">
      <c r="A47" s="5" t="s">
        <v>206</v>
      </c>
      <c r="C47" s="24" t="n">
        <f aca="false">C20*'LW Assumptions'!$C$50</f>
        <v>2626.89522875</v>
      </c>
      <c r="D47" s="34" t="n">
        <f aca="false">IFERROR(C47/C$20,0)</f>
        <v>0.085</v>
      </c>
      <c r="E47" s="24" t="n">
        <f aca="false">E20*'LW Assumptions'!$C$50</f>
        <v>2626.89522875</v>
      </c>
      <c r="F47" s="34" t="n">
        <f aca="false">IFERROR(E47/E$20,0)</f>
        <v>0.085</v>
      </c>
      <c r="G47" s="24" t="n">
        <f aca="false">G20*'LW Assumptions'!$C$50</f>
        <v>2626.89522875</v>
      </c>
      <c r="H47" s="34" t="n">
        <f aca="false">IFERROR(G47/G$20,0)</f>
        <v>0.085</v>
      </c>
      <c r="I47" s="24" t="n">
        <f aca="false">I20*'LW Assumptions'!$C$50</f>
        <v>2626.89522875</v>
      </c>
      <c r="J47" s="34" t="n">
        <f aca="false">IFERROR(I47/I$20,0)</f>
        <v>0.085</v>
      </c>
      <c r="K47" s="24" t="n">
        <f aca="false">K20*'LW Assumptions'!$C$50</f>
        <v>2626.89522875</v>
      </c>
      <c r="L47" s="34" t="n">
        <f aca="false">IFERROR(K47/K$20,0)</f>
        <v>0.085</v>
      </c>
      <c r="M47" s="24" t="n">
        <f aca="false">M20*'LW Assumptions'!$C$50</f>
        <v>2626.89522875</v>
      </c>
      <c r="N47" s="34" t="n">
        <f aca="false">IFERROR(M47/M$20,0)</f>
        <v>0.085</v>
      </c>
      <c r="O47" s="24" t="n">
        <f aca="false">O20*'LW Assumptions'!$C$50</f>
        <v>2626.89522875</v>
      </c>
      <c r="P47" s="34" t="n">
        <f aca="false">IFERROR(O47/O$20,0)</f>
        <v>0.085</v>
      </c>
      <c r="Q47" s="24" t="n">
        <f aca="false">Q20*'LW Assumptions'!$C$50</f>
        <v>2626.89522875</v>
      </c>
      <c r="R47" s="34" t="n">
        <f aca="false">IFERROR(Q47/Q$20,0)</f>
        <v>0.085</v>
      </c>
      <c r="S47" s="24" t="n">
        <f aca="false">S20*'LW Assumptions'!$C$50</f>
        <v>2626.89522875</v>
      </c>
      <c r="T47" s="34" t="n">
        <f aca="false">IFERROR(S47/S$20,0)</f>
        <v>0.085</v>
      </c>
      <c r="U47" s="24" t="n">
        <f aca="false">U20*'LW Assumptions'!$C$50</f>
        <v>2626.89522875</v>
      </c>
      <c r="V47" s="34" t="n">
        <f aca="false">IFERROR(U47/U$20,0)</f>
        <v>0.085</v>
      </c>
      <c r="W47" s="24" t="n">
        <f aca="false">W20*'LW Assumptions'!$C$50</f>
        <v>2626.89522875</v>
      </c>
      <c r="X47" s="34" t="n">
        <f aca="false">IFERROR(W47/W$20,0)</f>
        <v>0.085</v>
      </c>
      <c r="Y47" s="24" t="n">
        <f aca="false">Y20*'LW Assumptions'!$C$50</f>
        <v>2626.89522875</v>
      </c>
      <c r="Z47" s="34" t="n">
        <f aca="false">IFERROR(Y47/Y$20,0)</f>
        <v>0.085</v>
      </c>
      <c r="AB47" s="24" t="n">
        <f aca="false">SUM(C47,E47,G47,I47,K47,M47,O47,Q47,S47,U47,W47,Y47)</f>
        <v>31522.742745</v>
      </c>
      <c r="AC47" s="34" t="n">
        <f aca="false">IFERROR(AB47/AB$20,0)</f>
        <v>0.085</v>
      </c>
    </row>
    <row r="48" customFormat="false" ht="15" hidden="false" customHeight="true" outlineLevel="0" collapsed="false">
      <c r="A48" s="5" t="s">
        <v>207</v>
      </c>
      <c r="C48" s="24" t="n">
        <f aca="false">'LW 2026 P&amp;L'!$Y$43</f>
        <v>73</v>
      </c>
      <c r="D48" s="34" t="n">
        <f aca="false">IFERROR(C48/C$20,0)</f>
        <v>0.0023621041037684</v>
      </c>
      <c r="E48" s="24" t="n">
        <f aca="false">'LW 2026 P&amp;L'!$Y$43</f>
        <v>73</v>
      </c>
      <c r="F48" s="34" t="n">
        <f aca="false">IFERROR(E48/E$20,0)</f>
        <v>0.0023621041037684</v>
      </c>
      <c r="G48" s="24" t="n">
        <f aca="false">'LW 2026 P&amp;L'!$Y$43</f>
        <v>73</v>
      </c>
      <c r="H48" s="34" t="n">
        <f aca="false">IFERROR(G48/G$20,0)</f>
        <v>0.0023621041037684</v>
      </c>
      <c r="I48" s="24" t="n">
        <f aca="false">'LW 2026 P&amp;L'!$Y$43</f>
        <v>73</v>
      </c>
      <c r="J48" s="34" t="n">
        <f aca="false">IFERROR(I48/I$20,0)</f>
        <v>0.0023621041037684</v>
      </c>
      <c r="K48" s="24" t="n">
        <f aca="false">'LW 2026 P&amp;L'!$Y$43</f>
        <v>73</v>
      </c>
      <c r="L48" s="34" t="n">
        <f aca="false">IFERROR(K48/K$20,0)</f>
        <v>0.0023621041037684</v>
      </c>
      <c r="M48" s="24" t="n">
        <f aca="false">'LW 2026 P&amp;L'!$Y$43</f>
        <v>73</v>
      </c>
      <c r="N48" s="34" t="n">
        <f aca="false">IFERROR(M48/M$20,0)</f>
        <v>0.0023621041037684</v>
      </c>
      <c r="O48" s="24" t="n">
        <f aca="false">'LW 2026 P&amp;L'!$Y$43</f>
        <v>73</v>
      </c>
      <c r="P48" s="34" t="n">
        <f aca="false">IFERROR(O48/O$20,0)</f>
        <v>0.0023621041037684</v>
      </c>
      <c r="Q48" s="24" t="n">
        <f aca="false">'LW 2026 P&amp;L'!$Y$43</f>
        <v>73</v>
      </c>
      <c r="R48" s="34" t="n">
        <f aca="false">IFERROR(Q48/Q$20,0)</f>
        <v>0.0023621041037684</v>
      </c>
      <c r="S48" s="24" t="n">
        <f aca="false">'LW 2026 P&amp;L'!$Y$43</f>
        <v>73</v>
      </c>
      <c r="T48" s="34" t="n">
        <f aca="false">IFERROR(S48/S$20,0)</f>
        <v>0.0023621041037684</v>
      </c>
      <c r="U48" s="24" t="n">
        <f aca="false">'LW 2026 P&amp;L'!$Y$43</f>
        <v>73</v>
      </c>
      <c r="V48" s="34" t="n">
        <f aca="false">IFERROR(U48/U$20,0)</f>
        <v>0.0023621041037684</v>
      </c>
      <c r="W48" s="24" t="n">
        <f aca="false">'LW 2026 P&amp;L'!$Y$43</f>
        <v>73</v>
      </c>
      <c r="X48" s="34" t="n">
        <f aca="false">IFERROR(W48/W$20,0)</f>
        <v>0.0023621041037684</v>
      </c>
      <c r="Y48" s="24" t="n">
        <f aca="false">'LW 2026 P&amp;L'!$Y$43</f>
        <v>73</v>
      </c>
      <c r="Z48" s="34" t="n">
        <f aca="false">IFERROR(Y48/Y$20,0)</f>
        <v>0.0023621041037684</v>
      </c>
      <c r="AB48" s="24" t="n">
        <f aca="false">SUM(C48,E48,G48,I48,K48,M48,O48,Q48,S48,U48,W48,Y48)</f>
        <v>876</v>
      </c>
      <c r="AC48" s="34" t="n">
        <f aca="false">IFERROR(AB48/AB$20,0)</f>
        <v>0.0023621041037684</v>
      </c>
    </row>
    <row r="49" customFormat="false" ht="15" hidden="false" customHeight="true" outlineLevel="0" collapsed="false">
      <c r="A49" s="5" t="s">
        <v>208</v>
      </c>
      <c r="C49" s="24" t="n">
        <v>0</v>
      </c>
      <c r="D49" s="34" t="n">
        <f aca="false">IFERROR(C49/C$20,0)</f>
        <v>0</v>
      </c>
      <c r="E49" s="24" t="n">
        <v>0</v>
      </c>
      <c r="F49" s="34" t="n">
        <f aca="false">IFERROR(E49/E$20,0)</f>
        <v>0</v>
      </c>
      <c r="G49" s="24" t="n">
        <v>0</v>
      </c>
      <c r="H49" s="34" t="n">
        <f aca="false">IFERROR(G49/G$20,0)</f>
        <v>0</v>
      </c>
      <c r="I49" s="24" t="n">
        <v>0</v>
      </c>
      <c r="J49" s="34" t="n">
        <f aca="false">IFERROR(I49/I$20,0)</f>
        <v>0</v>
      </c>
      <c r="K49" s="24" t="n">
        <v>0</v>
      </c>
      <c r="L49" s="34" t="n">
        <f aca="false">IFERROR(K49/K$20,0)</f>
        <v>0</v>
      </c>
      <c r="M49" s="24" t="n">
        <v>0</v>
      </c>
      <c r="N49" s="34" t="n">
        <f aca="false">IFERROR(M49/M$20,0)</f>
        <v>0</v>
      </c>
      <c r="O49" s="24" t="n">
        <v>0</v>
      </c>
      <c r="P49" s="34" t="n">
        <f aca="false">IFERROR(O49/O$20,0)</f>
        <v>0</v>
      </c>
      <c r="Q49" s="24" t="n">
        <v>0</v>
      </c>
      <c r="R49" s="34" t="n">
        <f aca="false">IFERROR(Q49/Q$20,0)</f>
        <v>0</v>
      </c>
      <c r="S49" s="24" t="n">
        <v>0</v>
      </c>
      <c r="T49" s="34" t="n">
        <f aca="false">IFERROR(S49/S$20,0)</f>
        <v>0</v>
      </c>
      <c r="U49" s="24" t="n">
        <v>0</v>
      </c>
      <c r="V49" s="34" t="n">
        <f aca="false">IFERROR(U49/U$20,0)</f>
        <v>0</v>
      </c>
      <c r="W49" s="24" t="n">
        <v>0</v>
      </c>
      <c r="X49" s="34" t="n">
        <f aca="false">IFERROR(W49/W$20,0)</f>
        <v>0</v>
      </c>
      <c r="Y49" s="24" t="n">
        <v>0</v>
      </c>
      <c r="Z49" s="34" t="n">
        <f aca="false">IFERROR(Y49/Y$20,0)</f>
        <v>0</v>
      </c>
      <c r="AB49" s="24" t="n">
        <f aca="false">SUM(C49,E49,G49,I49,K49,M49,O49,Q49,S49,U49,W49,Y49)</f>
        <v>0</v>
      </c>
      <c r="AC49" s="34" t="n">
        <f aca="false">IFERROR(AB49/AB$20,0)</f>
        <v>0</v>
      </c>
    </row>
    <row r="50" customFormat="false" ht="15" hidden="false" customHeight="true" outlineLevel="0" collapsed="false">
      <c r="A50" s="6" t="s">
        <v>209</v>
      </c>
      <c r="C50" s="27" t="n">
        <f aca="false">SUM(C44:C49)</f>
        <v>7644.63918875</v>
      </c>
      <c r="D50" s="35" t="n">
        <f aca="false">IFERROR(C50/C$20,0)</f>
        <v>0.247362104103768</v>
      </c>
      <c r="E50" s="27" t="n">
        <f aca="false">SUM(E44:E49)</f>
        <v>7644.63918875</v>
      </c>
      <c r="F50" s="35" t="n">
        <f aca="false">IFERROR(E50/E$20,0)</f>
        <v>0.247362104103768</v>
      </c>
      <c r="G50" s="27" t="n">
        <f aca="false">SUM(G44:G49)</f>
        <v>7644.63918875</v>
      </c>
      <c r="H50" s="35" t="n">
        <f aca="false">IFERROR(G50/G$20,0)</f>
        <v>0.247362104103768</v>
      </c>
      <c r="I50" s="27" t="n">
        <f aca="false">SUM(I44:I49)</f>
        <v>7644.63918875</v>
      </c>
      <c r="J50" s="35" t="n">
        <f aca="false">IFERROR(I50/I$20,0)</f>
        <v>0.247362104103768</v>
      </c>
      <c r="K50" s="27" t="n">
        <f aca="false">SUM(K44:K49)</f>
        <v>7644.63918875</v>
      </c>
      <c r="L50" s="35" t="n">
        <f aca="false">IFERROR(K50/K$20,0)</f>
        <v>0.247362104103768</v>
      </c>
      <c r="M50" s="27" t="n">
        <f aca="false">SUM(M44:M49)</f>
        <v>7644.63918875</v>
      </c>
      <c r="N50" s="35" t="n">
        <f aca="false">IFERROR(M50/M$20,0)</f>
        <v>0.247362104103768</v>
      </c>
      <c r="O50" s="27" t="n">
        <f aca="false">SUM(O44:O49)</f>
        <v>7644.63918875</v>
      </c>
      <c r="P50" s="35" t="n">
        <f aca="false">IFERROR(O50/O$20,0)</f>
        <v>0.247362104103768</v>
      </c>
      <c r="Q50" s="27" t="n">
        <f aca="false">SUM(Q44:Q49)</f>
        <v>7644.63918875</v>
      </c>
      <c r="R50" s="35" t="n">
        <f aca="false">IFERROR(Q50/Q$20,0)</f>
        <v>0.247362104103768</v>
      </c>
      <c r="S50" s="27" t="n">
        <f aca="false">SUM(S44:S49)</f>
        <v>7644.63918875</v>
      </c>
      <c r="T50" s="35" t="n">
        <f aca="false">IFERROR(S50/S$20,0)</f>
        <v>0.247362104103768</v>
      </c>
      <c r="U50" s="27" t="n">
        <f aca="false">SUM(U44:U49)</f>
        <v>7644.63918875</v>
      </c>
      <c r="V50" s="35" t="n">
        <f aca="false">IFERROR(U50/U$20,0)</f>
        <v>0.247362104103768</v>
      </c>
      <c r="W50" s="27" t="n">
        <f aca="false">SUM(W44:W49)</f>
        <v>7644.63918875</v>
      </c>
      <c r="X50" s="35" t="n">
        <f aca="false">IFERROR(W50/W$20,0)</f>
        <v>0.247362104103768</v>
      </c>
      <c r="Y50" s="27" t="n">
        <f aca="false">SUM(Y44:Y49)</f>
        <v>7644.63918875</v>
      </c>
      <c r="Z50" s="35" t="n">
        <f aca="false">IFERROR(Y50/Y$20,0)</f>
        <v>0.247362104103768</v>
      </c>
      <c r="AB50" s="27" t="n">
        <f aca="false">SUM(AB44:AB49)</f>
        <v>91735.670265</v>
      </c>
      <c r="AC50" s="35" t="n">
        <f aca="false">IFERROR(AB50/AB$20,0)</f>
        <v>0.247362104103768</v>
      </c>
    </row>
    <row r="52" customFormat="false" ht="15" hidden="false" customHeight="true" outlineLevel="0" collapsed="false">
      <c r="A52" s="6" t="s">
        <v>210</v>
      </c>
    </row>
    <row r="53" customFormat="false" ht="15" hidden="false" customHeight="true" outlineLevel="0" collapsed="false">
      <c r="A53" s="5" t="s">
        <v>211</v>
      </c>
      <c r="C53" s="24" t="n">
        <f aca="false">'LW 2026 P&amp;L'!$Y$47</f>
        <v>249</v>
      </c>
      <c r="D53" s="34" t="n">
        <f aca="false">IFERROR(C53/C$20,0)</f>
        <v>0.00805704002518262</v>
      </c>
      <c r="E53" s="24" t="n">
        <f aca="false">'LW 2026 P&amp;L'!$Y$47</f>
        <v>249</v>
      </c>
      <c r="F53" s="34" t="n">
        <f aca="false">IFERROR(E53/E$20,0)</f>
        <v>0.00805704002518262</v>
      </c>
      <c r="G53" s="24" t="n">
        <f aca="false">'LW 2026 P&amp;L'!$Y$47</f>
        <v>249</v>
      </c>
      <c r="H53" s="34" t="n">
        <f aca="false">IFERROR(G53/G$20,0)</f>
        <v>0.00805704002518262</v>
      </c>
      <c r="I53" s="24" t="n">
        <f aca="false">'LW 2026 P&amp;L'!$Y$47</f>
        <v>249</v>
      </c>
      <c r="J53" s="34" t="n">
        <f aca="false">IFERROR(I53/I$20,0)</f>
        <v>0.00805704002518262</v>
      </c>
      <c r="K53" s="24" t="n">
        <f aca="false">'LW 2026 P&amp;L'!$Y$47</f>
        <v>249</v>
      </c>
      <c r="L53" s="34" t="n">
        <f aca="false">IFERROR(K53/K$20,0)</f>
        <v>0.00805704002518262</v>
      </c>
      <c r="M53" s="24" t="n">
        <f aca="false">'LW 2026 P&amp;L'!$Y$47</f>
        <v>249</v>
      </c>
      <c r="N53" s="34" t="n">
        <f aca="false">IFERROR(M53/M$20,0)</f>
        <v>0.00805704002518262</v>
      </c>
      <c r="O53" s="24" t="n">
        <f aca="false">'LW 2026 P&amp;L'!$Y$47</f>
        <v>249</v>
      </c>
      <c r="P53" s="34" t="n">
        <f aca="false">IFERROR(O53/O$20,0)</f>
        <v>0.00805704002518262</v>
      </c>
      <c r="Q53" s="24" t="n">
        <f aca="false">'LW 2026 P&amp;L'!$Y$47</f>
        <v>249</v>
      </c>
      <c r="R53" s="34" t="n">
        <f aca="false">IFERROR(Q53/Q$20,0)</f>
        <v>0.00805704002518262</v>
      </c>
      <c r="S53" s="24" t="n">
        <f aca="false">'LW 2026 P&amp;L'!$Y$47</f>
        <v>249</v>
      </c>
      <c r="T53" s="34" t="n">
        <f aca="false">IFERROR(S53/S$20,0)</f>
        <v>0.00805704002518262</v>
      </c>
      <c r="U53" s="24" t="n">
        <f aca="false">'LW 2026 P&amp;L'!$Y$47</f>
        <v>249</v>
      </c>
      <c r="V53" s="34" t="n">
        <f aca="false">IFERROR(U53/U$20,0)</f>
        <v>0.00805704002518262</v>
      </c>
      <c r="W53" s="24" t="n">
        <f aca="false">'LW 2026 P&amp;L'!$Y$47</f>
        <v>249</v>
      </c>
      <c r="X53" s="34" t="n">
        <f aca="false">IFERROR(W53/W$20,0)</f>
        <v>0.00805704002518262</v>
      </c>
      <c r="Y53" s="24" t="n">
        <f aca="false">'LW 2026 P&amp;L'!$Y$47</f>
        <v>249</v>
      </c>
      <c r="Z53" s="34" t="n">
        <f aca="false">IFERROR(Y53/Y$20,0)</f>
        <v>0.00805704002518262</v>
      </c>
      <c r="AB53" s="24" t="n">
        <f aca="false">SUM(C53,E53,G53,I53,K53,M53,O53,Q53,S53,U53,W53,Y53)</f>
        <v>2988</v>
      </c>
      <c r="AC53" s="34" t="n">
        <f aca="false">IFERROR(AB53/AB$20,0)</f>
        <v>0.00805704002518262</v>
      </c>
    </row>
    <row r="54" customFormat="false" ht="15" hidden="false" customHeight="true" outlineLevel="0" collapsed="false">
      <c r="A54" s="5" t="s">
        <v>212</v>
      </c>
      <c r="C54" s="24" t="n">
        <f aca="false">C20*'LW Assumptions'!$C$41</f>
        <v>0</v>
      </c>
      <c r="D54" s="34" t="n">
        <f aca="false">IFERROR(C54/C$20,0)</f>
        <v>0</v>
      </c>
      <c r="E54" s="24" t="n">
        <f aca="false">E20*'LW Assumptions'!$C$41</f>
        <v>0</v>
      </c>
      <c r="F54" s="34" t="n">
        <f aca="false">IFERROR(E54/E$20,0)</f>
        <v>0</v>
      </c>
      <c r="G54" s="24" t="n">
        <f aca="false">G20*'LW Assumptions'!$C$41</f>
        <v>0</v>
      </c>
      <c r="H54" s="34" t="n">
        <f aca="false">IFERROR(G54/G$20,0)</f>
        <v>0</v>
      </c>
      <c r="I54" s="24" t="n">
        <f aca="false">I20*'LW Assumptions'!$C$41</f>
        <v>0</v>
      </c>
      <c r="J54" s="34" t="n">
        <f aca="false">IFERROR(I54/I$20,0)</f>
        <v>0</v>
      </c>
      <c r="K54" s="24" t="n">
        <f aca="false">K20*'LW Assumptions'!$C$41</f>
        <v>0</v>
      </c>
      <c r="L54" s="34" t="n">
        <f aca="false">IFERROR(K54/K$20,0)</f>
        <v>0</v>
      </c>
      <c r="M54" s="24" t="n">
        <f aca="false">M20*'LW Assumptions'!$C$41</f>
        <v>0</v>
      </c>
      <c r="N54" s="34" t="n">
        <f aca="false">IFERROR(M54/M$20,0)</f>
        <v>0</v>
      </c>
      <c r="O54" s="24" t="n">
        <f aca="false">O20*'LW Assumptions'!$C$41</f>
        <v>0</v>
      </c>
      <c r="P54" s="34" t="n">
        <f aca="false">IFERROR(O54/O$20,0)</f>
        <v>0</v>
      </c>
      <c r="Q54" s="24" t="n">
        <f aca="false">Q20*'LW Assumptions'!$C$41</f>
        <v>0</v>
      </c>
      <c r="R54" s="34" t="n">
        <f aca="false">IFERROR(Q54/Q$20,0)</f>
        <v>0</v>
      </c>
      <c r="S54" s="24" t="n">
        <f aca="false">S20*'LW Assumptions'!$C$41</f>
        <v>0</v>
      </c>
      <c r="T54" s="34" t="n">
        <f aca="false">IFERROR(S54/S$20,0)</f>
        <v>0</v>
      </c>
      <c r="U54" s="24" t="n">
        <f aca="false">U20*'LW Assumptions'!$C$41</f>
        <v>0</v>
      </c>
      <c r="V54" s="34" t="n">
        <f aca="false">IFERROR(U54/U$20,0)</f>
        <v>0</v>
      </c>
      <c r="W54" s="24" t="n">
        <f aca="false">W20*'LW Assumptions'!$C$41</f>
        <v>0</v>
      </c>
      <c r="X54" s="34" t="n">
        <f aca="false">IFERROR(W54/W$20,0)</f>
        <v>0</v>
      </c>
      <c r="Y54" s="24" t="n">
        <f aca="false">Y20*'LW Assumptions'!$C$41</f>
        <v>0</v>
      </c>
      <c r="Z54" s="34" t="n">
        <f aca="false">IFERROR(Y54/Y$20,0)</f>
        <v>0</v>
      </c>
      <c r="AB54" s="24" t="n">
        <f aca="false">SUM(C54,E54,G54,I54,K54,M54,O54,Q54,S54,U54,W54,Y54)</f>
        <v>0</v>
      </c>
      <c r="AC54" s="34" t="n">
        <f aca="false">IFERROR(AB54/AB$20,0)</f>
        <v>0</v>
      </c>
    </row>
    <row r="55" customFormat="false" ht="15" hidden="false" customHeight="true" outlineLevel="0" collapsed="false">
      <c r="A55" s="5" t="s">
        <v>649</v>
      </c>
      <c r="C55" s="24" t="n">
        <f aca="false">C20*'LW Assumptions'!$C$52</f>
        <v>1390.70923875</v>
      </c>
      <c r="D55" s="34" t="n">
        <f aca="false">IFERROR(C55/C$20,0)</f>
        <v>0.045</v>
      </c>
      <c r="E55" s="24" t="n">
        <f aca="false">E20*'LW Assumptions'!$C$52</f>
        <v>1390.70923875</v>
      </c>
      <c r="F55" s="34" t="n">
        <f aca="false">IFERROR(E55/E$20,0)</f>
        <v>0.045</v>
      </c>
      <c r="G55" s="24" t="n">
        <f aca="false">G20*'LW Assumptions'!$C$52</f>
        <v>1390.70923875</v>
      </c>
      <c r="H55" s="34" t="n">
        <f aca="false">IFERROR(G55/G$20,0)</f>
        <v>0.045</v>
      </c>
      <c r="I55" s="24" t="n">
        <f aca="false">I20*'LW Assumptions'!$C$52</f>
        <v>1390.70923875</v>
      </c>
      <c r="J55" s="34" t="n">
        <f aca="false">IFERROR(I55/I$20,0)</f>
        <v>0.045</v>
      </c>
      <c r="K55" s="24" t="n">
        <f aca="false">K20*'LW Assumptions'!$C$52</f>
        <v>1390.70923875</v>
      </c>
      <c r="L55" s="34" t="n">
        <f aca="false">IFERROR(K55/K$20,0)</f>
        <v>0.045</v>
      </c>
      <c r="M55" s="24" t="n">
        <f aca="false">M20*'LW Assumptions'!$C$52</f>
        <v>1390.70923875</v>
      </c>
      <c r="N55" s="34" t="n">
        <f aca="false">IFERROR(M55/M$20,0)</f>
        <v>0.045</v>
      </c>
      <c r="O55" s="24" t="n">
        <f aca="false">O20*'LW Assumptions'!$C$52</f>
        <v>1390.70923875</v>
      </c>
      <c r="P55" s="34" t="n">
        <f aca="false">IFERROR(O55/O$20,0)</f>
        <v>0.045</v>
      </c>
      <c r="Q55" s="24" t="n">
        <f aca="false">Q20*'LW Assumptions'!$C$52</f>
        <v>1390.70923875</v>
      </c>
      <c r="R55" s="34" t="n">
        <f aca="false">IFERROR(Q55/Q$20,0)</f>
        <v>0.045</v>
      </c>
      <c r="S55" s="24" t="n">
        <f aca="false">S20*'LW Assumptions'!$C$52</f>
        <v>1390.70923875</v>
      </c>
      <c r="T55" s="34" t="n">
        <f aca="false">IFERROR(S55/S$20,0)</f>
        <v>0.045</v>
      </c>
      <c r="U55" s="24" t="n">
        <f aca="false">U20*'LW Assumptions'!$C$52</f>
        <v>1390.70923875</v>
      </c>
      <c r="V55" s="34" t="n">
        <f aca="false">IFERROR(U55/U$20,0)</f>
        <v>0.045</v>
      </c>
      <c r="W55" s="24" t="n">
        <f aca="false">W20*'LW Assumptions'!$C$52</f>
        <v>1390.70923875</v>
      </c>
      <c r="X55" s="34" t="n">
        <f aca="false">IFERROR(W55/W$20,0)</f>
        <v>0.045</v>
      </c>
      <c r="Y55" s="24" t="n">
        <f aca="false">Y20*'LW Assumptions'!$C$52</f>
        <v>1390.70923875</v>
      </c>
      <c r="Z55" s="34" t="n">
        <f aca="false">IFERROR(Y55/Y$20,0)</f>
        <v>0.045</v>
      </c>
      <c r="AB55" s="24" t="n">
        <f aca="false">SUM(C55,E55,G55,I55,K55,M55,O55,Q55,S55,U55,W55,Y55)</f>
        <v>16688.510865</v>
      </c>
      <c r="AC55" s="34" t="n">
        <f aca="false">IFERROR(AB55/AB$20,0)</f>
        <v>0.045</v>
      </c>
    </row>
    <row r="56" customFormat="false" ht="15" hidden="false" customHeight="true" outlineLevel="0" collapsed="false">
      <c r="A56" s="5" t="s">
        <v>143</v>
      </c>
      <c r="C56" s="24" t="n">
        <f aca="false">C20*'LW Assumptions'!$C$40</f>
        <v>1236.18599</v>
      </c>
      <c r="D56" s="34" t="n">
        <f aca="false">IFERROR(C56/C$20,0)</f>
        <v>0.04</v>
      </c>
      <c r="E56" s="24" t="n">
        <f aca="false">E20*'LW Assumptions'!$C$40</f>
        <v>1236.18599</v>
      </c>
      <c r="F56" s="34" t="n">
        <f aca="false">IFERROR(E56/E$20,0)</f>
        <v>0.04</v>
      </c>
      <c r="G56" s="24" t="n">
        <f aca="false">G20*'LW Assumptions'!$C$40</f>
        <v>1236.18599</v>
      </c>
      <c r="H56" s="34" t="n">
        <f aca="false">IFERROR(G56/G$20,0)</f>
        <v>0.04</v>
      </c>
      <c r="I56" s="24" t="n">
        <f aca="false">I20*'LW Assumptions'!$C$40</f>
        <v>1236.18599</v>
      </c>
      <c r="J56" s="34" t="n">
        <f aca="false">IFERROR(I56/I$20,0)</f>
        <v>0.04</v>
      </c>
      <c r="K56" s="24" t="n">
        <f aca="false">K20*'LW Assumptions'!$C$40</f>
        <v>1236.18599</v>
      </c>
      <c r="L56" s="34" t="n">
        <f aca="false">IFERROR(K56/K$20,0)</f>
        <v>0.04</v>
      </c>
      <c r="M56" s="24" t="n">
        <f aca="false">M20*'LW Assumptions'!$C$40</f>
        <v>1236.18599</v>
      </c>
      <c r="N56" s="34" t="n">
        <f aca="false">IFERROR(M56/M$20,0)</f>
        <v>0.04</v>
      </c>
      <c r="O56" s="24" t="n">
        <f aca="false">O20*'LW Assumptions'!$C$40</f>
        <v>1236.18599</v>
      </c>
      <c r="P56" s="34" t="n">
        <f aca="false">IFERROR(O56/O$20,0)</f>
        <v>0.04</v>
      </c>
      <c r="Q56" s="24" t="n">
        <f aca="false">Q20*'LW Assumptions'!$C$40</f>
        <v>1236.18599</v>
      </c>
      <c r="R56" s="34" t="n">
        <f aca="false">IFERROR(Q56/Q$20,0)</f>
        <v>0.04</v>
      </c>
      <c r="S56" s="24" t="n">
        <f aca="false">S20*'LW Assumptions'!$C$40</f>
        <v>1236.18599</v>
      </c>
      <c r="T56" s="34" t="n">
        <f aca="false">IFERROR(S56/S$20,0)</f>
        <v>0.04</v>
      </c>
      <c r="U56" s="24" t="n">
        <f aca="false">U20*'LW Assumptions'!$C$40</f>
        <v>1236.18599</v>
      </c>
      <c r="V56" s="34" t="n">
        <f aca="false">IFERROR(U56/U$20,0)</f>
        <v>0.04</v>
      </c>
      <c r="W56" s="24" t="n">
        <f aca="false">W20*'LW Assumptions'!$C$40</f>
        <v>1236.18599</v>
      </c>
      <c r="X56" s="34" t="n">
        <f aca="false">IFERROR(W56/W$20,0)</f>
        <v>0.04</v>
      </c>
      <c r="Y56" s="24" t="n">
        <f aca="false">Y20*'LW Assumptions'!$C$40</f>
        <v>1236.18599</v>
      </c>
      <c r="Z56" s="34" t="n">
        <f aca="false">IFERROR(Y56/Y$20,0)</f>
        <v>0.04</v>
      </c>
      <c r="AB56" s="24" t="n">
        <f aca="false">SUM(C56,E56,G56,I56,K56,M56,O56,Q56,S56,U56,W56,Y56)</f>
        <v>14834.23188</v>
      </c>
      <c r="AC56" s="34" t="n">
        <f aca="false">IFERROR(AB56/AB$20,0)</f>
        <v>0.04</v>
      </c>
    </row>
    <row r="57" customFormat="false" ht="15" hidden="false" customHeight="true" outlineLevel="0" collapsed="false">
      <c r="A57" s="5" t="s">
        <v>214</v>
      </c>
      <c r="C57" s="24" t="n">
        <v>0</v>
      </c>
      <c r="D57" s="34" t="n">
        <f aca="false">IFERROR(C57/C$20,0)</f>
        <v>0</v>
      </c>
      <c r="E57" s="24" t="n">
        <v>0</v>
      </c>
      <c r="F57" s="34" t="n">
        <f aca="false">IFERROR(E57/E$20,0)</f>
        <v>0</v>
      </c>
      <c r="G57" s="24" t="n">
        <v>0</v>
      </c>
      <c r="H57" s="34" t="n">
        <f aca="false">IFERROR(G57/G$20,0)</f>
        <v>0</v>
      </c>
      <c r="I57" s="24" t="n">
        <v>0</v>
      </c>
      <c r="J57" s="34" t="n">
        <f aca="false">IFERROR(I57/I$20,0)</f>
        <v>0</v>
      </c>
      <c r="K57" s="24" t="n">
        <v>0</v>
      </c>
      <c r="L57" s="34" t="n">
        <f aca="false">IFERROR(K57/K$20,0)</f>
        <v>0</v>
      </c>
      <c r="M57" s="24" t="n">
        <v>0</v>
      </c>
      <c r="N57" s="34" t="n">
        <f aca="false">IFERROR(M57/M$20,0)</f>
        <v>0</v>
      </c>
      <c r="O57" s="24" t="n">
        <v>0</v>
      </c>
      <c r="P57" s="34" t="n">
        <f aca="false">IFERROR(O57/O$20,0)</f>
        <v>0</v>
      </c>
      <c r="Q57" s="24" t="n">
        <v>0</v>
      </c>
      <c r="R57" s="34" t="n">
        <f aca="false">IFERROR(Q57/Q$20,0)</f>
        <v>0</v>
      </c>
      <c r="S57" s="24" t="n">
        <v>0</v>
      </c>
      <c r="T57" s="34" t="n">
        <f aca="false">IFERROR(S57/S$20,0)</f>
        <v>0</v>
      </c>
      <c r="U57" s="24" t="n">
        <v>0</v>
      </c>
      <c r="V57" s="34" t="n">
        <f aca="false">IFERROR(U57/U$20,0)</f>
        <v>0</v>
      </c>
      <c r="W57" s="24" t="n">
        <v>0</v>
      </c>
      <c r="X57" s="34" t="n">
        <f aca="false">IFERROR(W57/W$20,0)</f>
        <v>0</v>
      </c>
      <c r="Y57" s="24" t="n">
        <v>0</v>
      </c>
      <c r="Z57" s="34" t="n">
        <f aca="false">IFERROR(Y57/Y$20,0)</f>
        <v>0</v>
      </c>
      <c r="AB57" s="24" t="n">
        <f aca="false">SUM(C57,E57,G57,I57,K57,M57,O57,Q57,S57,U57,W57,Y57)</f>
        <v>0</v>
      </c>
      <c r="AC57" s="34" t="n">
        <f aca="false">IFERROR(AB57/AB$20,0)</f>
        <v>0</v>
      </c>
    </row>
    <row r="58" customFormat="false" ht="15" hidden="false" customHeight="true" outlineLevel="0" collapsed="false">
      <c r="A58" s="5" t="s">
        <v>215</v>
      </c>
      <c r="C58" s="24" t="n">
        <f aca="false">'LW 2026 P&amp;L'!$Y$51</f>
        <v>0</v>
      </c>
      <c r="D58" s="34" t="n">
        <f aca="false">IFERROR(C58/C$20,0)</f>
        <v>0</v>
      </c>
      <c r="E58" s="24" t="n">
        <f aca="false">'LW 2026 P&amp;L'!$Y$51</f>
        <v>0</v>
      </c>
      <c r="F58" s="34" t="n">
        <f aca="false">IFERROR(E58/E$20,0)</f>
        <v>0</v>
      </c>
      <c r="G58" s="24" t="n">
        <f aca="false">'LW 2026 P&amp;L'!$Y$51</f>
        <v>0</v>
      </c>
      <c r="H58" s="34" t="n">
        <f aca="false">IFERROR(G58/G$20,0)</f>
        <v>0</v>
      </c>
      <c r="I58" s="24" t="n">
        <f aca="false">'LW 2026 P&amp;L'!$Y$51</f>
        <v>0</v>
      </c>
      <c r="J58" s="34" t="n">
        <f aca="false">IFERROR(I58/I$20,0)</f>
        <v>0</v>
      </c>
      <c r="K58" s="24" t="n">
        <f aca="false">'LW 2026 P&amp;L'!$Y$51</f>
        <v>0</v>
      </c>
      <c r="L58" s="34" t="n">
        <f aca="false">IFERROR(K58/K$20,0)</f>
        <v>0</v>
      </c>
      <c r="M58" s="24" t="n">
        <f aca="false">'LW 2026 P&amp;L'!$Y$51</f>
        <v>0</v>
      </c>
      <c r="N58" s="34" t="n">
        <f aca="false">IFERROR(M58/M$20,0)</f>
        <v>0</v>
      </c>
      <c r="O58" s="24" t="n">
        <f aca="false">'LW 2026 P&amp;L'!$Y$51</f>
        <v>0</v>
      </c>
      <c r="P58" s="34" t="n">
        <f aca="false">IFERROR(O58/O$20,0)</f>
        <v>0</v>
      </c>
      <c r="Q58" s="24" t="n">
        <f aca="false">'LW 2026 P&amp;L'!$Y$51</f>
        <v>0</v>
      </c>
      <c r="R58" s="34" t="n">
        <f aca="false">IFERROR(Q58/Q$20,0)</f>
        <v>0</v>
      </c>
      <c r="S58" s="24" t="n">
        <f aca="false">'LW 2026 P&amp;L'!$Y$51</f>
        <v>0</v>
      </c>
      <c r="T58" s="34" t="n">
        <f aca="false">IFERROR(S58/S$20,0)</f>
        <v>0</v>
      </c>
      <c r="U58" s="24" t="n">
        <f aca="false">'LW 2026 P&amp;L'!$Y$51</f>
        <v>0</v>
      </c>
      <c r="V58" s="34" t="n">
        <f aca="false">IFERROR(U58/U$20,0)</f>
        <v>0</v>
      </c>
      <c r="W58" s="24" t="n">
        <f aca="false">'LW 2026 P&amp;L'!$Y$51</f>
        <v>0</v>
      </c>
      <c r="X58" s="34" t="n">
        <f aca="false">IFERROR(W58/W$20,0)</f>
        <v>0</v>
      </c>
      <c r="Y58" s="24" t="n">
        <f aca="false">'LW 2026 P&amp;L'!$Y$51</f>
        <v>0</v>
      </c>
      <c r="Z58" s="34" t="n">
        <f aca="false">IFERROR(Y58/Y$20,0)</f>
        <v>0</v>
      </c>
      <c r="AB58" s="24" t="n">
        <f aca="false">SUM(C58,E58,G58,I58,K58,M58,O58,Q58,S58,U58,W58,Y58)</f>
        <v>0</v>
      </c>
      <c r="AC58" s="34" t="n">
        <f aca="false">IFERROR(AB58/AB$20,0)</f>
        <v>0</v>
      </c>
    </row>
    <row r="59" customFormat="false" ht="15" hidden="false" customHeight="true" outlineLevel="0" collapsed="false">
      <c r="A59" s="5" t="s">
        <v>216</v>
      </c>
      <c r="C59" s="24" t="n">
        <f aca="false">'LW 2026 P&amp;L'!$Y$52</f>
        <v>0</v>
      </c>
      <c r="D59" s="34" t="n">
        <f aca="false">IFERROR(C59/C$20,0)</f>
        <v>0</v>
      </c>
      <c r="E59" s="24" t="n">
        <f aca="false">'LW 2026 P&amp;L'!$Y$52</f>
        <v>0</v>
      </c>
      <c r="F59" s="34" t="n">
        <f aca="false">IFERROR(E59/E$20,0)</f>
        <v>0</v>
      </c>
      <c r="G59" s="24" t="n">
        <f aca="false">'LW 2026 P&amp;L'!$Y$52</f>
        <v>0</v>
      </c>
      <c r="H59" s="34" t="n">
        <f aca="false">IFERROR(G59/G$20,0)</f>
        <v>0</v>
      </c>
      <c r="I59" s="24" t="n">
        <f aca="false">'LW 2026 P&amp;L'!$Y$52</f>
        <v>0</v>
      </c>
      <c r="J59" s="34" t="n">
        <f aca="false">IFERROR(I59/I$20,0)</f>
        <v>0</v>
      </c>
      <c r="K59" s="24" t="n">
        <f aca="false">'LW 2026 P&amp;L'!$Y$52</f>
        <v>0</v>
      </c>
      <c r="L59" s="34" t="n">
        <f aca="false">IFERROR(K59/K$20,0)</f>
        <v>0</v>
      </c>
      <c r="M59" s="24" t="n">
        <f aca="false">'LW 2026 P&amp;L'!$Y$52</f>
        <v>0</v>
      </c>
      <c r="N59" s="34" t="n">
        <f aca="false">IFERROR(M59/M$20,0)</f>
        <v>0</v>
      </c>
      <c r="O59" s="24" t="n">
        <f aca="false">'LW 2026 P&amp;L'!$Y$52</f>
        <v>0</v>
      </c>
      <c r="P59" s="34" t="n">
        <f aca="false">IFERROR(O59/O$20,0)</f>
        <v>0</v>
      </c>
      <c r="Q59" s="24" t="n">
        <f aca="false">'LW 2026 P&amp;L'!$Y$52</f>
        <v>0</v>
      </c>
      <c r="R59" s="34" t="n">
        <f aca="false">IFERROR(Q59/Q$20,0)</f>
        <v>0</v>
      </c>
      <c r="S59" s="24" t="n">
        <f aca="false">'LW 2026 P&amp;L'!$Y$52</f>
        <v>0</v>
      </c>
      <c r="T59" s="34" t="n">
        <f aca="false">IFERROR(S59/S$20,0)</f>
        <v>0</v>
      </c>
      <c r="U59" s="24" t="n">
        <f aca="false">'LW 2026 P&amp;L'!$Y$52</f>
        <v>0</v>
      </c>
      <c r="V59" s="34" t="n">
        <f aca="false">IFERROR(U59/U$20,0)</f>
        <v>0</v>
      </c>
      <c r="W59" s="24" t="n">
        <f aca="false">'LW 2026 P&amp;L'!$Y$52</f>
        <v>0</v>
      </c>
      <c r="X59" s="34" t="n">
        <f aca="false">IFERROR(W59/W$20,0)</f>
        <v>0</v>
      </c>
      <c r="Y59" s="24" t="n">
        <f aca="false">'LW 2026 P&amp;L'!$Y$52</f>
        <v>0</v>
      </c>
      <c r="Z59" s="34" t="n">
        <f aca="false">IFERROR(Y59/Y$20,0)</f>
        <v>0</v>
      </c>
      <c r="AB59" s="24" t="n">
        <f aca="false">SUM(C59,E59,G59,I59,K59,M59,O59,Q59,S59,U59,W59,Y59)</f>
        <v>0</v>
      </c>
      <c r="AC59" s="34" t="n">
        <f aca="false">IFERROR(AB59/AB$20,0)</f>
        <v>0</v>
      </c>
    </row>
    <row r="60" customFormat="false" ht="15" hidden="false" customHeight="true" outlineLevel="0" collapsed="false">
      <c r="A60" s="6" t="s">
        <v>217</v>
      </c>
      <c r="C60" s="27" t="n">
        <f aca="false">SUM(C53:C59)</f>
        <v>2875.89522875</v>
      </c>
      <c r="D60" s="35" t="n">
        <f aca="false">IFERROR(C60/C$20,0)</f>
        <v>0.0930570400251826</v>
      </c>
      <c r="E60" s="27" t="n">
        <f aca="false">SUM(E53:E59)</f>
        <v>2875.89522875</v>
      </c>
      <c r="F60" s="35" t="n">
        <f aca="false">IFERROR(E60/E$20,0)</f>
        <v>0.0930570400251826</v>
      </c>
      <c r="G60" s="27" t="n">
        <f aca="false">SUM(G53:G59)</f>
        <v>2875.89522875</v>
      </c>
      <c r="H60" s="35" t="n">
        <f aca="false">IFERROR(G60/G$20,0)</f>
        <v>0.0930570400251826</v>
      </c>
      <c r="I60" s="27" t="n">
        <f aca="false">SUM(I53:I59)</f>
        <v>2875.89522875</v>
      </c>
      <c r="J60" s="35" t="n">
        <f aca="false">IFERROR(I60/I$20,0)</f>
        <v>0.0930570400251826</v>
      </c>
      <c r="K60" s="27" t="n">
        <f aca="false">SUM(K53:K59)</f>
        <v>2875.89522875</v>
      </c>
      <c r="L60" s="35" t="n">
        <f aca="false">IFERROR(K60/K$20,0)</f>
        <v>0.0930570400251826</v>
      </c>
      <c r="M60" s="27" t="n">
        <f aca="false">SUM(M53:M59)</f>
        <v>2875.89522875</v>
      </c>
      <c r="N60" s="35" t="n">
        <f aca="false">IFERROR(M60/M$20,0)</f>
        <v>0.0930570400251826</v>
      </c>
      <c r="O60" s="27" t="n">
        <f aca="false">SUM(O53:O59)</f>
        <v>2875.89522875</v>
      </c>
      <c r="P60" s="35" t="n">
        <f aca="false">IFERROR(O60/O$20,0)</f>
        <v>0.0930570400251826</v>
      </c>
      <c r="Q60" s="27" t="n">
        <f aca="false">SUM(Q53:Q59)</f>
        <v>2875.89522875</v>
      </c>
      <c r="R60" s="35" t="n">
        <f aca="false">IFERROR(Q60/Q$20,0)</f>
        <v>0.0930570400251826</v>
      </c>
      <c r="S60" s="27" t="n">
        <f aca="false">SUM(S53:S59)</f>
        <v>2875.89522875</v>
      </c>
      <c r="T60" s="35" t="n">
        <f aca="false">IFERROR(S60/S$20,0)</f>
        <v>0.0930570400251826</v>
      </c>
      <c r="U60" s="27" t="n">
        <f aca="false">SUM(U53:U59)</f>
        <v>2875.89522875</v>
      </c>
      <c r="V60" s="35" t="n">
        <f aca="false">IFERROR(U60/U$20,0)</f>
        <v>0.0930570400251826</v>
      </c>
      <c r="W60" s="27" t="n">
        <f aca="false">SUM(W53:W59)</f>
        <v>2875.89522875</v>
      </c>
      <c r="X60" s="35" t="n">
        <f aca="false">IFERROR(W60/W$20,0)</f>
        <v>0.0930570400251826</v>
      </c>
      <c r="Y60" s="27" t="n">
        <f aca="false">SUM(Y53:Y59)</f>
        <v>2875.89522875</v>
      </c>
      <c r="Z60" s="35" t="n">
        <f aca="false">IFERROR(Y60/Y$20,0)</f>
        <v>0.0930570400251826</v>
      </c>
      <c r="AB60" s="27" t="n">
        <f aca="false">SUM(AB53:AB59)</f>
        <v>34510.742745</v>
      </c>
      <c r="AC60" s="35" t="n">
        <f aca="false">IFERROR(AB60/AB$20,0)</f>
        <v>0.0930570400251826</v>
      </c>
    </row>
    <row r="62" customFormat="false" ht="15" hidden="false" customHeight="true" outlineLevel="0" collapsed="false">
      <c r="A62" s="6" t="s">
        <v>218</v>
      </c>
      <c r="C62" s="27" t="n">
        <f aca="false">C41-C50-C60</f>
        <v>-228.505700833331</v>
      </c>
      <c r="D62" s="35" t="n">
        <f aca="false">IFERROR(C62/C$20,0)</f>
        <v>-0.00739389388592992</v>
      </c>
      <c r="E62" s="27" t="n">
        <f aca="false">E41-E50-E60</f>
        <v>-228.505700833331</v>
      </c>
      <c r="F62" s="35" t="n">
        <f aca="false">IFERROR(E62/E$20,0)</f>
        <v>-0.00739389388592992</v>
      </c>
      <c r="G62" s="27" t="n">
        <f aca="false">G41-G50-G60</f>
        <v>-228.505700833331</v>
      </c>
      <c r="H62" s="35" t="n">
        <f aca="false">IFERROR(G62/G$20,0)</f>
        <v>-0.00739389388592992</v>
      </c>
      <c r="I62" s="27" t="n">
        <f aca="false">I41-I50-I60</f>
        <v>-228.505700833331</v>
      </c>
      <c r="J62" s="35" t="n">
        <f aca="false">IFERROR(I62/I$20,0)</f>
        <v>-0.00739389388592992</v>
      </c>
      <c r="K62" s="27" t="n">
        <f aca="false">K41-K50-K60</f>
        <v>-228.505700833331</v>
      </c>
      <c r="L62" s="35" t="n">
        <f aca="false">IFERROR(K62/K$20,0)</f>
        <v>-0.00739389388592992</v>
      </c>
      <c r="M62" s="27" t="n">
        <f aca="false">M41-M50-M60</f>
        <v>-228.505700833331</v>
      </c>
      <c r="N62" s="35" t="n">
        <f aca="false">IFERROR(M62/M$20,0)</f>
        <v>-0.00739389388592992</v>
      </c>
      <c r="O62" s="27" t="n">
        <f aca="false">O41-O50-O60</f>
        <v>-228.505700833331</v>
      </c>
      <c r="P62" s="35" t="n">
        <f aca="false">IFERROR(O62/O$20,0)</f>
        <v>-0.00739389388592992</v>
      </c>
      <c r="Q62" s="27" t="n">
        <f aca="false">Q41-Q50-Q60</f>
        <v>-228.505700833331</v>
      </c>
      <c r="R62" s="35" t="n">
        <f aca="false">IFERROR(Q62/Q$20,0)</f>
        <v>-0.00739389388592992</v>
      </c>
      <c r="S62" s="27" t="n">
        <f aca="false">S41-S50-S60</f>
        <v>-228.505700833331</v>
      </c>
      <c r="T62" s="35" t="n">
        <f aca="false">IFERROR(S62/S$20,0)</f>
        <v>-0.00739389388592992</v>
      </c>
      <c r="U62" s="27" t="n">
        <f aca="false">U41-U50-U60</f>
        <v>-228.505700833331</v>
      </c>
      <c r="V62" s="35" t="n">
        <f aca="false">IFERROR(U62/U$20,0)</f>
        <v>-0.00739389388592992</v>
      </c>
      <c r="W62" s="27" t="n">
        <f aca="false">W41-W50-W60</f>
        <v>-228.505700833331</v>
      </c>
      <c r="X62" s="35" t="n">
        <f aca="false">IFERROR(W62/W$20,0)</f>
        <v>-0.00739389388592992</v>
      </c>
      <c r="Y62" s="27" t="n">
        <f aca="false">Y41-Y50-Y60</f>
        <v>3547.89429916666</v>
      </c>
      <c r="Z62" s="35" t="n">
        <f aca="false">IFERROR(Y62/Y$20,0)</f>
        <v>0.11480131073696</v>
      </c>
      <c r="AB62" s="27" t="n">
        <f aca="false">AB41-AB50-AB60</f>
        <v>1034.33158999994</v>
      </c>
      <c r="AC62" s="35" t="n">
        <f aca="false">IFERROR(AB62/AB$20,0)</f>
        <v>0.00278903983264402</v>
      </c>
    </row>
    <row r="64" customFormat="false" ht="15" hidden="false" customHeight="true" outlineLevel="0" collapsed="false">
      <c r="A64" s="5" t="s">
        <v>219</v>
      </c>
      <c r="C64" s="24" t="n">
        <f aca="false">'LW 2026 P&amp;L'!$Y$57</f>
        <v>0</v>
      </c>
      <c r="D64" s="34" t="n">
        <f aca="false">IFERROR(C64/C$20,0)</f>
        <v>0</v>
      </c>
      <c r="E64" s="24" t="n">
        <f aca="false">'LW 2026 P&amp;L'!$Y$57</f>
        <v>0</v>
      </c>
      <c r="F64" s="34" t="n">
        <f aca="false">IFERROR(E64/E$20,0)</f>
        <v>0</v>
      </c>
      <c r="G64" s="24" t="n">
        <f aca="false">'LW 2026 P&amp;L'!$Y$57</f>
        <v>0</v>
      </c>
      <c r="H64" s="34" t="n">
        <f aca="false">IFERROR(G64/G$20,0)</f>
        <v>0</v>
      </c>
      <c r="I64" s="24" t="n">
        <f aca="false">'LW 2026 P&amp;L'!$Y$57</f>
        <v>0</v>
      </c>
      <c r="J64" s="34" t="n">
        <f aca="false">IFERROR(I64/I$20,0)</f>
        <v>0</v>
      </c>
      <c r="K64" s="24" t="n">
        <f aca="false">'LW 2026 P&amp;L'!$Y$57</f>
        <v>0</v>
      </c>
      <c r="L64" s="34" t="n">
        <f aca="false">IFERROR(K64/K$20,0)</f>
        <v>0</v>
      </c>
      <c r="M64" s="24" t="n">
        <f aca="false">'LW 2026 P&amp;L'!$Y$57</f>
        <v>0</v>
      </c>
      <c r="N64" s="34" t="n">
        <f aca="false">IFERROR(M64/M$20,0)</f>
        <v>0</v>
      </c>
      <c r="O64" s="24" t="n">
        <f aca="false">'LW 2026 P&amp;L'!$Y$57</f>
        <v>0</v>
      </c>
      <c r="P64" s="34" t="n">
        <f aca="false">IFERROR(O64/O$20,0)</f>
        <v>0</v>
      </c>
      <c r="Q64" s="24" t="n">
        <f aca="false">'LW 2026 P&amp;L'!$Y$57</f>
        <v>0</v>
      </c>
      <c r="R64" s="34" t="n">
        <f aca="false">IFERROR(Q64/Q$20,0)</f>
        <v>0</v>
      </c>
      <c r="S64" s="24" t="n">
        <f aca="false">'LW 2026 P&amp;L'!$Y$57</f>
        <v>0</v>
      </c>
      <c r="T64" s="34" t="n">
        <f aca="false">IFERROR(S64/S$20,0)</f>
        <v>0</v>
      </c>
      <c r="U64" s="24" t="n">
        <f aca="false">'LW 2026 P&amp;L'!$Y$57</f>
        <v>0</v>
      </c>
      <c r="V64" s="34" t="n">
        <f aca="false">IFERROR(U64/U$20,0)</f>
        <v>0</v>
      </c>
      <c r="W64" s="24" t="n">
        <f aca="false">'LW 2026 P&amp;L'!$Y$57</f>
        <v>0</v>
      </c>
      <c r="X64" s="34" t="n">
        <f aca="false">IFERROR(W64/W$20,0)</f>
        <v>0</v>
      </c>
      <c r="Y64" s="24" t="n">
        <f aca="false">'LW 2026 P&amp;L'!$Y$57</f>
        <v>0</v>
      </c>
      <c r="Z64" s="34" t="n">
        <f aca="false">IFERROR(Y64/Y$20,0)</f>
        <v>0</v>
      </c>
      <c r="AB64" s="24" t="n">
        <f aca="false">SUM(C64,E64,G64,I64,K64,M64,O64,Q64,S64,U64,W64,Y64)</f>
        <v>0</v>
      </c>
      <c r="AC64" s="34" t="n">
        <f aca="false">IFERROR(AB64/AB$20,0)</f>
        <v>0</v>
      </c>
    </row>
    <row r="66" customFormat="false" ht="15" hidden="false" customHeight="true" outlineLevel="0" collapsed="false">
      <c r="A66" s="6" t="s">
        <v>220</v>
      </c>
      <c r="C66" s="7" t="n">
        <f aca="false">C62-C64</f>
        <v>-228.505700833331</v>
      </c>
      <c r="D66" s="8" t="n">
        <f aca="false">IFERROR(C66/C$20,0)</f>
        <v>-0.00739389388592992</v>
      </c>
      <c r="E66" s="7" t="n">
        <f aca="false">E62-E64</f>
        <v>-228.505700833331</v>
      </c>
      <c r="F66" s="8" t="n">
        <f aca="false">IFERROR(E66/E$20,0)</f>
        <v>-0.00739389388592992</v>
      </c>
      <c r="G66" s="7" t="n">
        <f aca="false">G62-G64</f>
        <v>-228.505700833331</v>
      </c>
      <c r="H66" s="8" t="n">
        <f aca="false">IFERROR(G66/G$20,0)</f>
        <v>-0.00739389388592992</v>
      </c>
      <c r="I66" s="7" t="n">
        <f aca="false">I62-I64</f>
        <v>-228.505700833331</v>
      </c>
      <c r="J66" s="8" t="n">
        <f aca="false">IFERROR(I66/I$20,0)</f>
        <v>-0.00739389388592992</v>
      </c>
      <c r="K66" s="7" t="n">
        <f aca="false">K62-K64</f>
        <v>-228.505700833331</v>
      </c>
      <c r="L66" s="8" t="n">
        <f aca="false">IFERROR(K66/K$20,0)</f>
        <v>-0.00739389388592992</v>
      </c>
      <c r="M66" s="7" t="n">
        <f aca="false">M62-M64</f>
        <v>-228.505700833331</v>
      </c>
      <c r="N66" s="8" t="n">
        <f aca="false">IFERROR(M66/M$20,0)</f>
        <v>-0.00739389388592992</v>
      </c>
      <c r="O66" s="7" t="n">
        <f aca="false">O62-O64</f>
        <v>-228.505700833331</v>
      </c>
      <c r="P66" s="8" t="n">
        <f aca="false">IFERROR(O66/O$20,0)</f>
        <v>-0.00739389388592992</v>
      </c>
      <c r="Q66" s="7" t="n">
        <f aca="false">Q62-Q64</f>
        <v>-228.505700833331</v>
      </c>
      <c r="R66" s="8" t="n">
        <f aca="false">IFERROR(Q66/Q$20,0)</f>
        <v>-0.00739389388592992</v>
      </c>
      <c r="S66" s="7" t="n">
        <f aca="false">S62-S64</f>
        <v>-228.505700833331</v>
      </c>
      <c r="T66" s="8" t="n">
        <f aca="false">IFERROR(S66/S$20,0)</f>
        <v>-0.00739389388592992</v>
      </c>
      <c r="U66" s="7" t="n">
        <f aca="false">U62-U64</f>
        <v>-228.505700833331</v>
      </c>
      <c r="V66" s="8" t="n">
        <f aca="false">IFERROR(U66/U$20,0)</f>
        <v>-0.00739389388592992</v>
      </c>
      <c r="W66" s="7" t="n">
        <f aca="false">W62-W64</f>
        <v>-228.505700833331</v>
      </c>
      <c r="X66" s="8" t="n">
        <f aca="false">IFERROR(W66/W$20,0)</f>
        <v>-0.00739389388592992</v>
      </c>
      <c r="Y66" s="7" t="n">
        <f aca="false">Y62-Y64</f>
        <v>3547.89429916666</v>
      </c>
      <c r="Z66" s="8" t="n">
        <f aca="false">IFERROR(Y66/Y$20,0)</f>
        <v>0.11480131073696</v>
      </c>
      <c r="AB66" s="7" t="n">
        <f aca="false">AB62-AB64</f>
        <v>1034.33158999994</v>
      </c>
      <c r="AC66" s="8" t="n">
        <f aca="false">IFERROR(AB66/AB$20,0)</f>
        <v>0.00278903983264402</v>
      </c>
    </row>
    <row r="68" customFormat="false" ht="15" hidden="false" customHeight="true" outlineLevel="0" collapsed="false">
      <c r="A68" s="5" t="s">
        <v>221</v>
      </c>
      <c r="C68" s="24" t="n">
        <f aca="false">'LW 2026 P&amp;L'!$Y$61</f>
        <v>0</v>
      </c>
      <c r="D68" s="34" t="n">
        <f aca="false">IFERROR(C68/C$20,0)</f>
        <v>0</v>
      </c>
      <c r="E68" s="24" t="n">
        <f aca="false">'LW 2026 P&amp;L'!$Y$61</f>
        <v>0</v>
      </c>
      <c r="F68" s="34" t="n">
        <f aca="false">IFERROR(E68/E$20,0)</f>
        <v>0</v>
      </c>
      <c r="G68" s="24" t="n">
        <f aca="false">'LW 2026 P&amp;L'!$Y$61</f>
        <v>0</v>
      </c>
      <c r="H68" s="34" t="n">
        <f aca="false">IFERROR(G68/G$20,0)</f>
        <v>0</v>
      </c>
      <c r="I68" s="24" t="n">
        <f aca="false">'LW 2026 P&amp;L'!$Y$61</f>
        <v>0</v>
      </c>
      <c r="J68" s="34" t="n">
        <f aca="false">IFERROR(I68/I$20,0)</f>
        <v>0</v>
      </c>
      <c r="K68" s="24" t="n">
        <f aca="false">'LW 2026 P&amp;L'!$Y$61</f>
        <v>0</v>
      </c>
      <c r="L68" s="34" t="n">
        <f aca="false">IFERROR(K68/K$20,0)</f>
        <v>0</v>
      </c>
      <c r="M68" s="24" t="n">
        <f aca="false">'LW 2026 P&amp;L'!$Y$61</f>
        <v>0</v>
      </c>
      <c r="N68" s="34" t="n">
        <f aca="false">IFERROR(M68/M$20,0)</f>
        <v>0</v>
      </c>
      <c r="O68" s="24" t="n">
        <f aca="false">'LW 2026 P&amp;L'!$Y$61</f>
        <v>0</v>
      </c>
      <c r="P68" s="34" t="n">
        <f aca="false">IFERROR(O68/O$20,0)</f>
        <v>0</v>
      </c>
      <c r="Q68" s="24" t="n">
        <f aca="false">'LW 2026 P&amp;L'!$Y$61</f>
        <v>0</v>
      </c>
      <c r="R68" s="34" t="n">
        <f aca="false">IFERROR(Q68/Q$20,0)</f>
        <v>0</v>
      </c>
      <c r="S68" s="24" t="n">
        <f aca="false">'LW 2026 P&amp;L'!$Y$61</f>
        <v>0</v>
      </c>
      <c r="T68" s="34" t="n">
        <f aca="false">IFERROR(S68/S$20,0)</f>
        <v>0</v>
      </c>
      <c r="U68" s="24" t="n">
        <f aca="false">'LW 2026 P&amp;L'!$Y$61</f>
        <v>0</v>
      </c>
      <c r="V68" s="34" t="n">
        <f aca="false">IFERROR(U68/U$20,0)</f>
        <v>0</v>
      </c>
      <c r="W68" s="24" t="n">
        <f aca="false">'LW 2026 P&amp;L'!$Y$61</f>
        <v>0</v>
      </c>
      <c r="X68" s="34" t="n">
        <f aca="false">IFERROR(W68/W$20,0)</f>
        <v>0</v>
      </c>
      <c r="Y68" s="24" t="n">
        <f aca="false">'LW 2026 P&amp;L'!$Y$61</f>
        <v>0</v>
      </c>
      <c r="Z68" s="34" t="n">
        <f aca="false">IFERROR(Y68/Y$20,0)</f>
        <v>0</v>
      </c>
      <c r="AB68" s="24" t="n">
        <f aca="false">SUM(C68,E68,G68,I68,K68,M68,O68,Q68,S68,U68,W68,Y68)</f>
        <v>0</v>
      </c>
      <c r="AC68" s="34" t="n">
        <f aca="false">IFERROR(AB68/AB$20,0)</f>
        <v>0</v>
      </c>
    </row>
    <row r="69" customFormat="false" ht="15" hidden="false" customHeight="true" outlineLevel="0" collapsed="false">
      <c r="A69" s="5" t="s">
        <v>222</v>
      </c>
      <c r="C69" s="24" t="n">
        <f aca="false">'LW 2026 P&amp;L'!$Y$62</f>
        <v>249</v>
      </c>
      <c r="D69" s="34" t="n">
        <f aca="false">IFERROR(C69/C$20,0)</f>
        <v>0.00805704002518262</v>
      </c>
      <c r="E69" s="24" t="n">
        <f aca="false">'LW 2026 P&amp;L'!$Y$62</f>
        <v>249</v>
      </c>
      <c r="F69" s="34" t="n">
        <f aca="false">IFERROR(E69/E$20,0)</f>
        <v>0.00805704002518262</v>
      </c>
      <c r="G69" s="24" t="n">
        <f aca="false">'LW 2026 P&amp;L'!$Y$62</f>
        <v>249</v>
      </c>
      <c r="H69" s="34" t="n">
        <f aca="false">IFERROR(G69/G$20,0)</f>
        <v>0.00805704002518262</v>
      </c>
      <c r="I69" s="24" t="n">
        <f aca="false">'LW 2026 P&amp;L'!$Y$62</f>
        <v>249</v>
      </c>
      <c r="J69" s="34" t="n">
        <f aca="false">IFERROR(I69/I$20,0)</f>
        <v>0.00805704002518262</v>
      </c>
      <c r="K69" s="24" t="n">
        <f aca="false">'LW 2026 P&amp;L'!$Y$62</f>
        <v>249</v>
      </c>
      <c r="L69" s="34" t="n">
        <f aca="false">IFERROR(K69/K$20,0)</f>
        <v>0.00805704002518262</v>
      </c>
      <c r="M69" s="24" t="n">
        <f aca="false">'LW 2026 P&amp;L'!$Y$62</f>
        <v>249</v>
      </c>
      <c r="N69" s="34" t="n">
        <f aca="false">IFERROR(M69/M$20,0)</f>
        <v>0.00805704002518262</v>
      </c>
      <c r="O69" s="24" t="n">
        <f aca="false">'LW 2026 P&amp;L'!$Y$62</f>
        <v>249</v>
      </c>
      <c r="P69" s="34" t="n">
        <f aca="false">IFERROR(O69/O$20,0)</f>
        <v>0.00805704002518262</v>
      </c>
      <c r="Q69" s="24" t="n">
        <f aca="false">'LW 2026 P&amp;L'!$Y$62</f>
        <v>249</v>
      </c>
      <c r="R69" s="34" t="n">
        <f aca="false">IFERROR(Q69/Q$20,0)</f>
        <v>0.00805704002518262</v>
      </c>
      <c r="S69" s="24" t="n">
        <f aca="false">'LW 2026 P&amp;L'!$Y$62</f>
        <v>249</v>
      </c>
      <c r="T69" s="34" t="n">
        <f aca="false">IFERROR(S69/S$20,0)</f>
        <v>0.00805704002518262</v>
      </c>
      <c r="U69" s="24" t="n">
        <f aca="false">'LW 2026 P&amp;L'!$Y$62</f>
        <v>249</v>
      </c>
      <c r="V69" s="34" t="n">
        <f aca="false">IFERROR(U69/U$20,0)</f>
        <v>0.00805704002518262</v>
      </c>
      <c r="W69" s="24" t="n">
        <f aca="false">'LW 2026 P&amp;L'!$Y$62</f>
        <v>249</v>
      </c>
      <c r="X69" s="34" t="n">
        <f aca="false">IFERROR(W69/W$20,0)</f>
        <v>0.00805704002518262</v>
      </c>
      <c r="Y69" s="24" t="n">
        <f aca="false">'LW 2026 P&amp;L'!$Y$62</f>
        <v>249</v>
      </c>
      <c r="Z69" s="34" t="n">
        <f aca="false">IFERROR(Y69/Y$20,0)</f>
        <v>0.00805704002518262</v>
      </c>
      <c r="AB69" s="24" t="n">
        <f aca="false">SUM(C69,E69,G69,I69,K69,M69,O69,Q69,S69,U69,W69,Y69)</f>
        <v>2988</v>
      </c>
      <c r="AC69" s="34" t="n">
        <f aca="false">IFERROR(AB69/AB$20,0)</f>
        <v>0.00805704002518262</v>
      </c>
    </row>
    <row r="70" customFormat="false" ht="15" hidden="false" customHeight="true" outlineLevel="0" collapsed="false">
      <c r="A70" s="6" t="s">
        <v>223</v>
      </c>
      <c r="C70" s="36" t="n">
        <f aca="false">C66-C68-C69</f>
        <v>-477.505700833331</v>
      </c>
      <c r="D70" s="37" t="n">
        <f aca="false">IFERROR(C70/C$20,0)</f>
        <v>-0.0154509339111125</v>
      </c>
      <c r="E70" s="36" t="n">
        <f aca="false">E66-E68-E69</f>
        <v>-477.505700833331</v>
      </c>
      <c r="F70" s="37" t="n">
        <f aca="false">IFERROR(E70/E$20,0)</f>
        <v>-0.0154509339111125</v>
      </c>
      <c r="G70" s="36" t="n">
        <f aca="false">G66-G68-G69</f>
        <v>-477.505700833331</v>
      </c>
      <c r="H70" s="37" t="n">
        <f aca="false">IFERROR(G70/G$20,0)</f>
        <v>-0.0154509339111125</v>
      </c>
      <c r="I70" s="36" t="n">
        <f aca="false">I66-I68-I69</f>
        <v>-477.505700833331</v>
      </c>
      <c r="J70" s="37" t="n">
        <f aca="false">IFERROR(I70/I$20,0)</f>
        <v>-0.0154509339111125</v>
      </c>
      <c r="K70" s="36" t="n">
        <f aca="false">K66-K68-K69</f>
        <v>-477.505700833331</v>
      </c>
      <c r="L70" s="37" t="n">
        <f aca="false">IFERROR(K70/K$20,0)</f>
        <v>-0.0154509339111125</v>
      </c>
      <c r="M70" s="36" t="n">
        <f aca="false">M66-M68-M69</f>
        <v>-477.505700833331</v>
      </c>
      <c r="N70" s="37" t="n">
        <f aca="false">IFERROR(M70/M$20,0)</f>
        <v>-0.0154509339111125</v>
      </c>
      <c r="O70" s="36" t="n">
        <f aca="false">O66-O68-O69</f>
        <v>-477.505700833331</v>
      </c>
      <c r="P70" s="37" t="n">
        <f aca="false">IFERROR(O70/O$20,0)</f>
        <v>-0.0154509339111125</v>
      </c>
      <c r="Q70" s="36" t="n">
        <f aca="false">Q66-Q68-Q69</f>
        <v>-477.505700833331</v>
      </c>
      <c r="R70" s="37" t="n">
        <f aca="false">IFERROR(Q70/Q$20,0)</f>
        <v>-0.0154509339111125</v>
      </c>
      <c r="S70" s="36" t="n">
        <f aca="false">S66-S68-S69</f>
        <v>-477.505700833331</v>
      </c>
      <c r="T70" s="37" t="n">
        <f aca="false">IFERROR(S70/S$20,0)</f>
        <v>-0.0154509339111125</v>
      </c>
      <c r="U70" s="36" t="n">
        <f aca="false">U66-U68-U69</f>
        <v>-477.505700833331</v>
      </c>
      <c r="V70" s="37" t="n">
        <f aca="false">IFERROR(U70/U$20,0)</f>
        <v>-0.0154509339111125</v>
      </c>
      <c r="W70" s="36" t="n">
        <f aca="false">W66-W68-W69</f>
        <v>-477.505700833331</v>
      </c>
      <c r="X70" s="37" t="n">
        <f aca="false">IFERROR(W70/W$20,0)</f>
        <v>-0.0154509339111125</v>
      </c>
      <c r="Y70" s="36" t="n">
        <f aca="false">Y66-Y68-Y69</f>
        <v>3298.89429916666</v>
      </c>
      <c r="Z70" s="37" t="n">
        <f aca="false">IFERROR(Y70/Y$20,0)</f>
        <v>0.106744270711777</v>
      </c>
      <c r="AB70" s="36" t="n">
        <f aca="false">AB66-AB68-AB69</f>
        <v>-1953.66841000006</v>
      </c>
      <c r="AC70" s="37" t="n">
        <f aca="false">IFERROR(AB70/AB$20,0)</f>
        <v>-0.0052680001925386</v>
      </c>
    </row>
    <row r="72" customFormat="false" ht="15" hidden="false" customHeight="true" outlineLevel="0" collapsed="false">
      <c r="A72" s="3" t="s">
        <v>650</v>
      </c>
    </row>
    <row r="74" customFormat="false" ht="15" hidden="false" customHeight="true" outlineLevel="0" collapsed="false">
      <c r="A74" s="6" t="s">
        <v>651</v>
      </c>
    </row>
    <row r="75" customFormat="false" ht="15" hidden="false" customHeight="true" outlineLevel="0" collapsed="false">
      <c r="A75" s="6" t="s">
        <v>652</v>
      </c>
      <c r="C75" s="6" t="s">
        <v>653</v>
      </c>
      <c r="E75" s="6" t="s">
        <v>348</v>
      </c>
    </row>
    <row r="76" customFormat="false" ht="15" hidden="false" customHeight="true" outlineLevel="0" collapsed="false">
      <c r="A76" s="5" t="s">
        <v>654</v>
      </c>
      <c r="C76" s="74" t="n">
        <f aca="false">'LW Assumptions'!$C$20+'LW Assumptions'!$C$21</f>
        <v>11.1428571428571</v>
      </c>
      <c r="E76" s="24" t="n">
        <f aca="false">$AB$62-((C76-('LW Assumptions'!$C$20+'LW Assumptions'!$C$21))*'LW Assumptions'!$C$22*52*'LW Assumptions'!$C$23*(1+'LW Assumptions'!$C$24))</f>
        <v>1034.33158999994</v>
      </c>
    </row>
    <row r="77" customFormat="false" ht="15" hidden="false" customHeight="true" outlineLevel="0" collapsed="false">
      <c r="A77" s="5" t="s">
        <v>655</v>
      </c>
      <c r="C77" s="74" t="n">
        <v>8</v>
      </c>
      <c r="E77" s="24" t="n">
        <f aca="false">$AB$62-((C77-('LW Assumptions'!$C$20+'LW Assumptions'!$C$21))*'LW Assumptions'!$C$22*52*'LW Assumptions'!$C$23*(1+'LW Assumptions'!$C$24))</f>
        <v>27575.1315899999</v>
      </c>
    </row>
    <row r="78" customFormat="false" ht="15" hidden="false" customHeight="true" outlineLevel="0" collapsed="false">
      <c r="A78" s="5" t="s">
        <v>656</v>
      </c>
      <c r="C78" s="74" t="n">
        <v>13.5</v>
      </c>
      <c r="E78" s="24" t="n">
        <f aca="false">$AB$62-((C78-('LW Assumptions'!$C$20+'LW Assumptions'!$C$21))*'LW Assumptions'!$C$22*52*'LW Assumptions'!$C$23*(1+'LW Assumptions'!$C$24))</f>
        <v>-18871.2684100001</v>
      </c>
    </row>
    <row r="79" customFormat="false" ht="15" hidden="false" customHeight="true" outlineLevel="0" collapsed="false">
      <c r="A79" s="5" t="s">
        <v>657</v>
      </c>
      <c r="C79" s="74" t="n">
        <v>16</v>
      </c>
      <c r="E79" s="24" t="n">
        <f aca="false">$AB$62-((C79-('LW Assumptions'!$C$20+'LW Assumptions'!$C$21))*'LW Assumptions'!$C$22*52*'LW Assumptions'!$C$23*(1+'LW Assumptions'!$C$24))</f>
        <v>-39983.2684100001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4" min="3" style="1" width="14"/>
    <col collapsed="false" customWidth="true" hidden="false" outlineLevel="0" max="5" min="5" style="1" width="3"/>
    <col collapsed="false" customWidth="true" hidden="false" outlineLevel="0" max="6" min="6" style="1" width="16"/>
    <col collapsed="false" customWidth="true" hidden="false" outlineLevel="0" max="7" min="7" style="1" width="12"/>
    <col collapsed="false" customWidth="true" hidden="false" outlineLevel="0" max="8" min="8" style="1" width="10"/>
  </cols>
  <sheetData>
    <row r="1" customFormat="false" ht="37.5" hidden="false" customHeight="true" outlineLevel="0" collapsed="false">
      <c r="A1" s="40" t="s">
        <v>658</v>
      </c>
      <c r="B1" s="40"/>
      <c r="C1" s="40"/>
      <c r="D1" s="40"/>
      <c r="E1" s="40"/>
      <c r="F1" s="40"/>
      <c r="G1" s="40"/>
      <c r="H1" s="40"/>
    </row>
    <row r="2" customFormat="false" ht="15" hidden="false" customHeight="true" outlineLevel="0" collapsed="false">
      <c r="A2" s="41" t="s">
        <v>659</v>
      </c>
      <c r="B2" s="41"/>
      <c r="C2" s="41"/>
      <c r="D2" s="41"/>
      <c r="E2" s="41"/>
      <c r="F2" s="41"/>
      <c r="G2" s="41"/>
      <c r="H2" s="41"/>
    </row>
    <row r="4" customFormat="false" ht="15" hidden="false" customHeight="true" outlineLevel="0" collapsed="false">
      <c r="B4" s="42" t="s">
        <v>660</v>
      </c>
      <c r="F4" s="42" t="s">
        <v>661</v>
      </c>
    </row>
    <row r="5" customFormat="false" ht="15" hidden="false" customHeight="true" outlineLevel="0" collapsed="false">
      <c r="B5" s="83" t="s">
        <v>662</v>
      </c>
      <c r="C5" s="43" t="s">
        <v>353</v>
      </c>
      <c r="D5" s="43" t="s">
        <v>663</v>
      </c>
      <c r="F5" s="83" t="s">
        <v>664</v>
      </c>
      <c r="G5" s="43" t="s">
        <v>665</v>
      </c>
      <c r="H5" s="43" t="s">
        <v>666</v>
      </c>
    </row>
    <row r="6" customFormat="false" ht="15" hidden="false" customHeight="true" outlineLevel="0" collapsed="false">
      <c r="B6" s="47" t="s">
        <v>667</v>
      </c>
      <c r="C6" s="50" t="n">
        <v>42998</v>
      </c>
      <c r="D6" s="51" t="n">
        <f aca="false">C6/'LW Assumptions'!C10</f>
        <v>0.161523943357004</v>
      </c>
      <c r="F6" s="47" t="s">
        <v>668</v>
      </c>
      <c r="G6" s="50" t="n">
        <v>72907</v>
      </c>
      <c r="H6" s="51" t="n">
        <f aca="false">G6/$G$8</f>
        <v>0.692354443843005</v>
      </c>
    </row>
    <row r="7" customFormat="false" ht="15" hidden="false" customHeight="true" outlineLevel="0" collapsed="false">
      <c r="B7" s="47" t="s">
        <v>669</v>
      </c>
      <c r="C7" s="50" t="n">
        <v>54634</v>
      </c>
      <c r="D7" s="51" t="n">
        <f aca="false">C7/'LW Assumptions'!C10</f>
        <v>0.205235106780933</v>
      </c>
      <c r="F7" s="47" t="s">
        <v>670</v>
      </c>
      <c r="G7" s="50" t="n">
        <v>32396</v>
      </c>
      <c r="H7" s="51" t="n">
        <f aca="false">G7/$G$8</f>
        <v>0.307645556156995</v>
      </c>
    </row>
    <row r="8" customFormat="false" ht="15" hidden="false" customHeight="true" outlineLevel="0" collapsed="false">
      <c r="B8" s="47" t="s">
        <v>671</v>
      </c>
      <c r="C8" s="50" t="n">
        <v>30727</v>
      </c>
      <c r="D8" s="51" t="n">
        <f aca="false">C8/'LW Assumptions'!C10</f>
        <v>0.115427373541343</v>
      </c>
      <c r="F8" s="122" t="s">
        <v>672</v>
      </c>
      <c r="G8" s="45" t="n">
        <f aca="false">G6+G7</f>
        <v>105303</v>
      </c>
      <c r="H8" s="46" t="n">
        <f aca="false">G8/$G$8</f>
        <v>1</v>
      </c>
    </row>
    <row r="9" customFormat="false" ht="15" hidden="false" customHeight="true" outlineLevel="0" collapsed="false">
      <c r="B9" s="47" t="s">
        <v>673</v>
      </c>
      <c r="C9" s="50" t="n">
        <v>12880</v>
      </c>
      <c r="D9" s="51" t="n">
        <f aca="false">C9/'LW Assumptions'!C10</f>
        <v>0.0483843060244246</v>
      </c>
    </row>
    <row r="10" customFormat="false" ht="15" hidden="false" customHeight="true" outlineLevel="0" collapsed="false">
      <c r="B10" s="47" t="s">
        <v>674</v>
      </c>
      <c r="C10" s="50" t="n">
        <v>886</v>
      </c>
      <c r="D10" s="51" t="n">
        <f aca="false">C10/'LW Assumptions'!C10</f>
        <v>0.00332829931192859</v>
      </c>
      <c r="F10" s="63" t="s">
        <v>675</v>
      </c>
    </row>
    <row r="11" customFormat="false" ht="15" hidden="false" customHeight="true" outlineLevel="0" collapsed="false">
      <c r="B11" s="47" t="s">
        <v>676</v>
      </c>
      <c r="C11" s="50" t="n">
        <v>22733</v>
      </c>
      <c r="D11" s="51" t="n">
        <f aca="false">C11/'LW Assumptions'!C10</f>
        <v>0.0853975488240097</v>
      </c>
      <c r="F11" s="63" t="s">
        <v>677</v>
      </c>
    </row>
    <row r="12" customFormat="false" ht="15" hidden="false" customHeight="true" outlineLevel="0" collapsed="false">
      <c r="B12" s="122" t="s">
        <v>678</v>
      </c>
      <c r="C12" s="45" t="n">
        <f aca="false">SUM(C6:C11)</f>
        <v>164858</v>
      </c>
      <c r="D12" s="46" t="n">
        <f aca="false">C12/'LW Assumptions'!C10</f>
        <v>0.619296577839642</v>
      </c>
      <c r="F12" s="63" t="s">
        <v>679</v>
      </c>
    </row>
    <row r="14" customFormat="false" ht="15" hidden="false" customHeight="true" outlineLevel="0" collapsed="false">
      <c r="B14" s="42" t="s">
        <v>680</v>
      </c>
    </row>
    <row r="15" customFormat="false" ht="15" hidden="false" customHeight="true" outlineLevel="0" collapsed="false">
      <c r="B15" s="47" t="s">
        <v>681</v>
      </c>
      <c r="C15" s="123" t="n">
        <f aca="false">'LW Assumptions'!C20+'LW Assumptions'!C21</f>
        <v>11.1428571428571</v>
      </c>
    </row>
    <row r="16" customFormat="false" ht="15" hidden="false" customHeight="true" outlineLevel="0" collapsed="false">
      <c r="B16" s="47" t="s">
        <v>682</v>
      </c>
      <c r="C16" s="54" t="n">
        <f aca="false">('LW Assumptions'!C20+'LW Assumptions'!C21)*'LW Assumptions'!C22*52</f>
        <v>4056</v>
      </c>
    </row>
    <row r="17" customFormat="false" ht="15" hidden="false" customHeight="true" outlineLevel="0" collapsed="false">
      <c r="B17" s="47" t="s">
        <v>683</v>
      </c>
      <c r="C17" s="50" t="n">
        <f aca="false">C16*'LW Assumptions'!C23</f>
        <v>81120</v>
      </c>
    </row>
    <row r="18" customFormat="false" ht="15" hidden="false" customHeight="true" outlineLevel="0" collapsed="false">
      <c r="B18" s="47" t="s">
        <v>684</v>
      </c>
      <c r="C18" s="50" t="n">
        <f aca="false">'LW Assumptions'!C26*52</f>
        <v>15392</v>
      </c>
    </row>
    <row r="19" customFormat="false" ht="15" hidden="false" customHeight="true" outlineLevel="0" collapsed="false">
      <c r="B19" s="47" t="s">
        <v>685</v>
      </c>
      <c r="C19" s="50" t="n">
        <f aca="false">(C17+C18)*'LW Assumptions'!C24</f>
        <v>15441.92</v>
      </c>
    </row>
    <row r="20" customFormat="false" ht="15" hidden="false" customHeight="true" outlineLevel="0" collapsed="false">
      <c r="B20" s="47" t="s">
        <v>686</v>
      </c>
      <c r="C20" s="54" t="n">
        <f aca="false">C17+C18+C19</f>
        <v>111953.92</v>
      </c>
    </row>
    <row r="21" customFormat="false" ht="15" hidden="false" customHeight="true" outlineLevel="0" collapsed="false">
      <c r="B21" s="124" t="s">
        <v>687</v>
      </c>
      <c r="C21" s="125" t="n">
        <f aca="false">C12-C20</f>
        <v>52904.08</v>
      </c>
    </row>
    <row r="23" customFormat="false" ht="15" hidden="false" customHeight="true" outlineLevel="0" collapsed="false">
      <c r="B23" s="60" t="s">
        <v>688</v>
      </c>
      <c r="C23" s="60"/>
      <c r="D23" s="60"/>
      <c r="E23" s="60"/>
      <c r="F23" s="60"/>
      <c r="G23" s="60"/>
      <c r="H23" s="60"/>
    </row>
    <row r="24" customFormat="false" ht="15" hidden="false" customHeight="true" outlineLevel="0" collapsed="false">
      <c r="B24" s="60"/>
      <c r="C24" s="60"/>
      <c r="D24" s="60"/>
      <c r="E24" s="60"/>
      <c r="F24" s="60"/>
      <c r="G24" s="60"/>
      <c r="H24" s="60"/>
    </row>
  </sheetData>
  <mergeCells count="3">
    <mergeCell ref="A1:H1"/>
    <mergeCell ref="A2:H2"/>
    <mergeCell ref="B23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20"/>
  </cols>
  <sheetData>
    <row r="1" customFormat="false" ht="25.5" hidden="false" customHeight="true" outlineLevel="0" collapsed="false">
      <c r="A1" s="126" t="s">
        <v>689</v>
      </c>
      <c r="B1" s="38"/>
      <c r="C1" s="38"/>
      <c r="D1" s="38"/>
    </row>
    <row r="2" customFormat="false" ht="15" hidden="false" customHeight="true" outlineLevel="0" collapsed="false">
      <c r="A2" s="127" t="s">
        <v>690</v>
      </c>
      <c r="B2" s="127"/>
      <c r="C2" s="127"/>
      <c r="D2" s="127"/>
    </row>
    <row r="4" customFormat="false" ht="15" hidden="false" customHeight="true" outlineLevel="0" collapsed="false">
      <c r="A4" s="83"/>
      <c r="B4" s="43" t="s">
        <v>691</v>
      </c>
      <c r="C4" s="43" t="s">
        <v>692</v>
      </c>
      <c r="D4" s="43" t="s">
        <v>693</v>
      </c>
    </row>
    <row r="5" customFormat="false" ht="15" hidden="false" customHeight="true" outlineLevel="0" collapsed="false">
      <c r="A5" s="122" t="s">
        <v>694</v>
      </c>
      <c r="B5" s="128"/>
      <c r="C5" s="128"/>
      <c r="D5" s="128"/>
    </row>
    <row r="6" customFormat="false" ht="15" hidden="false" customHeight="true" outlineLevel="0" collapsed="false">
      <c r="A6" s="129" t="s">
        <v>695</v>
      </c>
      <c r="B6" s="130" t="s">
        <v>696</v>
      </c>
      <c r="C6" s="130" t="n">
        <f aca="false">'LW Assumptions'!$C$20+'LW Assumptions'!$C$21</f>
        <v>11.1428571428571</v>
      </c>
    </row>
    <row r="7" customFormat="false" ht="15" hidden="false" customHeight="true" outlineLevel="0" collapsed="false">
      <c r="A7" s="129" t="s">
        <v>697</v>
      </c>
      <c r="B7" s="131" t="n">
        <v>7</v>
      </c>
      <c r="C7" s="131" t="n">
        <f aca="false">'LW Assumptions'!$C$22</f>
        <v>7</v>
      </c>
    </row>
    <row r="9" customFormat="false" ht="15" hidden="false" customHeight="true" outlineLevel="0" collapsed="false">
      <c r="A9" s="122" t="s">
        <v>698</v>
      </c>
      <c r="B9" s="128"/>
      <c r="C9" s="128"/>
      <c r="D9" s="128"/>
    </row>
    <row r="10" customFormat="false" ht="15" hidden="false" customHeight="true" outlineLevel="0" collapsed="false">
      <c r="A10" s="129" t="s">
        <v>699</v>
      </c>
      <c r="B10" s="132" t="n">
        <v>111.8</v>
      </c>
      <c r="C10" s="132" t="n">
        <f aca="false">('LW Assumptions'!$C$20+'LW Assumptions'!$C$21)*'LW Assumptions'!$C$22</f>
        <v>78</v>
      </c>
    </row>
    <row r="11" customFormat="false" ht="15" hidden="false" customHeight="true" outlineLevel="0" collapsed="false">
      <c r="A11" s="129" t="s">
        <v>700</v>
      </c>
      <c r="B11" s="132" t="n">
        <v>13.3</v>
      </c>
      <c r="C11" s="132" t="n">
        <f aca="false">B11</f>
        <v>13.3</v>
      </c>
    </row>
    <row r="12" customFormat="false" ht="15" hidden="false" customHeight="true" outlineLevel="0" collapsed="false">
      <c r="A12" s="133" t="s">
        <v>701</v>
      </c>
      <c r="B12" s="134" t="n">
        <v>125.1</v>
      </c>
      <c r="C12" s="134" t="n">
        <f aca="false">('LW Assumptions'!$C$20+'LW Assumptions'!$C$21)*'LW Assumptions'!$C$22+C11</f>
        <v>91.3</v>
      </c>
    </row>
    <row r="13" customFormat="false" ht="15" hidden="false" customHeight="true" outlineLevel="0" collapsed="false">
      <c r="A13" s="135"/>
      <c r="B13" s="136"/>
      <c r="C13" s="136"/>
    </row>
    <row r="14" customFormat="false" ht="15" hidden="false" customHeight="true" outlineLevel="0" collapsed="false">
      <c r="A14" s="122" t="s">
        <v>702</v>
      </c>
      <c r="B14" s="128"/>
      <c r="C14" s="128"/>
      <c r="D14" s="128"/>
    </row>
    <row r="15" customFormat="false" ht="15" hidden="false" customHeight="true" outlineLevel="0" collapsed="false">
      <c r="A15" s="129" t="s">
        <v>703</v>
      </c>
      <c r="B15" s="137" t="n">
        <v>2207</v>
      </c>
      <c r="C15" s="137" t="n">
        <f aca="false">('LW Assumptions'!$C$20+'LW Assumptions'!$C$21)*'LW Assumptions'!$C$22*'LW Assumptions'!$C$23</f>
        <v>1560</v>
      </c>
    </row>
    <row r="16" customFormat="false" ht="15" hidden="false" customHeight="true" outlineLevel="0" collapsed="false">
      <c r="A16" s="129" t="s">
        <v>704</v>
      </c>
      <c r="B16" s="137" t="n">
        <v>296</v>
      </c>
      <c r="C16" s="137" t="n">
        <f aca="false">'LW Assumptions'!$C$26</f>
        <v>296</v>
      </c>
    </row>
    <row r="17" customFormat="false" ht="15" hidden="false" customHeight="true" outlineLevel="0" collapsed="false">
      <c r="A17" s="135" t="s">
        <v>705</v>
      </c>
      <c r="B17" s="85" t="n">
        <v>2503</v>
      </c>
      <c r="C17" s="85" t="n">
        <f aca="false">C15+C16</f>
        <v>1856</v>
      </c>
    </row>
    <row r="18" customFormat="false" ht="15" hidden="false" customHeight="true" outlineLevel="0" collapsed="false">
      <c r="A18" s="129" t="s">
        <v>706</v>
      </c>
      <c r="B18" s="137" t="n">
        <f aca="false">'LW Assumptions'!$C$45/52</f>
        <v>247.692307692308</v>
      </c>
      <c r="C18" s="137" t="n">
        <f aca="false">'LW Assumptions'!$C$45/52</f>
        <v>247.692307692308</v>
      </c>
    </row>
    <row r="19" customFormat="false" ht="15" hidden="false" customHeight="true" outlineLevel="0" collapsed="false">
      <c r="A19" s="129" t="s">
        <v>707</v>
      </c>
      <c r="B19" s="137" t="n">
        <f aca="false">(B17+B18)*'LW Assumptions'!$C$24</f>
        <v>440.110769230769</v>
      </c>
      <c r="C19" s="137" t="n">
        <f aca="false">(C17+C18)*'LW Assumptions'!$C$24</f>
        <v>336.590769230769</v>
      </c>
    </row>
    <row r="20" customFormat="false" ht="15" hidden="false" customHeight="true" outlineLevel="0" collapsed="false">
      <c r="A20" s="138" t="s">
        <v>708</v>
      </c>
      <c r="B20" s="139" t="n">
        <f aca="false">B17+B18+B19</f>
        <v>3190.80307692308</v>
      </c>
      <c r="C20" s="139" t="n">
        <f aca="false">C17+C18+C19</f>
        <v>2440.28307692308</v>
      </c>
      <c r="D20" s="139" t="n">
        <f aca="false">C20-B20</f>
        <v>-750.52</v>
      </c>
    </row>
    <row r="21" customFormat="false" ht="15" hidden="false" customHeight="true" outlineLevel="0" collapsed="false">
      <c r="A21" s="140"/>
      <c r="B21" s="141"/>
      <c r="C21" s="141"/>
      <c r="D21" s="141"/>
    </row>
    <row r="22" customFormat="false" ht="15" hidden="false" customHeight="true" outlineLevel="0" collapsed="false">
      <c r="A22" s="135" t="s">
        <v>709</v>
      </c>
      <c r="B22" s="85" t="n">
        <f aca="false">B20*52</f>
        <v>165921.76</v>
      </c>
      <c r="C22" s="85" t="n">
        <f aca="false">C20*52</f>
        <v>126894.72</v>
      </c>
      <c r="D22" s="85" t="n">
        <f aca="false">C22-B22</f>
        <v>-39027.04</v>
      </c>
    </row>
    <row r="23" customFormat="false" ht="15" hidden="false" customHeight="true" outlineLevel="0" collapsed="false">
      <c r="A23" s="135"/>
      <c r="B23" s="85"/>
      <c r="C23" s="85"/>
      <c r="D23" s="85"/>
    </row>
    <row r="24" customFormat="false" ht="15" hidden="false" customHeight="true" outlineLevel="0" collapsed="false">
      <c r="A24" s="122" t="s">
        <v>710</v>
      </c>
      <c r="B24" s="128"/>
      <c r="C24" s="128"/>
      <c r="D24" s="128"/>
    </row>
    <row r="25" customFormat="false" ht="15" hidden="false" customHeight="true" outlineLevel="0" collapsed="false">
      <c r="A25" s="129" t="s">
        <v>711</v>
      </c>
      <c r="B25" s="137" t="n">
        <v>5888.94</v>
      </c>
      <c r="C25" s="137" t="n">
        <v>5888.94</v>
      </c>
    </row>
    <row r="26" customFormat="false" ht="15" hidden="false" customHeight="true" outlineLevel="0" collapsed="false">
      <c r="A26" s="135" t="s">
        <v>712</v>
      </c>
      <c r="B26" s="142" t="n">
        <f aca="false">B20/B25</f>
        <v>0.541829782086942</v>
      </c>
      <c r="C26" s="142" t="n">
        <f aca="false">C20/C25</f>
        <v>0.414384095766484</v>
      </c>
      <c r="D26" s="142" t="n">
        <f aca="false">C26-B26</f>
        <v>-0.127445686320458</v>
      </c>
    </row>
    <row r="27" customFormat="false" ht="15" hidden="false" customHeight="true" outlineLevel="0" collapsed="false">
      <c r="A27" s="135"/>
      <c r="B27" s="142"/>
      <c r="C27" s="142"/>
      <c r="D27" s="142"/>
    </row>
    <row r="28" customFormat="false" ht="15" hidden="false" customHeight="true" outlineLevel="0" collapsed="false">
      <c r="A28" s="143" t="s">
        <v>713</v>
      </c>
      <c r="B28" s="143"/>
      <c r="C28" s="143"/>
      <c r="D28" s="143"/>
    </row>
    <row r="29" customFormat="false" ht="15" hidden="false" customHeight="true" outlineLevel="0" collapsed="false">
      <c r="A29" s="135" t="s">
        <v>714</v>
      </c>
      <c r="C29" s="85" t="n">
        <f aca="false">B20-C20</f>
        <v>750.52</v>
      </c>
      <c r="D29" s="85" t="n">
        <f aca="false">C22-B22</f>
        <v>-39027.04</v>
      </c>
    </row>
    <row r="31" customFormat="false" ht="15" hidden="false" customHeight="true" outlineLevel="0" collapsed="false">
      <c r="A31" s="144" t="s">
        <v>715</v>
      </c>
    </row>
    <row r="32" customFormat="false" ht="15" hidden="false" customHeight="true" outlineLevel="0" collapsed="false">
      <c r="A32" s="145" t="s">
        <v>716</v>
      </c>
      <c r="B32" s="145"/>
      <c r="C32" s="145"/>
      <c r="D32" s="145"/>
    </row>
    <row r="33" customFormat="false" ht="15" hidden="false" customHeight="true" outlineLevel="0" collapsed="false">
      <c r="A33" s="145"/>
      <c r="B33" s="145"/>
      <c r="C33" s="145"/>
      <c r="D33" s="145"/>
    </row>
    <row r="35" customFormat="false" ht="15" hidden="false" customHeight="true" outlineLevel="0" collapsed="false">
      <c r="A35" s="144" t="s">
        <v>717</v>
      </c>
    </row>
    <row r="36" customFormat="false" ht="15" hidden="false" customHeight="true" outlineLevel="0" collapsed="false">
      <c r="A36" s="145" t="s">
        <v>718</v>
      </c>
      <c r="B36" s="145"/>
      <c r="C36" s="145"/>
      <c r="D36" s="145"/>
    </row>
    <row r="37" customFormat="false" ht="15" hidden="false" customHeight="true" outlineLevel="0" collapsed="false">
      <c r="A37" s="145"/>
      <c r="B37" s="145"/>
      <c r="C37" s="145"/>
      <c r="D37" s="145"/>
    </row>
    <row r="39" customFormat="false" ht="15" hidden="false" customHeight="true" outlineLevel="0" collapsed="false">
      <c r="A39" s="146" t="s">
        <v>719</v>
      </c>
    </row>
    <row r="40" customFormat="false" ht="15" hidden="false" customHeight="true" outlineLevel="0" collapsed="false">
      <c r="A40" s="145" t="s">
        <v>720</v>
      </c>
      <c r="B40" s="145"/>
      <c r="C40" s="145"/>
      <c r="D40" s="145"/>
    </row>
    <row r="41" customFormat="false" ht="15" hidden="false" customHeight="true" outlineLevel="0" collapsed="false">
      <c r="A41" s="145"/>
      <c r="B41" s="145"/>
      <c r="C41" s="145"/>
      <c r="D41" s="145"/>
    </row>
  </sheetData>
  <mergeCells count="5">
    <mergeCell ref="A2:D2"/>
    <mergeCell ref="A28:D28"/>
    <mergeCell ref="A32:D33"/>
    <mergeCell ref="A36:D37"/>
    <mergeCell ref="A40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2"/>
    <col collapsed="false" customWidth="true" hidden="false" outlineLevel="0" max="6" min="3" style="1" width="13"/>
  </cols>
  <sheetData>
    <row r="1" customFormat="false" ht="15" hidden="false" customHeight="true" outlineLevel="0" collapsed="false">
      <c r="A1" s="2" t="s">
        <v>379</v>
      </c>
    </row>
    <row r="2" customFormat="false" ht="15" hidden="false" customHeight="true" outlineLevel="0" collapsed="false">
      <c r="A2" s="2" t="s">
        <v>721</v>
      </c>
    </row>
    <row r="4" customFormat="false" ht="15" hidden="false" customHeight="true" outlineLevel="0" collapsed="false">
      <c r="A4" s="4" t="s">
        <v>722</v>
      </c>
      <c r="B4" s="4"/>
      <c r="C4" s="4" t="s">
        <v>256</v>
      </c>
      <c r="D4" s="4" t="s">
        <v>723</v>
      </c>
    </row>
    <row r="5" customFormat="false" ht="15" hidden="false" customHeight="true" outlineLevel="0" collapsed="false">
      <c r="A5" s="5" t="s">
        <v>724</v>
      </c>
      <c r="C5" s="24" t="n">
        <v>2411</v>
      </c>
      <c r="D5" s="34" t="n">
        <f aca="false">C5/$C$9</f>
        <v>0.0181152886724972</v>
      </c>
    </row>
    <row r="6" customFormat="false" ht="15" hidden="false" customHeight="true" outlineLevel="0" collapsed="false">
      <c r="A6" s="5" t="s">
        <v>725</v>
      </c>
      <c r="C6" s="24" t="n">
        <v>89592</v>
      </c>
      <c r="D6" s="34" t="n">
        <f aca="false">C6/$C$9</f>
        <v>0.673158416734289</v>
      </c>
    </row>
    <row r="7" customFormat="false" ht="15" hidden="false" customHeight="true" outlineLevel="0" collapsed="false">
      <c r="A7" s="5" t="s">
        <v>726</v>
      </c>
      <c r="C7" s="24" t="n">
        <v>13203</v>
      </c>
      <c r="D7" s="34" t="n">
        <f aca="false">C7/$C$9</f>
        <v>0.0992020557208548</v>
      </c>
    </row>
    <row r="8" customFormat="false" ht="15" hidden="false" customHeight="true" outlineLevel="0" collapsed="false">
      <c r="A8" s="5" t="s">
        <v>727</v>
      </c>
      <c r="C8" s="7" t="n">
        <v>27886</v>
      </c>
      <c r="D8" s="8" t="n">
        <f aca="false">C8/$C$9</f>
        <v>0.209524238872359</v>
      </c>
    </row>
    <row r="9" customFormat="false" ht="15" hidden="false" customHeight="true" outlineLevel="0" collapsed="false">
      <c r="A9" s="6" t="s">
        <v>728</v>
      </c>
      <c r="C9" s="27" t="n">
        <f aca="false">SUM(C5:C8)</f>
        <v>133092</v>
      </c>
    </row>
    <row r="10" customFormat="false" ht="15" hidden="false" customHeight="true" outlineLevel="0" collapsed="false">
      <c r="A10" s="3" t="s">
        <v>729</v>
      </c>
    </row>
    <row r="12" customFormat="false" ht="15" hidden="false" customHeight="true" outlineLevel="0" collapsed="false">
      <c r="A12" s="4" t="s">
        <v>730</v>
      </c>
      <c r="B12" s="4"/>
      <c r="C12" s="4" t="s">
        <v>731</v>
      </c>
      <c r="D12" s="4" t="s">
        <v>732</v>
      </c>
      <c r="E12" s="4" t="s">
        <v>733</v>
      </c>
    </row>
    <row r="13" customFormat="false" ht="15" hidden="false" customHeight="true" outlineLevel="0" collapsed="false">
      <c r="A13" s="5" t="s">
        <v>227</v>
      </c>
      <c r="C13" s="24" t="n">
        <v>15610</v>
      </c>
      <c r="D13" s="24" t="n">
        <v>1659</v>
      </c>
      <c r="E13" s="34" t="n">
        <f aca="false">D13/C13</f>
        <v>0.10627802690583</v>
      </c>
    </row>
    <row r="14" customFormat="false" ht="15" hidden="false" customHeight="true" outlineLevel="0" collapsed="false">
      <c r="A14" s="5" t="s">
        <v>228</v>
      </c>
      <c r="C14" s="24" t="n">
        <v>17968</v>
      </c>
      <c r="D14" s="24" t="n">
        <v>3181</v>
      </c>
      <c r="E14" s="34" t="n">
        <f aca="false">D14/C14</f>
        <v>0.177036954585931</v>
      </c>
    </row>
    <row r="15" customFormat="false" ht="15" hidden="false" customHeight="true" outlineLevel="0" collapsed="false">
      <c r="A15" s="5" t="s">
        <v>229</v>
      </c>
      <c r="C15" s="24" t="n">
        <v>26748</v>
      </c>
      <c r="D15" s="24" t="n">
        <v>6400</v>
      </c>
      <c r="E15" s="34" t="n">
        <f aca="false">D15/C15</f>
        <v>0.239270225811276</v>
      </c>
    </row>
    <row r="16" customFormat="false" ht="15" hidden="false" customHeight="true" outlineLevel="0" collapsed="false">
      <c r="A16" s="5" t="s">
        <v>230</v>
      </c>
      <c r="C16" s="24" t="n">
        <v>20641</v>
      </c>
      <c r="D16" s="24" t="n">
        <v>3601</v>
      </c>
      <c r="E16" s="34" t="n">
        <f aca="false">D16/C16</f>
        <v>0.174458601811928</v>
      </c>
    </row>
    <row r="17" customFormat="false" ht="15" hidden="false" customHeight="true" outlineLevel="0" collapsed="false">
      <c r="A17" s="5" t="s">
        <v>231</v>
      </c>
      <c r="C17" s="24" t="n">
        <v>24911</v>
      </c>
      <c r="D17" s="24" t="n">
        <v>6598</v>
      </c>
      <c r="E17" s="34" t="n">
        <f aca="false">D17/C17</f>
        <v>0.264862911966601</v>
      </c>
    </row>
    <row r="18" customFormat="false" ht="15" hidden="false" customHeight="true" outlineLevel="0" collapsed="false">
      <c r="A18" s="5" t="s">
        <v>232</v>
      </c>
      <c r="C18" s="24" t="n">
        <v>27214</v>
      </c>
      <c r="D18" s="24" t="n">
        <v>6447</v>
      </c>
      <c r="E18" s="34" t="n">
        <f aca="false">D18/C18</f>
        <v>0.236900124935695</v>
      </c>
    </row>
    <row r="19" customFormat="false" ht="15" hidden="false" customHeight="true" outlineLevel="0" collapsed="false">
      <c r="A19" s="3" t="s">
        <v>734</v>
      </c>
    </row>
    <row r="21" customFormat="false" ht="15" hidden="false" customHeight="true" outlineLevel="0" collapsed="false">
      <c r="A21" s="4" t="s">
        <v>735</v>
      </c>
      <c r="B21" s="4"/>
      <c r="C21" s="4" t="s">
        <v>256</v>
      </c>
      <c r="D21" s="4" t="s">
        <v>736</v>
      </c>
      <c r="E21" s="4" t="s">
        <v>737</v>
      </c>
    </row>
    <row r="22" customFormat="false" ht="15" hidden="false" customHeight="true" outlineLevel="0" collapsed="false">
      <c r="A22" s="5" t="s">
        <v>738</v>
      </c>
      <c r="C22" s="24" t="n">
        <v>5637</v>
      </c>
      <c r="D22" s="34" t="n">
        <f aca="false">C22/$C$8</f>
        <v>0.20214444524134</v>
      </c>
      <c r="E22" s="5" t="s">
        <v>739</v>
      </c>
    </row>
    <row r="23" customFormat="false" ht="15" hidden="false" customHeight="true" outlineLevel="0" collapsed="false">
      <c r="A23" s="5" t="s">
        <v>740</v>
      </c>
      <c r="C23" s="24" t="n">
        <v>3913</v>
      </c>
      <c r="D23" s="34" t="n">
        <f aca="false">C23/$C$8</f>
        <v>0.140321308183318</v>
      </c>
      <c r="E23" s="5" t="s">
        <v>739</v>
      </c>
    </row>
    <row r="24" customFormat="false" ht="15" hidden="false" customHeight="true" outlineLevel="0" collapsed="false">
      <c r="A24" s="5" t="s">
        <v>741</v>
      </c>
      <c r="C24" s="24" t="n">
        <v>3678</v>
      </c>
      <c r="D24" s="34" t="n">
        <f aca="false">C24/$C$8</f>
        <v>0.131894140428889</v>
      </c>
      <c r="E24" s="5" t="s">
        <v>739</v>
      </c>
    </row>
    <row r="25" customFormat="false" ht="15" hidden="false" customHeight="true" outlineLevel="0" collapsed="false">
      <c r="A25" s="5" t="s">
        <v>742</v>
      </c>
      <c r="C25" s="24" t="n">
        <v>2744</v>
      </c>
      <c r="D25" s="34" t="n">
        <f aca="false">C25/$C$8</f>
        <v>0.0984006311410744</v>
      </c>
      <c r="E25" s="6" t="s">
        <v>743</v>
      </c>
    </row>
    <row r="26" customFormat="false" ht="15" hidden="false" customHeight="true" outlineLevel="0" collapsed="false">
      <c r="A26" s="5" t="s">
        <v>744</v>
      </c>
      <c r="C26" s="24" t="n">
        <v>2071</v>
      </c>
      <c r="D26" s="34" t="n">
        <f aca="false">C26/$C$8</f>
        <v>0.0742666571039231</v>
      </c>
      <c r="E26" s="5" t="s">
        <v>739</v>
      </c>
    </row>
    <row r="27" customFormat="false" ht="15" hidden="false" customHeight="true" outlineLevel="0" collapsed="false">
      <c r="A27" s="5" t="s">
        <v>745</v>
      </c>
      <c r="C27" s="24" t="n">
        <v>1937</v>
      </c>
      <c r="D27" s="34" t="n">
        <f aca="false">C27/$C$8</f>
        <v>0.0694613784694829</v>
      </c>
      <c r="E27" s="5" t="s">
        <v>739</v>
      </c>
    </row>
    <row r="28" customFormat="false" ht="15" hidden="false" customHeight="true" outlineLevel="0" collapsed="false">
      <c r="A28" s="5" t="s">
        <v>746</v>
      </c>
      <c r="C28" s="24" t="n">
        <v>1726</v>
      </c>
      <c r="D28" s="34" t="n">
        <f aca="false">C28/$C$8</f>
        <v>0.0618948576346554</v>
      </c>
      <c r="E28" s="5" t="s">
        <v>739</v>
      </c>
    </row>
    <row r="29" customFormat="false" ht="15" hidden="false" customHeight="true" outlineLevel="0" collapsed="false">
      <c r="A29" s="5" t="s">
        <v>747</v>
      </c>
      <c r="C29" s="24" t="n">
        <v>1029</v>
      </c>
      <c r="D29" s="34" t="n">
        <f aca="false">C29/$C$8</f>
        <v>0.0369002366779029</v>
      </c>
      <c r="E29" s="5" t="s">
        <v>739</v>
      </c>
    </row>
    <row r="30" customFormat="false" ht="15" hidden="false" customHeight="true" outlineLevel="0" collapsed="false">
      <c r="A30" s="5" t="s">
        <v>748</v>
      </c>
      <c r="C30" s="24" t="n">
        <v>902</v>
      </c>
      <c r="D30" s="34" t="n">
        <f aca="false">C30/$C$8</f>
        <v>0.0323459800616797</v>
      </c>
      <c r="E30" s="5" t="s">
        <v>739</v>
      </c>
    </row>
    <row r="31" customFormat="false" ht="15" hidden="false" customHeight="true" outlineLevel="0" collapsed="false">
      <c r="A31" s="5" t="s">
        <v>749</v>
      </c>
      <c r="C31" s="24" t="n">
        <v>612</v>
      </c>
      <c r="D31" s="34" t="n">
        <f aca="false">C31/$C$8</f>
        <v>0.0219464964498315</v>
      </c>
      <c r="E31" s="5" t="s">
        <v>739</v>
      </c>
    </row>
    <row r="32" customFormat="false" ht="15" hidden="false" customHeight="true" outlineLevel="0" collapsed="false">
      <c r="A32" s="5" t="s">
        <v>750</v>
      </c>
      <c r="C32" s="24" t="n">
        <v>514</v>
      </c>
      <c r="D32" s="34" t="n">
        <f aca="false">C32/$C$8</f>
        <v>0.0184321881947931</v>
      </c>
      <c r="E32" s="5" t="s">
        <v>739</v>
      </c>
    </row>
    <row r="33" customFormat="false" ht="15" hidden="false" customHeight="true" outlineLevel="0" collapsed="false">
      <c r="A33" s="5" t="s">
        <v>751</v>
      </c>
      <c r="C33" s="24" t="n">
        <v>501</v>
      </c>
      <c r="D33" s="34" t="n">
        <f aca="false">C33/$C$8</f>
        <v>0.0179660044466758</v>
      </c>
      <c r="E33" s="6" t="s">
        <v>743</v>
      </c>
    </row>
    <row r="34" customFormat="false" ht="15" hidden="false" customHeight="true" outlineLevel="0" collapsed="false">
      <c r="A34" s="5" t="s">
        <v>752</v>
      </c>
      <c r="C34" s="24" t="n">
        <v>378</v>
      </c>
      <c r="D34" s="34" t="n">
        <f aca="false">C34/$C$8</f>
        <v>0.0135551889837194</v>
      </c>
      <c r="E34" s="6" t="s">
        <v>743</v>
      </c>
    </row>
    <row r="35" customFormat="false" ht="15" hidden="false" customHeight="true" outlineLevel="0" collapsed="false">
      <c r="A35" s="5" t="s">
        <v>753</v>
      </c>
      <c r="C35" s="24" t="n">
        <v>335</v>
      </c>
      <c r="D35" s="34" t="n">
        <f aca="false">C35/$C$8</f>
        <v>0.0120131965861006</v>
      </c>
      <c r="E35" s="5" t="s">
        <v>739</v>
      </c>
    </row>
    <row r="36" customFormat="false" ht="15" hidden="false" customHeight="true" outlineLevel="0" collapsed="false">
      <c r="A36" s="5" t="s">
        <v>754</v>
      </c>
      <c r="C36" s="24" t="n">
        <v>333</v>
      </c>
      <c r="D36" s="34" t="n">
        <f aca="false">C36/$C$8</f>
        <v>0.0119414760094671</v>
      </c>
      <c r="E36" s="6" t="s">
        <v>743</v>
      </c>
    </row>
    <row r="37" customFormat="false" ht="15" hidden="false" customHeight="true" outlineLevel="0" collapsed="false">
      <c r="A37" s="5" t="s">
        <v>755</v>
      </c>
      <c r="C37" s="24" t="n">
        <v>267</v>
      </c>
      <c r="D37" s="34" t="n">
        <f aca="false">C37/$C$8</f>
        <v>0.00957469698056373</v>
      </c>
      <c r="E37" s="6" t="s">
        <v>743</v>
      </c>
    </row>
    <row r="38" customFormat="false" ht="15" hidden="false" customHeight="true" outlineLevel="0" collapsed="false">
      <c r="A38" s="5" t="s">
        <v>756</v>
      </c>
      <c r="C38" s="24" t="n">
        <v>260</v>
      </c>
      <c r="D38" s="34" t="n">
        <f aca="false">C38/$C$8</f>
        <v>0.0093236749623467</v>
      </c>
      <c r="E38" s="5" t="s">
        <v>739</v>
      </c>
    </row>
    <row r="39" customFormat="false" ht="15" hidden="false" customHeight="true" outlineLevel="0" collapsed="false">
      <c r="A39" s="5" t="s">
        <v>757</v>
      </c>
      <c r="C39" s="24" t="n">
        <v>337</v>
      </c>
      <c r="D39" s="34" t="n">
        <f aca="false">C39/$C$8</f>
        <v>0.012084917162734</v>
      </c>
      <c r="E39" s="6" t="s">
        <v>743</v>
      </c>
    </row>
    <row r="40" customFormat="false" ht="15" hidden="false" customHeight="true" outlineLevel="0" collapsed="false">
      <c r="A40" s="5" t="s">
        <v>758</v>
      </c>
      <c r="C40" s="24" t="n">
        <v>712</v>
      </c>
      <c r="D40" s="34" t="n">
        <f aca="false">C40/$C$8</f>
        <v>0.0255325252815033</v>
      </c>
      <c r="E40" s="5" t="s">
        <v>739</v>
      </c>
    </row>
    <row r="41" customFormat="false" ht="15" hidden="false" customHeight="true" outlineLevel="0" collapsed="false">
      <c r="A41" s="6" t="s">
        <v>759</v>
      </c>
      <c r="C41" s="27" t="n">
        <f aca="false">SUMIF(E22:E40,"BARISTA",C22:C40)</f>
        <v>4560</v>
      </c>
      <c r="D41" s="35" t="n">
        <f aca="false">C41/$C$8</f>
        <v>0.163522914724234</v>
      </c>
    </row>
    <row r="42" customFormat="false" ht="15" hidden="false" customHeight="true" outlineLevel="0" collapsed="false">
      <c r="A42" s="6" t="s">
        <v>760</v>
      </c>
      <c r="C42" s="7" t="n">
        <f aca="false">C8-C41</f>
        <v>23326</v>
      </c>
      <c r="D42" s="8" t="n">
        <f aca="false">C42/$C$8</f>
        <v>0.836477085275766</v>
      </c>
    </row>
    <row r="44" customFormat="false" ht="15" hidden="false" customHeight="true" outlineLevel="0" collapsed="false">
      <c r="A44" s="4" t="s">
        <v>761</v>
      </c>
      <c r="B44" s="4"/>
      <c r="C44" s="4"/>
      <c r="D44" s="4"/>
    </row>
    <row r="45" customFormat="false" ht="15" hidden="false" customHeight="true" outlineLevel="0" collapsed="false">
      <c r="A45" s="5" t="s">
        <v>762</v>
      </c>
      <c r="C45" s="24" t="n">
        <f aca="false">C41*2</f>
        <v>9120</v>
      </c>
    </row>
    <row r="46" customFormat="false" ht="15" hidden="false" customHeight="true" outlineLevel="0" collapsed="false">
      <c r="A46" s="5" t="s">
        <v>763</v>
      </c>
      <c r="C46" s="147" t="n">
        <v>0.5</v>
      </c>
    </row>
    <row r="47" customFormat="false" ht="15" hidden="false" customHeight="true" outlineLevel="0" collapsed="false">
      <c r="A47" s="5" t="s">
        <v>764</v>
      </c>
      <c r="C47" s="24" t="n">
        <f aca="false">C45*C46</f>
        <v>4560</v>
      </c>
    </row>
    <row r="48" customFormat="false" ht="15" hidden="false" customHeight="true" outlineLevel="0" collapsed="false">
      <c r="A48" s="6" t="s">
        <v>765</v>
      </c>
      <c r="C48" s="7" t="n">
        <f aca="false">-C47*0.685</f>
        <v>-3123.6</v>
      </c>
    </row>
    <row r="49" customFormat="false" ht="15" hidden="false" customHeight="true" outlineLevel="0" collapsed="false">
      <c r="A49" s="3" t="s">
        <v>766</v>
      </c>
      <c r="C49" s="148" t="n">
        <v>0.25</v>
      </c>
      <c r="D49" s="148" t="n">
        <v>0.5</v>
      </c>
      <c r="E49" s="148" t="n">
        <v>0.75</v>
      </c>
      <c r="F49" s="148" t="n">
        <v>1</v>
      </c>
    </row>
    <row r="50" customFormat="false" ht="15" hidden="false" customHeight="true" outlineLevel="0" collapsed="false">
      <c r="C50" s="24" t="n">
        <f aca="false">-C45*0.25*0.685</f>
        <v>-1561.8</v>
      </c>
      <c r="D50" s="24" t="n">
        <f aca="false">-C45*0.5*0.685</f>
        <v>-3123.6</v>
      </c>
      <c r="E50" s="24" t="n">
        <f aca="false">-C45*0.75*0.685</f>
        <v>-4685.4</v>
      </c>
      <c r="F50" s="24" t="n">
        <f aca="false">-C45*1*0.685</f>
        <v>-6247.2</v>
      </c>
    </row>
    <row r="52" customFormat="false" ht="15" hidden="false" customHeight="true" outlineLevel="0" collapsed="false">
      <c r="A52" s="4" t="s">
        <v>767</v>
      </c>
      <c r="B52" s="4"/>
      <c r="C52" s="4"/>
      <c r="D52" s="4"/>
    </row>
    <row r="53" customFormat="false" ht="15" hidden="false" customHeight="true" outlineLevel="0" collapsed="false">
      <c r="A53" s="5" t="s">
        <v>768</v>
      </c>
      <c r="C53" s="24" t="n">
        <v>2411</v>
      </c>
    </row>
    <row r="54" customFormat="false" ht="15" hidden="false" customHeight="true" outlineLevel="0" collapsed="false">
      <c r="A54" s="5" t="s">
        <v>769</v>
      </c>
      <c r="C54" s="24" t="n">
        <f aca="false">C53*2</f>
        <v>4822</v>
      </c>
    </row>
    <row r="56" customFormat="false" ht="15" hidden="false" customHeight="true" outlineLevel="0" collapsed="false">
      <c r="A56" s="3" t="s">
        <v>770</v>
      </c>
    </row>
    <row r="58" customFormat="false" ht="15" hidden="false" customHeight="true" outlineLevel="0" collapsed="false">
      <c r="A58" s="4" t="s">
        <v>771</v>
      </c>
      <c r="B58" s="38"/>
      <c r="C58" s="38"/>
      <c r="D58" s="38"/>
      <c r="E58" s="38"/>
      <c r="F58" s="38"/>
    </row>
    <row r="59" customFormat="false" ht="15" hidden="false" customHeight="true" outlineLevel="0" collapsed="false">
      <c r="A59" s="6" t="s">
        <v>772</v>
      </c>
      <c r="C59" s="24" t="n">
        <v>42319</v>
      </c>
      <c r="D59" s="34" t="n">
        <v>0.173</v>
      </c>
      <c r="E59" s="3" t="s">
        <v>773</v>
      </c>
    </row>
    <row r="60" customFormat="false" ht="15" hidden="false" customHeight="true" outlineLevel="0" collapsed="false">
      <c r="A60" s="5" t="s">
        <v>774</v>
      </c>
      <c r="C60" s="24" t="n">
        <v>9118</v>
      </c>
      <c r="D60" s="34" t="n">
        <v>0.215</v>
      </c>
      <c r="E60" s="3" t="s">
        <v>775</v>
      </c>
    </row>
    <row r="61" customFormat="false" ht="15" hidden="false" customHeight="true" outlineLevel="0" collapsed="false">
      <c r="A61" s="5" t="s">
        <v>776</v>
      </c>
      <c r="C61" s="24" t="n">
        <v>33201</v>
      </c>
      <c r="D61" s="34" t="n">
        <v>0.785</v>
      </c>
      <c r="E61" s="3" t="s">
        <v>777</v>
      </c>
    </row>
    <row r="62" customFormat="false" ht="15" hidden="false" customHeight="true" outlineLevel="0" collapsed="false">
      <c r="A62" s="6" t="s">
        <v>778</v>
      </c>
      <c r="C62" s="24" t="n">
        <v>14404</v>
      </c>
      <c r="D62" s="34" t="n">
        <v>0.059</v>
      </c>
      <c r="E62" s="3" t="s">
        <v>779</v>
      </c>
    </row>
    <row r="63" customFormat="false" ht="15" hidden="false" customHeight="true" outlineLevel="0" collapsed="false">
      <c r="A63" s="6" t="s">
        <v>780</v>
      </c>
      <c r="C63" s="24" t="n">
        <v>3007</v>
      </c>
      <c r="D63" s="34" t="n">
        <v>0.012</v>
      </c>
      <c r="E63" s="3" t="s">
        <v>781</v>
      </c>
    </row>
    <row r="65" customFormat="false" ht="15" hidden="false" customHeight="true" outlineLevel="0" collapsed="false">
      <c r="A65" s="3" t="s">
        <v>782</v>
      </c>
    </row>
    <row r="67" customFormat="false" ht="15" hidden="false" customHeight="true" outlineLevel="0" collapsed="false">
      <c r="A67" s="4" t="s">
        <v>783</v>
      </c>
      <c r="B67" s="38"/>
      <c r="C67" s="38"/>
      <c r="D67" s="38"/>
      <c r="E67" s="38"/>
      <c r="F67" s="38"/>
    </row>
    <row r="68" customFormat="false" ht="15" hidden="false" customHeight="true" outlineLevel="0" collapsed="false">
      <c r="A68" s="5" t="s">
        <v>784</v>
      </c>
      <c r="C68" s="24" t="n">
        <f aca="false">4*7*52*'LW Assumptions'!$C$23*(1+'LW Assumptions'!$C$24)</f>
        <v>33779.2</v>
      </c>
    </row>
    <row r="69" customFormat="false" ht="15" hidden="false" customHeight="true" outlineLevel="0" collapsed="false">
      <c r="A69" s="5" t="s">
        <v>785</v>
      </c>
      <c r="C69" s="24" t="n">
        <f aca="false">C60*0.685</f>
        <v>6245.83</v>
      </c>
    </row>
    <row r="70" customFormat="false" ht="15" hidden="false" customHeight="true" outlineLevel="0" collapsed="false">
      <c r="A70" s="6" t="s">
        <v>786</v>
      </c>
      <c r="C70" s="7" t="n">
        <f aca="false">C68-C69</f>
        <v>27533.37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3" min="3" style="1" width="9"/>
    <col collapsed="false" customWidth="true" hidden="false" outlineLevel="0" max="10" min="4" style="1" width="7.5"/>
    <col collapsed="false" customWidth="true" hidden="false" outlineLevel="0" max="11" min="11" style="1" width="7"/>
    <col collapsed="false" customWidth="true" hidden="false" outlineLevel="0" max="12" min="12" style="1" width="9"/>
    <col collapsed="false" customWidth="true" hidden="false" outlineLevel="0" max="13" min="13" style="1" width="22"/>
  </cols>
  <sheetData>
    <row r="1" customFormat="false" ht="24" hidden="false" customHeight="true" outlineLevel="0" collapsed="false">
      <c r="A1" s="149" t="s">
        <v>787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customFormat="false" ht="15" hidden="false" customHeight="true" outlineLevel="0" collapsed="false">
      <c r="A2" s="127" t="s">
        <v>788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</row>
    <row r="4" customFormat="false" ht="15" hidden="false" customHeight="true" outlineLevel="0" collapsed="false">
      <c r="A4" s="144" t="s">
        <v>789</v>
      </c>
      <c r="B4" s="150" t="s">
        <v>790</v>
      </c>
      <c r="C4" s="151" t="n">
        <f aca="false">'LW Assumptions'!$C$23</f>
        <v>20</v>
      </c>
      <c r="D4" s="150" t="s">
        <v>791</v>
      </c>
      <c r="E4" s="151" t="n">
        <v>25</v>
      </c>
    </row>
    <row r="6" customFormat="false" ht="15" hidden="false" customHeight="true" outlineLevel="0" collapsed="false">
      <c r="A6" s="42" t="s">
        <v>792</v>
      </c>
    </row>
    <row r="7" customFormat="false" ht="15" hidden="false" customHeight="true" outlineLevel="0" collapsed="false">
      <c r="A7" s="152" t="s">
        <v>793</v>
      </c>
      <c r="B7" s="152" t="s">
        <v>662</v>
      </c>
      <c r="C7" s="153" t="s">
        <v>794</v>
      </c>
      <c r="D7" s="153" t="s">
        <v>795</v>
      </c>
      <c r="E7" s="153" t="s">
        <v>796</v>
      </c>
      <c r="F7" s="153" t="s">
        <v>797</v>
      </c>
      <c r="G7" s="153" t="s">
        <v>798</v>
      </c>
      <c r="H7" s="153" t="s">
        <v>799</v>
      </c>
      <c r="I7" s="153" t="s">
        <v>800</v>
      </c>
      <c r="J7" s="153" t="s">
        <v>801</v>
      </c>
      <c r="K7" s="153" t="s">
        <v>802</v>
      </c>
      <c r="L7" s="153" t="s">
        <v>803</v>
      </c>
    </row>
    <row r="8" customFormat="false" ht="15" hidden="false" customHeight="true" outlineLevel="0" collapsed="false">
      <c r="A8" s="154" t="s">
        <v>804</v>
      </c>
      <c r="B8" s="155" t="s">
        <v>805</v>
      </c>
      <c r="C8" s="156" t="n">
        <v>18.29</v>
      </c>
      <c r="D8" s="157" t="n">
        <f aca="false">6*$C8</f>
        <v>109.74</v>
      </c>
      <c r="E8" s="157" t="n">
        <f aca="false">7.75*$C8</f>
        <v>141.7475</v>
      </c>
      <c r="F8" s="158" t="n">
        <v>0</v>
      </c>
      <c r="G8" s="158" t="n">
        <v>0</v>
      </c>
      <c r="H8" s="158" t="n">
        <v>0</v>
      </c>
      <c r="I8" s="158" t="n">
        <v>0</v>
      </c>
      <c r="J8" s="158" t="n">
        <v>0</v>
      </c>
      <c r="K8" s="159" t="n">
        <v>13.75</v>
      </c>
      <c r="L8" s="160" t="n">
        <f aca="false">SUM(D8:J8)</f>
        <v>251.4875</v>
      </c>
    </row>
    <row r="9" customFormat="false" ht="15" hidden="false" customHeight="true" outlineLevel="0" collapsed="false">
      <c r="A9" s="154" t="s">
        <v>804</v>
      </c>
      <c r="B9" s="155" t="s">
        <v>806</v>
      </c>
      <c r="C9" s="156" t="n">
        <v>21.03</v>
      </c>
      <c r="D9" s="157" t="n">
        <f aca="false">1.75*$C9</f>
        <v>36.8025</v>
      </c>
      <c r="E9" s="157" t="n">
        <f aca="false">1.75*$C9</f>
        <v>36.8025</v>
      </c>
      <c r="F9" s="157" t="n">
        <f aca="false">7.75*$C9</f>
        <v>162.9825</v>
      </c>
      <c r="G9" s="158" t="n">
        <v>0</v>
      </c>
      <c r="H9" s="158" t="n">
        <v>0</v>
      </c>
      <c r="I9" s="158" t="n">
        <v>0</v>
      </c>
      <c r="J9" s="158" t="n">
        <v>0</v>
      </c>
      <c r="K9" s="159" t="n">
        <v>11.25</v>
      </c>
      <c r="L9" s="160" t="n">
        <f aca="false">SUM(D9:J9)</f>
        <v>236.5875</v>
      </c>
      <c r="M9" s="161" t="s">
        <v>807</v>
      </c>
    </row>
    <row r="10" customFormat="false" ht="15" hidden="false" customHeight="true" outlineLevel="0" collapsed="false">
      <c r="A10" s="154" t="s">
        <v>808</v>
      </c>
      <c r="B10" s="155" t="s">
        <v>805</v>
      </c>
      <c r="C10" s="156" t="n">
        <v>17.79</v>
      </c>
      <c r="D10" s="158" t="n">
        <v>0</v>
      </c>
      <c r="E10" s="158" t="n">
        <v>0</v>
      </c>
      <c r="F10" s="158" t="n">
        <v>0</v>
      </c>
      <c r="G10" s="158" t="n">
        <v>0</v>
      </c>
      <c r="H10" s="157" t="n">
        <f aca="false">8*$C10</f>
        <v>142.32</v>
      </c>
      <c r="I10" s="157" t="n">
        <f aca="false">8*$C10</f>
        <v>142.32</v>
      </c>
      <c r="J10" s="157" t="n">
        <f aca="false">8*$C10</f>
        <v>142.32</v>
      </c>
      <c r="K10" s="159" t="n">
        <v>24</v>
      </c>
      <c r="L10" s="160" t="n">
        <f aca="false">SUM(D10:J10)</f>
        <v>426.96</v>
      </c>
    </row>
    <row r="11" customFormat="false" ht="15" hidden="false" customHeight="true" outlineLevel="0" collapsed="false">
      <c r="A11" s="154" t="s">
        <v>809</v>
      </c>
      <c r="B11" s="155" t="s">
        <v>810</v>
      </c>
      <c r="C11" s="156" t="n">
        <v>19.79</v>
      </c>
      <c r="D11" s="157" t="n">
        <f aca="false">8*$C11</f>
        <v>158.32</v>
      </c>
      <c r="E11" s="157" t="n">
        <f aca="false">8*$C11</f>
        <v>158.32</v>
      </c>
      <c r="F11" s="157" t="n">
        <f aca="false">8*$C11</f>
        <v>158.32</v>
      </c>
      <c r="G11" s="157" t="n">
        <f aca="false">8*$C11</f>
        <v>158.32</v>
      </c>
      <c r="H11" s="158" t="n">
        <v>0</v>
      </c>
      <c r="I11" s="158" t="n">
        <v>0</v>
      </c>
      <c r="J11" s="157" t="n">
        <f aca="false">3*$C11</f>
        <v>59.37</v>
      </c>
      <c r="K11" s="159" t="n">
        <v>35</v>
      </c>
      <c r="L11" s="160" t="n">
        <f aca="false">SUM(D11:J11)</f>
        <v>692.65</v>
      </c>
      <c r="M11" s="161" t="s">
        <v>811</v>
      </c>
    </row>
    <row r="12" customFormat="false" ht="15" hidden="false" customHeight="true" outlineLevel="0" collapsed="false">
      <c r="A12" s="154" t="s">
        <v>812</v>
      </c>
      <c r="B12" s="155" t="s">
        <v>810</v>
      </c>
      <c r="C12" s="156" t="n">
        <v>21.21</v>
      </c>
      <c r="D12" s="158" t="n">
        <v>0</v>
      </c>
      <c r="E12" s="158" t="n">
        <v>0</v>
      </c>
      <c r="F12" s="157" t="n">
        <f aca="false">8*$C12</f>
        <v>169.68</v>
      </c>
      <c r="G12" s="157" t="n">
        <f aca="false">8*$C12</f>
        <v>169.68</v>
      </c>
      <c r="H12" s="157" t="n">
        <f aca="false">8*$C12</f>
        <v>169.68</v>
      </c>
      <c r="I12" s="157" t="n">
        <f aca="false">8*$C12</f>
        <v>169.68</v>
      </c>
      <c r="J12" s="157" t="n">
        <f aca="false">8*$C12</f>
        <v>169.68</v>
      </c>
      <c r="K12" s="159" t="n">
        <v>40</v>
      </c>
      <c r="L12" s="160" t="n">
        <f aca="false">SUM(D12:J12)</f>
        <v>848.4</v>
      </c>
    </row>
    <row r="13" customFormat="false" ht="15" hidden="false" customHeight="true" outlineLevel="0" collapsed="false">
      <c r="A13" s="154" t="s">
        <v>813</v>
      </c>
      <c r="B13" s="155" t="s">
        <v>814</v>
      </c>
      <c r="C13" s="156" t="n">
        <v>25</v>
      </c>
      <c r="D13" s="158" t="n">
        <v>0</v>
      </c>
      <c r="E13" s="158" t="n">
        <v>0</v>
      </c>
      <c r="F13" s="158" t="n">
        <v>0</v>
      </c>
      <c r="G13" s="157" t="n">
        <f aca="false">8*$C13</f>
        <v>200</v>
      </c>
      <c r="H13" s="157" t="n">
        <f aca="false">8*$C13</f>
        <v>200</v>
      </c>
      <c r="I13" s="158" t="n">
        <v>0</v>
      </c>
      <c r="J13" s="158" t="n">
        <v>0</v>
      </c>
      <c r="K13" s="159" t="n">
        <v>16</v>
      </c>
      <c r="L13" s="160" t="n">
        <f aca="false">SUM(D13:J13)</f>
        <v>400</v>
      </c>
      <c r="M13" s="161" t="s">
        <v>815</v>
      </c>
    </row>
    <row r="14" customFormat="false" ht="15" hidden="false" customHeight="true" outlineLevel="0" collapsed="false">
      <c r="A14" s="122" t="s">
        <v>816</v>
      </c>
      <c r="B14" s="128"/>
      <c r="C14" s="162"/>
      <c r="D14" s="162" t="n">
        <f aca="false">SUM(D8:D13)</f>
        <v>304.8625</v>
      </c>
      <c r="E14" s="162" t="n">
        <f aca="false">SUM(E8:E13)</f>
        <v>336.87</v>
      </c>
      <c r="F14" s="162" t="n">
        <f aca="false">SUM(F8:F13)</f>
        <v>490.9825</v>
      </c>
      <c r="G14" s="162" t="n">
        <f aca="false">SUM(G8:G13)</f>
        <v>528</v>
      </c>
      <c r="H14" s="162" t="n">
        <f aca="false">SUM(H8:H13)</f>
        <v>512</v>
      </c>
      <c r="I14" s="162" t="n">
        <f aca="false">SUM(I8:I13)</f>
        <v>312</v>
      </c>
      <c r="J14" s="162" t="n">
        <f aca="false">SUM(J8:J13)</f>
        <v>371.37</v>
      </c>
      <c r="K14" s="163" t="n">
        <f aca="false">SUM(K8:K13)</f>
        <v>140</v>
      </c>
      <c r="L14" s="45" t="n">
        <f aca="false">SUM(L8:L13)</f>
        <v>2856.085</v>
      </c>
      <c r="M14" s="155" t="s">
        <v>817</v>
      </c>
    </row>
    <row r="17" customFormat="false" ht="15" hidden="false" customHeight="true" outlineLevel="0" collapsed="false">
      <c r="A17" s="164" t="s">
        <v>818</v>
      </c>
      <c r="B17" s="164"/>
      <c r="C17" s="164"/>
      <c r="D17" s="164"/>
      <c r="E17" s="164"/>
      <c r="F17" s="164"/>
      <c r="G17" s="164"/>
      <c r="H17" s="164"/>
      <c r="I17" s="164"/>
      <c r="J17" s="164"/>
      <c r="K17" s="164"/>
    </row>
    <row r="18" customFormat="false" ht="15" hidden="false" customHeight="true" outlineLevel="0" collapsed="false">
      <c r="A18" s="152"/>
      <c r="B18" s="152" t="s">
        <v>819</v>
      </c>
      <c r="D18" s="153" t="s">
        <v>820</v>
      </c>
      <c r="F18" s="153" t="s">
        <v>821</v>
      </c>
      <c r="G18" s="153" t="s">
        <v>822</v>
      </c>
      <c r="H18" s="153" t="s">
        <v>823</v>
      </c>
      <c r="J18" s="153" t="s">
        <v>824</v>
      </c>
    </row>
    <row r="19" customFormat="false" ht="15" hidden="false" customHeight="true" outlineLevel="0" collapsed="false">
      <c r="A19" s="144" t="s">
        <v>825</v>
      </c>
      <c r="B19" s="154" t="s">
        <v>826</v>
      </c>
      <c r="D19" s="165" t="s">
        <v>827</v>
      </c>
      <c r="F19" s="166" t="s">
        <v>828</v>
      </c>
      <c r="G19" s="167" t="n">
        <v>8</v>
      </c>
      <c r="H19" s="157" t="n">
        <f aca="false">8*$C$4</f>
        <v>160</v>
      </c>
      <c r="J19" s="160" t="n">
        <f aca="false">H19*7</f>
        <v>1120</v>
      </c>
    </row>
    <row r="20" customFormat="false" ht="15" hidden="false" customHeight="true" outlineLevel="0" collapsed="false">
      <c r="A20" s="144"/>
      <c r="B20" s="154" t="s">
        <v>829</v>
      </c>
      <c r="D20" s="165" t="s">
        <v>830</v>
      </c>
      <c r="F20" s="166" t="s">
        <v>828</v>
      </c>
      <c r="G20" s="167" t="n">
        <v>8</v>
      </c>
      <c r="H20" s="157" t="n">
        <f aca="false">8*$C$4</f>
        <v>160</v>
      </c>
      <c r="J20" s="160" t="n">
        <f aca="false">H20*7</f>
        <v>1120</v>
      </c>
    </row>
    <row r="21" customFormat="false" ht="15" hidden="false" customHeight="true" outlineLevel="0" collapsed="false">
      <c r="A21" s="144"/>
      <c r="B21" s="154" t="s">
        <v>831</v>
      </c>
      <c r="D21" s="165" t="s">
        <v>832</v>
      </c>
      <c r="F21" s="166" t="s">
        <v>833</v>
      </c>
      <c r="G21" s="167" t="n">
        <v>4</v>
      </c>
      <c r="H21" s="157" t="n">
        <f aca="false">4*$E$4</f>
        <v>100</v>
      </c>
      <c r="J21" s="160" t="n">
        <f aca="false">H21*7</f>
        <v>700</v>
      </c>
    </row>
    <row r="22" customFormat="false" ht="15" hidden="false" customHeight="true" outlineLevel="0" collapsed="false">
      <c r="A22" s="168" t="s">
        <v>834</v>
      </c>
      <c r="B22" s="128"/>
      <c r="D22" s="128"/>
      <c r="F22" s="128"/>
      <c r="G22" s="163" t="n">
        <f aca="false">G19+G20+G21</f>
        <v>20</v>
      </c>
      <c r="H22" s="162" t="n">
        <f aca="false">H19+H20+H21</f>
        <v>420</v>
      </c>
      <c r="J22" s="162" t="n">
        <f aca="false">H22*7</f>
        <v>2940</v>
      </c>
    </row>
    <row r="24" customFormat="false" ht="15" hidden="false" customHeight="true" outlineLevel="0" collapsed="false">
      <c r="A24" s="168" t="s">
        <v>835</v>
      </c>
      <c r="B24" s="169" t="s">
        <v>836</v>
      </c>
      <c r="C24" s="128"/>
      <c r="D24" s="170" t="s">
        <v>837</v>
      </c>
      <c r="E24" s="128"/>
      <c r="F24" s="171" t="s">
        <v>838</v>
      </c>
      <c r="G24" s="172" t="n">
        <v>10</v>
      </c>
      <c r="H24" s="173" t="n">
        <f aca="false">10*$C$4</f>
        <v>200</v>
      </c>
      <c r="I24" s="128"/>
      <c r="J24" s="162" t="n">
        <f aca="false">H24*7</f>
        <v>1400</v>
      </c>
    </row>
    <row r="25" customFormat="false" ht="15" hidden="false" customHeight="true" outlineLevel="0" collapsed="false">
      <c r="A25" s="174"/>
      <c r="B25" s="175" t="s">
        <v>839</v>
      </c>
      <c r="C25" s="176"/>
      <c r="D25" s="177" t="s">
        <v>840</v>
      </c>
      <c r="E25" s="176"/>
      <c r="F25" s="178" t="s">
        <v>841</v>
      </c>
      <c r="G25" s="179" t="n">
        <v>0</v>
      </c>
      <c r="H25" s="180" t="n">
        <v>0</v>
      </c>
      <c r="I25" s="176"/>
      <c r="J25" s="181" t="n">
        <f aca="false">H25*7</f>
        <v>0</v>
      </c>
    </row>
    <row r="26" customFormat="false" ht="15" hidden="false" customHeight="true" outlineLevel="0" collapsed="false">
      <c r="A26" s="168" t="s">
        <v>842</v>
      </c>
      <c r="B26" s="128"/>
      <c r="D26" s="128"/>
      <c r="F26" s="128"/>
      <c r="G26" s="163" t="n">
        <v>10</v>
      </c>
      <c r="H26" s="162" t="n">
        <f aca="false">10*$C$4</f>
        <v>200</v>
      </c>
      <c r="J26" s="162" t="n">
        <f aca="false">H26*7</f>
        <v>1400</v>
      </c>
    </row>
    <row r="28" customFormat="false" ht="15" hidden="false" customHeight="true" outlineLevel="0" collapsed="false">
      <c r="A28" s="182" t="s">
        <v>843</v>
      </c>
      <c r="B28" s="182"/>
      <c r="C28" s="182"/>
      <c r="D28" s="182"/>
      <c r="E28" s="182"/>
      <c r="F28" s="182"/>
      <c r="G28" s="182"/>
      <c r="H28" s="182"/>
      <c r="I28" s="182"/>
      <c r="J28" s="182"/>
      <c r="K28" s="182"/>
    </row>
    <row r="29" customFormat="false" ht="15" hidden="false" customHeight="true" outlineLevel="0" collapsed="false">
      <c r="A29" s="182"/>
      <c r="B29" s="182"/>
      <c r="C29" s="182"/>
      <c r="D29" s="182"/>
      <c r="E29" s="182"/>
      <c r="F29" s="182"/>
      <c r="G29" s="182"/>
      <c r="H29" s="182"/>
      <c r="I29" s="182"/>
      <c r="J29" s="182"/>
      <c r="K29" s="182"/>
    </row>
  </sheetData>
  <mergeCells count="3">
    <mergeCell ref="A2:K2"/>
    <mergeCell ref="A17:K17"/>
    <mergeCell ref="A28:K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4" min="2" style="1" width="12"/>
  </cols>
  <sheetData>
    <row r="1" customFormat="false" ht="25.5" hidden="false" customHeight="true" outlineLevel="0" collapsed="false">
      <c r="A1" s="183" t="s">
        <v>844</v>
      </c>
      <c r="B1" s="38"/>
      <c r="C1" s="38"/>
      <c r="D1" s="38"/>
    </row>
    <row r="2" customFormat="false" ht="15" hidden="false" customHeight="true" outlineLevel="0" collapsed="false">
      <c r="A2" s="184" t="s">
        <v>845</v>
      </c>
      <c r="B2" s="184"/>
      <c r="C2" s="184"/>
      <c r="D2" s="184"/>
    </row>
    <row r="4" customFormat="false" ht="15" hidden="false" customHeight="true" outlineLevel="0" collapsed="false">
      <c r="A4" s="83" t="s">
        <v>846</v>
      </c>
      <c r="B4" s="43" t="s">
        <v>353</v>
      </c>
      <c r="C4" s="43" t="s">
        <v>354</v>
      </c>
      <c r="D4" s="43" t="s">
        <v>847</v>
      </c>
    </row>
    <row r="5" customFormat="false" ht="15" hidden="false" customHeight="true" outlineLevel="0" collapsed="false">
      <c r="A5" s="44" t="s">
        <v>848</v>
      </c>
      <c r="B5" s="128"/>
      <c r="C5" s="128"/>
      <c r="D5" s="128"/>
    </row>
    <row r="6" customFormat="false" ht="15" hidden="false" customHeight="true" outlineLevel="0" collapsed="false">
      <c r="A6" s="129" t="s">
        <v>849</v>
      </c>
      <c r="B6" s="137" t="n">
        <v>119121</v>
      </c>
      <c r="C6" s="137" t="n">
        <f aca="false">B6/12</f>
        <v>9926.75</v>
      </c>
      <c r="D6" s="185" t="n">
        <f aca="false">B6/258287</f>
        <v>0.461196266169029</v>
      </c>
    </row>
    <row r="7" customFormat="false" ht="15" hidden="false" customHeight="true" outlineLevel="0" collapsed="false">
      <c r="A7" s="129" t="s">
        <v>850</v>
      </c>
      <c r="B7" s="137" t="n">
        <v>133545</v>
      </c>
      <c r="C7" s="137" t="n">
        <f aca="false">B7/12</f>
        <v>11128.75</v>
      </c>
      <c r="D7" s="185" t="n">
        <f aca="false">B7/258287</f>
        <v>0.517041120923624</v>
      </c>
    </row>
    <row r="8" customFormat="false" ht="15" hidden="false" customHeight="true" outlineLevel="0" collapsed="false">
      <c r="A8" s="129" t="s">
        <v>851</v>
      </c>
      <c r="B8" s="137" t="n">
        <v>17887</v>
      </c>
      <c r="C8" s="137" t="n">
        <f aca="false">B8/12</f>
        <v>1490.58333333333</v>
      </c>
      <c r="D8" s="185" t="n">
        <f aca="false">B8/258287</f>
        <v>0.0692524207567551</v>
      </c>
    </row>
    <row r="9" customFormat="false" ht="15" hidden="false" customHeight="true" outlineLevel="0" collapsed="false">
      <c r="A9" s="129" t="s">
        <v>852</v>
      </c>
      <c r="B9" s="137" t="n">
        <v>6836</v>
      </c>
      <c r="C9" s="137" t="n">
        <f aca="false">B9/12</f>
        <v>569.666666666667</v>
      </c>
      <c r="D9" s="185" t="n">
        <f aca="false">B9/258287</f>
        <v>0.026466682411426</v>
      </c>
    </row>
    <row r="10" customFormat="false" ht="15" hidden="false" customHeight="true" outlineLevel="0" collapsed="false">
      <c r="A10" s="129" t="s">
        <v>853</v>
      </c>
      <c r="B10" s="137" t="n">
        <v>-20307</v>
      </c>
      <c r="C10" s="137" t="n">
        <f aca="false">B10/12</f>
        <v>-1692.25</v>
      </c>
      <c r="D10" s="185" t="n">
        <f aca="false">B10/258287</f>
        <v>-0.0786218431434799</v>
      </c>
    </row>
    <row r="11" customFormat="false" ht="15" hidden="false" customHeight="true" outlineLevel="0" collapsed="false">
      <c r="A11" s="129" t="s">
        <v>854</v>
      </c>
      <c r="B11" s="137" t="n">
        <v>1204</v>
      </c>
      <c r="C11" s="137" t="n">
        <f aca="false">B11/12</f>
        <v>100.333333333333</v>
      </c>
      <c r="D11" s="185" t="n">
        <f aca="false">B11/258287</f>
        <v>0.00466148122050277</v>
      </c>
    </row>
    <row r="12" customFormat="false" ht="15" hidden="false" customHeight="true" outlineLevel="0" collapsed="false">
      <c r="A12" s="44" t="s">
        <v>855</v>
      </c>
      <c r="B12" s="45" t="n">
        <v>258287</v>
      </c>
      <c r="C12" s="186" t="n">
        <f aca="false">B12/12</f>
        <v>21523.9166666667</v>
      </c>
      <c r="D12" s="187" t="n">
        <f aca="false">B12/258287</f>
        <v>1</v>
      </c>
    </row>
    <row r="13" customFormat="false" ht="15" hidden="false" customHeight="true" outlineLevel="0" collapsed="false">
      <c r="B13" s="47"/>
      <c r="C13" s="50"/>
      <c r="D13" s="50"/>
    </row>
    <row r="14" customFormat="false" ht="15" hidden="false" customHeight="true" outlineLevel="0" collapsed="false">
      <c r="A14" s="44" t="s">
        <v>856</v>
      </c>
      <c r="B14" s="188"/>
      <c r="C14" s="189"/>
      <c r="D14" s="189"/>
    </row>
    <row r="15" customFormat="false" ht="15" hidden="false" customHeight="true" outlineLevel="0" collapsed="false">
      <c r="A15" s="129" t="s">
        <v>857</v>
      </c>
      <c r="B15" s="137" t="n">
        <v>48655</v>
      </c>
      <c r="C15" s="137" t="n">
        <f aca="false">B15/12</f>
        <v>4054.58333333333</v>
      </c>
      <c r="D15" s="185" t="n">
        <f aca="false">B15/258287</f>
        <v>0.188375721581032</v>
      </c>
    </row>
    <row r="16" customFormat="false" ht="15" hidden="false" customHeight="true" outlineLevel="0" collapsed="false">
      <c r="A16" s="129" t="s">
        <v>858</v>
      </c>
      <c r="B16" s="137" t="n">
        <v>27428</v>
      </c>
      <c r="C16" s="137" t="n">
        <f aca="false">B16/12</f>
        <v>2285.66666666667</v>
      </c>
      <c r="D16" s="185" t="n">
        <f aca="false">B16/258287</f>
        <v>0.106191949265739</v>
      </c>
    </row>
    <row r="17" customFormat="false" ht="15" hidden="false" customHeight="true" outlineLevel="0" collapsed="false">
      <c r="A17" s="129" t="s">
        <v>859</v>
      </c>
      <c r="B17" s="137" t="n">
        <v>5516</v>
      </c>
      <c r="C17" s="137" t="n">
        <f aca="false">B17/12</f>
        <v>459.666666666667</v>
      </c>
      <c r="D17" s="185" t="n">
        <f aca="false">B17/258287</f>
        <v>0.0213560883823034</v>
      </c>
    </row>
    <row r="18" customFormat="false" ht="15" hidden="false" customHeight="true" outlineLevel="0" collapsed="false">
      <c r="A18" s="129" t="s">
        <v>860</v>
      </c>
      <c r="B18" s="137" t="n">
        <v>0</v>
      </c>
      <c r="C18" s="137" t="n">
        <f aca="false">B18/12</f>
        <v>0</v>
      </c>
      <c r="D18" s="185" t="n">
        <f aca="false">B18/258287</f>
        <v>0</v>
      </c>
    </row>
    <row r="19" customFormat="false" ht="15" hidden="false" customHeight="true" outlineLevel="0" collapsed="false">
      <c r="A19" s="44" t="s">
        <v>861</v>
      </c>
      <c r="B19" s="45" t="n">
        <v>81599</v>
      </c>
      <c r="C19" s="186" t="n">
        <f aca="false">B19/12</f>
        <v>6799.91666666667</v>
      </c>
      <c r="D19" s="187" t="n">
        <f aca="false">B19/258287</f>
        <v>0.315923759229075</v>
      </c>
    </row>
    <row r="20" customFormat="false" ht="15" hidden="false" customHeight="true" outlineLevel="0" collapsed="false">
      <c r="A20" s="44" t="s">
        <v>862</v>
      </c>
      <c r="B20" s="45" t="n">
        <v>176688</v>
      </c>
      <c r="C20" s="186" t="n">
        <f aca="false">B20/12</f>
        <v>14724</v>
      </c>
      <c r="D20" s="187" t="n">
        <f aca="false">B20/258287</f>
        <v>0.684076240770925</v>
      </c>
    </row>
    <row r="21" customFormat="false" ht="15" hidden="false" customHeight="true" outlineLevel="0" collapsed="false">
      <c r="B21" s="47"/>
      <c r="C21" s="50"/>
      <c r="D21" s="50"/>
    </row>
    <row r="22" customFormat="false" ht="15" hidden="false" customHeight="true" outlineLevel="0" collapsed="false">
      <c r="A22" s="44" t="s">
        <v>291</v>
      </c>
      <c r="B22" s="188"/>
      <c r="C22" s="189"/>
      <c r="D22" s="189"/>
    </row>
    <row r="23" customFormat="false" ht="15" hidden="false" customHeight="true" outlineLevel="0" collapsed="false">
      <c r="A23" s="129" t="s">
        <v>863</v>
      </c>
      <c r="B23" s="137" t="n">
        <v>142124</v>
      </c>
      <c r="C23" s="137" t="n">
        <f aca="false">B23/12</f>
        <v>11843.6666666667</v>
      </c>
      <c r="D23" s="185" t="n">
        <f aca="false">B23/258287</f>
        <v>0.550256110450778</v>
      </c>
    </row>
    <row r="24" customFormat="false" ht="15" hidden="false" customHeight="true" outlineLevel="0" collapsed="false">
      <c r="A24" s="129" t="s">
        <v>864</v>
      </c>
      <c r="B24" s="137" t="n">
        <v>16219</v>
      </c>
      <c r="C24" s="137" t="n">
        <f aca="false">B24/12</f>
        <v>1351.58333333333</v>
      </c>
      <c r="D24" s="185" t="n">
        <f aca="false">B24/258287</f>
        <v>0.0627944883017728</v>
      </c>
    </row>
    <row r="25" customFormat="false" ht="15" hidden="false" customHeight="true" outlineLevel="0" collapsed="false">
      <c r="A25" s="129" t="s">
        <v>865</v>
      </c>
      <c r="B25" s="137" t="n">
        <v>6514</v>
      </c>
      <c r="C25" s="137" t="n">
        <f aca="false">B25/12</f>
        <v>542.833333333333</v>
      </c>
      <c r="D25" s="185" t="n">
        <f aca="false">B25/258287</f>
        <v>0.0252200072012916</v>
      </c>
    </row>
    <row r="26" customFormat="false" ht="15" hidden="false" customHeight="true" outlineLevel="0" collapsed="false">
      <c r="A26" s="44" t="s">
        <v>866</v>
      </c>
      <c r="B26" s="45" t="n">
        <v>164857</v>
      </c>
      <c r="C26" s="186" t="n">
        <f aca="false">B26/12</f>
        <v>13738.0833333333</v>
      </c>
      <c r="D26" s="187" t="n">
        <f aca="false">B26/258287</f>
        <v>0.638270605953842</v>
      </c>
    </row>
    <row r="27" customFormat="false" ht="15" hidden="false" customHeight="true" outlineLevel="0" collapsed="false">
      <c r="B27" s="47"/>
      <c r="C27" s="50"/>
      <c r="D27" s="50"/>
    </row>
    <row r="28" customFormat="false" ht="15" hidden="false" customHeight="true" outlineLevel="0" collapsed="false">
      <c r="A28" s="44" t="s">
        <v>867</v>
      </c>
      <c r="B28" s="188"/>
      <c r="C28" s="189"/>
      <c r="D28" s="189"/>
    </row>
    <row r="29" customFormat="false" ht="15" hidden="false" customHeight="true" outlineLevel="0" collapsed="false">
      <c r="A29" s="129" t="s">
        <v>868</v>
      </c>
      <c r="B29" s="137" t="n">
        <v>44540</v>
      </c>
      <c r="C29" s="137" t="n">
        <f aca="false">B29/12</f>
        <v>3711.66666666667</v>
      </c>
      <c r="D29" s="185" t="n">
        <f aca="false">B29/258287</f>
        <v>0.172443831861456</v>
      </c>
    </row>
    <row r="30" customFormat="false" ht="15" hidden="false" customHeight="true" outlineLevel="0" collapsed="false">
      <c r="A30" s="129" t="s">
        <v>869</v>
      </c>
      <c r="B30" s="137" t="n">
        <v>11918</v>
      </c>
      <c r="C30" s="137" t="n">
        <f aca="false">B30/12</f>
        <v>993.166666666667</v>
      </c>
      <c r="D30" s="185" t="n">
        <f aca="false">B30/258287</f>
        <v>0.0461424694235482</v>
      </c>
    </row>
    <row r="31" customFormat="false" ht="15" hidden="false" customHeight="true" outlineLevel="0" collapsed="false">
      <c r="A31" s="129" t="s">
        <v>870</v>
      </c>
      <c r="B31" s="137" t="n">
        <v>2912</v>
      </c>
      <c r="C31" s="137" t="n">
        <f aca="false">B31/12</f>
        <v>242.666666666667</v>
      </c>
      <c r="D31" s="185" t="n">
        <f aca="false">B31/258287</f>
        <v>0.011274280161216</v>
      </c>
    </row>
    <row r="32" customFormat="false" ht="15" hidden="false" customHeight="true" outlineLevel="0" collapsed="false">
      <c r="A32" s="129" t="s">
        <v>871</v>
      </c>
      <c r="B32" s="137" t="n">
        <v>30305</v>
      </c>
      <c r="C32" s="137" t="n">
        <f aca="false">B32/12</f>
        <v>2525.41666666667</v>
      </c>
      <c r="D32" s="185" t="n">
        <f aca="false">B32/258287</f>
        <v>0.117330721251941</v>
      </c>
    </row>
    <row r="33" customFormat="false" ht="15" hidden="false" customHeight="true" outlineLevel="0" collapsed="false">
      <c r="A33" s="44" t="s">
        <v>872</v>
      </c>
      <c r="B33" s="45" t="n">
        <v>89675</v>
      </c>
      <c r="C33" s="186" t="n">
        <f aca="false">B33/12</f>
        <v>7472.91666666667</v>
      </c>
      <c r="D33" s="187" t="n">
        <f aca="false">B33/258287</f>
        <v>0.347191302698161</v>
      </c>
    </row>
    <row r="34" customFormat="false" ht="15" hidden="false" customHeight="true" outlineLevel="0" collapsed="false">
      <c r="A34" s="190" t="s">
        <v>873</v>
      </c>
      <c r="B34" s="137" t="n">
        <v>10012</v>
      </c>
      <c r="C34" s="137" t="n">
        <f aca="false">B34/12</f>
        <v>834.333333333333</v>
      </c>
      <c r="D34" s="185" t="n">
        <f aca="false">B34/258287</f>
        <v>0.0387630813784666</v>
      </c>
    </row>
    <row r="35" customFormat="false" ht="15" hidden="false" customHeight="true" outlineLevel="0" collapsed="false">
      <c r="A35" s="191" t="s">
        <v>874</v>
      </c>
      <c r="B35" s="85" t="n">
        <v>5657</v>
      </c>
      <c r="C35" s="137" t="n">
        <f aca="false">B35/12</f>
        <v>471.416666666667</v>
      </c>
      <c r="D35" s="185" t="n">
        <f aca="false">B35/258287</f>
        <v>0.0219019927445051</v>
      </c>
    </row>
    <row r="37" customFormat="false" ht="15" hidden="false" customHeight="true" outlineLevel="0" collapsed="false">
      <c r="A37" s="192" t="s">
        <v>875</v>
      </c>
      <c r="B37" s="139" t="n">
        <v>-93513</v>
      </c>
      <c r="C37" s="193" t="n">
        <f aca="false">B37/12</f>
        <v>-7792.75</v>
      </c>
      <c r="D37" s="187" t="n">
        <f aca="false">B37/258287</f>
        <v>-0.36205074200405</v>
      </c>
    </row>
    <row r="38" customFormat="false" ht="15" hidden="false" customHeight="true" outlineLevel="0" collapsed="false">
      <c r="A38" s="129" t="s">
        <v>876</v>
      </c>
      <c r="B38" s="137" t="n">
        <v>-48000</v>
      </c>
      <c r="C38" s="137" t="n">
        <f aca="false">B38/12</f>
        <v>-4000</v>
      </c>
    </row>
    <row r="39" customFormat="false" ht="15" hidden="false" customHeight="true" outlineLevel="0" collapsed="false">
      <c r="A39" s="129" t="s">
        <v>877</v>
      </c>
      <c r="B39" s="137" t="n">
        <v>-15642</v>
      </c>
      <c r="C39" s="137" t="n">
        <f aca="false">B39/12</f>
        <v>-1303.5</v>
      </c>
    </row>
    <row r="40" customFormat="false" ht="15" hidden="false" customHeight="true" outlineLevel="0" collapsed="false">
      <c r="A40" s="192" t="s">
        <v>878</v>
      </c>
      <c r="B40" s="139" t="n">
        <v>-157155</v>
      </c>
      <c r="C40" s="193" t="n">
        <f aca="false">B40/12</f>
        <v>-13096.25</v>
      </c>
      <c r="D40" s="187" t="n">
        <f aca="false">B40/258287</f>
        <v>-0.60845106412634</v>
      </c>
    </row>
    <row r="42" customFormat="false" ht="15" hidden="false" customHeight="true" outlineLevel="0" collapsed="false">
      <c r="A42" s="194" t="s">
        <v>879</v>
      </c>
      <c r="B42" s="194"/>
      <c r="C42" s="194"/>
      <c r="D42" s="194"/>
    </row>
    <row r="43" customFormat="false" ht="15" hidden="false" customHeight="true" outlineLevel="0" collapsed="false">
      <c r="A43" s="194"/>
      <c r="B43" s="194"/>
      <c r="C43" s="194"/>
      <c r="D43" s="194"/>
    </row>
  </sheetData>
  <mergeCells count="2">
    <mergeCell ref="A2:D2"/>
    <mergeCell ref="A42:D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9" min="2" style="1" width="11"/>
  </cols>
  <sheetData>
    <row r="1" customFormat="false" ht="25.5" hidden="false" customHeight="true" outlineLevel="0" collapsed="false">
      <c r="A1" s="126" t="s">
        <v>880</v>
      </c>
      <c r="B1" s="38"/>
      <c r="C1" s="38"/>
      <c r="D1" s="38"/>
      <c r="E1" s="38"/>
      <c r="F1" s="38"/>
      <c r="G1" s="38"/>
      <c r="H1" s="38"/>
      <c r="I1" s="38"/>
    </row>
    <row r="2" customFormat="false" ht="15" hidden="false" customHeight="true" outlineLevel="0" collapsed="false">
      <c r="A2" s="127" t="s">
        <v>881</v>
      </c>
      <c r="B2" s="127"/>
      <c r="C2" s="127"/>
      <c r="D2" s="127"/>
      <c r="E2" s="127"/>
      <c r="F2" s="127"/>
      <c r="G2" s="127"/>
      <c r="H2" s="127"/>
      <c r="I2" s="127"/>
    </row>
    <row r="4" customFormat="false" ht="15" hidden="false" customHeight="true" outlineLevel="0" collapsed="false">
      <c r="A4" s="152" t="s">
        <v>882</v>
      </c>
      <c r="B4" s="152" t="s">
        <v>883</v>
      </c>
      <c r="C4" s="153" t="s">
        <v>884</v>
      </c>
      <c r="D4" s="153" t="s">
        <v>885</v>
      </c>
      <c r="E4" s="153" t="s">
        <v>886</v>
      </c>
      <c r="F4" s="153" t="s">
        <v>447</v>
      </c>
      <c r="G4" s="153" t="s">
        <v>887</v>
      </c>
      <c r="H4" s="153" t="s">
        <v>888</v>
      </c>
      <c r="I4" s="153" t="s">
        <v>889</v>
      </c>
    </row>
    <row r="5" customFormat="false" ht="15" hidden="false" customHeight="true" outlineLevel="0" collapsed="false">
      <c r="A5" s="195" t="s">
        <v>890</v>
      </c>
      <c r="B5" s="196"/>
      <c r="C5" s="197"/>
      <c r="D5" s="197"/>
      <c r="E5" s="197"/>
      <c r="F5" s="197"/>
      <c r="G5" s="197"/>
      <c r="H5" s="197"/>
      <c r="I5" s="197"/>
    </row>
    <row r="6" customFormat="false" ht="15" hidden="false" customHeight="true" outlineLevel="0" collapsed="false">
      <c r="A6" s="154" t="s">
        <v>891</v>
      </c>
      <c r="B6" s="150" t="s">
        <v>892</v>
      </c>
      <c r="C6" s="198" t="n">
        <v>5728</v>
      </c>
      <c r="D6" s="199" t="n">
        <f aca="false">IF(C6=0,0,E6/C6)</f>
        <v>4.5</v>
      </c>
      <c r="E6" s="137" t="n">
        <v>25776</v>
      </c>
      <c r="F6" s="200" t="n">
        <v>0.5</v>
      </c>
      <c r="G6" s="199" t="n">
        <f aca="false">D6+F6</f>
        <v>5</v>
      </c>
      <c r="H6" s="137" t="n">
        <f aca="false">E6+I6</f>
        <v>28640</v>
      </c>
      <c r="I6" s="85" t="n">
        <f aca="false">C6*F6</f>
        <v>2864</v>
      </c>
    </row>
    <row r="7" customFormat="false" ht="15" hidden="false" customHeight="true" outlineLevel="0" collapsed="false">
      <c r="A7" s="154" t="s">
        <v>455</v>
      </c>
      <c r="B7" s="150" t="s">
        <v>892</v>
      </c>
      <c r="C7" s="198" t="n">
        <v>3537</v>
      </c>
      <c r="D7" s="199" t="n">
        <f aca="false">IF(C7=0,0,E7/C7)</f>
        <v>3</v>
      </c>
      <c r="E7" s="137" t="n">
        <v>10611</v>
      </c>
      <c r="F7" s="200" t="n">
        <v>0.5</v>
      </c>
      <c r="G7" s="199" t="n">
        <f aca="false">D7+F7</f>
        <v>3.5</v>
      </c>
      <c r="H7" s="137" t="n">
        <f aca="false">E7+I7</f>
        <v>12379.5</v>
      </c>
      <c r="I7" s="85" t="n">
        <f aca="false">C7*F7</f>
        <v>1768.5</v>
      </c>
    </row>
    <row r="8" customFormat="false" ht="15" hidden="false" customHeight="true" outlineLevel="0" collapsed="false">
      <c r="A8" s="154" t="s">
        <v>893</v>
      </c>
      <c r="B8" s="150" t="s">
        <v>892</v>
      </c>
      <c r="C8" s="198" t="n">
        <v>1869</v>
      </c>
      <c r="D8" s="199" t="n">
        <f aca="false">IF(C8=0,0,E8/C8)</f>
        <v>4.5</v>
      </c>
      <c r="E8" s="137" t="n">
        <v>8410.5</v>
      </c>
      <c r="F8" s="200" t="n">
        <v>0.45</v>
      </c>
      <c r="G8" s="199" t="n">
        <f aca="false">D8+F8</f>
        <v>4.95</v>
      </c>
      <c r="H8" s="137" t="n">
        <f aca="false">E8+I8</f>
        <v>9251.55</v>
      </c>
      <c r="I8" s="85" t="n">
        <f aca="false">C8*F8</f>
        <v>841.05</v>
      </c>
    </row>
    <row r="9" customFormat="false" ht="15" hidden="false" customHeight="true" outlineLevel="0" collapsed="false">
      <c r="A9" s="154" t="s">
        <v>461</v>
      </c>
      <c r="B9" s="150" t="s">
        <v>892</v>
      </c>
      <c r="C9" s="198" t="n">
        <v>1305</v>
      </c>
      <c r="D9" s="199" t="n">
        <f aca="false">IF(C9=0,0,E9/C9)</f>
        <v>4.75</v>
      </c>
      <c r="E9" s="137" t="n">
        <v>6198.75</v>
      </c>
      <c r="F9" s="200" t="n">
        <v>0.5</v>
      </c>
      <c r="G9" s="199" t="n">
        <f aca="false">D9+F9</f>
        <v>5.25</v>
      </c>
      <c r="H9" s="137" t="n">
        <f aca="false">E9+I9</f>
        <v>6851.25</v>
      </c>
      <c r="I9" s="85" t="n">
        <f aca="false">C9*F9</f>
        <v>652.5</v>
      </c>
    </row>
    <row r="10" customFormat="false" ht="15" hidden="false" customHeight="true" outlineLevel="0" collapsed="false">
      <c r="A10" s="154" t="s">
        <v>460</v>
      </c>
      <c r="B10" s="150" t="s">
        <v>892</v>
      </c>
      <c r="C10" s="198" t="n">
        <v>1212</v>
      </c>
      <c r="D10" s="199" t="n">
        <f aca="false">IF(C10=0,0,E10/C10)</f>
        <v>4</v>
      </c>
      <c r="E10" s="137" t="n">
        <v>4848</v>
      </c>
      <c r="F10" s="200" t="n">
        <v>0.25</v>
      </c>
      <c r="G10" s="199" t="n">
        <f aca="false">D10+F10</f>
        <v>4.25</v>
      </c>
      <c r="H10" s="137" t="n">
        <f aca="false">E10+I10</f>
        <v>5151</v>
      </c>
      <c r="I10" s="85" t="n">
        <f aca="false">C10*F10</f>
        <v>303</v>
      </c>
    </row>
    <row r="11" customFormat="false" ht="15" hidden="false" customHeight="true" outlineLevel="0" collapsed="false">
      <c r="A11" s="154" t="s">
        <v>457</v>
      </c>
      <c r="B11" s="150" t="s">
        <v>892</v>
      </c>
      <c r="C11" s="198" t="n">
        <v>888</v>
      </c>
      <c r="D11" s="199" t="n">
        <f aca="false">IF(C11=0,0,E11/C11)</f>
        <v>6</v>
      </c>
      <c r="E11" s="137" t="n">
        <v>5328</v>
      </c>
      <c r="F11" s="200" t="n">
        <v>0.5</v>
      </c>
      <c r="G11" s="199" t="n">
        <f aca="false">D11+F11</f>
        <v>6.5</v>
      </c>
      <c r="H11" s="137" t="n">
        <f aca="false">E11+I11</f>
        <v>5772</v>
      </c>
      <c r="I11" s="85" t="n">
        <f aca="false">C11*F11</f>
        <v>444</v>
      </c>
    </row>
    <row r="12" customFormat="false" ht="15" hidden="false" customHeight="true" outlineLevel="0" collapsed="false">
      <c r="A12" s="154" t="s">
        <v>470</v>
      </c>
      <c r="B12" s="150" t="s">
        <v>892</v>
      </c>
      <c r="C12" s="198" t="n">
        <v>319</v>
      </c>
      <c r="D12" s="199" t="n">
        <f aca="false">IF(C12=0,0,E12/C12)</f>
        <v>5.25</v>
      </c>
      <c r="E12" s="137" t="n">
        <v>1674.75</v>
      </c>
      <c r="F12" s="200" t="n">
        <v>0.25</v>
      </c>
      <c r="G12" s="199" t="n">
        <f aca="false">D12+F12</f>
        <v>5.5</v>
      </c>
      <c r="H12" s="137" t="n">
        <f aca="false">E12+I12</f>
        <v>1754.5</v>
      </c>
      <c r="I12" s="85" t="n">
        <f aca="false">C12*F12</f>
        <v>79.75</v>
      </c>
    </row>
    <row r="13" customFormat="false" ht="15" hidden="false" customHeight="true" outlineLevel="0" collapsed="false">
      <c r="A13" s="154" t="s">
        <v>894</v>
      </c>
      <c r="B13" s="150" t="s">
        <v>572</v>
      </c>
      <c r="C13" s="198" t="n">
        <v>2352</v>
      </c>
      <c r="D13" s="199" t="n">
        <f aca="false">IF(C13=0,0,E13/C13)</f>
        <v>10</v>
      </c>
      <c r="E13" s="137" t="n">
        <v>23520</v>
      </c>
      <c r="F13" s="200" t="n">
        <v>1</v>
      </c>
      <c r="G13" s="199" t="n">
        <f aca="false">D13+F13</f>
        <v>11</v>
      </c>
      <c r="H13" s="137" t="n">
        <f aca="false">E13+I13</f>
        <v>25872</v>
      </c>
      <c r="I13" s="85" t="n">
        <f aca="false">C13*F13</f>
        <v>2352</v>
      </c>
    </row>
    <row r="14" customFormat="false" ht="15" hidden="false" customHeight="true" outlineLevel="0" collapsed="false">
      <c r="A14" s="154" t="s">
        <v>895</v>
      </c>
      <c r="B14" s="150" t="s">
        <v>892</v>
      </c>
      <c r="C14" s="198" t="n">
        <v>619</v>
      </c>
      <c r="D14" s="201" t="n">
        <f aca="false">IF(C14=0,0,E14/C14)</f>
        <v>8</v>
      </c>
      <c r="E14" s="137" t="n">
        <v>4952</v>
      </c>
      <c r="F14" s="202" t="n">
        <v>1</v>
      </c>
      <c r="G14" s="201" t="n">
        <f aca="false">D14+F14</f>
        <v>9</v>
      </c>
      <c r="H14" s="137" t="n">
        <f aca="false">E14+I14</f>
        <v>5571</v>
      </c>
      <c r="I14" s="85" t="n">
        <f aca="false">C14*F14</f>
        <v>619</v>
      </c>
    </row>
    <row r="15" customFormat="false" ht="15" hidden="false" customHeight="true" outlineLevel="0" collapsed="false">
      <c r="A15" s="154" t="s">
        <v>896</v>
      </c>
      <c r="B15" s="150" t="s">
        <v>572</v>
      </c>
      <c r="C15" s="203" t="n">
        <v>510</v>
      </c>
      <c r="D15" s="201" t="n">
        <f aca="false">IF(C15=0,0,E15/C15)</f>
        <v>6</v>
      </c>
      <c r="E15" s="204" t="n">
        <v>3060</v>
      </c>
      <c r="F15" s="202" t="n">
        <v>0.5</v>
      </c>
      <c r="G15" s="201" t="n">
        <f aca="false">D15+F15</f>
        <v>6.5</v>
      </c>
      <c r="H15" s="204" t="n">
        <f aca="false">E15+I15</f>
        <v>3315</v>
      </c>
      <c r="I15" s="205" t="n">
        <f aca="false">C15*F15</f>
        <v>255</v>
      </c>
    </row>
    <row r="16" customFormat="false" ht="15" hidden="false" customHeight="true" outlineLevel="0" collapsed="false">
      <c r="A16" s="195" t="s">
        <v>897</v>
      </c>
      <c r="B16" s="196"/>
      <c r="C16" s="196"/>
      <c r="D16" s="196"/>
      <c r="E16" s="196"/>
      <c r="F16" s="196"/>
      <c r="G16" s="196"/>
      <c r="H16" s="196"/>
      <c r="I16" s="196"/>
    </row>
    <row r="17" customFormat="false" ht="15" hidden="false" customHeight="true" outlineLevel="0" collapsed="false">
      <c r="A17" s="154" t="s">
        <v>898</v>
      </c>
      <c r="B17" s="150" t="s">
        <v>892</v>
      </c>
      <c r="C17" s="198" t="n">
        <v>5211</v>
      </c>
      <c r="D17" s="201" t="n">
        <f aca="false">IF(C17=0,0,E17/C17)</f>
        <v>5</v>
      </c>
      <c r="E17" s="204" t="n">
        <v>26055</v>
      </c>
      <c r="F17" s="202" t="n">
        <v>0</v>
      </c>
      <c r="G17" s="201" t="n">
        <f aca="false">D17+F17</f>
        <v>5</v>
      </c>
      <c r="H17" s="204" t="n">
        <f aca="false">E17+I17</f>
        <v>26055</v>
      </c>
      <c r="I17" s="205" t="n">
        <f aca="false">C17*F17</f>
        <v>0</v>
      </c>
    </row>
    <row r="18" customFormat="false" ht="15" hidden="false" customHeight="true" outlineLevel="0" collapsed="false">
      <c r="A18" s="154" t="s">
        <v>899</v>
      </c>
      <c r="B18" s="150" t="s">
        <v>572</v>
      </c>
      <c r="C18" s="198" t="n">
        <v>1198</v>
      </c>
      <c r="D18" s="201" t="n">
        <f aca="false">IF(C18=0,0,E18/C18)</f>
        <v>11.5</v>
      </c>
      <c r="E18" s="204" t="n">
        <v>13777</v>
      </c>
      <c r="F18" s="202" t="n">
        <v>0</v>
      </c>
      <c r="G18" s="201" t="n">
        <f aca="false">D18+F18</f>
        <v>11.5</v>
      </c>
      <c r="H18" s="204" t="n">
        <f aca="false">E18+I18</f>
        <v>13777</v>
      </c>
      <c r="I18" s="205" t="n">
        <f aca="false">C18*F18</f>
        <v>0</v>
      </c>
    </row>
    <row r="19" customFormat="false" ht="15" hidden="false" customHeight="true" outlineLevel="0" collapsed="false">
      <c r="A19" s="154" t="s">
        <v>900</v>
      </c>
      <c r="B19" s="150" t="s">
        <v>572</v>
      </c>
      <c r="C19" s="198" t="n">
        <v>4396</v>
      </c>
      <c r="D19" s="201" t="n">
        <f aca="false">IF(C19=0,0,E19/C19)</f>
        <v>4.31</v>
      </c>
      <c r="E19" s="204" t="n">
        <v>18946.76</v>
      </c>
      <c r="F19" s="202" t="n">
        <v>0</v>
      </c>
      <c r="G19" s="201" t="n">
        <f aca="false">D19+F19</f>
        <v>4.31</v>
      </c>
      <c r="H19" s="204" t="n">
        <f aca="false">E19+I19</f>
        <v>18946.76</v>
      </c>
      <c r="I19" s="205" t="n">
        <f aca="false">C19*F19</f>
        <v>0</v>
      </c>
    </row>
    <row r="20" customFormat="false" ht="15" hidden="false" customHeight="true" outlineLevel="0" collapsed="false">
      <c r="A20" s="154" t="s">
        <v>745</v>
      </c>
      <c r="B20" s="150" t="s">
        <v>572</v>
      </c>
      <c r="C20" s="198" t="n">
        <v>1757</v>
      </c>
      <c r="D20" s="201" t="n">
        <f aca="false">IF(C20=0,0,E20/C20)</f>
        <v>5.96</v>
      </c>
      <c r="E20" s="204" t="n">
        <v>10471.72</v>
      </c>
      <c r="F20" s="202" t="n">
        <v>0</v>
      </c>
      <c r="G20" s="201" t="n">
        <f aca="false">D20+F20</f>
        <v>5.96</v>
      </c>
      <c r="H20" s="204" t="n">
        <f aca="false">E20+I20</f>
        <v>10471.72</v>
      </c>
      <c r="I20" s="205" t="n">
        <f aca="false">C20*F20</f>
        <v>0</v>
      </c>
    </row>
    <row r="21" customFormat="false" ht="15" hidden="false" customHeight="true" outlineLevel="0" collapsed="false">
      <c r="A21" s="154" t="s">
        <v>741</v>
      </c>
      <c r="B21" s="150" t="s">
        <v>572</v>
      </c>
      <c r="C21" s="203" t="n">
        <v>2519</v>
      </c>
      <c r="D21" s="201" t="n">
        <f aca="false">IF(C21=0,0,E21/C21)</f>
        <v>4.43</v>
      </c>
      <c r="E21" s="204" t="n">
        <v>11159.17</v>
      </c>
      <c r="F21" s="202" t="n">
        <v>0</v>
      </c>
      <c r="G21" s="201" t="n">
        <f aca="false">D21+F21</f>
        <v>4.43</v>
      </c>
      <c r="H21" s="204" t="n">
        <f aca="false">E21+I21</f>
        <v>11159.17</v>
      </c>
      <c r="I21" s="205" t="n">
        <f aca="false">C21*F21</f>
        <v>0</v>
      </c>
    </row>
    <row r="22" customFormat="false" ht="15" hidden="false" customHeight="true" outlineLevel="0" collapsed="false">
      <c r="A22" s="154" t="s">
        <v>901</v>
      </c>
      <c r="B22" s="150" t="s">
        <v>892</v>
      </c>
      <c r="C22" s="203" t="n">
        <v>4935</v>
      </c>
      <c r="D22" s="201" t="n">
        <f aca="false">IF(C22=0,0,E22/C22)</f>
        <v>4.69</v>
      </c>
      <c r="E22" s="204" t="n">
        <v>23145.15</v>
      </c>
      <c r="F22" s="202" t="n">
        <v>0</v>
      </c>
      <c r="G22" s="201" t="n">
        <f aca="false">D22+F22</f>
        <v>4.69</v>
      </c>
      <c r="H22" s="204" t="n">
        <f aca="false">E22+I22</f>
        <v>23145.15</v>
      </c>
      <c r="I22" s="205" t="n">
        <f aca="false">C22*F22</f>
        <v>0</v>
      </c>
    </row>
    <row r="23" customFormat="false" ht="15" hidden="false" customHeight="true" outlineLevel="0" collapsed="false">
      <c r="A23" s="154" t="s">
        <v>902</v>
      </c>
      <c r="B23" s="150" t="s">
        <v>903</v>
      </c>
      <c r="C23" s="198" t="n">
        <v>1309</v>
      </c>
      <c r="D23" s="201" t="n">
        <f aca="false">IF(C23=0,0,E23/C23)</f>
        <v>13.1</v>
      </c>
      <c r="E23" s="204" t="n">
        <v>17147.9</v>
      </c>
      <c r="F23" s="202" t="n">
        <v>0</v>
      </c>
      <c r="G23" s="201" t="n">
        <f aca="false">D23+F23</f>
        <v>13.1</v>
      </c>
      <c r="H23" s="204" t="n">
        <f aca="false">E23+I23</f>
        <v>17147.9</v>
      </c>
      <c r="I23" s="205" t="n">
        <f aca="false">C23*F23</f>
        <v>0</v>
      </c>
    </row>
    <row r="24" customFormat="false" ht="15" hidden="false" customHeight="true" outlineLevel="0" collapsed="false">
      <c r="A24" s="154" t="s">
        <v>904</v>
      </c>
      <c r="B24" s="150" t="s">
        <v>572</v>
      </c>
      <c r="C24" s="198" t="n">
        <v>845</v>
      </c>
      <c r="D24" s="201" t="n">
        <f aca="false">IF(C24=0,0,E24/C24)</f>
        <v>6.05</v>
      </c>
      <c r="E24" s="204" t="n">
        <v>5112.25</v>
      </c>
      <c r="F24" s="202" t="n">
        <v>0</v>
      </c>
      <c r="G24" s="201" t="n">
        <f aca="false">D24+F24</f>
        <v>6.05</v>
      </c>
      <c r="H24" s="204" t="n">
        <f aca="false">E24+I24</f>
        <v>5112.25</v>
      </c>
      <c r="I24" s="205" t="n">
        <f aca="false">C24*F24</f>
        <v>0</v>
      </c>
    </row>
    <row r="25" customFormat="false" ht="15" hidden="false" customHeight="true" outlineLevel="0" collapsed="false">
      <c r="A25" s="19"/>
      <c r="B25" s="19"/>
      <c r="C25" s="23"/>
      <c r="D25" s="19"/>
      <c r="E25" s="19"/>
      <c r="F25" s="19"/>
      <c r="G25" s="19"/>
      <c r="H25" s="19"/>
      <c r="I25" s="19"/>
    </row>
    <row r="26" customFormat="false" ht="15" hidden="false" customHeight="true" outlineLevel="0" collapsed="false">
      <c r="A26" s="19"/>
      <c r="B26" s="19"/>
      <c r="C26" s="19"/>
      <c r="D26" s="19"/>
      <c r="E26" s="19"/>
      <c r="F26" s="19"/>
      <c r="G26" s="19"/>
      <c r="H26" s="19"/>
      <c r="I26" s="19"/>
    </row>
    <row r="27" customFormat="false" ht="15" hidden="false" customHeight="true" outlineLevel="0" collapsed="false">
      <c r="A27" s="19"/>
      <c r="B27" s="19"/>
      <c r="C27" s="19"/>
      <c r="D27" s="19"/>
      <c r="E27" s="19"/>
      <c r="F27" s="19"/>
      <c r="G27" s="19"/>
      <c r="H27" s="19"/>
      <c r="I27" s="19"/>
    </row>
    <row r="28" customFormat="false" ht="15" hidden="false" customHeight="true" outlineLevel="0" collapsed="false">
      <c r="A28" s="206"/>
      <c r="B28" s="19"/>
      <c r="C28" s="23"/>
      <c r="D28" s="23"/>
      <c r="E28" s="23"/>
      <c r="F28" s="19"/>
      <c r="G28" s="19"/>
      <c r="H28" s="19"/>
      <c r="I28" s="19"/>
    </row>
    <row r="29" customFormat="false" ht="15" hidden="false" customHeight="true" outlineLevel="0" collapsed="false">
      <c r="A29" s="122" t="s">
        <v>905</v>
      </c>
      <c r="B29" s="196"/>
      <c r="C29" s="207" t="n">
        <f aca="false">SUM(C6:C28)</f>
        <v>40509</v>
      </c>
      <c r="D29" s="197"/>
      <c r="E29" s="45" t="n">
        <f aca="false">SUM(E6:E28)</f>
        <v>220193.95</v>
      </c>
      <c r="F29" s="196"/>
      <c r="G29" s="196"/>
      <c r="H29" s="208" t="n">
        <f aca="false">SUM(H6:H28)</f>
        <v>230372.75</v>
      </c>
      <c r="I29" s="208" t="n">
        <f aca="false">SUM(I6:I28)</f>
        <v>10178.8</v>
      </c>
    </row>
    <row r="30" customFormat="false" ht="15" hidden="false" customHeight="true" outlineLevel="0" collapsed="false">
      <c r="A30" s="150" t="s">
        <v>906</v>
      </c>
      <c r="B30" s="19"/>
      <c r="C30" s="23"/>
      <c r="D30" s="23"/>
      <c r="E30" s="23"/>
      <c r="F30" s="19"/>
      <c r="G30" s="19"/>
      <c r="H30" s="19"/>
      <c r="I30" s="19"/>
    </row>
    <row r="31" customFormat="false" ht="15" hidden="false" customHeight="true" outlineLevel="0" collapsed="false">
      <c r="A31" s="19"/>
      <c r="B31" s="19"/>
      <c r="C31" s="23"/>
      <c r="D31" s="23"/>
      <c r="E31" s="23"/>
      <c r="F31" s="19"/>
      <c r="G31" s="19"/>
      <c r="H31" s="19"/>
      <c r="I31" s="19"/>
    </row>
    <row r="32" customFormat="false" ht="15" hidden="false" customHeight="true" outlineLevel="0" collapsed="false">
      <c r="A32" s="164" t="s">
        <v>907</v>
      </c>
      <c r="B32" s="164"/>
      <c r="C32" s="164"/>
      <c r="D32" s="164"/>
      <c r="E32" s="164"/>
      <c r="F32" s="164"/>
      <c r="G32" s="164"/>
      <c r="H32" s="164"/>
      <c r="I32" s="164"/>
    </row>
    <row r="33" customFormat="false" ht="15" hidden="false" customHeight="true" outlineLevel="0" collapsed="false">
      <c r="A33" s="66" t="s">
        <v>908</v>
      </c>
      <c r="B33" s="19"/>
      <c r="C33" s="85" t="n">
        <f aca="false">SUMIF($B$6:$B$28,"NA",$I$6:$I$28)</f>
        <v>7571.8</v>
      </c>
      <c r="D33" s="23"/>
      <c r="E33" s="23"/>
      <c r="F33" s="19"/>
      <c r="G33" s="19"/>
      <c r="H33" s="19"/>
      <c r="I33" s="19"/>
    </row>
    <row r="34" customFormat="false" ht="15" hidden="false" customHeight="true" outlineLevel="0" collapsed="false">
      <c r="A34" s="66" t="s">
        <v>909</v>
      </c>
      <c r="B34" s="19"/>
      <c r="C34" s="85" t="n">
        <f aca="false">SUMIF($B$6:$B$28,"Food",$I$6:$I$28)</f>
        <v>2607</v>
      </c>
      <c r="D34" s="23"/>
      <c r="E34" s="23"/>
      <c r="F34" s="19"/>
      <c r="G34" s="19"/>
      <c r="H34" s="19"/>
      <c r="I34" s="19"/>
    </row>
    <row r="35" customFormat="false" ht="15" hidden="false" customHeight="true" outlineLevel="0" collapsed="false">
      <c r="A35" s="66" t="s">
        <v>910</v>
      </c>
      <c r="B35" s="19"/>
      <c r="C35" s="85" t="n">
        <f aca="false">I29</f>
        <v>10178.8</v>
      </c>
      <c r="D35" s="23"/>
      <c r="E35" s="23"/>
      <c r="F35" s="19"/>
      <c r="G35" s="19"/>
      <c r="H35" s="19"/>
      <c r="I35" s="19"/>
    </row>
    <row r="36" customFormat="false" ht="15" hidden="false" customHeight="true" outlineLevel="0" collapsed="false">
      <c r="A36" s="150" t="s">
        <v>911</v>
      </c>
      <c r="B36" s="19"/>
      <c r="C36" s="209" t="n">
        <f aca="false">I29/258287</f>
        <v>0.0394088746239648</v>
      </c>
      <c r="D36" s="23"/>
      <c r="E36" s="23"/>
      <c r="F36" s="19"/>
      <c r="G36" s="19"/>
      <c r="H36" s="19"/>
      <c r="I36" s="19"/>
    </row>
    <row r="37" customFormat="false" ht="15" hidden="false" customHeight="true" outlineLevel="0" collapsed="false">
      <c r="A37" s="19"/>
      <c r="B37" s="19"/>
      <c r="C37" s="23"/>
      <c r="D37" s="23"/>
      <c r="E37" s="23"/>
      <c r="F37" s="19"/>
      <c r="G37" s="19"/>
      <c r="H37" s="19"/>
      <c r="I37" s="19"/>
    </row>
    <row r="38" customFormat="false" ht="15" hidden="false" customHeight="true" outlineLevel="0" collapsed="false">
      <c r="A38" s="66" t="s">
        <v>912</v>
      </c>
      <c r="B38" s="19"/>
      <c r="C38" s="23"/>
      <c r="D38" s="23"/>
      <c r="E38" s="23"/>
      <c r="F38" s="19"/>
      <c r="G38" s="19"/>
      <c r="H38" s="19"/>
      <c r="I38" s="19"/>
    </row>
    <row r="39" customFormat="false" ht="15" hidden="false" customHeight="true" outlineLevel="0" collapsed="false">
      <c r="A39" s="154" t="s">
        <v>913</v>
      </c>
      <c r="B39" s="19"/>
      <c r="C39" s="204" t="n">
        <f aca="false">I29*1</f>
        <v>10178.8</v>
      </c>
      <c r="D39" s="19"/>
      <c r="E39" s="19"/>
      <c r="F39" s="19"/>
      <c r="G39" s="19"/>
      <c r="H39" s="19"/>
      <c r="I39" s="19"/>
    </row>
    <row r="40" customFormat="false" ht="15" hidden="false" customHeight="true" outlineLevel="0" collapsed="false">
      <c r="A40" s="154" t="s">
        <v>914</v>
      </c>
      <c r="B40" s="19"/>
      <c r="C40" s="204" t="n">
        <f aca="false">I29*0.9</f>
        <v>9160.92</v>
      </c>
      <c r="D40" s="19"/>
      <c r="E40" s="19"/>
      <c r="F40" s="19"/>
      <c r="G40" s="19"/>
      <c r="H40" s="19"/>
      <c r="I40" s="19"/>
    </row>
    <row r="41" customFormat="false" ht="30" hidden="false" customHeight="true" outlineLevel="0" collapsed="false">
      <c r="A41" s="210" t="s">
        <v>915</v>
      </c>
      <c r="B41" s="19"/>
      <c r="C41" s="204" t="n">
        <f aca="false">I29*0.8</f>
        <v>8143.04</v>
      </c>
      <c r="D41" s="19"/>
      <c r="E41" s="19"/>
      <c r="F41" s="19"/>
      <c r="G41" s="19"/>
      <c r="H41" s="19"/>
      <c r="I41" s="19"/>
    </row>
    <row r="42" customFormat="false" ht="30" hidden="false" customHeight="true" outlineLevel="0" collapsed="false">
      <c r="A42" s="211"/>
      <c r="B42" s="19"/>
      <c r="C42" s="19"/>
      <c r="D42" s="19"/>
      <c r="E42" s="19"/>
      <c r="F42" s="19"/>
      <c r="G42" s="19"/>
      <c r="H42" s="19"/>
      <c r="I42" s="19"/>
    </row>
    <row r="43" customFormat="false" ht="30" hidden="false" customHeight="true" outlineLevel="0" collapsed="false">
      <c r="A43" s="212" t="s">
        <v>916</v>
      </c>
      <c r="B43" s="212"/>
      <c r="C43" s="212"/>
      <c r="D43" s="212"/>
      <c r="E43" s="212"/>
      <c r="F43" s="212"/>
      <c r="G43" s="212"/>
      <c r="H43" s="212"/>
      <c r="I43" s="212"/>
    </row>
    <row r="44" customFormat="false" ht="30" hidden="false" customHeight="true" outlineLevel="0" collapsed="false">
      <c r="A44" s="213" t="s">
        <v>917</v>
      </c>
      <c r="B44" s="213"/>
      <c r="C44" s="213"/>
      <c r="D44" s="213"/>
      <c r="E44" s="213"/>
      <c r="F44" s="213"/>
      <c r="G44" s="213"/>
      <c r="H44" s="213"/>
      <c r="I44" s="213"/>
    </row>
    <row r="45" customFormat="false" ht="30" hidden="false" customHeight="true" outlineLevel="0" collapsed="false">
      <c r="A45" s="213" t="s">
        <v>918</v>
      </c>
      <c r="B45" s="213"/>
      <c r="C45" s="213"/>
      <c r="D45" s="213"/>
      <c r="E45" s="213"/>
      <c r="F45" s="213"/>
      <c r="G45" s="213"/>
      <c r="H45" s="213"/>
      <c r="I45" s="213"/>
    </row>
    <row r="46" customFormat="false" ht="30" hidden="false" customHeight="true" outlineLevel="0" collapsed="false">
      <c r="A46" s="213" t="s">
        <v>919</v>
      </c>
      <c r="B46" s="213"/>
      <c r="C46" s="213"/>
      <c r="D46" s="213"/>
      <c r="E46" s="213"/>
      <c r="F46" s="213"/>
      <c r="G46" s="213"/>
      <c r="H46" s="213"/>
      <c r="I46" s="213"/>
    </row>
    <row r="47" customFormat="false" ht="30" hidden="false" customHeight="true" outlineLevel="0" collapsed="false">
      <c r="A47" s="213" t="s">
        <v>920</v>
      </c>
      <c r="B47" s="213"/>
      <c r="C47" s="213"/>
      <c r="D47" s="213"/>
      <c r="E47" s="213"/>
      <c r="F47" s="213"/>
      <c r="G47" s="213"/>
      <c r="H47" s="213"/>
      <c r="I47" s="213"/>
    </row>
    <row r="48" customFormat="false" ht="30" hidden="false" customHeight="true" outlineLevel="0" collapsed="false">
      <c r="A48" s="213" t="s">
        <v>921</v>
      </c>
      <c r="B48" s="213"/>
      <c r="C48" s="213"/>
      <c r="D48" s="213"/>
      <c r="E48" s="213"/>
      <c r="F48" s="213"/>
      <c r="G48" s="213"/>
      <c r="H48" s="213"/>
      <c r="I48" s="213"/>
    </row>
    <row r="49" customFormat="false" ht="15" hidden="false" customHeight="true" outlineLevel="0" collapsed="false">
      <c r="A49" s="19"/>
      <c r="B49" s="19"/>
      <c r="C49" s="19"/>
      <c r="D49" s="19"/>
      <c r="E49" s="19"/>
      <c r="F49" s="19"/>
      <c r="G49" s="19"/>
      <c r="H49" s="19"/>
      <c r="I49" s="19"/>
    </row>
    <row r="50" customFormat="false" ht="15" hidden="false" customHeight="true" outlineLevel="0" collapsed="false">
      <c r="A50" s="66" t="s">
        <v>922</v>
      </c>
      <c r="B50" s="19"/>
      <c r="C50" s="19"/>
      <c r="D50" s="19"/>
      <c r="E50" s="19"/>
      <c r="F50" s="19"/>
      <c r="G50" s="19"/>
      <c r="H50" s="19"/>
      <c r="I50" s="19"/>
    </row>
    <row r="51" customFormat="false" ht="15" hidden="false" customHeight="true" outlineLevel="0" collapsed="false">
      <c r="A51" s="154" t="s">
        <v>923</v>
      </c>
      <c r="B51" s="19"/>
      <c r="C51" s="204" t="n">
        <f aca="false">I29</f>
        <v>10178.8</v>
      </c>
      <c r="D51" s="19"/>
      <c r="E51" s="19"/>
      <c r="F51" s="19"/>
      <c r="G51" s="19"/>
      <c r="H51" s="19"/>
      <c r="I51" s="19"/>
    </row>
    <row r="52" customFormat="false" ht="15" hidden="false" customHeight="true" outlineLevel="0" collapsed="false">
      <c r="A52" s="154" t="s">
        <v>924</v>
      </c>
      <c r="B52" s="19"/>
      <c r="C52" s="121" t="n">
        <v>0.9</v>
      </c>
      <c r="D52" s="19"/>
      <c r="E52" s="19"/>
      <c r="F52" s="19"/>
      <c r="G52" s="19"/>
      <c r="H52" s="19"/>
      <c r="I52" s="19"/>
    </row>
    <row r="53" customFormat="false" ht="15" hidden="false" customHeight="true" outlineLevel="0" collapsed="false">
      <c r="A53" s="66" t="s">
        <v>925</v>
      </c>
      <c r="B53" s="19"/>
      <c r="C53" s="205" t="n">
        <f aca="false">C51*C52</f>
        <v>9160.92</v>
      </c>
      <c r="D53" s="19"/>
      <c r="E53" s="19"/>
      <c r="F53" s="19"/>
      <c r="G53" s="19"/>
      <c r="H53" s="19"/>
      <c r="I53" s="19"/>
    </row>
    <row r="54" customFormat="false" ht="15" hidden="false" customHeight="true" outlineLevel="0" collapsed="false">
      <c r="A54" s="19"/>
      <c r="B54" s="19"/>
      <c r="C54" s="19"/>
      <c r="D54" s="19"/>
      <c r="E54" s="19"/>
      <c r="F54" s="19"/>
      <c r="G54" s="19"/>
      <c r="H54" s="19"/>
      <c r="I54" s="19"/>
    </row>
    <row r="55" customFormat="false" ht="15" hidden="false" customHeight="true" outlineLevel="0" collapsed="false">
      <c r="A55" s="19"/>
      <c r="B55" s="19"/>
      <c r="C55" s="19"/>
      <c r="D55" s="19"/>
      <c r="E55" s="19"/>
      <c r="F55" s="19"/>
      <c r="G55" s="19"/>
      <c r="H55" s="19"/>
      <c r="I55" s="19"/>
    </row>
  </sheetData>
  <mergeCells count="8">
    <mergeCell ref="A2:I2"/>
    <mergeCell ref="A32:I32"/>
    <mergeCell ref="A43:I43"/>
    <mergeCell ref="A44:I44"/>
    <mergeCell ref="A45:I45"/>
    <mergeCell ref="A46:I46"/>
    <mergeCell ref="A47:I47"/>
    <mergeCell ref="A48:I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6" min="2" style="1" width="15"/>
  </cols>
  <sheetData>
    <row r="1" customFormat="false" ht="15" hidden="false" customHeight="true" outlineLevel="0" collapsed="false">
      <c r="A1" s="2" t="s">
        <v>379</v>
      </c>
    </row>
    <row r="2" customFormat="false" ht="15" hidden="false" customHeight="true" outlineLevel="0" collapsed="false">
      <c r="A2" s="2" t="s">
        <v>926</v>
      </c>
    </row>
    <row r="4" customFormat="false" ht="15" hidden="false" customHeight="true" outlineLevel="0" collapsed="false">
      <c r="A4" s="4" t="s">
        <v>927</v>
      </c>
      <c r="B4" s="4" t="s">
        <v>928</v>
      </c>
      <c r="C4" s="4" t="s">
        <v>929</v>
      </c>
      <c r="D4" s="4" t="s">
        <v>930</v>
      </c>
      <c r="E4" s="4" t="s">
        <v>931</v>
      </c>
      <c r="F4" s="4" t="s">
        <v>932</v>
      </c>
    </row>
    <row r="5" customFormat="false" ht="15" hidden="false" customHeight="true" outlineLevel="0" collapsed="false">
      <c r="A5" s="5" t="s">
        <v>933</v>
      </c>
      <c r="B5" s="24" t="n">
        <v>35102</v>
      </c>
      <c r="C5" s="214" t="n">
        <v>4000</v>
      </c>
      <c r="D5" s="147" t="n">
        <v>0.42</v>
      </c>
      <c r="E5" s="24" t="n">
        <f aca="false">B5+C5</f>
        <v>39102</v>
      </c>
      <c r="F5" s="24" t="n">
        <f aca="false">C5*(1-D5)</f>
        <v>2320</v>
      </c>
    </row>
    <row r="6" customFormat="false" ht="15" hidden="false" customHeight="true" outlineLevel="0" collapsed="false">
      <c r="A6" s="5" t="s">
        <v>934</v>
      </c>
      <c r="B6" s="24" t="n">
        <v>18308</v>
      </c>
      <c r="C6" s="214" t="n">
        <v>12000</v>
      </c>
      <c r="D6" s="147" t="n">
        <v>0.42</v>
      </c>
      <c r="E6" s="24" t="n">
        <f aca="false">B6+C6</f>
        <v>30308</v>
      </c>
      <c r="F6" s="24" t="n">
        <f aca="false">C6*(1-D6)</f>
        <v>6960</v>
      </c>
    </row>
    <row r="7" customFormat="false" ht="15" hidden="false" customHeight="true" outlineLevel="0" collapsed="false">
      <c r="A7" s="5" t="s">
        <v>935</v>
      </c>
      <c r="B7" s="24" t="n">
        <v>13158</v>
      </c>
      <c r="C7" s="214" t="n">
        <v>8000</v>
      </c>
      <c r="D7" s="147" t="n">
        <v>0.42</v>
      </c>
      <c r="E7" s="24" t="n">
        <f aca="false">B7+C7</f>
        <v>21158</v>
      </c>
      <c r="F7" s="24" t="n">
        <f aca="false">C7*(1-D7)</f>
        <v>4640</v>
      </c>
    </row>
    <row r="8" customFormat="false" ht="15" hidden="false" customHeight="true" outlineLevel="0" collapsed="false">
      <c r="A8" s="5" t="s">
        <v>936</v>
      </c>
      <c r="B8" s="24" t="n">
        <v>1416</v>
      </c>
      <c r="C8" s="214" t="n">
        <v>4000</v>
      </c>
      <c r="D8" s="147" t="n">
        <v>0.42</v>
      </c>
      <c r="E8" s="24" t="n">
        <f aca="false">B8+C8</f>
        <v>5416</v>
      </c>
      <c r="F8" s="24" t="n">
        <f aca="false">C8*(1-D8)</f>
        <v>2320</v>
      </c>
    </row>
    <row r="9" customFormat="false" ht="15" hidden="false" customHeight="true" outlineLevel="0" collapsed="false">
      <c r="A9" s="5" t="s">
        <v>937</v>
      </c>
      <c r="B9" s="24" t="n">
        <v>857</v>
      </c>
      <c r="C9" s="214" t="n">
        <v>4000</v>
      </c>
      <c r="D9" s="147" t="n">
        <v>0.42</v>
      </c>
      <c r="E9" s="24" t="n">
        <f aca="false">B9+C9</f>
        <v>4857</v>
      </c>
      <c r="F9" s="24" t="n">
        <f aca="false">C9*(1-D9)</f>
        <v>2320</v>
      </c>
    </row>
    <row r="10" customFormat="false" ht="15" hidden="false" customHeight="true" outlineLevel="0" collapsed="false">
      <c r="A10" s="5" t="s">
        <v>938</v>
      </c>
      <c r="B10" s="24" t="n">
        <v>570</v>
      </c>
      <c r="C10" s="214" t="n">
        <v>3000</v>
      </c>
      <c r="D10" s="147" t="n">
        <v>0.42</v>
      </c>
      <c r="E10" s="24" t="n">
        <f aca="false">B10+C10</f>
        <v>3570</v>
      </c>
      <c r="F10" s="24" t="n">
        <f aca="false">C10*(1-D10)</f>
        <v>1740</v>
      </c>
    </row>
    <row r="11" customFormat="false" ht="15" hidden="false" customHeight="true" outlineLevel="0" collapsed="false">
      <c r="A11" s="5" t="s">
        <v>939</v>
      </c>
      <c r="B11" s="24" t="n">
        <v>387</v>
      </c>
      <c r="C11" s="214" t="n">
        <v>6000</v>
      </c>
      <c r="D11" s="147" t="n">
        <v>0.42</v>
      </c>
      <c r="E11" s="24" t="n">
        <f aca="false">B11+C11</f>
        <v>6387</v>
      </c>
      <c r="F11" s="24" t="n">
        <f aca="false">C11*(1-D11)</f>
        <v>3480</v>
      </c>
    </row>
    <row r="12" customFormat="false" ht="15" hidden="false" customHeight="true" outlineLevel="0" collapsed="false">
      <c r="A12" s="5" t="s">
        <v>940</v>
      </c>
      <c r="B12" s="24" t="n">
        <v>198</v>
      </c>
      <c r="C12" s="214" t="n">
        <v>1500</v>
      </c>
      <c r="D12" s="147" t="n">
        <v>0.42</v>
      </c>
      <c r="E12" s="24" t="n">
        <f aca="false">B12+C12</f>
        <v>1698</v>
      </c>
      <c r="F12" s="24" t="n">
        <f aca="false">C12*(1-D12)</f>
        <v>870</v>
      </c>
    </row>
    <row r="13" customFormat="false" ht="15" hidden="false" customHeight="true" outlineLevel="0" collapsed="false">
      <c r="A13" s="5" t="s">
        <v>941</v>
      </c>
      <c r="B13" s="24" t="n">
        <v>0</v>
      </c>
      <c r="C13" s="214" t="n">
        <v>1500</v>
      </c>
      <c r="D13" s="147" t="n">
        <v>0.42</v>
      </c>
      <c r="E13" s="24" t="n">
        <f aca="false">B13+C13</f>
        <v>1500</v>
      </c>
      <c r="F13" s="24" t="n">
        <f aca="false">C13*(1-D13)</f>
        <v>870</v>
      </c>
    </row>
    <row r="14" customFormat="false" ht="15" hidden="false" customHeight="true" outlineLevel="0" collapsed="false">
      <c r="A14" s="5" t="s">
        <v>942</v>
      </c>
      <c r="B14" s="24" t="n">
        <v>0</v>
      </c>
      <c r="C14" s="214" t="n">
        <v>924</v>
      </c>
      <c r="D14" s="147" t="n">
        <v>0.42</v>
      </c>
      <c r="E14" s="24" t="n">
        <f aca="false">B14+C14</f>
        <v>924</v>
      </c>
      <c r="F14" s="24" t="n">
        <f aca="false">C14*(1-D14)</f>
        <v>535.92</v>
      </c>
    </row>
    <row r="15" customFormat="false" ht="15" hidden="false" customHeight="true" outlineLevel="0" collapsed="false">
      <c r="A15" s="6" t="s">
        <v>905</v>
      </c>
      <c r="B15" s="27" t="n">
        <f aca="false">SUM(B5:B14)</f>
        <v>69996</v>
      </c>
      <c r="C15" s="27" t="n">
        <f aca="false">SUM(C5:C14)</f>
        <v>44924</v>
      </c>
      <c r="D15" s="215" t="n">
        <f aca="false">SUMPRODUCT(C5:C14,D5:D14)/C15</f>
        <v>0.42</v>
      </c>
      <c r="E15" s="27" t="n">
        <f aca="false">SUM(E5:E14)</f>
        <v>114920</v>
      </c>
      <c r="F15" s="27" t="n">
        <f aca="false">SUM(F5:F14)</f>
        <v>26055.92</v>
      </c>
    </row>
    <row r="16" customFormat="false" ht="15" hidden="false" customHeight="true" outlineLevel="0" collapsed="false">
      <c r="A16" s="3" t="s">
        <v>943</v>
      </c>
    </row>
    <row r="17" customFormat="false" ht="15" hidden="false" customHeight="true" outlineLevel="0" collapsed="false">
      <c r="A17" s="6" t="s">
        <v>944</v>
      </c>
    </row>
    <row r="18" customFormat="false" ht="15" hidden="false" customHeight="true" outlineLevel="0" collapsed="false">
      <c r="A18" s="5" t="s">
        <v>945</v>
      </c>
      <c r="C18" s="24" t="n">
        <f aca="false">'LW Assumptions'!C47</f>
        <v>2923.78</v>
      </c>
    </row>
    <row r="19" customFormat="false" ht="15" hidden="false" customHeight="true" outlineLevel="0" collapsed="false">
      <c r="A19" s="5" t="s">
        <v>946</v>
      </c>
      <c r="C19" s="7" t="n">
        <f aca="false">C15-C18</f>
        <v>42000.22</v>
      </c>
    </row>
    <row r="20" customFormat="false" ht="15" hidden="false" customHeight="true" outlineLevel="0" collapsed="false">
      <c r="A20" s="5" t="s">
        <v>947</v>
      </c>
      <c r="C20" s="216" t="n">
        <f aca="false">D15</f>
        <v>0.42</v>
      </c>
    </row>
    <row r="22" customFormat="false" ht="15" hidden="false" customHeight="true" outlineLevel="0" collapsed="false">
      <c r="A22" s="3" t="s">
        <v>948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2026-07-01T16:42:55Z</dcterms:created>
  <dc:creator>openpyxl</dc:creator>
  <dc:description/>
  <dc:language>en-US</dc:language>
  <cp:lastModifiedBy/>
  <dcterms:modified xsi:type="dcterms:W3CDTF">2026-07-20T16:59:36Z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