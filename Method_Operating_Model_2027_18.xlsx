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GL Basis" sheetId="9" state="visible" r:id="rId11"/>
    <sheet name="Vessel 2026 P&amp;L" sheetId="10" state="visible" r:id="rId12"/>
    <sheet name="LW 2026 P&amp;L" sheetId="11" state="visible" r:id="rId13"/>
    <sheet name="LW 2026 Modified" sheetId="12" state="visible" r:id="rId14"/>
    <sheet name="Vessel 2026 Modified" sheetId="13" state="visible" r:id="rId15"/>
    <sheet name="LW Assumptions" sheetId="14" state="visible" r:id="rId16"/>
    <sheet name="LW P&amp;L" sheetId="15" state="visible" r:id="rId17"/>
    <sheet name="LW Budget" sheetId="16" state="visible" r:id="rId18"/>
    <sheet name="LW Labor Model" sheetId="17" state="visible" r:id="rId19"/>
    <sheet name="LW Weekly Compare" sheetId="18" state="visible" r:id="rId20"/>
    <sheet name="LW Daypart Analysis" sheetId="19" state="visible" r:id="rId21"/>
    <sheet name="LW Shift Detail" sheetId="20" state="visible" r:id="rId22"/>
    <sheet name="LW GL Basis" sheetId="21" state="visible" r:id="rId23"/>
    <sheet name="LW Menu Pricing" sheetId="22" state="visible" r:id="rId24"/>
    <sheet name="LW Retail Plan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<sst xmlns="http://schemas.openxmlformats.org/spreadsheetml/2006/main" count="1626" uniqueCount="713">
  <si>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</si>
  <si>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</si>
  <si>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</si>
  <si>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</si>
  <si>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</si>
  <si>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</si>
  <si>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</si>
  <si>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</si>
  <si>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</si>
  <si>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</si>
  <si>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</si>
  <si>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</si>
  <si>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</si>
  <si>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</si>
  <si>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</si>
  <si>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</si>
  <si>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</si>
  <si>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</si>
  <si>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</si>
  <si>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</si>
  <si>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</si>
  <si>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</si>
  <si>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</si>
  <si>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</si>
  <si>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</si>
  <si>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</si>
  <si>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</si>
  <si>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</si>
  <si>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</si>
  <si>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</si>
  <si>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</si>
  <si>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</si>
  <si>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</si>
  <si>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</si>
  <si>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</si>
  <si>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</si>
  <si>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</si>
  <si>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</si>
  <si>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</si>
  <si>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</si>
  <si>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</si>
  <si>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</si>
  <si>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</si>
  <si>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</si>
  <si>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</si>
  <si>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</si>
  <si>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actual-week basis; plan-year basis is $35.3K (170.3→135.0)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</si>
  <si>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</si>
  <si>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</si>
  <si>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</si>
  <si>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</si>
  <si>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</si>
  <si>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</si>
  <si>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</si>
  <si>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</si>
  <si>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$14.5K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</si>
  <si>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</si>
  <si>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</si>
  <si>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</si>
  <si>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</si>
  <si>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</si>
  <si>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</si>
  <si>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</si>
  <si>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</si>
  <si>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</si>
  <si>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</si>
  <si>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</si>
  <si>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$xxK → $xxK</t>
  </si>
  <si>
    <t xml:space="preserve">NOT MODELED</t>
  </si>
  <si>
    <t xml:space="preserve">⚠ still placeholder in deck AND absent from model — needs event cost/revenue data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</si>
  <si>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</si>
  <si>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</si>
  <si>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</si>
  <si>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</si>
  <si>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</si>
  <si>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</si>
  <si>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</si>
  <si>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</si>
  <si>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</si>
  <si>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</si>
  <si>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</si>
  <si>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</si>
  <si>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</si>
  <si>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</si>
  <si>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</si>
  <si>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</si>
  <si>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</si>
  <si>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</si>
  <si>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</si>
  <si>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</si>
  <si>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</si>
  <si>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</si>
  <si>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</si>
  <si>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</si>
  <si>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</si>
  <si>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</si>
  <si>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</si>
  <si>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</si>
  <si>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</si>
  <si>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</si>
  <si>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</si>
  <si>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</si>
  <si>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</si>
  <si>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</si>
  <si>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</si>
  <si>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</si>
  <si>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</si>
  <si>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</si>
  <si>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</si>
  <si>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</si>
  <si>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</si>
  <si>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</si>
  <si>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(164.0)/(114.3)/(42.5)K</t>
  </si>
  <si>
    <t xml:space="preserve">Scenario Summary row 14</t>
  </si>
  <si>
    <t xml:space="preserve">Loss cut vs Act/For</t>
  </si>
  <si>
    <t xml:space="preserve">74%</t>
  </si>
  <si>
    <t xml:space="preserve">1 − E14/C14</t>
  </si>
  <si>
    <t xml:space="preserve">Combined 2027 (with Vessel)</t>
  </si>
  <si>
    <t xml:space="preserve">+$11.8K</t>
  </si>
  <si>
    <t xml:space="preserve">Scenario Summary E40</t>
  </si>
  <si>
    <t xml:space="preserve">Open items: (1) slide 5 "~39%" should read ~34% (top three hours, TTM); (2) slide 6 programming lever has no model support yet; (3) slide 4 product-mix slide should be regenerated from the TTM export for exact category figures. Everything else ties live.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</si>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</sst>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\$#,##0;&quot;($&quot;#,##0\)"/>
    <numFmt numFmtId="170" formatCode="yyyy\-mm\-dd"/>
    <numFmt numFmtId="171" formatCode="0.00"/>
    <numFmt numFmtId="172" formatCode="0"/>
    <numFmt numFmtId="173" formatCode="\$#,##0"/>
    <numFmt numFmtId="174" formatCode="0.0"/>
    <numFmt numFmtId="175" formatCode="0%"/>
    <numFmt numFmtId="176" formatCode="@"/>
    <numFmt numFmtId="177" formatCode="\$#,##0.00"/>
    <numFmt numFmtId="178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s">
        <v>10</v>
      </c>
      <c r="D5" s="2" t="s">
        <v>11</v>
      </c>
      <c r="E5" s="6" t="n">
        <f aca="false">'LW 2026 P&amp;L'!$AB$16</f>
        <v>288692</v>
      </c>
      <c r="F5" s="4" t="s">
        <v>12</v>
      </c>
    </row>
    <row r="6" customFormat="false" ht="15" hidden="false" customHeight="false" outlineLevel="0" collapsed="false">
      <c r="A6" s="4" t="s">
        <v>8</v>
      </c>
      <c r="B6" s="4" t="s">
        <v>13</v>
      </c>
      <c r="C6" s="5" t="s">
        <v>14</v>
      </c>
      <c r="D6" s="2" t="s">
        <v>15</v>
      </c>
      <c r="E6" s="6" t="n">
        <f aca="false">'LW 2026 P&amp;L'!$AB$55</f>
        <v>-164007</v>
      </c>
      <c r="F6" s="4" t="s">
        <v>12</v>
      </c>
    </row>
    <row r="7" customFormat="false" ht="15" hidden="false" customHeight="false" outlineLevel="0" collapsed="false">
      <c r="A7" s="4" t="s">
        <v>8</v>
      </c>
      <c r="B7" s="4" t="s">
        <v>16</v>
      </c>
      <c r="C7" s="5" t="s">
        <v>17</v>
      </c>
      <c r="D7" s="2" t="s">
        <v>18</v>
      </c>
      <c r="E7" s="7" t="n">
        <f aca="false">'LW 2026 P&amp;L'!$AB$33/'LW 2026 P&amp;L'!$AB$16</f>
        <v>0.589798123952171</v>
      </c>
      <c r="F7" s="4" t="s">
        <v>12</v>
      </c>
    </row>
    <row r="8" customFormat="false" ht="15" hidden="false" customHeight="false" outlineLevel="0" collapsed="false">
      <c r="A8" s="4" t="s">
        <v>8</v>
      </c>
      <c r="B8" s="4" t="s">
        <v>19</v>
      </c>
      <c r="C8" s="5" t="s">
        <v>20</v>
      </c>
      <c r="D8" s="2" t="s">
        <v>21</v>
      </c>
      <c r="E8" s="7" t="n">
        <f aca="false">('LW 2026 P&amp;L'!$AB$24+'LW 2026 P&amp;L'!$AB$33)/'LW 2026 P&amp;L'!$AB$16</f>
        <v>0.952225901652973</v>
      </c>
      <c r="F8" s="4" t="s">
        <v>12</v>
      </c>
    </row>
    <row r="9" customFormat="false" ht="15" hidden="false" customHeight="false" outlineLevel="0" collapsed="false">
      <c r="A9" s="4" t="s">
        <v>8</v>
      </c>
      <c r="B9" s="4" t="s">
        <v>22</v>
      </c>
      <c r="C9" s="5" t="s">
        <v>23</v>
      </c>
      <c r="D9" s="2" t="s">
        <v>24</v>
      </c>
      <c r="E9" s="6" t="n">
        <f aca="false">'LW 2026 P&amp;L'!$AB$50+'LW 2026 P&amp;L'!$AB$48</f>
        <v>65381</v>
      </c>
      <c r="F9" s="4" t="s">
        <v>12</v>
      </c>
    </row>
    <row r="10" customFormat="false" ht="15" hidden="false" customHeight="false" outlineLevel="0" collapsed="false">
      <c r="A10" s="4" t="s">
        <v>8</v>
      </c>
      <c r="B10" s="4" t="s">
        <v>25</v>
      </c>
      <c r="C10" s="5" t="s">
        <v>26</v>
      </c>
      <c r="D10" s="2" t="s">
        <v>27</v>
      </c>
      <c r="E10" s="6" t="n">
        <f aca="false">'LW 2026 P&amp;L'!$AB$15</f>
        <v>-18574</v>
      </c>
      <c r="F10" s="4" t="s">
        <v>12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5" t="s">
        <v>30</v>
      </c>
      <c r="D11" s="2" t="s">
        <v>31</v>
      </c>
      <c r="F11" s="4" t="s">
        <v>32</v>
      </c>
    </row>
    <row r="12" customFormat="false" ht="15" hidden="false" customHeight="false" outlineLevel="0" collapsed="false">
      <c r="A12" s="4" t="s">
        <v>33</v>
      </c>
      <c r="B12" s="4" t="s">
        <v>34</v>
      </c>
      <c r="C12" s="5" t="s">
        <v>35</v>
      </c>
      <c r="D12" s="2" t="s">
        <v>36</v>
      </c>
      <c r="E12" s="7" t="n">
        <f aca="false">'LW Daypart Analysis'!$D$59</f>
        <v>0.173</v>
      </c>
      <c r="F12" s="4" t="s">
        <v>37</v>
      </c>
    </row>
    <row r="13" customFormat="false" ht="15" hidden="false" customHeight="false" outlineLevel="0" collapsed="false">
      <c r="A13" s="4" t="s">
        <v>33</v>
      </c>
      <c r="B13" s="4" t="s">
        <v>38</v>
      </c>
      <c r="C13" s="5" t="s">
        <v>39</v>
      </c>
      <c r="D13" s="2" t="s">
        <v>40</v>
      </c>
      <c r="E13" s="7" t="n">
        <f aca="false">87226/254946</f>
        <v>0.342135197257458</v>
      </c>
      <c r="F13" s="8" t="s">
        <v>41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5" t="s">
        <v>44</v>
      </c>
      <c r="D14" s="2" t="s">
        <v>45</v>
      </c>
      <c r="E14" s="6" t="n">
        <f aca="false">-'LW Weekly Compare'!$D$29</f>
        <v>39027.04</v>
      </c>
      <c r="F14" s="4" t="s">
        <v>46</v>
      </c>
    </row>
    <row r="15" customFormat="false" ht="15" hidden="false" customHeight="false" outlineLevel="0" collapsed="false">
      <c r="A15" s="4" t="s">
        <v>42</v>
      </c>
      <c r="B15" s="4" t="s">
        <v>47</v>
      </c>
      <c r="C15" s="5" t="s">
        <v>48</v>
      </c>
      <c r="D15" s="2" t="s">
        <v>49</v>
      </c>
      <c r="E15" s="6" t="n">
        <f aca="false">'LW Menu Pricing'!$C$53</f>
        <v>9160.92</v>
      </c>
      <c r="F15" s="4" t="s">
        <v>12</v>
      </c>
    </row>
    <row r="16" customFormat="false" ht="15" hidden="false" customHeight="false" outlineLevel="0" collapsed="false">
      <c r="A16" s="4" t="s">
        <v>42</v>
      </c>
      <c r="B16" s="4" t="s">
        <v>50</v>
      </c>
      <c r="C16" s="5" t="s">
        <v>51</v>
      </c>
      <c r="D16" s="2" t="s">
        <v>52</v>
      </c>
      <c r="E16" s="6" t="n">
        <f aca="false">'LW Assumptions'!$C$47+'LW Assumptions'!$C$36*(1-'LW Assumptions'!$C$37)</f>
        <v>23923.89</v>
      </c>
      <c r="F16" s="4" t="s">
        <v>53</v>
      </c>
    </row>
    <row r="17" customFormat="false" ht="15" hidden="false" customHeight="false" outlineLevel="0" collapsed="false">
      <c r="A17" s="4" t="s">
        <v>42</v>
      </c>
      <c r="B17" s="4" t="s">
        <v>54</v>
      </c>
      <c r="C17" s="5" t="s">
        <v>55</v>
      </c>
      <c r="D17" s="2" t="s">
        <v>56</v>
      </c>
      <c r="E17" s="6" t="n">
        <f aca="false">'LW Budget'!$AB$56</f>
        <v>14484.5168</v>
      </c>
      <c r="F17" s="4" t="s">
        <v>57</v>
      </c>
    </row>
    <row r="18" customFormat="false" ht="15" hidden="false" customHeight="false" outlineLevel="0" collapsed="false">
      <c r="A18" s="4" t="s">
        <v>42</v>
      </c>
      <c r="B18" s="4" t="s">
        <v>58</v>
      </c>
      <c r="C18" s="5" t="s">
        <v>59</v>
      </c>
      <c r="D18" s="2" t="s">
        <v>60</v>
      </c>
      <c r="E18" s="6" t="n">
        <f aca="false">('LW 2026 P&amp;L'!$AB$50+'LW 2026 P&amp;L'!$AB$48)-'LW Budget'!$AB$56</f>
        <v>50896.4832</v>
      </c>
      <c r="F18" s="4" t="s">
        <v>61</v>
      </c>
    </row>
    <row r="19" customFormat="false" ht="15" hidden="false" customHeight="false" outlineLevel="0" collapsed="false">
      <c r="A19" s="4" t="s">
        <v>42</v>
      </c>
      <c r="B19" s="4" t="s">
        <v>62</v>
      </c>
      <c r="C19" s="5" t="s">
        <v>63</v>
      </c>
      <c r="D19" s="2" t="s">
        <v>64</v>
      </c>
      <c r="E19" s="7" t="n">
        <f aca="false">'LW Budget'!$AB$56/'LW Budget'!$AB$20</f>
        <v>0.04</v>
      </c>
      <c r="F19" s="4" t="s">
        <v>65</v>
      </c>
    </row>
    <row r="20" customFormat="false" ht="15" hidden="false" customHeight="false" outlineLevel="0" collapsed="false">
      <c r="A20" s="4" t="s">
        <v>42</v>
      </c>
      <c r="B20" s="4" t="s">
        <v>66</v>
      </c>
      <c r="C20" s="5" t="s">
        <v>67</v>
      </c>
      <c r="D20" s="2" t="s">
        <v>68</v>
      </c>
      <c r="F20" s="8" t="s">
        <v>69</v>
      </c>
    </row>
    <row r="21" customFormat="false" ht="15" hidden="false" customHeight="false" outlineLevel="0" collapsed="false">
      <c r="A21" s="4" t="s">
        <v>70</v>
      </c>
      <c r="B21" s="4" t="s">
        <v>71</v>
      </c>
      <c r="C21" s="5" t="s">
        <v>72</v>
      </c>
      <c r="D21" s="2" t="s">
        <v>73</v>
      </c>
      <c r="E21" s="7" t="n">
        <f aca="false">'LW Daypart Analysis'!$D$59</f>
        <v>0.173</v>
      </c>
      <c r="F21" s="4" t="s">
        <v>12</v>
      </c>
    </row>
    <row r="22" customFormat="false" ht="15" hidden="false" customHeight="false" outlineLevel="0" collapsed="false">
      <c r="A22" s="4" t="s">
        <v>70</v>
      </c>
      <c r="B22" s="4" t="s">
        <v>74</v>
      </c>
      <c r="C22" s="5" t="s">
        <v>75</v>
      </c>
      <c r="D22" s="2" t="s">
        <v>73</v>
      </c>
      <c r="E22" s="7" t="n">
        <f aca="false">'LW Daypart Analysis'!$D$60</f>
        <v>0.215</v>
      </c>
      <c r="F22" s="4" t="s">
        <v>12</v>
      </c>
    </row>
    <row r="23" customFormat="false" ht="15" hidden="false" customHeight="false" outlineLevel="0" collapsed="false">
      <c r="A23" s="4" t="s">
        <v>70</v>
      </c>
      <c r="B23" s="4" t="s">
        <v>76</v>
      </c>
      <c r="C23" s="5" t="s">
        <v>77</v>
      </c>
      <c r="D23" s="2" t="s">
        <v>78</v>
      </c>
      <c r="E23" s="7" t="n">
        <f aca="false">'LW Daypart Analysis'!$C$60/244323</f>
        <v>0.0373194500722404</v>
      </c>
      <c r="F23" s="4" t="s">
        <v>12</v>
      </c>
    </row>
    <row r="24" customFormat="false" ht="15" hidden="false" customHeight="false" outlineLevel="0" collapsed="false">
      <c r="A24" s="4" t="s">
        <v>79</v>
      </c>
      <c r="B24" s="4" t="s">
        <v>80</v>
      </c>
      <c r="C24" s="5" t="s">
        <v>81</v>
      </c>
      <c r="D24" s="2" t="s">
        <v>82</v>
      </c>
      <c r="E24" s="6" t="n">
        <f aca="false">'LW Weekly Compare'!$C$20</f>
        <v>2440.28307692308</v>
      </c>
      <c r="F24" s="4" t="s">
        <v>83</v>
      </c>
    </row>
    <row r="25" customFormat="false" ht="15" hidden="false" customHeight="false" outlineLevel="0" collapsed="false">
      <c r="A25" s="4" t="s">
        <v>79</v>
      </c>
      <c r="B25" s="4" t="s">
        <v>84</v>
      </c>
      <c r="C25" s="5" t="s">
        <v>85</v>
      </c>
      <c r="D25" s="2" t="s">
        <v>86</v>
      </c>
      <c r="E25" s="6" t="n">
        <f aca="false">'LW Weekly Compare'!$C$29</f>
        <v>750.52</v>
      </c>
      <c r="F25" s="4" t="s">
        <v>12</v>
      </c>
    </row>
    <row r="26" customFormat="false" ht="15" hidden="false" customHeight="false" outlineLevel="0" collapsed="false">
      <c r="A26" s="4" t="s">
        <v>87</v>
      </c>
      <c r="B26" s="4" t="s">
        <v>88</v>
      </c>
      <c r="C26" s="5" t="s">
        <v>89</v>
      </c>
      <c r="D26" s="2" t="s">
        <v>90</v>
      </c>
      <c r="F26" s="4" t="s">
        <v>91</v>
      </c>
    </row>
    <row r="27" customFormat="false" ht="15" hidden="false" customHeight="false" outlineLevel="0" collapsed="false">
      <c r="A27" s="4" t="s">
        <v>92</v>
      </c>
      <c r="B27" s="4" t="s">
        <v>93</v>
      </c>
      <c r="C27" s="5" t="s">
        <v>94</v>
      </c>
      <c r="D27" s="2" t="s">
        <v>95</v>
      </c>
      <c r="E27" s="6" t="n">
        <f aca="false">'LW Retail Plan'!$B$15/52</f>
        <v>1346.07692307692</v>
      </c>
      <c r="F27" s="4" t="s">
        <v>12</v>
      </c>
    </row>
    <row r="28" customFormat="false" ht="15" hidden="false" customHeight="false" outlineLevel="0" collapsed="false">
      <c r="A28" s="4" t="s">
        <v>92</v>
      </c>
      <c r="B28" s="4" t="s">
        <v>96</v>
      </c>
      <c r="C28" s="5" t="s">
        <v>97</v>
      </c>
      <c r="D28" s="2" t="s">
        <v>98</v>
      </c>
      <c r="E28" s="6" t="n">
        <f aca="false">'LW Retail Plan'!$E$15</f>
        <v>114920</v>
      </c>
      <c r="F28" s="4" t="s">
        <v>12</v>
      </c>
    </row>
    <row r="29" customFormat="false" ht="15" hidden="false" customHeight="false" outlineLevel="0" collapsed="false">
      <c r="A29" s="4" t="s">
        <v>92</v>
      </c>
      <c r="B29" s="4" t="s">
        <v>99</v>
      </c>
      <c r="C29" s="5" t="s">
        <v>100</v>
      </c>
      <c r="D29" s="2" t="s">
        <v>101</v>
      </c>
      <c r="E29" s="7" t="n">
        <f aca="false">'LW Retail Plan'!$E$15/'LW Budget'!$AB$20</f>
        <v>0.317359568390987</v>
      </c>
      <c r="F29" s="4" t="s">
        <v>12</v>
      </c>
    </row>
    <row r="30" customFormat="false" ht="15" hidden="false" customHeight="false" outlineLevel="0" collapsed="false">
      <c r="A30" s="4" t="s">
        <v>92</v>
      </c>
      <c r="B30" s="4" t="s">
        <v>102</v>
      </c>
      <c r="C30" s="5" t="s">
        <v>103</v>
      </c>
      <c r="D30" s="2" t="s">
        <v>104</v>
      </c>
      <c r="E30" s="6" t="n">
        <f aca="false">'LW Assumptions'!$C$47+'LW Assumptions'!$C$36*(1-'LW Assumptions'!$C$37)</f>
        <v>23923.89</v>
      </c>
      <c r="F30" s="4" t="s">
        <v>105</v>
      </c>
    </row>
    <row r="31" customFormat="false" ht="15" hidden="false" customHeight="false" outlineLevel="0" collapsed="false">
      <c r="A31" s="4" t="s">
        <v>106</v>
      </c>
      <c r="B31" s="4" t="s">
        <v>107</v>
      </c>
      <c r="C31" s="5" t="s">
        <v>108</v>
      </c>
      <c r="D31" s="2" t="s">
        <v>109</v>
      </c>
      <c r="E31" s="6" t="n">
        <f aca="false">'Scenario Summary'!$E$6</f>
        <v>362112.92</v>
      </c>
      <c r="F31" s="4" t="s">
        <v>110</v>
      </c>
    </row>
    <row r="32" customFormat="false" ht="15" hidden="false" customHeight="false" outlineLevel="0" collapsed="false">
      <c r="A32" s="4" t="s">
        <v>106</v>
      </c>
      <c r="B32" s="4" t="s">
        <v>111</v>
      </c>
      <c r="C32" s="5" t="s">
        <v>112</v>
      </c>
      <c r="D32" s="2" t="s">
        <v>113</v>
      </c>
      <c r="E32" s="6" t="n">
        <f aca="false">'Scenario Summary'!$E$14</f>
        <v>-42459.1898</v>
      </c>
      <c r="F32" s="4" t="s">
        <v>12</v>
      </c>
    </row>
    <row r="33" customFormat="false" ht="15" hidden="false" customHeight="false" outlineLevel="0" collapsed="false">
      <c r="A33" s="4" t="s">
        <v>106</v>
      </c>
      <c r="B33" s="4" t="s">
        <v>114</v>
      </c>
      <c r="C33" s="5" t="s">
        <v>115</v>
      </c>
      <c r="D33" s="2" t="s">
        <v>116</v>
      </c>
      <c r="E33" s="7" t="n">
        <f aca="false">1-'Scenario Summary'!$E$14/'Scenario Summary'!$C$14</f>
        <v>0.741113551250861</v>
      </c>
      <c r="F33" s="4" t="s">
        <v>12</v>
      </c>
    </row>
    <row r="34" customFormat="false" ht="15" hidden="false" customHeight="false" outlineLevel="0" collapsed="false">
      <c r="A34" s="4" t="s">
        <v>106</v>
      </c>
      <c r="B34" s="4" t="s">
        <v>117</v>
      </c>
      <c r="C34" s="5" t="s">
        <v>118</v>
      </c>
      <c r="D34" s="2" t="s">
        <v>119</v>
      </c>
      <c r="E34" s="6" t="n">
        <f aca="false">'Scenario Summary'!$E$40</f>
        <v>11768.4051999998</v>
      </c>
      <c r="F34" s="4" t="s">
        <v>12</v>
      </c>
    </row>
    <row r="36" customFormat="false" ht="15" hidden="false" customHeight="false" outlineLevel="0" collapsed="false">
      <c r="A36" s="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8"/>
    <col collapsed="false" customWidth="true" hidden="false" outlineLevel="0" max="5" min="2" style="9" width="15"/>
  </cols>
  <sheetData>
    <row r="1" customFormat="false" ht="17.25" hidden="false" customHeight="true" outlineLevel="0" collapsed="false">
      <c r="A1" s="10" t="s">
        <v>121</v>
      </c>
    </row>
    <row r="2" customFormat="false" ht="15" hidden="false" customHeight="true" outlineLevel="0" collapsed="false">
      <c r="A2" s="11" t="s">
        <v>122</v>
      </c>
    </row>
    <row r="4" customFormat="false" ht="15" hidden="false" customHeight="true" outlineLevel="0" collapsed="false">
      <c r="A4" s="12" t="s">
        <v>123</v>
      </c>
    </row>
    <row r="5" customFormat="false" ht="15" hidden="false" customHeight="true" outlineLevel="0" collapsed="false">
      <c r="B5" s="13" t="s">
        <v>124</v>
      </c>
      <c r="C5" s="13" t="s">
        <v>125</v>
      </c>
      <c r="D5" s="13" t="s">
        <v>126</v>
      </c>
      <c r="E5" s="13" t="s">
        <v>127</v>
      </c>
    </row>
    <row r="6" customFormat="false" ht="15" hidden="false" customHeight="true" outlineLevel="0" collapsed="false">
      <c r="A6" s="9" t="s">
        <v>128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311227.383333333</v>
      </c>
      <c r="E6" s="15" t="n">
        <f aca="false">'LW Budget'!$AB$20</f>
        <v>362112.92</v>
      </c>
    </row>
    <row r="7" customFormat="false" ht="15" hidden="false" customHeight="true" outlineLevel="0" collapsed="false">
      <c r="A7" s="9" t="s">
        <v>129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113380.045833333</v>
      </c>
      <c r="E7" s="15" t="n">
        <f aca="false">'LW Budget'!$AB$29</f>
        <v>134412.11</v>
      </c>
    </row>
    <row r="8" customFormat="false" ht="15" hidden="false" customHeight="true" outlineLevel="0" collapsed="false">
      <c r="A8" s="16" t="s">
        <v>130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197847.3375</v>
      </c>
      <c r="E8" s="17" t="n">
        <f aca="false">E6-E7</f>
        <v>227700.81</v>
      </c>
    </row>
    <row r="9" customFormat="false" ht="15" hidden="false" customHeight="true" outlineLevel="0" collapsed="false">
      <c r="A9" s="9" t="s">
        <v>131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135019.36</v>
      </c>
    </row>
    <row r="10" customFormat="false" ht="15" hidden="false" customHeight="true" outlineLevel="0" collapsed="false">
      <c r="A10" s="9" t="s">
        <v>132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112981.384583333</v>
      </c>
      <c r="E10" s="15" t="n">
        <f aca="false">'LW Budget'!$AB$50+'LW Budget'!$AB$60-'LW Budget'!$AB$54-'LW Budget'!$AB$56-'LW Budget'!$AB$57</f>
        <v>120656.123</v>
      </c>
    </row>
    <row r="11" customFormat="false" ht="15" hidden="false" customHeight="true" outlineLevel="0" collapsed="false">
      <c r="A11" s="9" t="s">
        <v>133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34035.2153333333</v>
      </c>
      <c r="E11" s="15" t="n">
        <f aca="false">'LW Budget'!$AB$56</f>
        <v>14484.5168</v>
      </c>
    </row>
    <row r="12" customFormat="false" ht="15" hidden="false" customHeight="true" outlineLevel="0" collapsed="false">
      <c r="A12" s="9" t="s">
        <v>134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9" t="s">
        <v>135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136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-114328.329083333</v>
      </c>
      <c r="E14" s="17" t="n">
        <f aca="false">E6-E7-E9-E10-E11-E12-E13</f>
        <v>-42459.1898</v>
      </c>
    </row>
    <row r="15" customFormat="false" ht="15" hidden="false" customHeight="true" outlineLevel="0" collapsed="false">
      <c r="A15" s="9" t="s">
        <v>137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-0.367346625669132</v>
      </c>
      <c r="E15" s="18" t="n">
        <f aca="false">E14/E6</f>
        <v>-0.117254004082484</v>
      </c>
    </row>
    <row r="17" customFormat="false" ht="15" hidden="false" customHeight="true" outlineLevel="0" collapsed="false">
      <c r="A17" s="12" t="s">
        <v>138</v>
      </c>
    </row>
    <row r="18" customFormat="false" ht="15" hidden="false" customHeight="true" outlineLevel="0" collapsed="false">
      <c r="B18" s="13" t="s">
        <v>124</v>
      </c>
      <c r="C18" s="13" t="s">
        <v>125</v>
      </c>
      <c r="D18" s="13" t="s">
        <v>126</v>
      </c>
      <c r="E18" s="13" t="s">
        <v>127</v>
      </c>
    </row>
    <row r="19" customFormat="false" ht="15" hidden="false" customHeight="true" outlineLevel="0" collapsed="false">
      <c r="A19" s="9" t="s">
        <v>128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355463.55</v>
      </c>
      <c r="E19" s="15" t="n">
        <f aca="false">'Vessel Budget'!$AB$20</f>
        <v>415000</v>
      </c>
    </row>
    <row r="20" customFormat="false" ht="15" hidden="false" customHeight="true" outlineLevel="0" collapsed="false">
      <c r="A20" s="9" t="s">
        <v>129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170033.8</v>
      </c>
    </row>
    <row r="21" customFormat="false" ht="15" hidden="false" customHeight="true" outlineLevel="0" collapsed="false">
      <c r="A21" s="16" t="s">
        <v>130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232531.55</v>
      </c>
      <c r="E21" s="17" t="n">
        <f aca="false">E19-E20</f>
        <v>244966.2</v>
      </c>
    </row>
    <row r="22" customFormat="false" ht="15" hidden="false" customHeight="true" outlineLevel="0" collapsed="false">
      <c r="A22" s="9" t="s">
        <v>131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70594.605</v>
      </c>
    </row>
    <row r="23" customFormat="false" ht="15" hidden="false" customHeight="true" outlineLevel="0" collapsed="false">
      <c r="A23" s="9" t="s">
        <v>132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93169</v>
      </c>
      <c r="E23" s="15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9" t="s">
        <v>133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33139.582</v>
      </c>
      <c r="E24" s="15" t="n">
        <f aca="false">'Vessel Budget'!$AB$56</f>
        <v>16600</v>
      </c>
    </row>
    <row r="25" customFormat="false" ht="15" hidden="false" customHeight="true" outlineLevel="0" collapsed="false">
      <c r="A25" s="9" t="s">
        <v>134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9" t="s">
        <v>135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13841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136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12347.968</v>
      </c>
      <c r="E27" s="17" t="n">
        <f aca="false">E19-E20-E22-E23-E24-E25-E26</f>
        <v>54227.595</v>
      </c>
    </row>
    <row r="28" customFormat="false" ht="15" hidden="false" customHeight="true" outlineLevel="0" collapsed="false">
      <c r="A28" s="9" t="s">
        <v>137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0.034737648909431</v>
      </c>
      <c r="E28" s="18" t="n">
        <f aca="false">E27/E19</f>
        <v>0.130668903614458</v>
      </c>
    </row>
    <row r="30" customFormat="false" ht="15" hidden="false" customHeight="true" outlineLevel="0" collapsed="false">
      <c r="A30" s="12" t="s">
        <v>139</v>
      </c>
    </row>
    <row r="31" customFormat="false" ht="15" hidden="false" customHeight="true" outlineLevel="0" collapsed="false">
      <c r="B31" s="13" t="s">
        <v>124</v>
      </c>
      <c r="C31" s="13" t="s">
        <v>125</v>
      </c>
      <c r="D31" s="13" t="s">
        <v>126</v>
      </c>
      <c r="E31" s="13" t="s">
        <v>127</v>
      </c>
    </row>
    <row r="32" customFormat="false" ht="15" hidden="false" customHeight="true" outlineLevel="0" collapsed="false">
      <c r="A32" s="9" t="s">
        <v>128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666690.933333333</v>
      </c>
      <c r="E32" s="15" t="n">
        <f aca="false">E6+E19</f>
        <v>777112.92</v>
      </c>
    </row>
    <row r="33" customFormat="false" ht="15" hidden="false" customHeight="true" outlineLevel="0" collapsed="false">
      <c r="A33" s="9" t="s">
        <v>129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236312.045833333</v>
      </c>
      <c r="E33" s="15" t="n">
        <f aca="false">E7+E20</f>
        <v>304445.91</v>
      </c>
    </row>
    <row r="34" customFormat="false" ht="15" hidden="false" customHeight="true" outlineLevel="0" collapsed="false">
      <c r="A34" s="16" t="s">
        <v>130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430378.8875</v>
      </c>
      <c r="E34" s="17" t="n">
        <f aca="false">E32-E33</f>
        <v>472667.01</v>
      </c>
    </row>
    <row r="35" customFormat="false" ht="15" hidden="false" customHeight="true" outlineLevel="0" collapsed="false">
      <c r="A35" s="9" t="s">
        <v>131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205613.965</v>
      </c>
    </row>
    <row r="36" customFormat="false" ht="15" hidden="false" customHeight="true" outlineLevel="0" collapsed="false">
      <c r="A36" s="9" t="s">
        <v>132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206150.384583333</v>
      </c>
      <c r="E36" s="15" t="n">
        <f aca="false">E10+E23</f>
        <v>224200.123</v>
      </c>
    </row>
    <row r="37" customFormat="false" ht="15" hidden="false" customHeight="true" outlineLevel="0" collapsed="false">
      <c r="A37" s="9" t="s">
        <v>133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67174.7973333333</v>
      </c>
      <c r="E37" s="15" t="n">
        <f aca="false">E11+E24</f>
        <v>31084.5168</v>
      </c>
    </row>
    <row r="38" customFormat="false" ht="15" hidden="false" customHeight="true" outlineLevel="0" collapsed="false">
      <c r="A38" s="9" t="s">
        <v>134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9" t="s">
        <v>135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23522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136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-101980.361083333</v>
      </c>
      <c r="E40" s="17" t="n">
        <f aca="false">E32-E33-E35-E36-E37-E38-E39</f>
        <v>11768.4051999998</v>
      </c>
    </row>
    <row r="41" customFormat="false" ht="15" hidden="false" customHeight="true" outlineLevel="0" collapsed="false">
      <c r="A41" s="9" t="s">
        <v>137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-0.152964973699957</v>
      </c>
      <c r="E41" s="18" t="n">
        <f aca="false">E40/E32</f>
        <v>0.0151437518243807</v>
      </c>
    </row>
    <row r="43" customFormat="false" ht="15" hidden="false" customHeight="true" outlineLevel="0" collapsed="false">
      <c r="A43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95"/>
    <col collapsed="false" customWidth="true" hidden="false" outlineLevel="0" max="6" min="2" style="9" width="16"/>
  </cols>
  <sheetData>
    <row r="1" customFormat="false" ht="17.25" hidden="false" customHeight="true" outlineLevel="0" collapsed="false">
      <c r="A1" s="19" t="s">
        <v>141</v>
      </c>
      <c r="B1" s="20"/>
      <c r="C1" s="20"/>
      <c r="D1" s="20"/>
      <c r="E1" s="20"/>
      <c r="F1" s="20"/>
      <c r="G1" s="20"/>
      <c r="H1" s="20"/>
    </row>
    <row r="2" customFormat="false" ht="15" hidden="false" customHeight="true" outlineLevel="0" collapsed="false">
      <c r="A2" s="21" t="s">
        <v>142</v>
      </c>
      <c r="B2" s="20"/>
      <c r="C2" s="20"/>
      <c r="D2" s="20"/>
      <c r="E2" s="20"/>
      <c r="F2" s="20"/>
      <c r="G2" s="20"/>
      <c r="H2" s="20"/>
    </row>
    <row r="3" customFormat="false" ht="15" hidden="false" customHeight="true" outlineLevel="0" collapsed="false">
      <c r="A3" s="20"/>
      <c r="B3" s="20"/>
      <c r="C3" s="20"/>
      <c r="D3" s="20"/>
      <c r="E3" s="20"/>
      <c r="F3" s="20"/>
      <c r="G3" s="20"/>
      <c r="H3" s="20"/>
    </row>
    <row r="4" customFormat="false" ht="15" hidden="false" customHeight="true" outlineLevel="0" collapsed="false">
      <c r="A4" s="22"/>
      <c r="B4" s="22" t="s">
        <v>143</v>
      </c>
      <c r="C4" s="22" t="s">
        <v>144</v>
      </c>
      <c r="D4" s="22" t="s">
        <v>145</v>
      </c>
      <c r="E4" s="22" t="s">
        <v>146</v>
      </c>
      <c r="F4" s="20"/>
      <c r="G4" s="20"/>
      <c r="H4" s="20"/>
    </row>
    <row r="5" customFormat="false" ht="15" hidden="false" customHeight="true" outlineLevel="0" collapsed="false">
      <c r="A5" s="23" t="s">
        <v>147</v>
      </c>
      <c r="B5" s="24" t="n">
        <f aca="false">'LW 2026 P&amp;L'!$AB$55</f>
        <v>-164007</v>
      </c>
      <c r="C5" s="24" t="n">
        <f aca="false">'LW 2026 Modified'!$AB$62-'LW 2026 P&amp;L'!$AB$55</f>
        <v>49678.6709166666</v>
      </c>
      <c r="D5" s="24" t="n">
        <f aca="false">'LW 2026 Modified'!$AB$62</f>
        <v>-114328.329083333</v>
      </c>
      <c r="E5" s="25" t="n">
        <f aca="false">'LW 2026 Modified'!$C$4</f>
        <v>46235</v>
      </c>
      <c r="F5" s="26"/>
      <c r="G5" s="20"/>
      <c r="H5" s="20"/>
    </row>
    <row r="6" customFormat="false" ht="15" hidden="false" customHeight="true" outlineLevel="0" collapsed="false">
      <c r="A6" s="27" t="s">
        <v>148</v>
      </c>
      <c r="B6" s="28" t="n">
        <f aca="false">'Vessel 2026 P&amp;L'!$AB$55</f>
        <v>-13501</v>
      </c>
      <c r="C6" s="28" t="n">
        <f aca="false">'Vessel 2026 Modified'!$AB$62-'Vessel 2026 P&amp;L'!$AB$55</f>
        <v>25848.968</v>
      </c>
      <c r="D6" s="28" t="n">
        <f aca="false">'Vessel 2026 Modified'!$AB$62</f>
        <v>12347.968</v>
      </c>
      <c r="E6" s="29" t="n">
        <f aca="false">'Vessel 2026 Modified'!$C$4</f>
        <v>46235</v>
      </c>
      <c r="F6" s="30"/>
      <c r="G6" s="20"/>
      <c r="H6" s="20"/>
    </row>
    <row r="7" customFormat="false" ht="15" hidden="false" customHeight="true" outlineLevel="0" collapsed="false">
      <c r="A7" s="31" t="s">
        <v>139</v>
      </c>
      <c r="B7" s="32" t="n">
        <f aca="false">B5+B6</f>
        <v>-177508</v>
      </c>
      <c r="C7" s="32" t="n">
        <f aca="false">C5+C6</f>
        <v>75527.6389166666</v>
      </c>
      <c r="D7" s="32" t="n">
        <f aca="false">D5+D6</f>
        <v>-101980.361083333</v>
      </c>
      <c r="E7" s="30"/>
      <c r="F7" s="30"/>
      <c r="G7" s="20"/>
      <c r="H7" s="20"/>
    </row>
    <row r="8" customFormat="false" ht="15" hidden="false" customHeight="true" outlineLevel="0" collapsed="false">
      <c r="A8" s="20"/>
      <c r="B8" s="33"/>
      <c r="C8" s="20"/>
      <c r="D8" s="34"/>
      <c r="E8" s="30"/>
      <c r="F8" s="30"/>
      <c r="G8" s="20"/>
      <c r="H8" s="20"/>
    </row>
    <row r="9" customFormat="false" ht="15" hidden="false" customHeight="true" outlineLevel="0" collapsed="false">
      <c r="A9" s="31" t="s">
        <v>149</v>
      </c>
      <c r="B9" s="33"/>
      <c r="C9" s="20"/>
      <c r="D9" s="34"/>
      <c r="E9" s="30"/>
      <c r="F9" s="30"/>
      <c r="G9" s="20"/>
      <c r="H9" s="20"/>
    </row>
    <row r="10" customFormat="false" ht="15" hidden="false" customHeight="true" outlineLevel="0" collapsed="false">
      <c r="A10" s="27" t="s">
        <v>150</v>
      </c>
      <c r="B10" s="33"/>
      <c r="C10" s="20"/>
      <c r="D10" s="34"/>
      <c r="E10" s="30"/>
      <c r="F10" s="30"/>
      <c r="G10" s="20"/>
      <c r="H10" s="20"/>
    </row>
    <row r="11" customFormat="false" ht="15" hidden="false" customHeight="true" outlineLevel="0" collapsed="false">
      <c r="A11" s="27" t="s">
        <v>151</v>
      </c>
      <c r="B11" s="33"/>
      <c r="C11" s="20"/>
      <c r="D11" s="34"/>
      <c r="E11" s="30"/>
      <c r="F11" s="30"/>
      <c r="G11" s="20"/>
      <c r="H11" s="20"/>
    </row>
    <row r="12" customFormat="false" ht="15" hidden="false" customHeight="true" outlineLevel="0" collapsed="false">
      <c r="A12" s="27" t="s">
        <v>152</v>
      </c>
      <c r="B12" s="33"/>
      <c r="C12" s="20"/>
      <c r="D12" s="34"/>
      <c r="E12" s="30"/>
      <c r="F12" s="30"/>
      <c r="G12" s="20"/>
      <c r="H12" s="20"/>
    </row>
    <row r="13" customFormat="false" ht="15" hidden="false" customHeight="true" outlineLevel="0" collapsed="false">
      <c r="A13" s="27" t="s">
        <v>153</v>
      </c>
      <c r="B13" s="33"/>
      <c r="C13" s="20"/>
      <c r="D13" s="34"/>
      <c r="E13" s="30"/>
      <c r="F13" s="30"/>
      <c r="G13" s="20"/>
      <c r="H13" s="20"/>
    </row>
    <row r="14" customFormat="false" ht="15" hidden="false" customHeight="true" outlineLevel="0" collapsed="false">
      <c r="A14" s="27" t="s">
        <v>154</v>
      </c>
      <c r="B14" s="20"/>
      <c r="C14" s="20"/>
      <c r="D14" s="20"/>
      <c r="E14" s="20"/>
      <c r="F14" s="30"/>
      <c r="G14" s="20"/>
      <c r="H14" s="20"/>
    </row>
    <row r="15" customFormat="false" ht="15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</row>
    <row r="16" customFormat="false" ht="15" hidden="false" customHeight="true" outlineLevel="0" collapsed="false">
      <c r="A16" s="21" t="s">
        <v>155</v>
      </c>
      <c r="B16" s="20"/>
      <c r="C16" s="20"/>
      <c r="D16" s="20"/>
      <c r="E16" s="20"/>
      <c r="F16" s="20"/>
      <c r="G16" s="20"/>
      <c r="H16" s="20"/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A18" s="20"/>
      <c r="B18" s="20"/>
      <c r="C18" s="20"/>
      <c r="D18" s="20"/>
      <c r="E18" s="20"/>
      <c r="F18" s="30"/>
      <c r="G18" s="20"/>
      <c r="H18" s="20"/>
    </row>
    <row r="19" customFormat="false" ht="15" hidden="false" customHeight="true" outlineLevel="0" collapsed="false">
      <c r="A19" s="20"/>
      <c r="B19" s="20"/>
      <c r="C19" s="20"/>
      <c r="D19" s="20"/>
      <c r="E19" s="20"/>
      <c r="F19" s="30"/>
      <c r="G19" s="20"/>
      <c r="H19" s="20"/>
    </row>
    <row r="20" customFormat="false" ht="15" hidden="false" customHeight="true" outlineLevel="0" collapsed="false">
      <c r="A20" s="20"/>
      <c r="B20" s="20"/>
      <c r="C20" s="20"/>
      <c r="D20" s="20"/>
      <c r="E20" s="20"/>
      <c r="F20" s="30"/>
      <c r="G20" s="20"/>
      <c r="H20" s="20"/>
    </row>
    <row r="21" customFormat="false" ht="15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</row>
    <row r="22" customFormat="false" ht="15" hidden="false" customHeight="true" outlineLevel="0" collapsed="false">
      <c r="A22" s="20"/>
      <c r="B22" s="20"/>
      <c r="C22" s="20"/>
      <c r="D22" s="20"/>
      <c r="E22" s="20"/>
      <c r="F22" s="30"/>
      <c r="G22" s="20"/>
      <c r="H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30"/>
      <c r="G23" s="20"/>
      <c r="H23" s="20"/>
    </row>
    <row r="24" customFormat="false" ht="15" hidden="false" customHeight="true" outlineLevel="0" collapsed="false">
      <c r="A24" s="20"/>
      <c r="B24" s="20"/>
      <c r="C24" s="20"/>
      <c r="D24" s="20"/>
      <c r="E24" s="20"/>
      <c r="F24" s="30"/>
      <c r="G24" s="20"/>
      <c r="H24" s="20"/>
    </row>
    <row r="25" customFormat="false" ht="15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30"/>
      <c r="G26" s="20"/>
      <c r="H2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" min="2" style="9" width="2"/>
    <col collapsed="false" customWidth="true" hidden="false" outlineLevel="0" max="3" min="3" style="9" width="11"/>
    <col collapsed="false" customWidth="true" hidden="false" outlineLevel="0" max="5" min="4" style="9" width="7"/>
    <col collapsed="false" customWidth="true" hidden="false" outlineLevel="0" max="6" min="6" style="9" width="11"/>
    <col collapsed="false" customWidth="true" hidden="false" outlineLevel="0" max="8" min="7" style="9" width="7"/>
    <col collapsed="false" customWidth="true" hidden="false" outlineLevel="0" max="9" min="9" style="9" width="11"/>
    <col collapsed="false" customWidth="true" hidden="false" outlineLevel="0" max="10" min="10" style="9" width="7"/>
  </cols>
  <sheetData>
    <row r="1" customFormat="false" ht="15" hidden="false" customHeight="true" outlineLevel="0" collapsed="false">
      <c r="A1" s="19" t="s">
        <v>121</v>
      </c>
    </row>
    <row r="2" customFormat="false" ht="15" hidden="false" customHeight="true" outlineLevel="0" collapsed="false">
      <c r="A2" s="19" t="s">
        <v>156</v>
      </c>
    </row>
    <row r="3" customFormat="false" ht="15" hidden="false" customHeight="true" outlineLevel="0" collapsed="false">
      <c r="A3" s="19" t="s">
        <v>157</v>
      </c>
    </row>
    <row r="5" customFormat="false" ht="15" hidden="false" customHeight="true" outlineLevel="0" collapsed="false">
      <c r="C5" s="35" t="s">
        <v>148</v>
      </c>
      <c r="D5" s="35"/>
      <c r="E5" s="36"/>
      <c r="F5" s="35" t="s">
        <v>147</v>
      </c>
      <c r="G5" s="35"/>
      <c r="H5" s="36"/>
      <c r="I5" s="35" t="s">
        <v>158</v>
      </c>
      <c r="J5" s="35"/>
    </row>
    <row r="6" customFormat="false" ht="15" hidden="false" customHeight="true" outlineLevel="0" collapsed="false">
      <c r="C6" s="37" t="s">
        <v>159</v>
      </c>
      <c r="D6" s="37"/>
      <c r="E6" s="38"/>
      <c r="F6" s="37" t="s">
        <v>159</v>
      </c>
      <c r="G6" s="37"/>
      <c r="H6" s="38"/>
      <c r="I6" s="37" t="s">
        <v>159</v>
      </c>
      <c r="J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/>
      <c r="F7" s="36" t="s">
        <v>160</v>
      </c>
      <c r="G7" s="36" t="s">
        <v>161</v>
      </c>
      <c r="H7" s="36"/>
      <c r="I7" s="36" t="s">
        <v>160</v>
      </c>
      <c r="J7" s="36" t="s">
        <v>161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'Vessel Budget'!$AB$12</f>
        <v>248668</v>
      </c>
      <c r="D12" s="39" t="n">
        <f aca="false">IFERROR(C12/C$20,0)</f>
        <v>0.5992</v>
      </c>
      <c r="F12" s="28" t="n">
        <f aca="false">'LW Budget'!$AB$12</f>
        <v>135366.3</v>
      </c>
      <c r="G12" s="39" t="n">
        <f aca="false">IFERROR(F12/F$20,0)</f>
        <v>0.373823447116993</v>
      </c>
      <c r="I12" s="28" t="n">
        <f aca="false">C12+F12</f>
        <v>384034.3</v>
      </c>
      <c r="J12" s="39" t="n">
        <f aca="false">IFERROR(I12/I$20,0)</f>
        <v>0.494180819950851</v>
      </c>
    </row>
    <row r="13" customFormat="false" ht="15" hidden="false" customHeight="true" outlineLevel="0" collapsed="false">
      <c r="A13" s="27" t="s">
        <v>164</v>
      </c>
      <c r="C13" s="28" t="n">
        <f aca="false">'Vessel Budget'!$AB$13</f>
        <v>27965.4189810624</v>
      </c>
      <c r="D13" s="39" t="n">
        <f aca="false">IFERROR(C13/C$20,0)</f>
        <v>0.0673865517615961</v>
      </c>
      <c r="F13" s="28" t="n">
        <f aca="false">'LW Budget'!$AB$13</f>
        <v>168766.62</v>
      </c>
      <c r="G13" s="39" t="n">
        <f aca="false">IFERROR(F13/F$20,0)</f>
        <v>0.466060752540948</v>
      </c>
      <c r="I13" s="28" t="n">
        <f aca="false">C13+F13</f>
        <v>196732.038981062</v>
      </c>
      <c r="J13" s="39" t="n">
        <f aca="false">IFERROR(I13/I$20,0)</f>
        <v>0.253157596428924</v>
      </c>
    </row>
    <row r="14" customFormat="false" ht="15" hidden="false" customHeight="true" outlineLevel="0" collapsed="false">
      <c r="A14" s="27" t="s">
        <v>165</v>
      </c>
      <c r="C14" s="28" t="n">
        <f aca="false">'Vessel Budget'!$AB$14</f>
        <v>47034.4874051007</v>
      </c>
      <c r="D14" s="39" t="n">
        <f aca="false">IFERROR(C14/C$20,0)</f>
        <v>0.113336114229158</v>
      </c>
      <c r="F14" s="28" t="n">
        <f aca="false">'LW Budget'!$AB$14</f>
        <v>7308</v>
      </c>
      <c r="G14" s="39" t="n">
        <f aca="false">IFERROR(F14/F$20,0)</f>
        <v>0.0201815499982713</v>
      </c>
      <c r="I14" s="28" t="n">
        <f aca="false">C14+F14</f>
        <v>54342.4874051007</v>
      </c>
      <c r="J14" s="39" t="n">
        <f aca="false">IFERROR(I14/I$20,0)</f>
        <v>0.0699286886197964</v>
      </c>
    </row>
    <row r="15" customFormat="false" ht="15" hidden="false" customHeight="true" outlineLevel="0" collapsed="false">
      <c r="A15" s="27" t="s">
        <v>166</v>
      </c>
      <c r="C15" s="28" t="n">
        <f aca="false">'Vessel Budget'!$AB$15</f>
        <v>1734.0088592775</v>
      </c>
      <c r="D15" s="39" t="n">
        <f aca="false">IFERROR(C15/C$20,0)</f>
        <v>0.00417833460066867</v>
      </c>
      <c r="F15" s="28" t="n">
        <f aca="false">'LW Budget'!$AB$15</f>
        <v>7380</v>
      </c>
      <c r="G15" s="39" t="n">
        <f aca="false">IFERROR(F15/F$20,0)</f>
        <v>0.0203803830031803</v>
      </c>
      <c r="I15" s="28" t="n">
        <f aca="false">C15+F15</f>
        <v>9114.0088592775</v>
      </c>
      <c r="J15" s="39" t="n">
        <f aca="false">IFERROR(I15/I$20,0)</f>
        <v>0.0117280367173377</v>
      </c>
    </row>
    <row r="16" customFormat="false" ht="15" hidden="false" customHeight="true" outlineLevel="0" collapsed="false">
      <c r="A16" s="27" t="s">
        <v>167</v>
      </c>
      <c r="C16" s="28" t="n">
        <f aca="false">'Vessel Budget'!$AB$16</f>
        <v>6598.08475455939</v>
      </c>
      <c r="D16" s="39" t="n">
        <f aca="false">IFERROR(C16/C$20,0)</f>
        <v>0.0158989994085768</v>
      </c>
      <c r="F16" s="28" t="n">
        <f aca="false">'LW Budget'!$AB$16</f>
        <v>12540</v>
      </c>
      <c r="G16" s="39" t="n">
        <f aca="false">IFERROR(F16/F$20,0)</f>
        <v>0.0346300816883308</v>
      </c>
      <c r="I16" s="28" t="n">
        <f aca="false">C16+F16</f>
        <v>19138.0847545594</v>
      </c>
      <c r="J16" s="39" t="n">
        <f aca="false">IFERROR(I16/I$20,0)</f>
        <v>0.0246271606892849</v>
      </c>
    </row>
    <row r="17" customFormat="false" ht="15" hidden="false" customHeight="true" outlineLevel="0" collapsed="false">
      <c r="A17" s="27" t="s">
        <v>168</v>
      </c>
      <c r="C17" s="28" t="n">
        <f aca="false">'Vessel Budget'!$AB$17</f>
        <v>0</v>
      </c>
      <c r="D17" s="39" t="n">
        <f aca="false">IFERROR(C17/C$20,0)</f>
        <v>0</v>
      </c>
      <c r="F17" s="28" t="n">
        <f aca="false">'LW Budget'!$AB$17</f>
        <v>44924</v>
      </c>
      <c r="G17" s="39" t="n">
        <f aca="false">IFERROR(F17/F$20,0)</f>
        <v>0.124060748785213</v>
      </c>
      <c r="I17" s="28" t="n">
        <f aca="false">C17+F17</f>
        <v>44924</v>
      </c>
      <c r="J17" s="39" t="n">
        <f aca="false">IFERROR(I17/I$20,0)</f>
        <v>0.0578088445627696</v>
      </c>
    </row>
    <row r="18" customFormat="false" ht="15" hidden="false" customHeight="true" outlineLevel="0" collapsed="false">
      <c r="A18" s="27" t="s">
        <v>169</v>
      </c>
      <c r="C18" s="28" t="n">
        <f aca="false">'Vessel Budget'!$AB$18</f>
        <v>83000</v>
      </c>
      <c r="D18" s="39" t="n">
        <f aca="false">IFERROR(C18/C$20,0)</f>
        <v>0.2</v>
      </c>
      <c r="F18" s="28" t="n">
        <f aca="false">'LW Budget'!$AB$18</f>
        <v>4080</v>
      </c>
      <c r="G18" s="39" t="n">
        <f aca="false">IFERROR(F18/F$20,0)</f>
        <v>0.0112672036115143</v>
      </c>
      <c r="I18" s="28" t="n">
        <f aca="false">C18+F18</f>
        <v>87080</v>
      </c>
      <c r="J18" s="39" t="n">
        <f aca="false">IFERROR(I18/I$20,0)</f>
        <v>0.112055787207862</v>
      </c>
    </row>
    <row r="19" customFormat="false" ht="15" hidden="false" customHeight="true" outlineLevel="0" collapsed="false">
      <c r="A19" s="27" t="s">
        <v>170</v>
      </c>
      <c r="C19" s="28" t="n">
        <f aca="false">'Vessel Budget'!$AB$19</f>
        <v>0</v>
      </c>
      <c r="D19" s="39" t="n">
        <f aca="false">IFERROR(C19/C$20,0)</f>
        <v>0</v>
      </c>
      <c r="F19" s="28" t="n">
        <f aca="false">'LW Budget'!$AB$19</f>
        <v>-18252</v>
      </c>
      <c r="G19" s="39" t="n">
        <f aca="false">IFERROR(F19/F$20,0)</f>
        <v>-0.0504041667444509</v>
      </c>
      <c r="I19" s="28" t="n">
        <f aca="false">C19+F19</f>
        <v>-18252</v>
      </c>
      <c r="J19" s="39" t="n">
        <f aca="false">IFERROR(I19/I$20,0)</f>
        <v>-0.0234869341768247</v>
      </c>
    </row>
    <row r="20" customFormat="false" ht="15" hidden="false" customHeight="true" outlineLevel="0" collapsed="false">
      <c r="A20" s="31" t="s">
        <v>128</v>
      </c>
      <c r="C20" s="32" t="n">
        <f aca="false">'Vessel Budget'!$AB$20</f>
        <v>415000</v>
      </c>
      <c r="D20" s="40" t="n">
        <f aca="false">IFERROR(C20/C$20,0)</f>
        <v>1</v>
      </c>
      <c r="F20" s="32" t="n">
        <f aca="false">'LW Budget'!$AB$20</f>
        <v>362112.92</v>
      </c>
      <c r="G20" s="40" t="n">
        <f aca="false">IFERROR(F20/F$20,0)</f>
        <v>1</v>
      </c>
      <c r="I20" s="32" t="n">
        <f aca="false">C20+F20</f>
        <v>777112.92</v>
      </c>
      <c r="J20" s="40" t="n">
        <f aca="false">IFERROR(I20/I$20,0)</f>
        <v>1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'Vessel Budget'!$AB$23</f>
        <v>149200.8</v>
      </c>
      <c r="D23" s="39" t="n">
        <f aca="false">IFERROR(C23/C$12,0)</f>
        <v>0.6</v>
      </c>
      <c r="F23" s="28" t="n">
        <f aca="false">'LW Budget'!$AB$23</f>
        <v>71928</v>
      </c>
      <c r="G23" s="39" t="n">
        <f aca="false">IFERROR(F23/F$12,0)</f>
        <v>0.531358247953885</v>
      </c>
      <c r="I23" s="28" t="n">
        <f aca="false">C23+F23</f>
        <v>221128.8</v>
      </c>
      <c r="J23" s="39" t="n">
        <f aca="false">IFERROR(I23/I$12,0)</f>
        <v>0.575804817434276</v>
      </c>
    </row>
    <row r="24" customFormat="false" ht="15" hidden="false" customHeight="true" outlineLevel="0" collapsed="false">
      <c r="A24" s="27" t="s">
        <v>173</v>
      </c>
      <c r="C24" s="28" t="n">
        <f aca="false">'Vessel Budget'!$AB$24</f>
        <v>6991.3547452656</v>
      </c>
      <c r="D24" s="39" t="n">
        <f aca="false">IFERROR(C24/C$13,0)</f>
        <v>0.25</v>
      </c>
      <c r="F24" s="28" t="n">
        <f aca="false">'LW Budget'!$AB$24</f>
        <v>33996</v>
      </c>
      <c r="G24" s="39" t="n">
        <f aca="false">IFERROR(F24/F$13,0)</f>
        <v>0.201437938379047</v>
      </c>
      <c r="I24" s="28" t="n">
        <f aca="false">C24+F24</f>
        <v>40987.3547452656</v>
      </c>
      <c r="J24" s="39" t="n">
        <f aca="false">IFERROR(I24/I$13,0)</f>
        <v>0.208341025475831</v>
      </c>
    </row>
    <row r="25" customFormat="false" ht="15" hidden="false" customHeight="true" outlineLevel="0" collapsed="false">
      <c r="A25" s="27" t="s">
        <v>174</v>
      </c>
      <c r="C25" s="28" t="n">
        <f aca="false">'Vessel Budget'!$AB$25</f>
        <v>11758.6218512752</v>
      </c>
      <c r="D25" s="39" t="n">
        <f aca="false">IFERROR(C25/C$14,0)</f>
        <v>0.25</v>
      </c>
      <c r="F25" s="28" t="n">
        <f aca="false">'LW Budget'!$AB$25</f>
        <v>948</v>
      </c>
      <c r="G25" s="39" t="n">
        <f aca="false">IFERROR(F25/F$14,0)</f>
        <v>0.129720853858785</v>
      </c>
      <c r="I25" s="28" t="n">
        <f aca="false">C25+F25</f>
        <v>12706.6218512752</v>
      </c>
      <c r="J25" s="39" t="n">
        <f aca="false">IFERROR(I25/I$14,0)</f>
        <v>0.233824811082948</v>
      </c>
    </row>
    <row r="26" customFormat="false" ht="15" hidden="false" customHeight="true" outlineLevel="0" collapsed="false">
      <c r="A26" s="27" t="s">
        <v>175</v>
      </c>
      <c r="C26" s="28" t="n">
        <f aca="false">'Vessel Budget'!$AB$26</f>
        <v>433.502214819375</v>
      </c>
      <c r="D26" s="39" t="n">
        <f aca="false">IFERROR(C26/C$15,0)</f>
        <v>0.25</v>
      </c>
      <c r="F26" s="28" t="n">
        <f aca="false">'LW Budget'!$AB$26</f>
        <v>2064</v>
      </c>
      <c r="G26" s="39" t="n">
        <f aca="false">IFERROR(F26/F$15,0)</f>
        <v>0.279674796747967</v>
      </c>
      <c r="I26" s="28" t="n">
        <f aca="false">C26+F26</f>
        <v>2497.50221481938</v>
      </c>
      <c r="J26" s="39" t="n">
        <f aca="false">IFERROR(I26/I$15,0)</f>
        <v>0.274028943067909</v>
      </c>
    </row>
    <row r="27" customFormat="false" ht="15" hidden="false" customHeight="true" outlineLevel="0" collapsed="false">
      <c r="A27" s="27" t="s">
        <v>176</v>
      </c>
      <c r="C27" s="28" t="n">
        <f aca="false">'Vessel Budget'!$AB$27</f>
        <v>1649.52118863985</v>
      </c>
      <c r="D27" s="39" t="n">
        <f aca="false">IFERROR(C27/C$16,0)</f>
        <v>0.25</v>
      </c>
      <c r="F27" s="28" t="n">
        <f aca="false">'LW Budget'!$AB$27</f>
        <v>4476</v>
      </c>
      <c r="G27" s="39" t="n">
        <f aca="false">IFERROR(F27/F$16,0)</f>
        <v>0.356937799043062</v>
      </c>
      <c r="I27" s="28" t="n">
        <f aca="false">C27+F27</f>
        <v>6125.52118863985</v>
      </c>
      <c r="J27" s="39" t="n">
        <f aca="false">IFERROR(I27/I$16,0)</f>
        <v>0.320069707454949</v>
      </c>
    </row>
    <row r="28" customFormat="false" ht="15" hidden="false" customHeight="true" outlineLevel="0" collapsed="false">
      <c r="A28" s="27" t="s">
        <v>177</v>
      </c>
      <c r="C28" s="28" t="n">
        <f aca="false">'Vessel Budget'!$AB$28</f>
        <v>0</v>
      </c>
      <c r="D28" s="39" t="n">
        <f aca="false">IFERROR(C28/C$17,0)</f>
        <v>0</v>
      </c>
      <c r="F28" s="28" t="n">
        <f aca="false">'LW Budget'!$AB$28</f>
        <v>21000.11</v>
      </c>
      <c r="G28" s="39" t="n">
        <f aca="false">IFERROR(F28/F$17,0)</f>
        <v>0.467458596741163</v>
      </c>
      <c r="I28" s="28" t="n">
        <f aca="false">C28+F28</f>
        <v>21000.11</v>
      </c>
      <c r="J28" s="39" t="n">
        <f aca="false">IFERROR(I28/I$17,0)</f>
        <v>0.467458596741163</v>
      </c>
    </row>
    <row r="29" customFormat="false" ht="15" hidden="false" customHeight="true" outlineLevel="0" collapsed="false">
      <c r="A29" s="31" t="s">
        <v>129</v>
      </c>
      <c r="C29" s="32" t="n">
        <f aca="false">'Vessel Budget'!$AB$29</f>
        <v>170033.8</v>
      </c>
      <c r="D29" s="40" t="n">
        <f aca="false">IFERROR(C29/C$20,0)</f>
        <v>0.40972</v>
      </c>
      <c r="F29" s="32" t="n">
        <f aca="false">'LW Budget'!$AB$29</f>
        <v>134412.11</v>
      </c>
      <c r="G29" s="40" t="n">
        <f aca="false">IFERROR(F29/F$20,0)</f>
        <v>0.371188385103741</v>
      </c>
      <c r="I29" s="32" t="n">
        <f aca="false">C29+F29</f>
        <v>304445.91</v>
      </c>
      <c r="J29" s="40" t="n">
        <f aca="false">IFERROR(I29/I$20,0)</f>
        <v>0.391765343445841</v>
      </c>
    </row>
    <row r="30" customFormat="false" ht="15" hidden="false" customHeight="true" outlineLevel="0" collapsed="false">
      <c r="A30" s="31" t="s">
        <v>130</v>
      </c>
      <c r="C30" s="41" t="n">
        <f aca="false">'Vessel Budget'!$AB$30</f>
        <v>244966.2</v>
      </c>
      <c r="D30" s="42" t="n">
        <f aca="false">IFERROR(C30/C$20,0)</f>
        <v>0.59028</v>
      </c>
      <c r="F30" s="41" t="n">
        <f aca="false">'LW Budget'!$AB$30</f>
        <v>227700.81</v>
      </c>
      <c r="G30" s="42" t="n">
        <f aca="false">IFERROR(F30/F$20,0)</f>
        <v>0.62881161489626</v>
      </c>
      <c r="I30" s="41" t="n">
        <f aca="false">C30+F30</f>
        <v>472667.01</v>
      </c>
      <c r="J30" s="42" t="n">
        <f aca="false">IFERROR(I30/I$20,0)</f>
        <v>0.60823465655416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'Vessel Budget'!$AB$33</f>
        <v>17230</v>
      </c>
      <c r="D33" s="39" t="n">
        <f aca="false">IFERROR(C33/C$20,0)</f>
        <v>0.0415180722891566</v>
      </c>
      <c r="F33" s="28" t="n">
        <f aca="false">'LW Budget'!$AB$33</f>
        <v>19884</v>
      </c>
      <c r="G33" s="39" t="n">
        <f aca="false">IFERROR(F33/F$20,0)</f>
        <v>0.0549110481890566</v>
      </c>
      <c r="I33" s="28" t="n">
        <f aca="false">C33+F33</f>
        <v>37114</v>
      </c>
      <c r="J33" s="39" t="n">
        <f aca="false">IFERROR(I33/I$20,0)</f>
        <v>0.047758825062386</v>
      </c>
    </row>
    <row r="34" customFormat="false" ht="15" hidden="false" customHeight="true" outlineLevel="0" collapsed="false">
      <c r="A34" s="27" t="s">
        <v>180</v>
      </c>
      <c r="C34" s="28" t="n">
        <f aca="false">'Vessel Budget'!$AB$34</f>
        <v>0</v>
      </c>
      <c r="D34" s="39" t="n">
        <f aca="false">IFERROR(C34/C$20,0)</f>
        <v>0</v>
      </c>
      <c r="F34" s="28" t="n">
        <f aca="false">'LW Budget'!$AB$34</f>
        <v>15392</v>
      </c>
      <c r="G34" s="39" t="n">
        <f aca="false">IFERROR(F34/F$20,0)</f>
        <v>0.0425060779383403</v>
      </c>
      <c r="I34" s="28" t="n">
        <f aca="false">C34+F34</f>
        <v>15392</v>
      </c>
      <c r="J34" s="39" t="n">
        <f aca="false">IFERROR(I34/I$20,0)</f>
        <v>0.0198066453456983</v>
      </c>
    </row>
    <row r="35" customFormat="false" ht="15" hidden="false" customHeight="true" outlineLevel="0" collapsed="false">
      <c r="A35" s="27" t="s">
        <v>181</v>
      </c>
      <c r="C35" s="28" t="n">
        <f aca="false">'Vessel Budget'!$AB$35</f>
        <v>43575</v>
      </c>
      <c r="D35" s="39" t="n">
        <f aca="false">IFERROR(C35/C$20,0)</f>
        <v>0.105</v>
      </c>
      <c r="F35" s="28" t="n">
        <f aca="false">'LW Budget'!$AB$35</f>
        <v>81120</v>
      </c>
      <c r="G35" s="39" t="n">
        <f aca="false">IFERROR(F35/F$20,0)</f>
        <v>0.224018518864226</v>
      </c>
      <c r="I35" s="28" t="n">
        <f aca="false">C35+F35</f>
        <v>124695</v>
      </c>
      <c r="J35" s="39" t="n">
        <f aca="false">IFERROR(I35/I$20,0)</f>
        <v>0.160459306222833</v>
      </c>
    </row>
    <row r="36" customFormat="false" ht="15" hidden="false" customHeight="true" outlineLevel="0" collapsed="false">
      <c r="A36" s="27" t="s">
        <v>182</v>
      </c>
      <c r="C36" s="28" t="n">
        <f aca="false">'Vessel Budget'!$AB$36</f>
        <v>9789.605</v>
      </c>
      <c r="D36" s="39" t="n">
        <f aca="false">IFERROR(C36/C$20,0)</f>
        <v>0.0235894096385542</v>
      </c>
      <c r="F36" s="28" t="n">
        <f aca="false">'LW Budget'!$AB$36</f>
        <v>18623.36</v>
      </c>
      <c r="G36" s="39" t="n">
        <f aca="false">IFERROR(F36/F$20,0)</f>
        <v>0.0514297031986597</v>
      </c>
      <c r="I36" s="28" t="n">
        <f aca="false">C36+F36</f>
        <v>28412.965</v>
      </c>
      <c r="J36" s="39" t="n">
        <f aca="false">IFERROR(I36/I$20,0)</f>
        <v>0.0365622090030365</v>
      </c>
    </row>
    <row r="37" customFormat="false" ht="15" hidden="false" customHeight="true" outlineLevel="0" collapsed="false">
      <c r="A37" s="27" t="s">
        <v>183</v>
      </c>
      <c r="C37" s="28" t="n">
        <f aca="false">'Vessel Budget'!$AB$37</f>
        <v>0</v>
      </c>
      <c r="D37" s="39" t="n">
        <f aca="false">IFERROR(C37/C$20,0)</f>
        <v>0</v>
      </c>
      <c r="F37" s="28" t="n">
        <f aca="false">'LW Budget'!$AB$37</f>
        <v>0</v>
      </c>
      <c r="G37" s="39" t="n">
        <f aca="false">IFERROR(F37/F$20,0)</f>
        <v>0</v>
      </c>
      <c r="I37" s="28" t="n">
        <f aca="false">C37+F37</f>
        <v>0</v>
      </c>
      <c r="J37" s="39" t="n">
        <f aca="false">IFERROR(I37/I$20,0)</f>
        <v>0</v>
      </c>
    </row>
    <row r="38" customFormat="false" ht="15" hidden="false" customHeight="true" outlineLevel="0" collapsed="false">
      <c r="A38" s="31" t="s">
        <v>131</v>
      </c>
      <c r="C38" s="32" t="n">
        <f aca="false">'Vessel Budget'!$AB$38</f>
        <v>70594.605</v>
      </c>
      <c r="D38" s="40" t="n">
        <f aca="false">IFERROR(C38/C$20,0)</f>
        <v>0.170107481927711</v>
      </c>
      <c r="F38" s="32" t="n">
        <f aca="false">'LW Budget'!$AB$38</f>
        <v>135019.36</v>
      </c>
      <c r="G38" s="40" t="n">
        <f aca="false">IFERROR(F38/F$20,0)</f>
        <v>0.372865348190283</v>
      </c>
      <c r="I38" s="32" t="n">
        <f aca="false">C38+F38</f>
        <v>205613.965</v>
      </c>
      <c r="J38" s="40" t="n">
        <f aca="false">IFERROR(I38/I$20,0)</f>
        <v>0.264586985633954</v>
      </c>
    </row>
    <row r="40" customFormat="false" ht="15" hidden="false" customHeight="true" outlineLevel="0" collapsed="false">
      <c r="A40" s="31" t="s">
        <v>184</v>
      </c>
      <c r="C40" s="41" t="n">
        <f aca="false">'Vessel Budget'!$AB$40</f>
        <v>240628.405</v>
      </c>
      <c r="D40" s="42" t="n">
        <f aca="false">IFERROR(C40/C$20,0)</f>
        <v>0.579827481927711</v>
      </c>
      <c r="F40" s="41" t="n">
        <f aca="false">'LW Budget'!$AB$40</f>
        <v>269431.47</v>
      </c>
      <c r="G40" s="42" t="n">
        <f aca="false">IFERROR(F40/F$20,0)</f>
        <v>0.744053733294023</v>
      </c>
      <c r="I40" s="41" t="n">
        <f aca="false">C40+F40</f>
        <v>510059.875</v>
      </c>
      <c r="J40" s="42" t="n">
        <f aca="false">IFERROR(I40/I$20,0)</f>
        <v>0.656352329079795</v>
      </c>
    </row>
    <row r="41" customFormat="false" ht="15" hidden="false" customHeight="true" outlineLevel="0" collapsed="false">
      <c r="A41" s="31" t="s">
        <v>185</v>
      </c>
      <c r="C41" s="41" t="n">
        <f aca="false">'Vessel Budget'!$AB$41</f>
        <v>174371.595</v>
      </c>
      <c r="D41" s="42" t="n">
        <f aca="false">IFERROR(C41/C$20,0)</f>
        <v>0.420172518072289</v>
      </c>
      <c r="F41" s="41" t="n">
        <f aca="false">'LW Budget'!$AB$41</f>
        <v>92681.45</v>
      </c>
      <c r="G41" s="42" t="n">
        <f aca="false">IFERROR(F41/F$20,0)</f>
        <v>0.255946266705977</v>
      </c>
      <c r="I41" s="41" t="n">
        <f aca="false">C41+F41</f>
        <v>267053.045</v>
      </c>
      <c r="J41" s="42" t="n">
        <f aca="false">IFERROR(I41/I$20,0)</f>
        <v>0.343647670920206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187</v>
      </c>
      <c r="C44" s="28" t="n">
        <f aca="false">'Vessel Budget'!$AB$44</f>
        <v>16227</v>
      </c>
      <c r="D44" s="39" t="n">
        <f aca="false">IFERROR(C44/C$20,0)</f>
        <v>0.0391012048192771</v>
      </c>
      <c r="F44" s="28" t="n">
        <f aca="false">'LW Budget'!$AB$44</f>
        <v>49136.123</v>
      </c>
      <c r="G44" s="39" t="n">
        <f aca="false">IFERROR(F44/F$20,0)</f>
        <v>0.135692819245444</v>
      </c>
      <c r="I44" s="28" t="n">
        <f aca="false">C44+F44</f>
        <v>65363.123</v>
      </c>
      <c r="J44" s="39" t="n">
        <f aca="false">IFERROR(I44/I$20,0)</f>
        <v>0.084110199840713</v>
      </c>
    </row>
    <row r="45" customFormat="false" ht="15" hidden="false" customHeight="true" outlineLevel="0" collapsed="false">
      <c r="A45" s="27" t="s">
        <v>188</v>
      </c>
      <c r="C45" s="28" t="n">
        <f aca="false">'Vessel Budget'!$AB$45</f>
        <v>11483</v>
      </c>
      <c r="D45" s="39" t="n">
        <f aca="false">IFERROR(C45/C$20,0)</f>
        <v>0.0276698795180723</v>
      </c>
      <c r="F45" s="28" t="n">
        <f aca="false">'LW Budget'!$AB$45</f>
        <v>0</v>
      </c>
      <c r="G45" s="39" t="n">
        <f aca="false">IFERROR(F45/F$20,0)</f>
        <v>0</v>
      </c>
      <c r="I45" s="28" t="n">
        <f aca="false">C45+F45</f>
        <v>11483</v>
      </c>
      <c r="J45" s="39" t="n">
        <f aca="false">IFERROR(I45/I$20,0)</f>
        <v>0.0147764883384</v>
      </c>
    </row>
    <row r="46" customFormat="false" ht="15" hidden="false" customHeight="true" outlineLevel="0" collapsed="false">
      <c r="A46" s="27" t="s">
        <v>189</v>
      </c>
      <c r="C46" s="28" t="n">
        <f aca="false">'Vessel Budget'!$AB$46</f>
        <v>10539</v>
      </c>
      <c r="D46" s="39" t="n">
        <f aca="false">IFERROR(C46/C$20,0)</f>
        <v>0.0253951807228916</v>
      </c>
      <c r="F46" s="28" t="n">
        <f aca="false">'LW Budget'!$AB$46</f>
        <v>7536</v>
      </c>
      <c r="G46" s="39" t="n">
        <f aca="false">IFERROR(F46/F$20,0)</f>
        <v>0.02081118784715</v>
      </c>
      <c r="I46" s="28" t="n">
        <f aca="false">C46+F46</f>
        <v>18075</v>
      </c>
      <c r="J46" s="39" t="n">
        <f aca="false">IFERROR(I46/I$20,0)</f>
        <v>0.0232591680498633</v>
      </c>
    </row>
    <row r="47" customFormat="false" ht="15" hidden="false" customHeight="true" outlineLevel="0" collapsed="false">
      <c r="A47" s="27" t="s">
        <v>190</v>
      </c>
      <c r="C47" s="28" t="n">
        <f aca="false">'Vessel Budget'!$AB$47</f>
        <v>39980</v>
      </c>
      <c r="D47" s="39" t="n">
        <f aca="false">IFERROR(C47/C$20,0)</f>
        <v>0.0963373493975904</v>
      </c>
      <c r="F47" s="28" t="n">
        <f aca="false">'LW Budget'!$AB$47</f>
        <v>40704</v>
      </c>
      <c r="G47" s="39" t="n">
        <f aca="false">IFERROR(F47/F$20,0)</f>
        <v>0.112406925441931</v>
      </c>
      <c r="I47" s="28" t="n">
        <f aca="false">C47+F47</f>
        <v>80684</v>
      </c>
      <c r="J47" s="39" t="n">
        <f aca="false">IFERROR(I47/I$20,0)</f>
        <v>0.103825323094615</v>
      </c>
    </row>
    <row r="48" customFormat="false" ht="15" hidden="false" customHeight="true" outlineLevel="0" collapsed="false">
      <c r="A48" s="27" t="s">
        <v>191</v>
      </c>
      <c r="C48" s="28" t="n">
        <f aca="false">'Vessel Budget'!$AB$48</f>
        <v>2395</v>
      </c>
      <c r="D48" s="39" t="n">
        <f aca="false">IFERROR(C48/C$20,0)</f>
        <v>0.0057710843373494</v>
      </c>
      <c r="F48" s="28" t="n">
        <f aca="false">'LW Budget'!$AB$48</f>
        <v>876</v>
      </c>
      <c r="G48" s="39" t="n">
        <f aca="false">IFERROR(F48/F$20,0)</f>
        <v>0.00241913489306043</v>
      </c>
      <c r="I48" s="28" t="n">
        <f aca="false">C48+F48</f>
        <v>3271</v>
      </c>
      <c r="J48" s="39" t="n">
        <f aca="false">IFERROR(I48/I$20,0)</f>
        <v>0.00420916949881621</v>
      </c>
    </row>
    <row r="49" customFormat="false" ht="15" hidden="false" customHeight="true" outlineLevel="0" collapsed="false">
      <c r="A49" s="27" t="s">
        <v>192</v>
      </c>
      <c r="C49" s="28" t="n">
        <f aca="false">'Vessel Budget'!$AB$49</f>
        <v>10375</v>
      </c>
      <c r="D49" s="39" t="n">
        <f aca="false">IFERROR(C49/C$20,0)</f>
        <v>0.025</v>
      </c>
      <c r="F49" s="28" t="n">
        <f aca="false">'LW Budget'!$AB$49</f>
        <v>0</v>
      </c>
      <c r="G49" s="39" t="n">
        <f aca="false">IFERROR(F49/F$20,0)</f>
        <v>0</v>
      </c>
      <c r="I49" s="28" t="n">
        <f aca="false">C49+F49</f>
        <v>10375</v>
      </c>
      <c r="J49" s="39" t="n">
        <f aca="false">IFERROR(I49/I$20,0)</f>
        <v>0.0133506981199077</v>
      </c>
    </row>
    <row r="50" customFormat="false" ht="15" hidden="false" customHeight="true" outlineLevel="0" collapsed="false">
      <c r="A50" s="31" t="s">
        <v>193</v>
      </c>
      <c r="C50" s="32" t="n">
        <f aca="false">'Vessel Budget'!$AB$50</f>
        <v>90999</v>
      </c>
      <c r="D50" s="40" t="n">
        <f aca="false">IFERROR(C50/C$20,0)</f>
        <v>0.219274698795181</v>
      </c>
      <c r="F50" s="32" t="n">
        <f aca="false">'LW Budget'!$AB$50</f>
        <v>98252.123</v>
      </c>
      <c r="G50" s="40" t="n">
        <f aca="false">IFERROR(F50/F$20,0)</f>
        <v>0.271330067427586</v>
      </c>
      <c r="I50" s="32" t="n">
        <f aca="false">C50+F50</f>
        <v>189251.123</v>
      </c>
      <c r="J50" s="40" t="n">
        <f aca="false">IFERROR(I50/I$20,0)</f>
        <v>0.243531046942316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f aca="false">'Vessel Budget'!$AB$53</f>
        <v>5687</v>
      </c>
      <c r="D53" s="39" t="n">
        <f aca="false">IFERROR(C53/C$20,0)</f>
        <v>0.0137036144578313</v>
      </c>
      <c r="F53" s="28" t="n">
        <f aca="false">'LW Budget'!$AB$53</f>
        <v>2988</v>
      </c>
      <c r="G53" s="39" t="n">
        <f aca="false">IFERROR(F53/F$20,0)</f>
        <v>0.00825156970372667</v>
      </c>
      <c r="I53" s="28" t="n">
        <f aca="false">C53+F53</f>
        <v>8675</v>
      </c>
      <c r="J53" s="39" t="n">
        <f aca="false">IFERROR(I53/I$20,0)</f>
        <v>0.0111631138496578</v>
      </c>
    </row>
    <row r="54" customFormat="false" ht="15" hidden="false" customHeight="true" outlineLevel="0" collapsed="false">
      <c r="A54" s="27" t="s">
        <v>196</v>
      </c>
      <c r="C54" s="28" t="n">
        <f aca="false">'Vessel Budget'!$AB$54</f>
        <v>0</v>
      </c>
      <c r="D54" s="39" t="n">
        <f aca="false">IFERROR(C54/C$20,0)</f>
        <v>0</v>
      </c>
      <c r="F54" s="28" t="n">
        <f aca="false">'LW Budget'!$AB$54</f>
        <v>0</v>
      </c>
      <c r="G54" s="39" t="n">
        <f aca="false">IFERROR(F54/F$20,0)</f>
        <v>0</v>
      </c>
      <c r="I54" s="28" t="n">
        <f aca="false">C54+F54</f>
        <v>0</v>
      </c>
      <c r="J54" s="39" t="n">
        <f aca="false">IFERROR(I54/I$20,0)</f>
        <v>0</v>
      </c>
    </row>
    <row r="55" customFormat="false" ht="15" hidden="false" customHeight="true" outlineLevel="0" collapsed="false">
      <c r="A55" s="27" t="s">
        <v>197</v>
      </c>
      <c r="C55" s="28" t="n">
        <f aca="false">'Vessel Budget'!$AB$55</f>
        <v>6858</v>
      </c>
      <c r="D55" s="39" t="n">
        <f aca="false">IFERROR(C55/C$20,0)</f>
        <v>0.0165253012048193</v>
      </c>
      <c r="F55" s="28" t="n">
        <f aca="false">'LW Budget'!$AB$55</f>
        <v>19416</v>
      </c>
      <c r="G55" s="39" t="n">
        <f aca="false">IFERROR(F55/F$20,0)</f>
        <v>0.0536186336571476</v>
      </c>
      <c r="I55" s="28" t="n">
        <f aca="false">C55+F55</f>
        <v>26274</v>
      </c>
      <c r="J55" s="39" t="n">
        <f aca="false">IFERROR(I55/I$20,0)</f>
        <v>0.0338097583038511</v>
      </c>
    </row>
    <row r="56" customFormat="false" ht="15" hidden="false" customHeight="true" outlineLevel="0" collapsed="false">
      <c r="A56" s="27" t="s">
        <v>133</v>
      </c>
      <c r="C56" s="28" t="n">
        <f aca="false">'Vessel Budget'!$AB$56</f>
        <v>16600</v>
      </c>
      <c r="D56" s="39" t="n">
        <f aca="false">IFERROR(C56/C$20,0)</f>
        <v>0.04</v>
      </c>
      <c r="F56" s="28" t="n">
        <f aca="false">'LW Budget'!$AB$56</f>
        <v>14484.5168</v>
      </c>
      <c r="G56" s="39" t="n">
        <f aca="false">IFERROR(F56/F$20,0)</f>
        <v>0.04</v>
      </c>
      <c r="I56" s="28" t="n">
        <f aca="false">C56+F56</f>
        <v>31084.5168</v>
      </c>
      <c r="J56" s="39" t="n">
        <f aca="false">IFERROR(I56/I$20,0)</f>
        <v>0.04</v>
      </c>
    </row>
    <row r="57" customFormat="false" ht="15" hidden="false" customHeight="true" outlineLevel="0" collapsed="false">
      <c r="A57" s="27" t="s">
        <v>198</v>
      </c>
      <c r="C57" s="28" t="n">
        <f aca="false">'Vessel Budget'!$AB$57</f>
        <v>0</v>
      </c>
      <c r="D57" s="39" t="n">
        <f aca="false">IFERROR(C57/C$20,0)</f>
        <v>0</v>
      </c>
      <c r="F57" s="28" t="n">
        <f aca="false">'LW Budget'!$AB$57</f>
        <v>0</v>
      </c>
      <c r="G57" s="39" t="n">
        <f aca="false">IFERROR(F57/F$20,0)</f>
        <v>0</v>
      </c>
      <c r="I57" s="28" t="n">
        <f aca="false">C57+F57</f>
        <v>0</v>
      </c>
      <c r="J57" s="39" t="n">
        <f aca="false">IFERROR(I57/I$20,0)</f>
        <v>0</v>
      </c>
    </row>
    <row r="58" customFormat="false" ht="15" hidden="false" customHeight="true" outlineLevel="0" collapsed="false">
      <c r="A58" s="27" t="s">
        <v>199</v>
      </c>
      <c r="C58" s="28" t="n">
        <f aca="false">'Vessel Budget'!$AB$58</f>
        <v>0</v>
      </c>
      <c r="D58" s="39" t="n">
        <f aca="false">IFERROR(C58/C$20,0)</f>
        <v>0</v>
      </c>
      <c r="F58" s="28" t="n">
        <f aca="false">'LW Budget'!$AB$58</f>
        <v>0</v>
      </c>
      <c r="G58" s="39" t="n">
        <f aca="false">IFERROR(F58/F$20,0)</f>
        <v>0</v>
      </c>
      <c r="I58" s="28" t="n">
        <f aca="false">C58+F58</f>
        <v>0</v>
      </c>
      <c r="J58" s="39" t="n">
        <f aca="false">IFERROR(I58/I$20,0)</f>
        <v>0</v>
      </c>
    </row>
    <row r="59" customFormat="false" ht="15" hidden="false" customHeight="true" outlineLevel="0" collapsed="false">
      <c r="A59" s="27" t="s">
        <v>200</v>
      </c>
      <c r="C59" s="28" t="n">
        <f aca="false">'Vessel Budget'!$AB$59</f>
        <v>0</v>
      </c>
      <c r="D59" s="39" t="n">
        <f aca="false">IFERROR(C59/C$20,0)</f>
        <v>0</v>
      </c>
      <c r="F59" s="28" t="n">
        <f aca="false">'LW Budget'!$AB$59</f>
        <v>0</v>
      </c>
      <c r="G59" s="39" t="n">
        <f aca="false">IFERROR(F59/F$20,0)</f>
        <v>0</v>
      </c>
      <c r="I59" s="28" t="n">
        <f aca="false">C59+F59</f>
        <v>0</v>
      </c>
      <c r="J59" s="39" t="n">
        <f aca="false">IFERROR(I59/I$20,0)</f>
        <v>0</v>
      </c>
    </row>
    <row r="60" customFormat="false" ht="15" hidden="false" customHeight="true" outlineLevel="0" collapsed="false">
      <c r="A60" s="31" t="s">
        <v>201</v>
      </c>
      <c r="C60" s="32" t="n">
        <f aca="false">'Vessel Budget'!$AB$60</f>
        <v>29145</v>
      </c>
      <c r="D60" s="40" t="n">
        <f aca="false">IFERROR(C60/C$20,0)</f>
        <v>0.0702289156626506</v>
      </c>
      <c r="F60" s="32" t="n">
        <f aca="false">'LW Budget'!$AB$60</f>
        <v>36888.5168</v>
      </c>
      <c r="G60" s="40" t="n">
        <f aca="false">IFERROR(F60/F$20,0)</f>
        <v>0.101870203360874</v>
      </c>
      <c r="I60" s="32" t="n">
        <f aca="false">C60+F60</f>
        <v>66033.5168</v>
      </c>
      <c r="J60" s="40" t="n">
        <f aca="false">IFERROR(I60/I$20,0)</f>
        <v>0.0849728721535089</v>
      </c>
    </row>
    <row r="62" customFormat="false" ht="15" hidden="false" customHeight="true" outlineLevel="0" collapsed="false">
      <c r="A62" s="31" t="s">
        <v>202</v>
      </c>
      <c r="C62" s="32" t="n">
        <f aca="false">'Vessel Budget'!$AB$62</f>
        <v>54227.595</v>
      </c>
      <c r="D62" s="40" t="n">
        <f aca="false">IFERROR(C62/C$20,0)</f>
        <v>0.130668903614458</v>
      </c>
      <c r="F62" s="32" t="n">
        <f aca="false">'LW Budget'!$AB$62</f>
        <v>-42459.1898</v>
      </c>
      <c r="G62" s="40" t="n">
        <f aca="false">IFERROR(F62/F$20,0)</f>
        <v>-0.117254004082483</v>
      </c>
      <c r="I62" s="32" t="n">
        <f aca="false">C62+F62</f>
        <v>11768.4052</v>
      </c>
      <c r="J62" s="40" t="n">
        <f aca="false">IFERROR(I62/I$20,0)</f>
        <v>0.0151437518243809</v>
      </c>
    </row>
    <row r="64" customFormat="false" ht="15" hidden="false" customHeight="true" outlineLevel="0" collapsed="false">
      <c r="A64" s="27" t="s">
        <v>203</v>
      </c>
      <c r="C64" s="28" t="n">
        <f aca="false">'Vessel Budget'!$AB$64</f>
        <v>0</v>
      </c>
      <c r="D64" s="39" t="n">
        <f aca="false">IFERROR(C64/C$20,0)</f>
        <v>0</v>
      </c>
      <c r="F64" s="28" t="n">
        <f aca="false">'LW Budget'!$AB$64</f>
        <v>0</v>
      </c>
      <c r="G64" s="39" t="n">
        <f aca="false">IFERROR(F64/F$20,0)</f>
        <v>0</v>
      </c>
      <c r="I64" s="28" t="n">
        <f aca="false">C64+F64</f>
        <v>0</v>
      </c>
      <c r="J64" s="39" t="n">
        <f aca="false">IFERROR(I64/I$20,0)</f>
        <v>0</v>
      </c>
    </row>
    <row r="66" customFormat="false" ht="15" hidden="false" customHeight="true" outlineLevel="0" collapsed="false">
      <c r="A66" s="31" t="s">
        <v>204</v>
      </c>
      <c r="C66" s="41" t="n">
        <f aca="false">'Vessel Budget'!$AB$66</f>
        <v>54227.595</v>
      </c>
      <c r="D66" s="42" t="n">
        <f aca="false">IFERROR(C66/C$20,0)</f>
        <v>0.130668903614458</v>
      </c>
      <c r="F66" s="41" t="n">
        <f aca="false">'LW Budget'!$AB$66</f>
        <v>-42459.1898</v>
      </c>
      <c r="G66" s="42" t="n">
        <f aca="false">IFERROR(F66/F$20,0)</f>
        <v>-0.117254004082483</v>
      </c>
      <c r="I66" s="41" t="n">
        <f aca="false">C66+F66</f>
        <v>11768.4052</v>
      </c>
      <c r="J66" s="42" t="n">
        <f aca="false">IFERROR(I66/I$20,0)</f>
        <v>0.0151437518243809</v>
      </c>
    </row>
    <row r="68" customFormat="false" ht="15" hidden="false" customHeight="true" outlineLevel="0" collapsed="false">
      <c r="A68" s="27" t="s">
        <v>205</v>
      </c>
      <c r="C68" s="28" t="n">
        <f aca="false">'Vessel Budget'!$AB$68</f>
        <v>0</v>
      </c>
      <c r="D68" s="39" t="n">
        <f aca="false">IFERROR(C68/C$20,0)</f>
        <v>0</v>
      </c>
      <c r="F68" s="28" t="n">
        <f aca="false">'LW Budget'!$AB$68</f>
        <v>0</v>
      </c>
      <c r="G68" s="39" t="n">
        <f aca="false">IFERROR(F68/F$20,0)</f>
        <v>0</v>
      </c>
      <c r="I68" s="28" t="n">
        <f aca="false">C68+F68</f>
        <v>0</v>
      </c>
      <c r="J68" s="39" t="n">
        <f aca="false">IFERROR(I68/I$20,0)</f>
        <v>0</v>
      </c>
    </row>
    <row r="69" customFormat="false" ht="15" hidden="false" customHeight="true" outlineLevel="0" collapsed="false">
      <c r="A69" s="27" t="s">
        <v>206</v>
      </c>
      <c r="C69" s="28" t="n">
        <f aca="false">'Vessel Budget'!$AB$69</f>
        <v>0</v>
      </c>
      <c r="D69" s="39" t="n">
        <f aca="false">IFERROR(C69/C$20,0)</f>
        <v>0</v>
      </c>
      <c r="F69" s="28" t="n">
        <f aca="false">'LW Budget'!$AB$69</f>
        <v>2988</v>
      </c>
      <c r="G69" s="39" t="n">
        <f aca="false">IFERROR(F69/F$20,0)</f>
        <v>0.00825156970372667</v>
      </c>
      <c r="I69" s="28" t="n">
        <f aca="false">C69+F69</f>
        <v>2988</v>
      </c>
      <c r="J69" s="39" t="n">
        <f aca="false">IFERROR(I69/I$20,0)</f>
        <v>0.00384500105853342</v>
      </c>
    </row>
    <row r="70" customFormat="false" ht="15" hidden="false" customHeight="true" outlineLevel="0" collapsed="false">
      <c r="A70" s="31" t="s">
        <v>207</v>
      </c>
      <c r="C70" s="43" t="n">
        <f aca="false">'Vessel Budget'!$AB$70</f>
        <v>54227.595</v>
      </c>
      <c r="D70" s="44" t="n">
        <f aca="false">IFERROR(C70/C$20,0)</f>
        <v>0.130668903614458</v>
      </c>
      <c r="F70" s="43" t="n">
        <f aca="false">'LW Budget'!$AB$70</f>
        <v>-45447.1898</v>
      </c>
      <c r="G70" s="44" t="n">
        <f aca="false">IFERROR(F70/F$20,0)</f>
        <v>-0.12550557378621</v>
      </c>
      <c r="I70" s="43" t="n">
        <f aca="false">C70+F70</f>
        <v>8780.40519999997</v>
      </c>
      <c r="J70" s="44" t="n">
        <f aca="false">IFERROR(I70/I$20,0)</f>
        <v>0.0112987507658475</v>
      </c>
    </row>
    <row r="74" customFormat="false" ht="15" hidden="false" customHeight="true" outlineLevel="0" collapsed="false">
      <c r="A74" s="22" t="s">
        <v>208</v>
      </c>
      <c r="B74" s="45"/>
      <c r="C74" s="45"/>
      <c r="D74" s="45"/>
      <c r="E74" s="45"/>
      <c r="F74" s="45"/>
    </row>
    <row r="75" customFormat="false" ht="15" hidden="false" customHeight="true" outlineLevel="0" collapsed="false">
      <c r="A75" s="31" t="s">
        <v>209</v>
      </c>
      <c r="B75" s="31" t="s">
        <v>148</v>
      </c>
      <c r="C75" s="31" t="s">
        <v>147</v>
      </c>
      <c r="D75" s="31" t="s">
        <v>158</v>
      </c>
      <c r="E75" s="31" t="s">
        <v>210</v>
      </c>
    </row>
    <row r="76" customFormat="false" ht="15" hidden="false" customHeight="true" outlineLevel="0" collapsed="false">
      <c r="A76" s="27" t="s">
        <v>211</v>
      </c>
      <c r="B76" s="28" t="n">
        <f aca="false">'Vessel Budget'!C62</f>
        <v>10737.6641666667</v>
      </c>
      <c r="C76" s="28" t="n">
        <f aca="false">'LW Budget'!C62</f>
        <v>-3538.26581666667</v>
      </c>
      <c r="D76" s="28" t="n">
        <f aca="false">B76+C76</f>
        <v>7199.39835</v>
      </c>
      <c r="E76" s="28" t="n">
        <f aca="false">SUM($D$76:D76)</f>
        <v>7199.39835</v>
      </c>
    </row>
    <row r="77" customFormat="false" ht="15" hidden="false" customHeight="true" outlineLevel="0" collapsed="false">
      <c r="A77" s="27" t="s">
        <v>212</v>
      </c>
      <c r="B77" s="28" t="n">
        <f aca="false">'Vessel Budget'!E62</f>
        <v>-3380.46083333333</v>
      </c>
      <c r="C77" s="28" t="n">
        <f aca="false">'LW Budget'!E62</f>
        <v>-3538.26581666667</v>
      </c>
      <c r="D77" s="28" t="n">
        <f aca="false">B77+C77</f>
        <v>-6918.72665</v>
      </c>
      <c r="E77" s="28" t="n">
        <f aca="false">SUM($D$76:D77)</f>
        <v>280.671700000001</v>
      </c>
    </row>
    <row r="78" customFormat="false" ht="15" hidden="false" customHeight="true" outlineLevel="0" collapsed="false">
      <c r="A78" s="27" t="s">
        <v>213</v>
      </c>
      <c r="B78" s="28" t="n">
        <f aca="false">'Vessel Budget'!G62</f>
        <v>10737.6641666667</v>
      </c>
      <c r="C78" s="28" t="n">
        <f aca="false">'LW Budget'!G62</f>
        <v>-3538.26581666667</v>
      </c>
      <c r="D78" s="28" t="n">
        <f aca="false">B78+C78</f>
        <v>7199.39835</v>
      </c>
      <c r="E78" s="28" t="n">
        <f aca="false">SUM($D$76:D78)</f>
        <v>7480.07005</v>
      </c>
    </row>
    <row r="79" customFormat="false" ht="15" hidden="false" customHeight="true" outlineLevel="0" collapsed="false">
      <c r="A79" s="27" t="s">
        <v>214</v>
      </c>
      <c r="B79" s="28" t="n">
        <f aca="false">'Vessel Budget'!I62</f>
        <v>-3380.46083333333</v>
      </c>
      <c r="C79" s="28" t="n">
        <f aca="false">'LW Budget'!I62</f>
        <v>-3538.26581666667</v>
      </c>
      <c r="D79" s="28" t="n">
        <f aca="false">B79+C79</f>
        <v>-6918.72665</v>
      </c>
      <c r="E79" s="28" t="n">
        <f aca="false">SUM($D$76:D79)</f>
        <v>561.343400000002</v>
      </c>
    </row>
    <row r="80" customFormat="false" ht="15" hidden="false" customHeight="true" outlineLevel="0" collapsed="false">
      <c r="A80" s="27" t="s">
        <v>215</v>
      </c>
      <c r="B80" s="28" t="n">
        <f aca="false">'Vessel Budget'!K62</f>
        <v>6703.91416666667</v>
      </c>
      <c r="C80" s="28" t="n">
        <f aca="false">'LW Budget'!K62</f>
        <v>-3538.26581666667</v>
      </c>
      <c r="D80" s="28" t="n">
        <f aca="false">B80+C80</f>
        <v>3165.64835</v>
      </c>
      <c r="E80" s="28" t="n">
        <f aca="false">SUM($D$76:D80)</f>
        <v>3726.99175</v>
      </c>
    </row>
    <row r="81" customFormat="false" ht="15" hidden="false" customHeight="true" outlineLevel="0" collapsed="false">
      <c r="A81" s="27" t="s">
        <v>216</v>
      </c>
      <c r="B81" s="28" t="n">
        <f aca="false">'Vessel Budget'!M62</f>
        <v>4687.03916666667</v>
      </c>
      <c r="C81" s="28" t="n">
        <f aca="false">'LW Budget'!M62</f>
        <v>-3538.26581666667</v>
      </c>
      <c r="D81" s="28" t="n">
        <f aca="false">B81+C81</f>
        <v>1148.77335</v>
      </c>
      <c r="E81" s="28" t="n">
        <f aca="false">SUM($D$76:D81)</f>
        <v>4875.76510000001</v>
      </c>
    </row>
    <row r="82" customFormat="false" ht="15" hidden="false" customHeight="true" outlineLevel="0" collapsed="false">
      <c r="A82" s="27" t="s">
        <v>217</v>
      </c>
      <c r="B82" s="28" t="n">
        <f aca="false">'Vessel Budget'!O62</f>
        <v>4687.03916666667</v>
      </c>
      <c r="C82" s="28" t="n">
        <f aca="false">'LW Budget'!O62</f>
        <v>-3538.26581666667</v>
      </c>
      <c r="D82" s="28" t="n">
        <f aca="false">B82+C82</f>
        <v>1148.77335</v>
      </c>
      <c r="E82" s="28" t="n">
        <f aca="false">SUM($D$76:D82)</f>
        <v>6024.53845000001</v>
      </c>
    </row>
    <row r="83" customFormat="false" ht="15" hidden="false" customHeight="true" outlineLevel="0" collapsed="false">
      <c r="A83" s="27" t="s">
        <v>218</v>
      </c>
      <c r="B83" s="28" t="n">
        <f aca="false">'Vessel Budget'!Q62</f>
        <v>4687.03916666667</v>
      </c>
      <c r="C83" s="28" t="n">
        <f aca="false">'LW Budget'!Q62</f>
        <v>-3538.26581666667</v>
      </c>
      <c r="D83" s="28" t="n">
        <f aca="false">B83+C83</f>
        <v>1148.77335</v>
      </c>
      <c r="E83" s="28" t="n">
        <f aca="false">SUM($D$76:D83)</f>
        <v>7173.31180000001</v>
      </c>
    </row>
    <row r="84" customFormat="false" ht="15" hidden="false" customHeight="true" outlineLevel="0" collapsed="false">
      <c r="A84" s="27" t="s">
        <v>219</v>
      </c>
      <c r="B84" s="28" t="n">
        <f aca="false">'Vessel Budget'!S62</f>
        <v>4687.03916666667</v>
      </c>
      <c r="C84" s="28" t="n">
        <f aca="false">'LW Budget'!S62</f>
        <v>-3538.26581666667</v>
      </c>
      <c r="D84" s="28" t="n">
        <f aca="false">B84+C84</f>
        <v>1148.77335</v>
      </c>
      <c r="E84" s="28" t="n">
        <f aca="false">SUM($D$76:D84)</f>
        <v>8322.08515000001</v>
      </c>
    </row>
    <row r="85" customFormat="false" ht="15" hidden="false" customHeight="true" outlineLevel="0" collapsed="false">
      <c r="A85" s="27" t="s">
        <v>220</v>
      </c>
      <c r="B85" s="28" t="n">
        <f aca="false">'Vessel Budget'!U62</f>
        <v>4687.03916666667</v>
      </c>
      <c r="C85" s="28" t="n">
        <f aca="false">'LW Budget'!U62</f>
        <v>-3538.26581666667</v>
      </c>
      <c r="D85" s="28" t="n">
        <f aca="false">B85+C85</f>
        <v>1148.77335</v>
      </c>
      <c r="E85" s="28" t="n">
        <f aca="false">SUM($D$76:D85)</f>
        <v>9470.85850000002</v>
      </c>
    </row>
    <row r="86" customFormat="false" ht="15" hidden="false" customHeight="true" outlineLevel="0" collapsed="false">
      <c r="A86" s="27" t="s">
        <v>221</v>
      </c>
      <c r="B86" s="28" t="n">
        <f aca="false">'Vessel Budget'!W62</f>
        <v>4687.03916666667</v>
      </c>
      <c r="C86" s="28" t="n">
        <f aca="false">'LW Budget'!W62</f>
        <v>-3538.26581666667</v>
      </c>
      <c r="D86" s="28" t="n">
        <f aca="false">B86+C86</f>
        <v>1148.77335</v>
      </c>
      <c r="E86" s="28" t="n">
        <f aca="false">SUM($D$76:D86)</f>
        <v>10619.63185</v>
      </c>
    </row>
    <row r="87" customFormat="false" ht="15" hidden="false" customHeight="true" outlineLevel="0" collapsed="false">
      <c r="A87" s="27" t="s">
        <v>222</v>
      </c>
      <c r="B87" s="28" t="n">
        <f aca="false">'Vessel Budget'!Y62</f>
        <v>4687.03916666667</v>
      </c>
      <c r="C87" s="28" t="n">
        <f aca="false">'LW Budget'!Y62</f>
        <v>-3538.26581666667</v>
      </c>
      <c r="D87" s="28" t="n">
        <f aca="false">B87+C87</f>
        <v>1148.77335</v>
      </c>
      <c r="E87" s="28" t="n">
        <f aca="false">SUM($D$76:D87)</f>
        <v>11768.4052</v>
      </c>
    </row>
    <row r="88" customFormat="false" ht="15" hidden="false" customHeight="true" outlineLevel="0" collapsed="false">
      <c r="A88" s="31" t="s">
        <v>159</v>
      </c>
      <c r="B88" s="32" t="n">
        <f aca="false">SUM(B76:B87)</f>
        <v>54227.595</v>
      </c>
      <c r="C88" s="32" t="n">
        <f aca="false">SUM(C76:C87)</f>
        <v>-42459.1898</v>
      </c>
      <c r="D88" s="32" t="n">
        <f aca="false">SUM(D76:D87)</f>
        <v>11768.4052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223</v>
      </c>
    </row>
    <row r="2" customFormat="false" ht="15" hidden="false" customHeight="true" outlineLevel="0" collapsed="false">
      <c r="A2" s="19" t="s">
        <v>224</v>
      </c>
    </row>
    <row r="3" customFormat="false" ht="15" hidden="false" customHeight="true" outlineLevel="0" collapsed="false">
      <c r="A3" s="19" t="s">
        <v>157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157</v>
      </c>
      <c r="AC5" s="35"/>
    </row>
    <row r="6" customFormat="false" ht="15" hidden="false" customHeight="true" outlineLevel="0" collapsed="false">
      <c r="C6" s="37" t="s">
        <v>236</v>
      </c>
      <c r="D6" s="37"/>
      <c r="E6" s="37" t="s">
        <v>236</v>
      </c>
      <c r="F6" s="37"/>
      <c r="G6" s="37" t="s">
        <v>236</v>
      </c>
      <c r="H6" s="37"/>
      <c r="I6" s="37" t="s">
        <v>236</v>
      </c>
      <c r="J6" s="37"/>
      <c r="K6" s="37" t="s">
        <v>236</v>
      </c>
      <c r="L6" s="37"/>
      <c r="M6" s="37" t="s">
        <v>236</v>
      </c>
      <c r="N6" s="37"/>
      <c r="O6" s="37" t="s">
        <v>236</v>
      </c>
      <c r="P6" s="37"/>
      <c r="Q6" s="37" t="s">
        <v>236</v>
      </c>
      <c r="R6" s="37"/>
      <c r="S6" s="37" t="s">
        <v>236</v>
      </c>
      <c r="T6" s="37"/>
      <c r="U6" s="37" t="s">
        <v>236</v>
      </c>
      <c r="V6" s="37"/>
      <c r="W6" s="37" t="s">
        <v>236</v>
      </c>
      <c r="X6" s="37"/>
      <c r="Y6" s="37" t="s">
        <v>236</v>
      </c>
      <c r="Z6" s="37"/>
      <c r="AB6" s="37" t="s">
        <v>159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8" customFormat="false" ht="15" hidden="false" customHeight="true" outlineLevel="0" collapsed="false">
      <c r="A8" s="27" t="s">
        <v>237</v>
      </c>
      <c r="C8" s="46" t="n">
        <f aca="false">'Vessel Budget'!C9</f>
        <v>10</v>
      </c>
      <c r="E8" s="46" t="n">
        <f aca="false">'Vessel Budget'!E9</f>
        <v>3</v>
      </c>
      <c r="G8" s="46" t="n">
        <f aca="false">'Vessel Budget'!G9</f>
        <v>10</v>
      </c>
      <c r="I8" s="46" t="n">
        <f aca="false">'Vessel Budget'!I9</f>
        <v>3</v>
      </c>
      <c r="K8" s="46" t="n">
        <f aca="false">'Vessel Budget'!K9</f>
        <v>8</v>
      </c>
      <c r="M8" s="46" t="n">
        <f aca="false">'Vessel Budget'!M9</f>
        <v>7</v>
      </c>
      <c r="O8" s="46" t="n">
        <f aca="false">'Vessel Budget'!O9</f>
        <v>7</v>
      </c>
      <c r="Q8" s="46" t="n">
        <f aca="false">'Vessel Budget'!Q9</f>
        <v>7</v>
      </c>
      <c r="S8" s="46" t="n">
        <f aca="false">'Vessel Budget'!S9</f>
        <v>7</v>
      </c>
      <c r="U8" s="46" t="n">
        <f aca="false">'Vessel Budget'!U9</f>
        <v>7</v>
      </c>
      <c r="W8" s="46" t="n">
        <f aca="false">'Vessel Budget'!W9</f>
        <v>7</v>
      </c>
      <c r="Y8" s="46" t="n">
        <f aca="false">'Vessel Budget'!Y9</f>
        <v>7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'Vessel Budget'!C12+'LW Budget'!C12</f>
        <v>41240.525</v>
      </c>
      <c r="D12" s="39" t="n">
        <f aca="false">IFERROR(C12/C$20,0)</f>
        <v>0.514374445777113</v>
      </c>
      <c r="E12" s="28" t="n">
        <f aca="false">'Vessel Budget'!E12+'LW Budget'!E12</f>
        <v>20268.525</v>
      </c>
      <c r="F12" s="39" t="n">
        <f aca="false">IFERROR(E12/E$20,0)</f>
        <v>0.448656158204088</v>
      </c>
      <c r="G12" s="28" t="n">
        <f aca="false">'Vessel Budget'!G12+'LW Budget'!G12</f>
        <v>41240.525</v>
      </c>
      <c r="H12" s="39" t="n">
        <f aca="false">IFERROR(G12/G$20,0)</f>
        <v>0.514374445777113</v>
      </c>
      <c r="I12" s="28" t="n">
        <f aca="false">'Vessel Budget'!I12+'LW Budget'!I12</f>
        <v>20268.525</v>
      </c>
      <c r="J12" s="39" t="n">
        <f aca="false">IFERROR(I12/I$20,0)</f>
        <v>0.448656158204088</v>
      </c>
      <c r="K12" s="28" t="n">
        <f aca="false">'Vessel Budget'!K12+'LW Budget'!K12</f>
        <v>35248.525</v>
      </c>
      <c r="L12" s="39" t="n">
        <f aca="false">IFERROR(K12/K$20,0)</f>
        <v>0.502286914206233</v>
      </c>
      <c r="M12" s="28" t="n">
        <f aca="false">'Vessel Budget'!M12+'LW Budget'!M12</f>
        <v>32252.525</v>
      </c>
      <c r="N12" s="39" t="n">
        <f aca="false">IFERROR(M12/M$20,0)</f>
        <v>0.494852201137401</v>
      </c>
      <c r="O12" s="28" t="n">
        <f aca="false">'Vessel Budget'!O12+'LW Budget'!O12</f>
        <v>32252.525</v>
      </c>
      <c r="P12" s="39" t="n">
        <f aca="false">IFERROR(O12/O$20,0)</f>
        <v>0.494852201137401</v>
      </c>
      <c r="Q12" s="28" t="n">
        <f aca="false">'Vessel Budget'!Q12+'LW Budget'!Q12</f>
        <v>32252.525</v>
      </c>
      <c r="R12" s="39" t="n">
        <f aca="false">IFERROR(Q12/Q$20,0)</f>
        <v>0.494852201137401</v>
      </c>
      <c r="S12" s="28" t="n">
        <f aca="false">'Vessel Budget'!S12+'LW Budget'!S12</f>
        <v>32252.525</v>
      </c>
      <c r="T12" s="39" t="n">
        <f aca="false">IFERROR(S12/S$20,0)</f>
        <v>0.494852201137401</v>
      </c>
      <c r="U12" s="28" t="n">
        <f aca="false">'Vessel Budget'!U12+'LW Budget'!U12</f>
        <v>32252.525</v>
      </c>
      <c r="V12" s="39" t="n">
        <f aca="false">IFERROR(U12/U$20,0)</f>
        <v>0.494852201137401</v>
      </c>
      <c r="W12" s="28" t="n">
        <f aca="false">'Vessel Budget'!W12+'LW Budget'!W12</f>
        <v>32252.525</v>
      </c>
      <c r="X12" s="39" t="n">
        <f aca="false">IFERROR(W12/W$20,0)</f>
        <v>0.494852201137401</v>
      </c>
      <c r="Y12" s="28" t="n">
        <f aca="false">'Vessel Budget'!Y12+'LW Budget'!Y12</f>
        <v>32252.525</v>
      </c>
      <c r="Z12" s="39" t="n">
        <f aca="false">IFERROR(Y12/Y$20,0)</f>
        <v>0.494852201137401</v>
      </c>
      <c r="AB12" s="28" t="n">
        <f aca="false">SUM(C12,E12,G12,I12,K12,M12,O12,Q12,S12,U12,W12,Y12)</f>
        <v>384034.3</v>
      </c>
      <c r="AC12" s="39" t="n">
        <f aca="false">IFERROR(AB12/AB$20,0)</f>
        <v>0.494180819950851</v>
      </c>
    </row>
    <row r="13" customFormat="false" ht="15" hidden="false" customHeight="true" outlineLevel="0" collapsed="false">
      <c r="A13" s="27" t="s">
        <v>164</v>
      </c>
      <c r="C13" s="28" t="n">
        <f aca="false">'Vessel Budget'!C13+'LW Budget'!C13</f>
        <v>17433.2125880798</v>
      </c>
      <c r="D13" s="39" t="n">
        <f aca="false">IFERROR(C13/C$20,0)</f>
        <v>0.217436588479612</v>
      </c>
      <c r="E13" s="28" t="n">
        <f aca="false">'Vessel Budget'!E13+'LW Budget'!E13</f>
        <v>15074.6832764239</v>
      </c>
      <c r="F13" s="39" t="n">
        <f aca="false">IFERROR(E13/E$20,0)</f>
        <v>0.333687305067526</v>
      </c>
      <c r="G13" s="28" t="n">
        <f aca="false">'Vessel Budget'!G13+'LW Budget'!G13</f>
        <v>17433.2125880798</v>
      </c>
      <c r="H13" s="39" t="n">
        <f aca="false">IFERROR(G13/G$20,0)</f>
        <v>0.217436588479612</v>
      </c>
      <c r="I13" s="28" t="n">
        <f aca="false">'Vessel Budget'!I13+'LW Budget'!I13</f>
        <v>15074.6832764239</v>
      </c>
      <c r="J13" s="39" t="n">
        <f aca="false">IFERROR(I13/I$20,0)</f>
        <v>0.333687305067526</v>
      </c>
      <c r="K13" s="28" t="n">
        <f aca="false">'Vessel Budget'!K13+'LW Budget'!K13</f>
        <v>16759.3470704638</v>
      </c>
      <c r="L13" s="39" t="n">
        <f aca="false">IFERROR(K13/K$20,0)</f>
        <v>0.238818524296678</v>
      </c>
      <c r="M13" s="28" t="n">
        <f aca="false">'Vessel Budget'!M13+'LW Budget'!M13</f>
        <v>16422.4143116559</v>
      </c>
      <c r="N13" s="39" t="n">
        <f aca="false">IFERROR(M13/M$20,0)</f>
        <v>0.251969973517213</v>
      </c>
      <c r="O13" s="28" t="n">
        <f aca="false">'Vessel Budget'!O13+'LW Budget'!O13</f>
        <v>16422.4143116559</v>
      </c>
      <c r="P13" s="39" t="n">
        <f aca="false">IFERROR(O13/O$20,0)</f>
        <v>0.251969973517213</v>
      </c>
      <c r="Q13" s="28" t="n">
        <f aca="false">'Vessel Budget'!Q13+'LW Budget'!Q13</f>
        <v>16422.4143116559</v>
      </c>
      <c r="R13" s="39" t="n">
        <f aca="false">IFERROR(Q13/Q$20,0)</f>
        <v>0.251969973517213</v>
      </c>
      <c r="S13" s="28" t="n">
        <f aca="false">'Vessel Budget'!S13+'LW Budget'!S13</f>
        <v>16422.4143116559</v>
      </c>
      <c r="T13" s="39" t="n">
        <f aca="false">IFERROR(S13/S$20,0)</f>
        <v>0.251969973517213</v>
      </c>
      <c r="U13" s="28" t="n">
        <f aca="false">'Vessel Budget'!U13+'LW Budget'!U13</f>
        <v>16422.4143116559</v>
      </c>
      <c r="V13" s="39" t="n">
        <f aca="false">IFERROR(U13/U$20,0)</f>
        <v>0.251969973517213</v>
      </c>
      <c r="W13" s="28" t="n">
        <f aca="false">'Vessel Budget'!W13+'LW Budget'!W13</f>
        <v>16422.4143116559</v>
      </c>
      <c r="X13" s="39" t="n">
        <f aca="false">IFERROR(W13/W$20,0)</f>
        <v>0.251969973517213</v>
      </c>
      <c r="Y13" s="28" t="n">
        <f aca="false">'Vessel Budget'!Y13+'LW Budget'!Y13</f>
        <v>16422.4143116559</v>
      </c>
      <c r="Z13" s="39" t="n">
        <f aca="false">IFERROR(Y13/Y$20,0)</f>
        <v>0.251969973517213</v>
      </c>
      <c r="AB13" s="28" t="n">
        <f aca="false">SUM(C13,E13,G13,I13,K13,M13,O13,Q13,S13,U13,W13,Y13)</f>
        <v>196732.038981062</v>
      </c>
      <c r="AC13" s="39" t="n">
        <f aca="false">IFERROR(AB13/AB$20,0)</f>
        <v>0.253157596428924</v>
      </c>
    </row>
    <row r="14" customFormat="false" ht="15" hidden="false" customHeight="true" outlineLevel="0" collapsed="false">
      <c r="A14" s="27" t="s">
        <v>165</v>
      </c>
      <c r="C14" s="28" t="n">
        <f aca="false">'Vessel Budget'!C14+'LW Budget'!C14</f>
        <v>6275.80571145792</v>
      </c>
      <c r="D14" s="39" t="n">
        <f aca="false">IFERROR(C14/C$20,0)</f>
        <v>0.0782752907397762</v>
      </c>
      <c r="E14" s="28" t="n">
        <f aca="false">'Vessel Budget'!E14+'LW Budget'!E14</f>
        <v>2309.04171343738</v>
      </c>
      <c r="F14" s="39" t="n">
        <f aca="false">IFERROR(E14/E$20,0)</f>
        <v>0.0511120461051703</v>
      </c>
      <c r="G14" s="28" t="n">
        <f aca="false">'Vessel Budget'!G14+'LW Budget'!G14</f>
        <v>6275.80571145792</v>
      </c>
      <c r="H14" s="39" t="n">
        <f aca="false">IFERROR(G14/G$20,0)</f>
        <v>0.0782752907397762</v>
      </c>
      <c r="I14" s="28" t="n">
        <f aca="false">'Vessel Budget'!I14+'LW Budget'!I14</f>
        <v>2309.04171343738</v>
      </c>
      <c r="J14" s="39" t="n">
        <f aca="false">IFERROR(I14/I$20,0)</f>
        <v>0.0511120461051703</v>
      </c>
      <c r="K14" s="28" t="n">
        <f aca="false">'Vessel Budget'!K14+'LW Budget'!K14</f>
        <v>5142.44456916634</v>
      </c>
      <c r="L14" s="39" t="n">
        <f aca="false">IFERROR(K14/K$20,0)</f>
        <v>0.0732791688197778</v>
      </c>
      <c r="M14" s="28" t="n">
        <f aca="false">'Vessel Budget'!M14+'LW Budget'!M14</f>
        <v>4575.76399802054</v>
      </c>
      <c r="N14" s="39" t="n">
        <f aca="false">IFERROR(M14/M$20,0)</f>
        <v>0.0702061896333927</v>
      </c>
      <c r="O14" s="28" t="n">
        <f aca="false">'Vessel Budget'!O14+'LW Budget'!O14</f>
        <v>4575.76399802054</v>
      </c>
      <c r="P14" s="39" t="n">
        <f aca="false">IFERROR(O14/O$20,0)</f>
        <v>0.0702061896333927</v>
      </c>
      <c r="Q14" s="28" t="n">
        <f aca="false">'Vessel Budget'!Q14+'LW Budget'!Q14</f>
        <v>4575.76399802054</v>
      </c>
      <c r="R14" s="39" t="n">
        <f aca="false">IFERROR(Q14/Q$20,0)</f>
        <v>0.0702061896333927</v>
      </c>
      <c r="S14" s="28" t="n">
        <f aca="false">'Vessel Budget'!S14+'LW Budget'!S14</f>
        <v>4575.76399802054</v>
      </c>
      <c r="T14" s="39" t="n">
        <f aca="false">IFERROR(S14/S$20,0)</f>
        <v>0.0702061896333927</v>
      </c>
      <c r="U14" s="28" t="n">
        <f aca="false">'Vessel Budget'!U14+'LW Budget'!U14</f>
        <v>4575.76399802054</v>
      </c>
      <c r="V14" s="39" t="n">
        <f aca="false">IFERROR(U14/U$20,0)</f>
        <v>0.0702061896333927</v>
      </c>
      <c r="W14" s="28" t="n">
        <f aca="false">'Vessel Budget'!W14+'LW Budget'!W14</f>
        <v>4575.76399802054</v>
      </c>
      <c r="X14" s="39" t="n">
        <f aca="false">IFERROR(W14/W$20,0)</f>
        <v>0.0702061896333927</v>
      </c>
      <c r="Y14" s="28" t="n">
        <f aca="false">'Vessel Budget'!Y14+'LW Budget'!Y14</f>
        <v>4575.76399802054</v>
      </c>
      <c r="Z14" s="39" t="n">
        <f aca="false">IFERROR(Y14/Y$20,0)</f>
        <v>0.0702061896333927</v>
      </c>
      <c r="AB14" s="28" t="n">
        <f aca="false">SUM(C14,E14,G14,I14,K14,M14,O14,Q14,S14,U14,W14,Y14)</f>
        <v>54342.4874051007</v>
      </c>
      <c r="AC14" s="39" t="n">
        <f aca="false">IFERROR(AB14/AB$20,0)</f>
        <v>0.0699286886197964</v>
      </c>
    </row>
    <row r="15" customFormat="false" ht="15" hidden="false" customHeight="true" outlineLevel="0" collapsed="false">
      <c r="A15" s="27" t="s">
        <v>166</v>
      </c>
      <c r="C15" s="28" t="n">
        <f aca="false">'Vessel Budget'!C15+'LW Budget'!C15</f>
        <v>823.916730033434</v>
      </c>
      <c r="D15" s="39" t="n">
        <f aca="false">IFERROR(C15/C$20,0)</f>
        <v>0.0102763413263395</v>
      </c>
      <c r="E15" s="28" t="n">
        <f aca="false">'Vessel Budget'!E15+'LW Budget'!E15</f>
        <v>677.67501901003</v>
      </c>
      <c r="F15" s="39" t="n">
        <f aca="false">IFERROR(E15/E$20,0)</f>
        <v>0.0150007497111863</v>
      </c>
      <c r="G15" s="28" t="n">
        <f aca="false">'Vessel Budget'!G15+'LW Budget'!G15</f>
        <v>823.916730033434</v>
      </c>
      <c r="H15" s="39" t="n">
        <f aca="false">IFERROR(G15/G$20,0)</f>
        <v>0.0102763413263395</v>
      </c>
      <c r="I15" s="28" t="n">
        <f aca="false">'Vessel Budget'!I15+'LW Budget'!I15</f>
        <v>677.67501901003</v>
      </c>
      <c r="J15" s="39" t="n">
        <f aca="false">IFERROR(I15/I$20,0)</f>
        <v>0.0150007497111863</v>
      </c>
      <c r="K15" s="28" t="n">
        <f aca="false">'Vessel Budget'!K15+'LW Budget'!K15</f>
        <v>782.133384026747</v>
      </c>
      <c r="L15" s="39" t="n">
        <f aca="false">IFERROR(K15/K$20,0)</f>
        <v>0.0111452993837465</v>
      </c>
      <c r="M15" s="28" t="n">
        <f aca="false">'Vessel Budget'!M15+'LW Budget'!M15</f>
        <v>761.241711023404</v>
      </c>
      <c r="N15" s="39" t="n">
        <f aca="false">IFERROR(M15/M$20,0)</f>
        <v>0.0116797719340589</v>
      </c>
      <c r="O15" s="28" t="n">
        <f aca="false">'Vessel Budget'!O15+'LW Budget'!O15</f>
        <v>761.241711023404</v>
      </c>
      <c r="P15" s="39" t="n">
        <f aca="false">IFERROR(O15/O$20,0)</f>
        <v>0.0116797719340589</v>
      </c>
      <c r="Q15" s="28" t="n">
        <f aca="false">'Vessel Budget'!Q15+'LW Budget'!Q15</f>
        <v>761.241711023404</v>
      </c>
      <c r="R15" s="39" t="n">
        <f aca="false">IFERROR(Q15/Q$20,0)</f>
        <v>0.0116797719340589</v>
      </c>
      <c r="S15" s="28" t="n">
        <f aca="false">'Vessel Budget'!S15+'LW Budget'!S15</f>
        <v>761.241711023404</v>
      </c>
      <c r="T15" s="39" t="n">
        <f aca="false">IFERROR(S15/S$20,0)</f>
        <v>0.0116797719340589</v>
      </c>
      <c r="U15" s="28" t="n">
        <f aca="false">'Vessel Budget'!U15+'LW Budget'!U15</f>
        <v>761.241711023404</v>
      </c>
      <c r="V15" s="39" t="n">
        <f aca="false">IFERROR(U15/U$20,0)</f>
        <v>0.0116797719340589</v>
      </c>
      <c r="W15" s="28" t="n">
        <f aca="false">'Vessel Budget'!W15+'LW Budget'!W15</f>
        <v>761.241711023404</v>
      </c>
      <c r="X15" s="39" t="n">
        <f aca="false">IFERROR(W15/W$20,0)</f>
        <v>0.0116797719340589</v>
      </c>
      <c r="Y15" s="28" t="n">
        <f aca="false">'Vessel Budget'!Y15+'LW Budget'!Y15</f>
        <v>761.241711023404</v>
      </c>
      <c r="Z15" s="39" t="n">
        <f aca="false">IFERROR(Y15/Y$20,0)</f>
        <v>0.0116797719340589</v>
      </c>
      <c r="AB15" s="28" t="n">
        <f aca="false">SUM(C15,E15,G15,I15,K15,M15,O15,Q15,S15,U15,W15,Y15)</f>
        <v>9114.0088592775</v>
      </c>
      <c r="AC15" s="39" t="n">
        <f aca="false">IFERROR(AB15/AB$20,0)</f>
        <v>0.0117280367173377</v>
      </c>
    </row>
    <row r="16" customFormat="false" ht="15" hidden="false" customHeight="true" outlineLevel="0" collapsed="false">
      <c r="A16" s="27" t="s">
        <v>167</v>
      </c>
      <c r="C16" s="28" t="n">
        <f aca="false">'Vessel Budget'!C16+'LW Budget'!C16</f>
        <v>1839.94997042884</v>
      </c>
      <c r="D16" s="39" t="n">
        <f aca="false">IFERROR(C16/C$20,0)</f>
        <v>0.0229488651344024</v>
      </c>
      <c r="E16" s="28" t="n">
        <f aca="false">'Vessel Budget'!E16+'LW Budget'!E16</f>
        <v>1283.48499112865</v>
      </c>
      <c r="F16" s="39" t="n">
        <f aca="false">IFERROR(E16/E$20,0)</f>
        <v>0.0284107227946971</v>
      </c>
      <c r="G16" s="28" t="n">
        <f aca="false">'Vessel Budget'!G16+'LW Budget'!G16</f>
        <v>1839.94997042884</v>
      </c>
      <c r="H16" s="39" t="n">
        <f aca="false">IFERROR(G16/G$20,0)</f>
        <v>0.0229488651344024</v>
      </c>
      <c r="I16" s="28" t="n">
        <f aca="false">'Vessel Budget'!I16+'LW Budget'!I16</f>
        <v>1283.48499112865</v>
      </c>
      <c r="J16" s="39" t="n">
        <f aca="false">IFERROR(I16/I$20,0)</f>
        <v>0.0284107227946971</v>
      </c>
      <c r="K16" s="28" t="n">
        <f aca="false">'Vessel Budget'!K16+'LW Budget'!K16</f>
        <v>1680.95997634307</v>
      </c>
      <c r="L16" s="39" t="n">
        <f aca="false">IFERROR(K16/K$20,0)</f>
        <v>0.0239534618660368</v>
      </c>
      <c r="M16" s="28" t="n">
        <f aca="false">'Vessel Budget'!M16+'LW Budget'!M16</f>
        <v>1601.46497930019</v>
      </c>
      <c r="N16" s="39" t="n">
        <f aca="false">IFERROR(M16/M$20,0)</f>
        <v>0.0245713620887407</v>
      </c>
      <c r="O16" s="28" t="n">
        <f aca="false">'Vessel Budget'!O16+'LW Budget'!O16</f>
        <v>1601.46497930019</v>
      </c>
      <c r="P16" s="39" t="n">
        <f aca="false">IFERROR(O16/O$20,0)</f>
        <v>0.0245713620887407</v>
      </c>
      <c r="Q16" s="28" t="n">
        <f aca="false">'Vessel Budget'!Q16+'LW Budget'!Q16</f>
        <v>1601.46497930019</v>
      </c>
      <c r="R16" s="39" t="n">
        <f aca="false">IFERROR(Q16/Q$20,0)</f>
        <v>0.0245713620887407</v>
      </c>
      <c r="S16" s="28" t="n">
        <f aca="false">'Vessel Budget'!S16+'LW Budget'!S16</f>
        <v>1601.46497930019</v>
      </c>
      <c r="T16" s="39" t="n">
        <f aca="false">IFERROR(S16/S$20,0)</f>
        <v>0.0245713620887407</v>
      </c>
      <c r="U16" s="28" t="n">
        <f aca="false">'Vessel Budget'!U16+'LW Budget'!U16</f>
        <v>1601.46497930019</v>
      </c>
      <c r="V16" s="39" t="n">
        <f aca="false">IFERROR(U16/U$20,0)</f>
        <v>0.0245713620887407</v>
      </c>
      <c r="W16" s="28" t="n">
        <f aca="false">'Vessel Budget'!W16+'LW Budget'!W16</f>
        <v>1601.46497930019</v>
      </c>
      <c r="X16" s="39" t="n">
        <f aca="false">IFERROR(W16/W$20,0)</f>
        <v>0.0245713620887407</v>
      </c>
      <c r="Y16" s="28" t="n">
        <f aca="false">'Vessel Budget'!Y16+'LW Budget'!Y16</f>
        <v>1601.46497930019</v>
      </c>
      <c r="Z16" s="39" t="n">
        <f aca="false">IFERROR(Y16/Y$20,0)</f>
        <v>0.0245713620887407</v>
      </c>
      <c r="AB16" s="28" t="n">
        <f aca="false">SUM(C16,E16,G16,I16,K16,M16,O16,Q16,S16,U16,W16,Y16)</f>
        <v>19138.0847545594</v>
      </c>
      <c r="AC16" s="39" t="n">
        <f aca="false">IFERROR(AB16/AB$20,0)</f>
        <v>0.0246271606892849</v>
      </c>
    </row>
    <row r="17" customFormat="false" ht="15" hidden="false" customHeight="true" outlineLevel="0" collapsed="false">
      <c r="A17" s="27" t="s">
        <v>168</v>
      </c>
      <c r="C17" s="28" t="n">
        <f aca="false">'Vessel Budget'!C17+'LW Budget'!C17</f>
        <v>3743.66666666667</v>
      </c>
      <c r="D17" s="39" t="n">
        <f aca="false">IFERROR(C17/C$20,0)</f>
        <v>0.046693063845354</v>
      </c>
      <c r="E17" s="28" t="n">
        <f aca="false">'Vessel Budget'!E17+'LW Budget'!E17</f>
        <v>3743.66666666667</v>
      </c>
      <c r="F17" s="39" t="n">
        <f aca="false">IFERROR(E17/E$20,0)</f>
        <v>0.0828683441080873</v>
      </c>
      <c r="G17" s="28" t="n">
        <f aca="false">'Vessel Budget'!G17+'LW Budget'!G17</f>
        <v>3743.66666666667</v>
      </c>
      <c r="H17" s="39" t="n">
        <f aca="false">IFERROR(G17/G$20,0)</f>
        <v>0.046693063845354</v>
      </c>
      <c r="I17" s="28" t="n">
        <f aca="false">'Vessel Budget'!I17+'LW Budget'!I17</f>
        <v>3743.66666666667</v>
      </c>
      <c r="J17" s="39" t="n">
        <f aca="false">IFERROR(I17/I$20,0)</f>
        <v>0.0828683441080873</v>
      </c>
      <c r="K17" s="28" t="n">
        <f aca="false">'Vessel Budget'!K17+'LW Budget'!K17</f>
        <v>3743.66666666667</v>
      </c>
      <c r="L17" s="39" t="n">
        <f aca="false">IFERROR(K17/K$20,0)</f>
        <v>0.0533467649445397</v>
      </c>
      <c r="M17" s="28" t="n">
        <f aca="false">'Vessel Budget'!M17+'LW Budget'!M17</f>
        <v>3743.66666666667</v>
      </c>
      <c r="N17" s="39" t="n">
        <f aca="false">IFERROR(M17/M$20,0)</f>
        <v>0.0574392761597648</v>
      </c>
      <c r="O17" s="28" t="n">
        <f aca="false">'Vessel Budget'!O17+'LW Budget'!O17</f>
        <v>3743.66666666667</v>
      </c>
      <c r="P17" s="39" t="n">
        <f aca="false">IFERROR(O17/O$20,0)</f>
        <v>0.0574392761597648</v>
      </c>
      <c r="Q17" s="28" t="n">
        <f aca="false">'Vessel Budget'!Q17+'LW Budget'!Q17</f>
        <v>3743.66666666667</v>
      </c>
      <c r="R17" s="39" t="n">
        <f aca="false">IFERROR(Q17/Q$20,0)</f>
        <v>0.0574392761597648</v>
      </c>
      <c r="S17" s="28" t="n">
        <f aca="false">'Vessel Budget'!S17+'LW Budget'!S17</f>
        <v>3743.66666666667</v>
      </c>
      <c r="T17" s="39" t="n">
        <f aca="false">IFERROR(S17/S$20,0)</f>
        <v>0.0574392761597648</v>
      </c>
      <c r="U17" s="28" t="n">
        <f aca="false">'Vessel Budget'!U17+'LW Budget'!U17</f>
        <v>3743.66666666667</v>
      </c>
      <c r="V17" s="39" t="n">
        <f aca="false">IFERROR(U17/U$20,0)</f>
        <v>0.0574392761597648</v>
      </c>
      <c r="W17" s="28" t="n">
        <f aca="false">'Vessel Budget'!W17+'LW Budget'!W17</f>
        <v>3743.66666666667</v>
      </c>
      <c r="X17" s="39" t="n">
        <f aca="false">IFERROR(W17/W$20,0)</f>
        <v>0.0574392761597648</v>
      </c>
      <c r="Y17" s="28" t="n">
        <f aca="false">'Vessel Budget'!Y17+'LW Budget'!Y17</f>
        <v>3743.66666666667</v>
      </c>
      <c r="Z17" s="39" t="n">
        <f aca="false">IFERROR(Y17/Y$20,0)</f>
        <v>0.0574392761597648</v>
      </c>
      <c r="AB17" s="28" t="n">
        <f aca="false">SUM(C17,E17,G17,I17,K17,M17,O17,Q17,S17,U17,W17,Y17)</f>
        <v>44924</v>
      </c>
      <c r="AC17" s="39" t="n">
        <f aca="false">IFERROR(AB17/AB$20,0)</f>
        <v>0.0578088445627696</v>
      </c>
    </row>
    <row r="18" customFormat="false" ht="15" hidden="false" customHeight="true" outlineLevel="0" collapsed="false">
      <c r="A18" s="27" t="s">
        <v>169</v>
      </c>
      <c r="C18" s="28" t="n">
        <f aca="false">'Vessel Budget'!C18+'LW Budget'!C18</f>
        <v>10340</v>
      </c>
      <c r="D18" s="39" t="n">
        <f aca="false">IFERROR(C18/C$20,0)</f>
        <v>0.128966150875513</v>
      </c>
      <c r="E18" s="28" t="n">
        <f aca="false">'Vessel Budget'!E18+'LW Budget'!E18</f>
        <v>3340</v>
      </c>
      <c r="F18" s="39" t="n">
        <f aca="false">IFERROR(E18/E$20,0)</f>
        <v>0.0739329363336332</v>
      </c>
      <c r="G18" s="28" t="n">
        <f aca="false">'Vessel Budget'!G18+'LW Budget'!G18</f>
        <v>10340</v>
      </c>
      <c r="H18" s="39" t="n">
        <f aca="false">IFERROR(G18/G$20,0)</f>
        <v>0.128966150875513</v>
      </c>
      <c r="I18" s="28" t="n">
        <f aca="false">'Vessel Budget'!I18+'LW Budget'!I18</f>
        <v>3340</v>
      </c>
      <c r="J18" s="39" t="n">
        <f aca="false">IFERROR(I18/I$20,0)</f>
        <v>0.0739329363336332</v>
      </c>
      <c r="K18" s="28" t="n">
        <f aca="false">'Vessel Budget'!K18+'LW Budget'!K18</f>
        <v>8340</v>
      </c>
      <c r="L18" s="39" t="n">
        <f aca="false">IFERROR(K18/K$20,0)</f>
        <v>0.118843919411663</v>
      </c>
      <c r="M18" s="28" t="n">
        <f aca="false">'Vessel Budget'!M18+'LW Budget'!M18</f>
        <v>7340</v>
      </c>
      <c r="N18" s="39" t="n">
        <f aca="false">IFERROR(M18/M$20,0)</f>
        <v>0.11261800917443</v>
      </c>
      <c r="O18" s="28" t="n">
        <f aca="false">'Vessel Budget'!O18+'LW Budget'!O18</f>
        <v>7340</v>
      </c>
      <c r="P18" s="39" t="n">
        <f aca="false">IFERROR(O18/O$20,0)</f>
        <v>0.11261800917443</v>
      </c>
      <c r="Q18" s="28" t="n">
        <f aca="false">'Vessel Budget'!Q18+'LW Budget'!Q18</f>
        <v>7340</v>
      </c>
      <c r="R18" s="39" t="n">
        <f aca="false">IFERROR(Q18/Q$20,0)</f>
        <v>0.11261800917443</v>
      </c>
      <c r="S18" s="28" t="n">
        <f aca="false">'Vessel Budget'!S18+'LW Budget'!S18</f>
        <v>7340</v>
      </c>
      <c r="T18" s="39" t="n">
        <f aca="false">IFERROR(S18/S$20,0)</f>
        <v>0.11261800917443</v>
      </c>
      <c r="U18" s="28" t="n">
        <f aca="false">'Vessel Budget'!U18+'LW Budget'!U18</f>
        <v>7340</v>
      </c>
      <c r="V18" s="39" t="n">
        <f aca="false">IFERROR(U18/U$20,0)</f>
        <v>0.11261800917443</v>
      </c>
      <c r="W18" s="28" t="n">
        <f aca="false">'Vessel Budget'!W18+'LW Budget'!W18</f>
        <v>7340</v>
      </c>
      <c r="X18" s="39" t="n">
        <f aca="false">IFERROR(W18/W$20,0)</f>
        <v>0.11261800917443</v>
      </c>
      <c r="Y18" s="28" t="n">
        <f aca="false">'Vessel Budget'!Y18+'LW Budget'!Y18</f>
        <v>7340</v>
      </c>
      <c r="Z18" s="39" t="n">
        <f aca="false">IFERROR(Y18/Y$20,0)</f>
        <v>0.11261800917443</v>
      </c>
      <c r="AB18" s="28" t="n">
        <f aca="false">SUM(C18,E18,G18,I18,K18,M18,O18,Q18,S18,U18,W18,Y18)</f>
        <v>87080</v>
      </c>
      <c r="AC18" s="39" t="n">
        <f aca="false">IFERROR(AB18/AB$20,0)</f>
        <v>0.112055787207862</v>
      </c>
    </row>
    <row r="19" customFormat="false" ht="15" hidden="false" customHeight="true" outlineLevel="0" collapsed="false">
      <c r="A19" s="27" t="s">
        <v>170</v>
      </c>
      <c r="C19" s="28" t="n">
        <f aca="false">'Vessel Budget'!C19+'LW Budget'!C19</f>
        <v>-1521</v>
      </c>
      <c r="D19" s="39" t="n">
        <f aca="false">IFERROR(C19/C$20,0)</f>
        <v>-0.0189707461781097</v>
      </c>
      <c r="E19" s="28" t="n">
        <f aca="false">'Vessel Budget'!E19+'LW Budget'!E19</f>
        <v>-1521</v>
      </c>
      <c r="F19" s="39" t="n">
        <f aca="false">IFERROR(E19/E$20,0)</f>
        <v>-0.0336682623243881</v>
      </c>
      <c r="G19" s="28" t="n">
        <f aca="false">'Vessel Budget'!G19+'LW Budget'!G19</f>
        <v>-1521</v>
      </c>
      <c r="H19" s="39" t="n">
        <f aca="false">IFERROR(G19/G$20,0)</f>
        <v>-0.0189707461781097</v>
      </c>
      <c r="I19" s="28" t="n">
        <f aca="false">'Vessel Budget'!I19+'LW Budget'!I19</f>
        <v>-1521</v>
      </c>
      <c r="J19" s="39" t="n">
        <f aca="false">IFERROR(I19/I$20,0)</f>
        <v>-0.0336682623243881</v>
      </c>
      <c r="K19" s="28" t="n">
        <f aca="false">'Vessel Budget'!K19+'LW Budget'!K19</f>
        <v>-1521</v>
      </c>
      <c r="L19" s="39" t="n">
        <f aca="false">IFERROR(K19/K$20,0)</f>
        <v>-0.0216740529286737</v>
      </c>
      <c r="M19" s="28" t="n">
        <f aca="false">'Vessel Budget'!M19+'LW Budget'!M19</f>
        <v>-1521</v>
      </c>
      <c r="N19" s="39" t="n">
        <f aca="false">IFERROR(M19/M$20,0)</f>
        <v>-0.023336783645001</v>
      </c>
      <c r="O19" s="28" t="n">
        <f aca="false">'Vessel Budget'!O19+'LW Budget'!O19</f>
        <v>-1521</v>
      </c>
      <c r="P19" s="39" t="n">
        <f aca="false">IFERROR(O19/O$20,0)</f>
        <v>-0.023336783645001</v>
      </c>
      <c r="Q19" s="28" t="n">
        <f aca="false">'Vessel Budget'!Q19+'LW Budget'!Q19</f>
        <v>-1521</v>
      </c>
      <c r="R19" s="39" t="n">
        <f aca="false">IFERROR(Q19/Q$20,0)</f>
        <v>-0.023336783645001</v>
      </c>
      <c r="S19" s="28" t="n">
        <f aca="false">'Vessel Budget'!S19+'LW Budget'!S19</f>
        <v>-1521</v>
      </c>
      <c r="T19" s="39" t="n">
        <f aca="false">IFERROR(S19/S$20,0)</f>
        <v>-0.023336783645001</v>
      </c>
      <c r="U19" s="28" t="n">
        <f aca="false">'Vessel Budget'!U19+'LW Budget'!U19</f>
        <v>-1521</v>
      </c>
      <c r="V19" s="39" t="n">
        <f aca="false">IFERROR(U19/U$20,0)</f>
        <v>-0.023336783645001</v>
      </c>
      <c r="W19" s="28" t="n">
        <f aca="false">'Vessel Budget'!W19+'LW Budget'!W19</f>
        <v>-1521</v>
      </c>
      <c r="X19" s="39" t="n">
        <f aca="false">IFERROR(W19/W$20,0)</f>
        <v>-0.023336783645001</v>
      </c>
      <c r="Y19" s="28" t="n">
        <f aca="false">'Vessel Budget'!Y19+'LW Budget'!Y19</f>
        <v>-1521</v>
      </c>
      <c r="Z19" s="39" t="n">
        <f aca="false">IFERROR(Y19/Y$20,0)</f>
        <v>-0.023336783645001</v>
      </c>
      <c r="AB19" s="28" t="n">
        <f aca="false">SUM(C19,E19,G19,I19,K19,M19,O19,Q19,S19,U19,W19,Y19)</f>
        <v>-18252</v>
      </c>
      <c r="AC19" s="39" t="n">
        <f aca="false">IFERROR(AB19/AB$20,0)</f>
        <v>-0.0234869341768247</v>
      </c>
    </row>
    <row r="20" customFormat="false" ht="15" hidden="false" customHeight="true" outlineLevel="0" collapsed="false">
      <c r="A20" s="31" t="s">
        <v>128</v>
      </c>
      <c r="C20" s="32" t="n">
        <f aca="false">SUM(C12:C19)</f>
        <v>80176.0766666667</v>
      </c>
      <c r="D20" s="40" t="n">
        <f aca="false">IFERROR(C20/C$20,0)</f>
        <v>1</v>
      </c>
      <c r="E20" s="32" t="n">
        <f aca="false">SUM(E12:E19)</f>
        <v>45176.0766666667</v>
      </c>
      <c r="F20" s="40" t="n">
        <f aca="false">IFERROR(E20/E$20,0)</f>
        <v>1</v>
      </c>
      <c r="G20" s="32" t="n">
        <f aca="false">SUM(G12:G19)</f>
        <v>80176.0766666667</v>
      </c>
      <c r="H20" s="40" t="n">
        <f aca="false">IFERROR(G20/G$20,0)</f>
        <v>1</v>
      </c>
      <c r="I20" s="32" t="n">
        <f aca="false">SUM(I12:I19)</f>
        <v>45176.0766666667</v>
      </c>
      <c r="J20" s="40" t="n">
        <f aca="false">IFERROR(I20/I$20,0)</f>
        <v>1</v>
      </c>
      <c r="K20" s="32" t="n">
        <f aca="false">SUM(K12:K19)</f>
        <v>70176.0766666667</v>
      </c>
      <c r="L20" s="40" t="n">
        <f aca="false">IFERROR(K20/K$20,0)</f>
        <v>1</v>
      </c>
      <c r="M20" s="32" t="n">
        <f aca="false">SUM(M12:M19)</f>
        <v>65176.0766666667</v>
      </c>
      <c r="N20" s="40" t="n">
        <f aca="false">IFERROR(M20/M$20,0)</f>
        <v>1</v>
      </c>
      <c r="O20" s="32" t="n">
        <f aca="false">SUM(O12:O19)</f>
        <v>65176.0766666667</v>
      </c>
      <c r="P20" s="40" t="n">
        <f aca="false">IFERROR(O20/O$20,0)</f>
        <v>1</v>
      </c>
      <c r="Q20" s="32" t="n">
        <f aca="false">SUM(Q12:Q19)</f>
        <v>65176.0766666667</v>
      </c>
      <c r="R20" s="40" t="n">
        <f aca="false">IFERROR(Q20/Q$20,0)</f>
        <v>1</v>
      </c>
      <c r="S20" s="32" t="n">
        <f aca="false">SUM(S12:S19)</f>
        <v>65176.0766666667</v>
      </c>
      <c r="T20" s="40" t="n">
        <f aca="false">IFERROR(S20/S$20,0)</f>
        <v>1</v>
      </c>
      <c r="U20" s="32" t="n">
        <f aca="false">SUM(U12:U19)</f>
        <v>65176.0766666667</v>
      </c>
      <c r="V20" s="40" t="n">
        <f aca="false">IFERROR(U20/U$20,0)</f>
        <v>1</v>
      </c>
      <c r="W20" s="32" t="n">
        <f aca="false">SUM(W12:W19)</f>
        <v>65176.0766666667</v>
      </c>
      <c r="X20" s="40" t="n">
        <f aca="false">IFERROR(W20/W$20,0)</f>
        <v>1</v>
      </c>
      <c r="Y20" s="32" t="n">
        <f aca="false">SUM(Y12:Y19)</f>
        <v>65176.0766666667</v>
      </c>
      <c r="Z20" s="40" t="n">
        <f aca="false">IFERROR(Y20/Y$20,0)</f>
        <v>1</v>
      </c>
      <c r="AB20" s="32" t="n">
        <f aca="false">SUM(AB12:AB19)</f>
        <v>777112.92</v>
      </c>
      <c r="AC20" s="40" t="n">
        <f aca="false">IFERROR(AB20/AB$20,0)</f>
        <v>1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'Vessel Budget'!C23+'LW Budget'!C23</f>
        <v>23970</v>
      </c>
      <c r="D23" s="39" t="n">
        <f aca="false">IFERROR(C23/C$12,0)</f>
        <v>0.581224414577652</v>
      </c>
      <c r="E23" s="28" t="n">
        <f aca="false">'Vessel Budget'!E23+'LW Budget'!E23</f>
        <v>11386.8</v>
      </c>
      <c r="F23" s="39" t="n">
        <f aca="false">IFERROR(E23/E$12,0)</f>
        <v>0.5617971707364</v>
      </c>
      <c r="G23" s="28" t="n">
        <f aca="false">'Vessel Budget'!G23+'LW Budget'!G23</f>
        <v>23970</v>
      </c>
      <c r="H23" s="39" t="n">
        <f aca="false">IFERROR(G23/G$12,0)</f>
        <v>0.581224414577652</v>
      </c>
      <c r="I23" s="28" t="n">
        <f aca="false">'Vessel Budget'!I23+'LW Budget'!I23</f>
        <v>11386.8</v>
      </c>
      <c r="J23" s="39" t="n">
        <f aca="false">IFERROR(I23/I$12,0)</f>
        <v>0.5617971707364</v>
      </c>
      <c r="K23" s="28" t="n">
        <f aca="false">'Vessel Budget'!K23+'LW Budget'!K23</f>
        <v>20374.8</v>
      </c>
      <c r="L23" s="39" t="n">
        <f aca="false">IFERROR(K23/K$12,0)</f>
        <v>0.578032697822107</v>
      </c>
      <c r="M23" s="28" t="n">
        <f aca="false">'Vessel Budget'!M23+'LW Budget'!M23</f>
        <v>18577.2</v>
      </c>
      <c r="N23" s="39" t="n">
        <f aca="false">IFERROR(M23/M$12,0)</f>
        <v>0.575992112245475</v>
      </c>
      <c r="O23" s="28" t="n">
        <f aca="false">'Vessel Budget'!O23+'LW Budget'!O23</f>
        <v>18577.2</v>
      </c>
      <c r="P23" s="39" t="n">
        <f aca="false">IFERROR(O23/O$12,0)</f>
        <v>0.575992112245475</v>
      </c>
      <c r="Q23" s="28" t="n">
        <f aca="false">'Vessel Budget'!Q23+'LW Budget'!Q23</f>
        <v>18577.2</v>
      </c>
      <c r="R23" s="39" t="n">
        <f aca="false">IFERROR(Q23/Q$12,0)</f>
        <v>0.575992112245475</v>
      </c>
      <c r="S23" s="28" t="n">
        <f aca="false">'Vessel Budget'!S23+'LW Budget'!S23</f>
        <v>18577.2</v>
      </c>
      <c r="T23" s="39" t="n">
        <f aca="false">IFERROR(S23/S$12,0)</f>
        <v>0.575992112245475</v>
      </c>
      <c r="U23" s="28" t="n">
        <f aca="false">'Vessel Budget'!U23+'LW Budget'!U23</f>
        <v>18577.2</v>
      </c>
      <c r="V23" s="39" t="n">
        <f aca="false">IFERROR(U23/U$12,0)</f>
        <v>0.575992112245475</v>
      </c>
      <c r="W23" s="28" t="n">
        <f aca="false">'Vessel Budget'!W23+'LW Budget'!W23</f>
        <v>18577.2</v>
      </c>
      <c r="X23" s="39" t="n">
        <f aca="false">IFERROR(W23/W$12,0)</f>
        <v>0.575992112245475</v>
      </c>
      <c r="Y23" s="28" t="n">
        <f aca="false">'Vessel Budget'!Y23+'LW Budget'!Y23</f>
        <v>18577.2</v>
      </c>
      <c r="Z23" s="39" t="n">
        <f aca="false">IFERROR(Y23/Y$12,0)</f>
        <v>0.575992112245475</v>
      </c>
      <c r="AB23" s="28" t="n">
        <f aca="false">SUM(C23,E23,G23,I23,K23,M23,O23,Q23,S23,U23,W23,Y23)</f>
        <v>221128.8</v>
      </c>
      <c r="AC23" s="39" t="n">
        <f aca="false">IFERROR(AB23/AB$12,0)</f>
        <v>0.575804817434276</v>
      </c>
    </row>
    <row r="24" customFormat="false" ht="15" hidden="false" customHeight="true" outlineLevel="0" collapsed="false">
      <c r="A24" s="27" t="s">
        <v>173</v>
      </c>
      <c r="C24" s="28" t="n">
        <f aca="false">'Vessel Budget'!C24+'LW Budget'!C24</f>
        <v>3675.33189701995</v>
      </c>
      <c r="D24" s="39" t="n">
        <f aca="false">IFERROR(C24/C$13,0)</f>
        <v>0.210823557531388</v>
      </c>
      <c r="E24" s="28" t="n">
        <f aca="false">'Vessel Budget'!E24+'LW Budget'!E24</f>
        <v>3085.69956910599</v>
      </c>
      <c r="F24" s="39" t="n">
        <f aca="false">IFERROR(E24/E$13,0)</f>
        <v>0.204694155925111</v>
      </c>
      <c r="G24" s="28" t="n">
        <f aca="false">'Vessel Budget'!G24+'LW Budget'!G24</f>
        <v>3675.33189701995</v>
      </c>
      <c r="H24" s="39" t="n">
        <f aca="false">IFERROR(G24/G$13,0)</f>
        <v>0.210823557531388</v>
      </c>
      <c r="I24" s="28" t="n">
        <f aca="false">'Vessel Budget'!I24+'LW Budget'!I24</f>
        <v>3085.69956910599</v>
      </c>
      <c r="J24" s="39" t="n">
        <f aca="false">IFERROR(I24/I$13,0)</f>
        <v>0.204694155925111</v>
      </c>
      <c r="K24" s="28" t="n">
        <f aca="false">'Vessel Budget'!K24+'LW Budget'!K24</f>
        <v>3506.86551761596</v>
      </c>
      <c r="L24" s="39" t="n">
        <f aca="false">IFERROR(K24/K$13,0)</f>
        <v>0.209248337830318</v>
      </c>
      <c r="M24" s="28" t="n">
        <f aca="false">'Vessel Budget'!M24+'LW Budget'!M24</f>
        <v>3422.63232791397</v>
      </c>
      <c r="N24" s="39" t="n">
        <f aca="false">IFERROR(M24/M$13,0)</f>
        <v>0.208412250657002</v>
      </c>
      <c r="O24" s="28" t="n">
        <f aca="false">'Vessel Budget'!O24+'LW Budget'!O24</f>
        <v>3422.63232791397</v>
      </c>
      <c r="P24" s="39" t="n">
        <f aca="false">IFERROR(O24/O$13,0)</f>
        <v>0.208412250657002</v>
      </c>
      <c r="Q24" s="28" t="n">
        <f aca="false">'Vessel Budget'!Q24+'LW Budget'!Q24</f>
        <v>3422.63232791397</v>
      </c>
      <c r="R24" s="39" t="n">
        <f aca="false">IFERROR(Q24/Q$13,0)</f>
        <v>0.208412250657002</v>
      </c>
      <c r="S24" s="28" t="n">
        <f aca="false">'Vessel Budget'!S24+'LW Budget'!S24</f>
        <v>3422.63232791397</v>
      </c>
      <c r="T24" s="39" t="n">
        <f aca="false">IFERROR(S24/S$13,0)</f>
        <v>0.208412250657002</v>
      </c>
      <c r="U24" s="28" t="n">
        <f aca="false">'Vessel Budget'!U24+'LW Budget'!U24</f>
        <v>3422.63232791397</v>
      </c>
      <c r="V24" s="39" t="n">
        <f aca="false">IFERROR(U24/U$13,0)</f>
        <v>0.208412250657002</v>
      </c>
      <c r="W24" s="28" t="n">
        <f aca="false">'Vessel Budget'!W24+'LW Budget'!W24</f>
        <v>3422.63232791397</v>
      </c>
      <c r="X24" s="39" t="n">
        <f aca="false">IFERROR(W24/W$13,0)</f>
        <v>0.208412250657002</v>
      </c>
      <c r="Y24" s="28" t="n">
        <f aca="false">'Vessel Budget'!Y24+'LW Budget'!Y24</f>
        <v>3422.63232791397</v>
      </c>
      <c r="Z24" s="39" t="n">
        <f aca="false">IFERROR(Y24/Y$13,0)</f>
        <v>0.208412250657002</v>
      </c>
      <c r="AB24" s="28" t="n">
        <f aca="false">SUM(C24,E24,G24,I24,K24,M24,O24,Q24,S24,U24,W24,Y24)</f>
        <v>40987.3547452656</v>
      </c>
      <c r="AC24" s="39" t="n">
        <f aca="false">IFERROR(AB24/AB$13,0)</f>
        <v>0.208341025475831</v>
      </c>
    </row>
    <row r="25" customFormat="false" ht="15" hidden="false" customHeight="true" outlineLevel="0" collapsed="false">
      <c r="A25" s="27" t="s">
        <v>174</v>
      </c>
      <c r="C25" s="28" t="n">
        <f aca="false">'Vessel Budget'!C25+'LW Budget'!C25</f>
        <v>1495.70142786448</v>
      </c>
      <c r="D25" s="39" t="n">
        <f aca="false">IFERROR(C25/C$14,0)</f>
        <v>0.238328191889965</v>
      </c>
      <c r="E25" s="28" t="n">
        <f aca="false">'Vessel Budget'!E25+'LW Budget'!E25</f>
        <v>504.010428359344</v>
      </c>
      <c r="F25" s="39" t="n">
        <f aca="false">IFERROR(E25/E$14,0)</f>
        <v>0.218276883187634</v>
      </c>
      <c r="G25" s="28" t="n">
        <f aca="false">'Vessel Budget'!G25+'LW Budget'!G25</f>
        <v>1495.70142786448</v>
      </c>
      <c r="H25" s="39" t="n">
        <f aca="false">IFERROR(G25/G$14,0)</f>
        <v>0.238328191889965</v>
      </c>
      <c r="I25" s="28" t="n">
        <f aca="false">'Vessel Budget'!I25+'LW Budget'!I25</f>
        <v>504.010428359344</v>
      </c>
      <c r="J25" s="39" t="n">
        <f aca="false">IFERROR(I25/I$14,0)</f>
        <v>0.218276883187634</v>
      </c>
      <c r="K25" s="28" t="n">
        <f aca="false">'Vessel Budget'!K25+'LW Budget'!K25</f>
        <v>1212.36114229158</v>
      </c>
      <c r="L25" s="39" t="n">
        <f aca="false">IFERROR(K25/K$14,0)</f>
        <v>0.23575580173694</v>
      </c>
      <c r="M25" s="28" t="n">
        <f aca="false">'Vessel Budget'!M25+'LW Budget'!M25</f>
        <v>1070.69099950514</v>
      </c>
      <c r="N25" s="39" t="n">
        <f aca="false">IFERROR(M25/M$14,0)</f>
        <v>0.233991744322546</v>
      </c>
      <c r="O25" s="28" t="n">
        <f aca="false">'Vessel Budget'!O25+'LW Budget'!O25</f>
        <v>1070.69099950514</v>
      </c>
      <c r="P25" s="39" t="n">
        <f aca="false">IFERROR(O25/O$14,0)</f>
        <v>0.233991744322546</v>
      </c>
      <c r="Q25" s="28" t="n">
        <f aca="false">'Vessel Budget'!Q25+'LW Budget'!Q25</f>
        <v>1070.69099950514</v>
      </c>
      <c r="R25" s="39" t="n">
        <f aca="false">IFERROR(Q25/Q$14,0)</f>
        <v>0.233991744322546</v>
      </c>
      <c r="S25" s="28" t="n">
        <f aca="false">'Vessel Budget'!S25+'LW Budget'!S25</f>
        <v>1070.69099950514</v>
      </c>
      <c r="T25" s="39" t="n">
        <f aca="false">IFERROR(S25/S$14,0)</f>
        <v>0.233991744322546</v>
      </c>
      <c r="U25" s="28" t="n">
        <f aca="false">'Vessel Budget'!U25+'LW Budget'!U25</f>
        <v>1070.69099950514</v>
      </c>
      <c r="V25" s="39" t="n">
        <f aca="false">IFERROR(U25/U$14,0)</f>
        <v>0.233991744322546</v>
      </c>
      <c r="W25" s="28" t="n">
        <f aca="false">'Vessel Budget'!W25+'LW Budget'!W25</f>
        <v>1070.69099950514</v>
      </c>
      <c r="X25" s="39" t="n">
        <f aca="false">IFERROR(W25/W$14,0)</f>
        <v>0.233991744322546</v>
      </c>
      <c r="Y25" s="28" t="n">
        <f aca="false">'Vessel Budget'!Y25+'LW Budget'!Y25</f>
        <v>1070.69099950514</v>
      </c>
      <c r="Z25" s="39" t="n">
        <f aca="false">IFERROR(Y25/Y$14,0)</f>
        <v>0.233991744322546</v>
      </c>
      <c r="AB25" s="28" t="n">
        <f aca="false">SUM(C25,E25,G25,I25,K25,M25,O25,Q25,S25,U25,W25,Y25)</f>
        <v>12706.6218512752</v>
      </c>
      <c r="AC25" s="39" t="n">
        <f aca="false">IFERROR(AB25/AB$14,0)</f>
        <v>0.233824811082948</v>
      </c>
    </row>
    <row r="26" customFormat="false" ht="15" hidden="false" customHeight="true" outlineLevel="0" collapsed="false">
      <c r="A26" s="27" t="s">
        <v>175</v>
      </c>
      <c r="C26" s="28" t="n">
        <f aca="false">'Vessel Budget'!C26+'LW Budget'!C26</f>
        <v>224.229182508358</v>
      </c>
      <c r="D26" s="39" t="n">
        <f aca="false">IFERROR(C26/C$15,0)</f>
        <v>0.272150296668038</v>
      </c>
      <c r="E26" s="28" t="n">
        <f aca="false">'Vessel Budget'!E26+'LW Budget'!E26</f>
        <v>187.668754752508</v>
      </c>
      <c r="F26" s="39" t="n">
        <f aca="false">IFERROR(E26/E$15,0)</f>
        <v>0.276930312447787</v>
      </c>
      <c r="G26" s="28" t="n">
        <f aca="false">'Vessel Budget'!G26+'LW Budget'!G26</f>
        <v>224.229182508358</v>
      </c>
      <c r="H26" s="39" t="n">
        <f aca="false">IFERROR(G26/G$15,0)</f>
        <v>0.272150296668038</v>
      </c>
      <c r="I26" s="28" t="n">
        <f aca="false">'Vessel Budget'!I26+'LW Budget'!I26</f>
        <v>187.668754752508</v>
      </c>
      <c r="J26" s="39" t="n">
        <f aca="false">IFERROR(I26/I$15,0)</f>
        <v>0.276930312447787</v>
      </c>
      <c r="K26" s="28" t="n">
        <f aca="false">'Vessel Budget'!K26+'LW Budget'!K26</f>
        <v>213.783346006687</v>
      </c>
      <c r="L26" s="39" t="n">
        <f aca="false">IFERROR(K26/K$15,0)</f>
        <v>0.273333615944178</v>
      </c>
      <c r="M26" s="28" t="n">
        <f aca="false">'Vessel Budget'!M26+'LW Budget'!M26</f>
        <v>208.560427755851</v>
      </c>
      <c r="N26" s="39" t="n">
        <f aca="false">IFERROR(M26/M$15,0)</f>
        <v>0.273973988466114</v>
      </c>
      <c r="O26" s="28" t="n">
        <f aca="false">'Vessel Budget'!O26+'LW Budget'!O26</f>
        <v>208.560427755851</v>
      </c>
      <c r="P26" s="39" t="n">
        <f aca="false">IFERROR(O26/O$15,0)</f>
        <v>0.273973988466114</v>
      </c>
      <c r="Q26" s="28" t="n">
        <f aca="false">'Vessel Budget'!Q26+'LW Budget'!Q26</f>
        <v>208.560427755851</v>
      </c>
      <c r="R26" s="39" t="n">
        <f aca="false">IFERROR(Q26/Q$15,0)</f>
        <v>0.273973988466114</v>
      </c>
      <c r="S26" s="28" t="n">
        <f aca="false">'Vessel Budget'!S26+'LW Budget'!S26</f>
        <v>208.560427755851</v>
      </c>
      <c r="T26" s="39" t="n">
        <f aca="false">IFERROR(S26/S$15,0)</f>
        <v>0.273973988466114</v>
      </c>
      <c r="U26" s="28" t="n">
        <f aca="false">'Vessel Budget'!U26+'LW Budget'!U26</f>
        <v>208.560427755851</v>
      </c>
      <c r="V26" s="39" t="n">
        <f aca="false">IFERROR(U26/U$15,0)</f>
        <v>0.273973988466114</v>
      </c>
      <c r="W26" s="28" t="n">
        <f aca="false">'Vessel Budget'!W26+'LW Budget'!W26</f>
        <v>208.560427755851</v>
      </c>
      <c r="X26" s="39" t="n">
        <f aca="false">IFERROR(W26/W$15,0)</f>
        <v>0.273973988466114</v>
      </c>
      <c r="Y26" s="28" t="n">
        <f aca="false">'Vessel Budget'!Y26+'LW Budget'!Y26</f>
        <v>208.560427755851</v>
      </c>
      <c r="Z26" s="39" t="n">
        <f aca="false">IFERROR(Y26/Y$15,0)</f>
        <v>0.273973988466114</v>
      </c>
      <c r="AB26" s="28" t="n">
        <f aca="false">SUM(C26,E26,G26,I26,K26,M26,O26,Q26,S26,U26,W26,Y26)</f>
        <v>2497.50221481938</v>
      </c>
      <c r="AC26" s="39" t="n">
        <f aca="false">IFERROR(AB26/AB$15,0)</f>
        <v>0.274028943067909</v>
      </c>
    </row>
    <row r="27" customFormat="false" ht="15" hidden="false" customHeight="true" outlineLevel="0" collapsed="false">
      <c r="A27" s="27" t="s">
        <v>176</v>
      </c>
      <c r="C27" s="28" t="n">
        <f aca="false">'Vessel Budget'!C27+'LW Budget'!C27</f>
        <v>571.737492607211</v>
      </c>
      <c r="D27" s="39" t="n">
        <f aca="false">IFERROR(C27/C$16,0)</f>
        <v>0.310735347045308</v>
      </c>
      <c r="E27" s="28" t="n">
        <f aca="false">'Vessel Budget'!E27+'LW Budget'!E27</f>
        <v>432.621247782163</v>
      </c>
      <c r="F27" s="39" t="n">
        <f aca="false">IFERROR(E27/E$16,0)</f>
        <v>0.337067632868641</v>
      </c>
      <c r="G27" s="28" t="n">
        <f aca="false">'Vessel Budget'!G27+'LW Budget'!G27</f>
        <v>571.737492607211</v>
      </c>
      <c r="H27" s="39" t="n">
        <f aca="false">IFERROR(G27/G$16,0)</f>
        <v>0.310735347045308</v>
      </c>
      <c r="I27" s="28" t="n">
        <f aca="false">'Vessel Budget'!I27+'LW Budget'!I27</f>
        <v>432.621247782163</v>
      </c>
      <c r="J27" s="39" t="n">
        <f aca="false">IFERROR(I27/I$16,0)</f>
        <v>0.337067632868641</v>
      </c>
      <c r="K27" s="28" t="n">
        <f aca="false">'Vessel Budget'!K27+'LW Budget'!K27</f>
        <v>531.989994085768</v>
      </c>
      <c r="L27" s="39" t="n">
        <f aca="false">IFERROR(K27/K$16,0)</f>
        <v>0.31647986958209</v>
      </c>
      <c r="M27" s="28" t="n">
        <f aca="false">'Vessel Budget'!M27+'LW Budget'!M27</f>
        <v>512.116244825047</v>
      </c>
      <c r="N27" s="39" t="n">
        <f aca="false">IFERROR(M27/M$16,0)</f>
        <v>0.319779858719629</v>
      </c>
      <c r="O27" s="28" t="n">
        <f aca="false">'Vessel Budget'!O27+'LW Budget'!O27</f>
        <v>512.116244825047</v>
      </c>
      <c r="P27" s="39" t="n">
        <f aca="false">IFERROR(O27/O$16,0)</f>
        <v>0.319779858719629</v>
      </c>
      <c r="Q27" s="28" t="n">
        <f aca="false">'Vessel Budget'!Q27+'LW Budget'!Q27</f>
        <v>512.116244825047</v>
      </c>
      <c r="R27" s="39" t="n">
        <f aca="false">IFERROR(Q27/Q$16,0)</f>
        <v>0.319779858719629</v>
      </c>
      <c r="S27" s="28" t="n">
        <f aca="false">'Vessel Budget'!S27+'LW Budget'!S27</f>
        <v>512.116244825047</v>
      </c>
      <c r="T27" s="39" t="n">
        <f aca="false">IFERROR(S27/S$16,0)</f>
        <v>0.319779858719629</v>
      </c>
      <c r="U27" s="28" t="n">
        <f aca="false">'Vessel Budget'!U27+'LW Budget'!U27</f>
        <v>512.116244825047</v>
      </c>
      <c r="V27" s="39" t="n">
        <f aca="false">IFERROR(U27/U$16,0)</f>
        <v>0.319779858719629</v>
      </c>
      <c r="W27" s="28" t="n">
        <f aca="false">'Vessel Budget'!W27+'LW Budget'!W27</f>
        <v>512.116244825047</v>
      </c>
      <c r="X27" s="39" t="n">
        <f aca="false">IFERROR(W27/W$16,0)</f>
        <v>0.319779858719629</v>
      </c>
      <c r="Y27" s="28" t="n">
        <f aca="false">'Vessel Budget'!Y27+'LW Budget'!Y27</f>
        <v>512.116244825047</v>
      </c>
      <c r="Z27" s="39" t="n">
        <f aca="false">IFERROR(Y27/Y$16,0)</f>
        <v>0.319779858719629</v>
      </c>
      <c r="AB27" s="28" t="n">
        <f aca="false">SUM(C27,E27,G27,I27,K27,M27,O27,Q27,S27,U27,W27,Y27)</f>
        <v>6125.52118863985</v>
      </c>
      <c r="AC27" s="39" t="n">
        <f aca="false">IFERROR(AB27/AB$16,0)</f>
        <v>0.320069707454949</v>
      </c>
    </row>
    <row r="28" customFormat="false" ht="15" hidden="false" customHeight="true" outlineLevel="0" collapsed="false">
      <c r="A28" s="27" t="s">
        <v>177</v>
      </c>
      <c r="C28" s="28" t="n">
        <f aca="false">'Vessel Budget'!C28+'LW Budget'!C28</f>
        <v>1750.00916666667</v>
      </c>
      <c r="D28" s="39" t="n">
        <f aca="false">IFERROR(C28/C$17,0)</f>
        <v>0.467458596741163</v>
      </c>
      <c r="E28" s="28" t="n">
        <f aca="false">'Vessel Budget'!E28+'LW Budget'!E28</f>
        <v>1750.00916666667</v>
      </c>
      <c r="F28" s="39" t="n">
        <f aca="false">IFERROR(E28/E$17,0)</f>
        <v>0.467458596741163</v>
      </c>
      <c r="G28" s="28" t="n">
        <f aca="false">'Vessel Budget'!G28+'LW Budget'!G28</f>
        <v>1750.00916666667</v>
      </c>
      <c r="H28" s="39" t="n">
        <f aca="false">IFERROR(G28/G$17,0)</f>
        <v>0.467458596741163</v>
      </c>
      <c r="I28" s="28" t="n">
        <f aca="false">'Vessel Budget'!I28+'LW Budget'!I28</f>
        <v>1750.00916666667</v>
      </c>
      <c r="J28" s="39" t="n">
        <f aca="false">IFERROR(I28/I$17,0)</f>
        <v>0.467458596741163</v>
      </c>
      <c r="K28" s="28" t="n">
        <f aca="false">'Vessel Budget'!K28+'LW Budget'!K28</f>
        <v>1750.00916666667</v>
      </c>
      <c r="L28" s="39" t="n">
        <f aca="false">IFERROR(K28/K$17,0)</f>
        <v>0.467458596741163</v>
      </c>
      <c r="M28" s="28" t="n">
        <f aca="false">'Vessel Budget'!M28+'LW Budget'!M28</f>
        <v>1750.00916666667</v>
      </c>
      <c r="N28" s="39" t="n">
        <f aca="false">IFERROR(M28/M$17,0)</f>
        <v>0.467458596741163</v>
      </c>
      <c r="O28" s="28" t="n">
        <f aca="false">'Vessel Budget'!O28+'LW Budget'!O28</f>
        <v>1750.00916666667</v>
      </c>
      <c r="P28" s="39" t="n">
        <f aca="false">IFERROR(O28/O$17,0)</f>
        <v>0.467458596741163</v>
      </c>
      <c r="Q28" s="28" t="n">
        <f aca="false">'Vessel Budget'!Q28+'LW Budget'!Q28</f>
        <v>1750.00916666667</v>
      </c>
      <c r="R28" s="39" t="n">
        <f aca="false">IFERROR(Q28/Q$17,0)</f>
        <v>0.467458596741163</v>
      </c>
      <c r="S28" s="28" t="n">
        <f aca="false">'Vessel Budget'!S28+'LW Budget'!S28</f>
        <v>1750.00916666667</v>
      </c>
      <c r="T28" s="39" t="n">
        <f aca="false">IFERROR(S28/S$17,0)</f>
        <v>0.467458596741163</v>
      </c>
      <c r="U28" s="28" t="n">
        <f aca="false">'Vessel Budget'!U28+'LW Budget'!U28</f>
        <v>1750.00916666667</v>
      </c>
      <c r="V28" s="39" t="n">
        <f aca="false">IFERROR(U28/U$17,0)</f>
        <v>0.467458596741163</v>
      </c>
      <c r="W28" s="28" t="n">
        <f aca="false">'Vessel Budget'!W28+'LW Budget'!W28</f>
        <v>1750.00916666667</v>
      </c>
      <c r="X28" s="39" t="n">
        <f aca="false">IFERROR(W28/W$17,0)</f>
        <v>0.467458596741163</v>
      </c>
      <c r="Y28" s="28" t="n">
        <f aca="false">'Vessel Budget'!Y28+'LW Budget'!Y28</f>
        <v>1750.00916666667</v>
      </c>
      <c r="Z28" s="39" t="n">
        <f aca="false">IFERROR(Y28/Y$17,0)</f>
        <v>0.467458596741163</v>
      </c>
      <c r="AB28" s="28" t="n">
        <f aca="false">SUM(C28,E28,G28,I28,K28,M28,O28,Q28,S28,U28,W28,Y28)</f>
        <v>21000.11</v>
      </c>
      <c r="AC28" s="39" t="n">
        <f aca="false">IFERROR(AB28/AB$17,0)</f>
        <v>0.467458596741163</v>
      </c>
    </row>
    <row r="29" customFormat="false" ht="15" hidden="false" customHeight="true" outlineLevel="0" collapsed="false">
      <c r="A29" s="31" t="s">
        <v>129</v>
      </c>
      <c r="C29" s="32" t="n">
        <f aca="false">SUM(C23:C28)</f>
        <v>31687.0091666667</v>
      </c>
      <c r="D29" s="40" t="n">
        <f aca="false">IFERROR(C29/C$20,0)</f>
        <v>0.395217756768093</v>
      </c>
      <c r="E29" s="32" t="n">
        <f aca="false">SUM(E23:E28)</f>
        <v>17346.8091666667</v>
      </c>
      <c r="F29" s="40" t="n">
        <f aca="false">IFERROR(E29/E$20,0)</f>
        <v>0.383982196919417</v>
      </c>
      <c r="G29" s="32" t="n">
        <f aca="false">SUM(G23:G28)</f>
        <v>31687.0091666667</v>
      </c>
      <c r="H29" s="40" t="n">
        <f aca="false">IFERROR(G29/G$20,0)</f>
        <v>0.395217756768093</v>
      </c>
      <c r="I29" s="32" t="n">
        <f aca="false">SUM(I23:I28)</f>
        <v>17346.8091666667</v>
      </c>
      <c r="J29" s="40" t="n">
        <f aca="false">IFERROR(I29/I$20,0)</f>
        <v>0.383982196919417</v>
      </c>
      <c r="K29" s="32" t="n">
        <f aca="false">SUM(K23:K28)</f>
        <v>27589.8091666667</v>
      </c>
      <c r="L29" s="40" t="n">
        <f aca="false">IFERROR(K29/K$20,0)</f>
        <v>0.39315120589766</v>
      </c>
      <c r="M29" s="32" t="n">
        <f aca="false">SUM(M23:M28)</f>
        <v>25541.2091666667</v>
      </c>
      <c r="N29" s="40" t="n">
        <f aca="false">IFERROR(M29/M$20,0)</f>
        <v>0.391880126465626</v>
      </c>
      <c r="O29" s="32" t="n">
        <f aca="false">SUM(O23:O28)</f>
        <v>25541.2091666667</v>
      </c>
      <c r="P29" s="40" t="n">
        <f aca="false">IFERROR(O29/O$20,0)</f>
        <v>0.391880126465626</v>
      </c>
      <c r="Q29" s="32" t="n">
        <f aca="false">SUM(Q23:Q28)</f>
        <v>25541.2091666667</v>
      </c>
      <c r="R29" s="40" t="n">
        <f aca="false">IFERROR(Q29/Q$20,0)</f>
        <v>0.391880126465626</v>
      </c>
      <c r="S29" s="32" t="n">
        <f aca="false">SUM(S23:S28)</f>
        <v>25541.2091666667</v>
      </c>
      <c r="T29" s="40" t="n">
        <f aca="false">IFERROR(S29/S$20,0)</f>
        <v>0.391880126465626</v>
      </c>
      <c r="U29" s="32" t="n">
        <f aca="false">SUM(U23:U28)</f>
        <v>25541.2091666667</v>
      </c>
      <c r="V29" s="40" t="n">
        <f aca="false">IFERROR(U29/U$20,0)</f>
        <v>0.391880126465626</v>
      </c>
      <c r="W29" s="32" t="n">
        <f aca="false">SUM(W23:W28)</f>
        <v>25541.2091666667</v>
      </c>
      <c r="X29" s="40" t="n">
        <f aca="false">IFERROR(W29/W$20,0)</f>
        <v>0.391880126465626</v>
      </c>
      <c r="Y29" s="32" t="n">
        <f aca="false">SUM(Y23:Y28)</f>
        <v>25541.2091666667</v>
      </c>
      <c r="Z29" s="40" t="n">
        <f aca="false">IFERROR(Y29/Y$20,0)</f>
        <v>0.391880126465626</v>
      </c>
      <c r="AB29" s="32" t="n">
        <f aca="false">SUM(AB23:AB28)</f>
        <v>304445.91</v>
      </c>
      <c r="AC29" s="40" t="n">
        <f aca="false">IFERROR(AB29/AB$20,0)</f>
        <v>0.39176534344584</v>
      </c>
    </row>
    <row r="30" customFormat="false" ht="15" hidden="false" customHeight="true" outlineLevel="0" collapsed="false">
      <c r="A30" s="31" t="s">
        <v>130</v>
      </c>
      <c r="C30" s="41" t="n">
        <f aca="false">C20-C29</f>
        <v>48489.0675</v>
      </c>
      <c r="D30" s="42" t="n">
        <f aca="false">IFERROR(C30/C$20,0)</f>
        <v>0.604782243231907</v>
      </c>
      <c r="E30" s="41" t="n">
        <f aca="false">E20-E29</f>
        <v>27829.2675</v>
      </c>
      <c r="F30" s="42" t="n">
        <f aca="false">IFERROR(E30/E$20,0)</f>
        <v>0.616017803080583</v>
      </c>
      <c r="G30" s="41" t="n">
        <f aca="false">G20-G29</f>
        <v>48489.0675</v>
      </c>
      <c r="H30" s="42" t="n">
        <f aca="false">IFERROR(G30/G$20,0)</f>
        <v>0.604782243231907</v>
      </c>
      <c r="I30" s="41" t="n">
        <f aca="false">I20-I29</f>
        <v>27829.2675</v>
      </c>
      <c r="J30" s="42" t="n">
        <f aca="false">IFERROR(I30/I$20,0)</f>
        <v>0.616017803080583</v>
      </c>
      <c r="K30" s="41" t="n">
        <f aca="false">K20-K29</f>
        <v>42586.2675</v>
      </c>
      <c r="L30" s="42" t="n">
        <f aca="false">IFERROR(K30/K$20,0)</f>
        <v>0.60684879410234</v>
      </c>
      <c r="M30" s="41" t="n">
        <f aca="false">M20-M29</f>
        <v>39634.8675</v>
      </c>
      <c r="N30" s="42" t="n">
        <f aca="false">IFERROR(M30/M$20,0)</f>
        <v>0.608119873534374</v>
      </c>
      <c r="O30" s="41" t="n">
        <f aca="false">O20-O29</f>
        <v>39634.8675</v>
      </c>
      <c r="P30" s="42" t="n">
        <f aca="false">IFERROR(O30/O$20,0)</f>
        <v>0.608119873534374</v>
      </c>
      <c r="Q30" s="41" t="n">
        <f aca="false">Q20-Q29</f>
        <v>39634.8675</v>
      </c>
      <c r="R30" s="42" t="n">
        <f aca="false">IFERROR(Q30/Q$20,0)</f>
        <v>0.608119873534374</v>
      </c>
      <c r="S30" s="41" t="n">
        <f aca="false">S20-S29</f>
        <v>39634.8675</v>
      </c>
      <c r="T30" s="42" t="n">
        <f aca="false">IFERROR(S30/S$20,0)</f>
        <v>0.608119873534374</v>
      </c>
      <c r="U30" s="41" t="n">
        <f aca="false">U20-U29</f>
        <v>39634.8675</v>
      </c>
      <c r="V30" s="42" t="n">
        <f aca="false">IFERROR(U30/U$20,0)</f>
        <v>0.608119873534374</v>
      </c>
      <c r="W30" s="41" t="n">
        <f aca="false">W20-W29</f>
        <v>39634.8675</v>
      </c>
      <c r="X30" s="42" t="n">
        <f aca="false">IFERROR(W30/W$20,0)</f>
        <v>0.608119873534374</v>
      </c>
      <c r="Y30" s="41" t="n">
        <f aca="false">Y20-Y29</f>
        <v>39634.8675</v>
      </c>
      <c r="Z30" s="42" t="n">
        <f aca="false">IFERROR(Y30/Y$20,0)</f>
        <v>0.608119873534374</v>
      </c>
      <c r="AB30" s="41" t="n">
        <f aca="false">AB20-AB29</f>
        <v>472667.01</v>
      </c>
      <c r="AC30" s="42" t="n">
        <f aca="false">IFERROR(AB30/AB$20,0)</f>
        <v>0.60823465655416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'Vessel Budget'!C33+'LW Budget'!C33</f>
        <v>3092.83333333333</v>
      </c>
      <c r="D33" s="39" t="n">
        <f aca="false">IFERROR(C33/C$20,0)</f>
        <v>0.0385755135686152</v>
      </c>
      <c r="E33" s="28" t="n">
        <f aca="false">'Vessel Budget'!E33+'LW Budget'!E33</f>
        <v>3092.83333333333</v>
      </c>
      <c r="F33" s="39" t="n">
        <f aca="false">IFERROR(E33/E$20,0)</f>
        <v>0.0684617514742132</v>
      </c>
      <c r="G33" s="28" t="n">
        <f aca="false">'Vessel Budget'!G33+'LW Budget'!G33</f>
        <v>3092.83333333333</v>
      </c>
      <c r="H33" s="39" t="n">
        <f aca="false">IFERROR(G33/G$20,0)</f>
        <v>0.0385755135686152</v>
      </c>
      <c r="I33" s="28" t="n">
        <f aca="false">'Vessel Budget'!I33+'LW Budget'!I33</f>
        <v>3092.83333333333</v>
      </c>
      <c r="J33" s="39" t="n">
        <f aca="false">IFERROR(I33/I$20,0)</f>
        <v>0.0684617514742132</v>
      </c>
      <c r="K33" s="28" t="n">
        <f aca="false">'Vessel Budget'!K33+'LW Budget'!K33</f>
        <v>3092.83333333333</v>
      </c>
      <c r="L33" s="39" t="n">
        <f aca="false">IFERROR(K33/K$20,0)</f>
        <v>0.0440724742710277</v>
      </c>
      <c r="M33" s="28" t="n">
        <f aca="false">'Vessel Budget'!M33+'LW Budget'!M33</f>
        <v>3092.83333333333</v>
      </c>
      <c r="N33" s="39" t="n">
        <f aca="false">IFERROR(M33/M$20,0)</f>
        <v>0.0474535058185716</v>
      </c>
      <c r="O33" s="28" t="n">
        <f aca="false">'Vessel Budget'!O33+'LW Budget'!O33</f>
        <v>3092.83333333333</v>
      </c>
      <c r="P33" s="39" t="n">
        <f aca="false">IFERROR(O33/O$20,0)</f>
        <v>0.0474535058185716</v>
      </c>
      <c r="Q33" s="28" t="n">
        <f aca="false">'Vessel Budget'!Q33+'LW Budget'!Q33</f>
        <v>3092.83333333333</v>
      </c>
      <c r="R33" s="39" t="n">
        <f aca="false">IFERROR(Q33/Q$20,0)</f>
        <v>0.0474535058185716</v>
      </c>
      <c r="S33" s="28" t="n">
        <f aca="false">'Vessel Budget'!S33+'LW Budget'!S33</f>
        <v>3092.83333333333</v>
      </c>
      <c r="T33" s="39" t="n">
        <f aca="false">IFERROR(S33/S$20,0)</f>
        <v>0.0474535058185716</v>
      </c>
      <c r="U33" s="28" t="n">
        <f aca="false">'Vessel Budget'!U33+'LW Budget'!U33</f>
        <v>3092.83333333333</v>
      </c>
      <c r="V33" s="39" t="n">
        <f aca="false">IFERROR(U33/U$20,0)</f>
        <v>0.0474535058185716</v>
      </c>
      <c r="W33" s="28" t="n">
        <f aca="false">'Vessel Budget'!W33+'LW Budget'!W33</f>
        <v>3092.83333333333</v>
      </c>
      <c r="X33" s="39" t="n">
        <f aca="false">IFERROR(W33/W$20,0)</f>
        <v>0.0474535058185716</v>
      </c>
      <c r="Y33" s="28" t="n">
        <f aca="false">'Vessel Budget'!Y33+'LW Budget'!Y33</f>
        <v>3092.83333333333</v>
      </c>
      <c r="Z33" s="39" t="n">
        <f aca="false">IFERROR(Y33/Y$20,0)</f>
        <v>0.0474535058185716</v>
      </c>
      <c r="AB33" s="28" t="n">
        <f aca="false">SUM(C33,E33,G33,I33,K33,M33,O33,Q33,S33,U33,W33,Y33)</f>
        <v>37114</v>
      </c>
      <c r="AC33" s="39" t="n">
        <f aca="false">IFERROR(AB33/AB$20,0)</f>
        <v>0.047758825062386</v>
      </c>
    </row>
    <row r="34" customFormat="false" ht="15" hidden="false" customHeight="true" outlineLevel="0" collapsed="false">
      <c r="A34" s="27" t="s">
        <v>180</v>
      </c>
      <c r="C34" s="28" t="n">
        <f aca="false">'Vessel Budget'!C34+'LW Budget'!C34</f>
        <v>1282.66666666667</v>
      </c>
      <c r="D34" s="39" t="n">
        <f aca="false">IFERROR(C34/C$20,0)</f>
        <v>0.0159981221331068</v>
      </c>
      <c r="E34" s="28" t="n">
        <f aca="false">'Vessel Budget'!E34+'LW Budget'!E34</f>
        <v>1282.66666666667</v>
      </c>
      <c r="F34" s="39" t="n">
        <f aca="false">IFERROR(E34/E$20,0)</f>
        <v>0.0283926086838144</v>
      </c>
      <c r="G34" s="28" t="n">
        <f aca="false">'Vessel Budget'!G34+'LW Budget'!G34</f>
        <v>1282.66666666667</v>
      </c>
      <c r="H34" s="39" t="n">
        <f aca="false">IFERROR(G34/G$20,0)</f>
        <v>0.0159981221331068</v>
      </c>
      <c r="I34" s="28" t="n">
        <f aca="false">'Vessel Budget'!I34+'LW Budget'!I34</f>
        <v>1282.66666666667</v>
      </c>
      <c r="J34" s="39" t="n">
        <f aca="false">IFERROR(I34/I$20,0)</f>
        <v>0.0283926086838144</v>
      </c>
      <c r="K34" s="28" t="n">
        <f aca="false">'Vessel Budget'!K34+'LW Budget'!K34</f>
        <v>1282.66666666667</v>
      </c>
      <c r="L34" s="39" t="n">
        <f aca="false">IFERROR(K34/K$20,0)</f>
        <v>0.0182778338087961</v>
      </c>
      <c r="M34" s="28" t="n">
        <f aca="false">'Vessel Budget'!M34+'LW Budget'!M34</f>
        <v>1282.66666666667</v>
      </c>
      <c r="N34" s="39" t="n">
        <f aca="false">IFERROR(M34/M$20,0)</f>
        <v>0.0196800226749866</v>
      </c>
      <c r="O34" s="28" t="n">
        <f aca="false">'Vessel Budget'!O34+'LW Budget'!O34</f>
        <v>1282.66666666667</v>
      </c>
      <c r="P34" s="39" t="n">
        <f aca="false">IFERROR(O34/O$20,0)</f>
        <v>0.0196800226749866</v>
      </c>
      <c r="Q34" s="28" t="n">
        <f aca="false">'Vessel Budget'!Q34+'LW Budget'!Q34</f>
        <v>1282.66666666667</v>
      </c>
      <c r="R34" s="39" t="n">
        <f aca="false">IFERROR(Q34/Q$20,0)</f>
        <v>0.0196800226749866</v>
      </c>
      <c r="S34" s="28" t="n">
        <f aca="false">'Vessel Budget'!S34+'LW Budget'!S34</f>
        <v>1282.66666666667</v>
      </c>
      <c r="T34" s="39" t="n">
        <f aca="false">IFERROR(S34/S$20,0)</f>
        <v>0.0196800226749866</v>
      </c>
      <c r="U34" s="28" t="n">
        <f aca="false">'Vessel Budget'!U34+'LW Budget'!U34</f>
        <v>1282.66666666667</v>
      </c>
      <c r="V34" s="39" t="n">
        <f aca="false">IFERROR(U34/U$20,0)</f>
        <v>0.0196800226749866</v>
      </c>
      <c r="W34" s="28" t="n">
        <f aca="false">'Vessel Budget'!W34+'LW Budget'!W34</f>
        <v>1282.66666666667</v>
      </c>
      <c r="X34" s="39" t="n">
        <f aca="false">IFERROR(W34/W$20,0)</f>
        <v>0.0196800226749866</v>
      </c>
      <c r="Y34" s="28" t="n">
        <f aca="false">'Vessel Budget'!Y34+'LW Budget'!Y34</f>
        <v>1282.66666666667</v>
      </c>
      <c r="Z34" s="39" t="n">
        <f aca="false">IFERROR(Y34/Y$20,0)</f>
        <v>0.0196800226749866</v>
      </c>
      <c r="AB34" s="28" t="n">
        <f aca="false">SUM(C34,E34,G34,I34,K34,M34,O34,Q34,S34,U34,W34,Y34)</f>
        <v>15392</v>
      </c>
      <c r="AC34" s="39" t="n">
        <f aca="false">IFERROR(AB34/AB$20,0)</f>
        <v>0.0198066453456983</v>
      </c>
    </row>
    <row r="35" customFormat="false" ht="15" hidden="false" customHeight="true" outlineLevel="0" collapsed="false">
      <c r="A35" s="27" t="s">
        <v>181</v>
      </c>
      <c r="C35" s="28" t="n">
        <f aca="false">'Vessel Budget'!C35+'LW Budget'!C35</f>
        <v>12010</v>
      </c>
      <c r="D35" s="39" t="n">
        <f aca="false">IFERROR(C35/C$20,0)</f>
        <v>0.149795306771268</v>
      </c>
      <c r="E35" s="28" t="n">
        <f aca="false">'Vessel Budget'!E35+'LW Budget'!E35</f>
        <v>8335</v>
      </c>
      <c r="F35" s="39" t="n">
        <f aca="false">IFERROR(E35/E$20,0)</f>
        <v>0.184500306688872</v>
      </c>
      <c r="G35" s="28" t="n">
        <f aca="false">'Vessel Budget'!G35+'LW Budget'!G35</f>
        <v>12010</v>
      </c>
      <c r="H35" s="39" t="n">
        <f aca="false">IFERROR(G35/G$20,0)</f>
        <v>0.149795306771268</v>
      </c>
      <c r="I35" s="28" t="n">
        <f aca="false">'Vessel Budget'!I35+'LW Budget'!I35</f>
        <v>8335</v>
      </c>
      <c r="J35" s="39" t="n">
        <f aca="false">IFERROR(I35/I$20,0)</f>
        <v>0.184500306688872</v>
      </c>
      <c r="K35" s="28" t="n">
        <f aca="false">'Vessel Budget'!K35+'LW Budget'!K35</f>
        <v>10960</v>
      </c>
      <c r="L35" s="39" t="n">
        <f aca="false">IFERROR(K35/K$20,0)</f>
        <v>0.156178579946262</v>
      </c>
      <c r="M35" s="28" t="n">
        <f aca="false">'Vessel Budget'!M35+'LW Budget'!M35</f>
        <v>10435</v>
      </c>
      <c r="N35" s="39" t="n">
        <f aca="false">IFERROR(M35/M$20,0)</f>
        <v>0.160104758274547</v>
      </c>
      <c r="O35" s="28" t="n">
        <f aca="false">'Vessel Budget'!O35+'LW Budget'!O35</f>
        <v>10435</v>
      </c>
      <c r="P35" s="39" t="n">
        <f aca="false">IFERROR(O35/O$20,0)</f>
        <v>0.160104758274547</v>
      </c>
      <c r="Q35" s="28" t="n">
        <f aca="false">'Vessel Budget'!Q35+'LW Budget'!Q35</f>
        <v>10435</v>
      </c>
      <c r="R35" s="39" t="n">
        <f aca="false">IFERROR(Q35/Q$20,0)</f>
        <v>0.160104758274547</v>
      </c>
      <c r="S35" s="28" t="n">
        <f aca="false">'Vessel Budget'!S35+'LW Budget'!S35</f>
        <v>10435</v>
      </c>
      <c r="T35" s="39" t="n">
        <f aca="false">IFERROR(S35/S$20,0)</f>
        <v>0.160104758274547</v>
      </c>
      <c r="U35" s="28" t="n">
        <f aca="false">'Vessel Budget'!U35+'LW Budget'!U35</f>
        <v>10435</v>
      </c>
      <c r="V35" s="39" t="n">
        <f aca="false">IFERROR(U35/U$20,0)</f>
        <v>0.160104758274547</v>
      </c>
      <c r="W35" s="28" t="n">
        <f aca="false">'Vessel Budget'!W35+'LW Budget'!W35</f>
        <v>10435</v>
      </c>
      <c r="X35" s="39" t="n">
        <f aca="false">IFERROR(W35/W$20,0)</f>
        <v>0.160104758274547</v>
      </c>
      <c r="Y35" s="28" t="n">
        <f aca="false">'Vessel Budget'!Y35+'LW Budget'!Y35</f>
        <v>10435</v>
      </c>
      <c r="Z35" s="39" t="n">
        <f aca="false">IFERROR(Y35/Y$20,0)</f>
        <v>0.160104758274547</v>
      </c>
      <c r="AB35" s="28" t="n">
        <f aca="false">SUM(C35,E35,G35,I35,K35,M35,O35,Q35,S35,U35,W35,Y35)</f>
        <v>124695</v>
      </c>
      <c r="AC35" s="39" t="n">
        <f aca="false">IFERROR(AB35/AB$20,0)</f>
        <v>0.160459306222833</v>
      </c>
    </row>
    <row r="36" customFormat="false" ht="15" hidden="false" customHeight="true" outlineLevel="0" collapsed="false">
      <c r="A36" s="27" t="s">
        <v>182</v>
      </c>
      <c r="C36" s="28" t="n">
        <f aca="false">'Vessel Budget'!C36+'LW Budget'!C36</f>
        <v>2628.36583333333</v>
      </c>
      <c r="D36" s="39" t="n">
        <f aca="false">IFERROR(C36/C$20,0)</f>
        <v>0.0327824201757939</v>
      </c>
      <c r="E36" s="28" t="n">
        <f aca="false">'Vessel Budget'!E36+'LW Budget'!E36</f>
        <v>2036.69083333333</v>
      </c>
      <c r="F36" s="39" t="n">
        <f aca="false">IFERROR(E36/E$20,0)</f>
        <v>0.0450833933269844</v>
      </c>
      <c r="G36" s="28" t="n">
        <f aca="false">'Vessel Budget'!G36+'LW Budget'!G36</f>
        <v>2628.36583333333</v>
      </c>
      <c r="H36" s="39" t="n">
        <f aca="false">IFERROR(G36/G$20,0)</f>
        <v>0.0327824201757939</v>
      </c>
      <c r="I36" s="28" t="n">
        <f aca="false">'Vessel Budget'!I36+'LW Budget'!I36</f>
        <v>2036.69083333333</v>
      </c>
      <c r="J36" s="39" t="n">
        <f aca="false">IFERROR(I36/I$20,0)</f>
        <v>0.0450833933269844</v>
      </c>
      <c r="K36" s="28" t="n">
        <f aca="false">'Vessel Budget'!K36+'LW Budget'!K36</f>
        <v>2459.31583333333</v>
      </c>
      <c r="L36" s="39" t="n">
        <f aca="false">IFERROR(K36/K$20,0)</f>
        <v>0.035044931978956</v>
      </c>
      <c r="M36" s="28" t="n">
        <f aca="false">'Vessel Budget'!M36+'LW Budget'!M36</f>
        <v>2374.79083333333</v>
      </c>
      <c r="N36" s="39" t="n">
        <f aca="false">IFERROR(M36/M$20,0)</f>
        <v>0.0364365416697118</v>
      </c>
      <c r="O36" s="28" t="n">
        <f aca="false">'Vessel Budget'!O36+'LW Budget'!O36</f>
        <v>2374.79083333333</v>
      </c>
      <c r="P36" s="39" t="n">
        <f aca="false">IFERROR(O36/O$20,0)</f>
        <v>0.0364365416697118</v>
      </c>
      <c r="Q36" s="28" t="n">
        <f aca="false">'Vessel Budget'!Q36+'LW Budget'!Q36</f>
        <v>2374.79083333333</v>
      </c>
      <c r="R36" s="39" t="n">
        <f aca="false">IFERROR(Q36/Q$20,0)</f>
        <v>0.0364365416697118</v>
      </c>
      <c r="S36" s="28" t="n">
        <f aca="false">'Vessel Budget'!S36+'LW Budget'!S36</f>
        <v>2374.79083333333</v>
      </c>
      <c r="T36" s="39" t="n">
        <f aca="false">IFERROR(S36/S$20,0)</f>
        <v>0.0364365416697118</v>
      </c>
      <c r="U36" s="28" t="n">
        <f aca="false">'Vessel Budget'!U36+'LW Budget'!U36</f>
        <v>2374.79083333333</v>
      </c>
      <c r="V36" s="39" t="n">
        <f aca="false">IFERROR(U36/U$20,0)</f>
        <v>0.0364365416697118</v>
      </c>
      <c r="W36" s="28" t="n">
        <f aca="false">'Vessel Budget'!W36+'LW Budget'!W36</f>
        <v>2374.79083333333</v>
      </c>
      <c r="X36" s="39" t="n">
        <f aca="false">IFERROR(W36/W$20,0)</f>
        <v>0.0364365416697118</v>
      </c>
      <c r="Y36" s="28" t="n">
        <f aca="false">'Vessel Budget'!Y36+'LW Budget'!Y36</f>
        <v>2374.79083333333</v>
      </c>
      <c r="Z36" s="39" t="n">
        <f aca="false">IFERROR(Y36/Y$20,0)</f>
        <v>0.0364365416697118</v>
      </c>
      <c r="AB36" s="28" t="n">
        <f aca="false">SUM(C36,E36,G36,I36,K36,M36,O36,Q36,S36,U36,W36,Y36)</f>
        <v>28412.965</v>
      </c>
      <c r="AC36" s="39" t="n">
        <f aca="false">IFERROR(AB36/AB$20,0)</f>
        <v>0.0365622090030365</v>
      </c>
    </row>
    <row r="37" customFormat="false" ht="15" hidden="false" customHeight="true" outlineLevel="0" collapsed="false">
      <c r="A37" s="27" t="s">
        <v>183</v>
      </c>
      <c r="C37" s="28" t="n">
        <f aca="false">'Vessel Budget'!C37+'LW Budget'!C37</f>
        <v>0</v>
      </c>
      <c r="D37" s="39" t="n">
        <f aca="false">IFERROR(C37/C$20,0)</f>
        <v>0</v>
      </c>
      <c r="E37" s="28" t="n">
        <f aca="false">'Vessel Budget'!E37+'LW Budget'!E37</f>
        <v>0</v>
      </c>
      <c r="F37" s="39" t="n">
        <f aca="false">IFERROR(E37/E$20,0)</f>
        <v>0</v>
      </c>
      <c r="G37" s="28" t="n">
        <f aca="false">'Vessel Budget'!G37+'LW Budget'!G37</f>
        <v>0</v>
      </c>
      <c r="H37" s="39" t="n">
        <f aca="false">IFERROR(G37/G$20,0)</f>
        <v>0</v>
      </c>
      <c r="I37" s="28" t="n">
        <f aca="false">'Vessel Budget'!I37+'LW Budget'!I37</f>
        <v>0</v>
      </c>
      <c r="J37" s="39" t="n">
        <f aca="false">IFERROR(I37/I$20,0)</f>
        <v>0</v>
      </c>
      <c r="K37" s="28" t="n">
        <f aca="false">'Vessel Budget'!K37+'LW Budget'!K37</f>
        <v>0</v>
      </c>
      <c r="L37" s="39" t="n">
        <f aca="false">IFERROR(K37/K$20,0)</f>
        <v>0</v>
      </c>
      <c r="M37" s="28" t="n">
        <f aca="false">'Vessel Budget'!M37+'LW Budget'!M37</f>
        <v>0</v>
      </c>
      <c r="N37" s="39" t="n">
        <f aca="false">IFERROR(M37/M$20,0)</f>
        <v>0</v>
      </c>
      <c r="O37" s="28" t="n">
        <f aca="false">'Vessel Budget'!O37+'LW Budget'!O37</f>
        <v>0</v>
      </c>
      <c r="P37" s="39" t="n">
        <f aca="false">IFERROR(O37/O$20,0)</f>
        <v>0</v>
      </c>
      <c r="Q37" s="28" t="n">
        <f aca="false">'Vessel Budget'!Q37+'LW Budget'!Q37</f>
        <v>0</v>
      </c>
      <c r="R37" s="39" t="n">
        <f aca="false">IFERROR(Q37/Q$20,0)</f>
        <v>0</v>
      </c>
      <c r="S37" s="28" t="n">
        <f aca="false">'Vessel Budget'!S37+'LW Budget'!S37</f>
        <v>0</v>
      </c>
      <c r="T37" s="39" t="n">
        <f aca="false">IFERROR(S37/S$20,0)</f>
        <v>0</v>
      </c>
      <c r="U37" s="28" t="n">
        <f aca="false">'Vessel Budget'!U37+'LW Budget'!U37</f>
        <v>0</v>
      </c>
      <c r="V37" s="39" t="n">
        <f aca="false">IFERROR(U37/U$20,0)</f>
        <v>0</v>
      </c>
      <c r="W37" s="28" t="n">
        <f aca="false">'Vessel Budget'!W37+'LW Budget'!W37</f>
        <v>0</v>
      </c>
      <c r="X37" s="39" t="n">
        <f aca="false">IFERROR(W37/W$20,0)</f>
        <v>0</v>
      </c>
      <c r="Y37" s="28" t="n">
        <f aca="false">'Vessel Budget'!Y37+'LW Budget'!Y37</f>
        <v>0</v>
      </c>
      <c r="Z37" s="39" t="n">
        <f aca="false">IFERROR(Y37/Y$20,0)</f>
        <v>0</v>
      </c>
      <c r="AB37" s="28" t="n">
        <f aca="false">SUM(C37,E37,G37,I37,K37,M37,O37,Q37,S37,U37,W37,Y37)</f>
        <v>0</v>
      </c>
      <c r="AC37" s="39" t="n">
        <f aca="false">IFERROR(AB37/AB$20,0)</f>
        <v>0</v>
      </c>
    </row>
    <row r="38" customFormat="false" ht="15" hidden="false" customHeight="true" outlineLevel="0" collapsed="false">
      <c r="A38" s="31" t="s">
        <v>131</v>
      </c>
      <c r="C38" s="32" t="n">
        <f aca="false">SUM(C33:C37)</f>
        <v>19013.8658333333</v>
      </c>
      <c r="D38" s="40" t="n">
        <f aca="false">IFERROR(C38/C$20,0)</f>
        <v>0.237151362648783</v>
      </c>
      <c r="E38" s="32" t="n">
        <f aca="false">SUM(E33:E37)</f>
        <v>14747.1908333333</v>
      </c>
      <c r="F38" s="40" t="n">
        <f aca="false">IFERROR(E38/E$20,0)</f>
        <v>0.326438060173884</v>
      </c>
      <c r="G38" s="32" t="n">
        <f aca="false">SUM(G33:G37)</f>
        <v>19013.8658333333</v>
      </c>
      <c r="H38" s="40" t="n">
        <f aca="false">IFERROR(G38/G$20,0)</f>
        <v>0.237151362648783</v>
      </c>
      <c r="I38" s="32" t="n">
        <f aca="false">SUM(I33:I37)</f>
        <v>14747.1908333333</v>
      </c>
      <c r="J38" s="40" t="n">
        <f aca="false">IFERROR(I38/I$20,0)</f>
        <v>0.326438060173884</v>
      </c>
      <c r="K38" s="32" t="n">
        <f aca="false">SUM(K33:K37)</f>
        <v>17794.8158333333</v>
      </c>
      <c r="L38" s="40" t="n">
        <f aca="false">IFERROR(K38/K$20,0)</f>
        <v>0.253573820005042</v>
      </c>
      <c r="M38" s="32" t="n">
        <f aca="false">SUM(M33:M37)</f>
        <v>17185.2908333333</v>
      </c>
      <c r="N38" s="40" t="n">
        <f aca="false">IFERROR(M38/M$20,0)</f>
        <v>0.263674828437817</v>
      </c>
      <c r="O38" s="32" t="n">
        <f aca="false">SUM(O33:O37)</f>
        <v>17185.2908333333</v>
      </c>
      <c r="P38" s="40" t="n">
        <f aca="false">IFERROR(O38/O$20,0)</f>
        <v>0.263674828437817</v>
      </c>
      <c r="Q38" s="32" t="n">
        <f aca="false">SUM(Q33:Q37)</f>
        <v>17185.2908333333</v>
      </c>
      <c r="R38" s="40" t="n">
        <f aca="false">IFERROR(Q38/Q$20,0)</f>
        <v>0.263674828437817</v>
      </c>
      <c r="S38" s="32" t="n">
        <f aca="false">SUM(S33:S37)</f>
        <v>17185.2908333333</v>
      </c>
      <c r="T38" s="40" t="n">
        <f aca="false">IFERROR(S38/S$20,0)</f>
        <v>0.263674828437817</v>
      </c>
      <c r="U38" s="32" t="n">
        <f aca="false">SUM(U33:U37)</f>
        <v>17185.2908333333</v>
      </c>
      <c r="V38" s="40" t="n">
        <f aca="false">IFERROR(U38/U$20,0)</f>
        <v>0.263674828437817</v>
      </c>
      <c r="W38" s="32" t="n">
        <f aca="false">SUM(W33:W37)</f>
        <v>17185.2908333333</v>
      </c>
      <c r="X38" s="40" t="n">
        <f aca="false">IFERROR(W38/W$20,0)</f>
        <v>0.263674828437817</v>
      </c>
      <c r="Y38" s="32" t="n">
        <f aca="false">SUM(Y33:Y37)</f>
        <v>17185.2908333333</v>
      </c>
      <c r="Z38" s="40" t="n">
        <f aca="false">IFERROR(Y38/Y$20,0)</f>
        <v>0.263674828437817</v>
      </c>
      <c r="AB38" s="32" t="n">
        <f aca="false">SUM(AB33:AB37)</f>
        <v>205613.965</v>
      </c>
      <c r="AC38" s="40" t="n">
        <f aca="false">IFERROR(AB38/AB$20,0)</f>
        <v>0.264586985633954</v>
      </c>
    </row>
    <row r="40" customFormat="false" ht="15" hidden="false" customHeight="true" outlineLevel="0" collapsed="false">
      <c r="A40" s="31" t="s">
        <v>184</v>
      </c>
      <c r="C40" s="41" t="n">
        <f aca="false">C29+C38</f>
        <v>50700.875</v>
      </c>
      <c r="D40" s="42" t="n">
        <f aca="false">IFERROR(C40/C$20,0)</f>
        <v>0.632369119416877</v>
      </c>
      <c r="E40" s="41" t="n">
        <f aca="false">E29+E38</f>
        <v>32094</v>
      </c>
      <c r="F40" s="42" t="n">
        <f aca="false">IFERROR(E40/E$20,0)</f>
        <v>0.710420257093301</v>
      </c>
      <c r="G40" s="41" t="n">
        <f aca="false">G29+G38</f>
        <v>50700.875</v>
      </c>
      <c r="H40" s="42" t="n">
        <f aca="false">IFERROR(G40/G$20,0)</f>
        <v>0.632369119416877</v>
      </c>
      <c r="I40" s="41" t="n">
        <f aca="false">I29+I38</f>
        <v>32094</v>
      </c>
      <c r="J40" s="42" t="n">
        <f aca="false">IFERROR(I40/I$20,0)</f>
        <v>0.710420257093301</v>
      </c>
      <c r="K40" s="41" t="n">
        <f aca="false">K29+K38</f>
        <v>45384.625</v>
      </c>
      <c r="L40" s="42" t="n">
        <f aca="false">IFERROR(K40/K$20,0)</f>
        <v>0.646725025902702</v>
      </c>
      <c r="M40" s="41" t="n">
        <f aca="false">M29+M38</f>
        <v>42726.5</v>
      </c>
      <c r="N40" s="42" t="n">
        <f aca="false">IFERROR(M40/M$20,0)</f>
        <v>0.655554954903443</v>
      </c>
      <c r="O40" s="41" t="n">
        <f aca="false">O29+O38</f>
        <v>42726.5</v>
      </c>
      <c r="P40" s="42" t="n">
        <f aca="false">IFERROR(O40/O$20,0)</f>
        <v>0.655554954903443</v>
      </c>
      <c r="Q40" s="41" t="n">
        <f aca="false">Q29+Q38</f>
        <v>42726.5</v>
      </c>
      <c r="R40" s="42" t="n">
        <f aca="false">IFERROR(Q40/Q$20,0)</f>
        <v>0.655554954903443</v>
      </c>
      <c r="S40" s="41" t="n">
        <f aca="false">S29+S38</f>
        <v>42726.5</v>
      </c>
      <c r="T40" s="42" t="n">
        <f aca="false">IFERROR(S40/S$20,0)</f>
        <v>0.655554954903443</v>
      </c>
      <c r="U40" s="41" t="n">
        <f aca="false">U29+U38</f>
        <v>42726.5</v>
      </c>
      <c r="V40" s="42" t="n">
        <f aca="false">IFERROR(U40/U$20,0)</f>
        <v>0.655554954903443</v>
      </c>
      <c r="W40" s="41" t="n">
        <f aca="false">W29+W38</f>
        <v>42726.5</v>
      </c>
      <c r="X40" s="42" t="n">
        <f aca="false">IFERROR(W40/W$20,0)</f>
        <v>0.655554954903443</v>
      </c>
      <c r="Y40" s="41" t="n">
        <f aca="false">Y29+Y38</f>
        <v>42726.5</v>
      </c>
      <c r="Z40" s="42" t="n">
        <f aca="false">IFERROR(Y40/Y$20,0)</f>
        <v>0.655554954903443</v>
      </c>
      <c r="AB40" s="41" t="n">
        <f aca="false">AB29+AB38</f>
        <v>510059.875</v>
      </c>
      <c r="AC40" s="42" t="n">
        <f aca="false">IFERROR(AB40/AB$20,0)</f>
        <v>0.656352329079795</v>
      </c>
    </row>
    <row r="41" customFormat="false" ht="15" hidden="false" customHeight="true" outlineLevel="0" collapsed="false">
      <c r="A41" s="31" t="s">
        <v>185</v>
      </c>
      <c r="C41" s="41" t="n">
        <f aca="false">C30-C38</f>
        <v>29475.2016666667</v>
      </c>
      <c r="D41" s="42" t="n">
        <f aca="false">IFERROR(C41/C$20,0)</f>
        <v>0.367630880583123</v>
      </c>
      <c r="E41" s="41" t="n">
        <f aca="false">E30-E38</f>
        <v>13082.0766666667</v>
      </c>
      <c r="F41" s="42" t="n">
        <f aca="false">IFERROR(E41/E$20,0)</f>
        <v>0.289579742906699</v>
      </c>
      <c r="G41" s="41" t="n">
        <f aca="false">G30-G38</f>
        <v>29475.2016666667</v>
      </c>
      <c r="H41" s="42" t="n">
        <f aca="false">IFERROR(G41/G$20,0)</f>
        <v>0.367630880583123</v>
      </c>
      <c r="I41" s="41" t="n">
        <f aca="false">I30-I38</f>
        <v>13082.0766666667</v>
      </c>
      <c r="J41" s="42" t="n">
        <f aca="false">IFERROR(I41/I$20,0)</f>
        <v>0.289579742906699</v>
      </c>
      <c r="K41" s="41" t="n">
        <f aca="false">K30-K38</f>
        <v>24791.4516666667</v>
      </c>
      <c r="L41" s="42" t="n">
        <f aca="false">IFERROR(K41/K$20,0)</f>
        <v>0.353274974097298</v>
      </c>
      <c r="M41" s="41" t="n">
        <f aca="false">M30-M38</f>
        <v>22449.5766666667</v>
      </c>
      <c r="N41" s="42" t="n">
        <f aca="false">IFERROR(M41/M$20,0)</f>
        <v>0.344445045096557</v>
      </c>
      <c r="O41" s="41" t="n">
        <f aca="false">O30-O38</f>
        <v>22449.5766666667</v>
      </c>
      <c r="P41" s="42" t="n">
        <f aca="false">IFERROR(O41/O$20,0)</f>
        <v>0.344445045096557</v>
      </c>
      <c r="Q41" s="41" t="n">
        <f aca="false">Q30-Q38</f>
        <v>22449.5766666667</v>
      </c>
      <c r="R41" s="42" t="n">
        <f aca="false">IFERROR(Q41/Q$20,0)</f>
        <v>0.344445045096557</v>
      </c>
      <c r="S41" s="41" t="n">
        <f aca="false">S30-S38</f>
        <v>22449.5766666667</v>
      </c>
      <c r="T41" s="42" t="n">
        <f aca="false">IFERROR(S41/S$20,0)</f>
        <v>0.344445045096557</v>
      </c>
      <c r="U41" s="41" t="n">
        <f aca="false">U30-U38</f>
        <v>22449.5766666667</v>
      </c>
      <c r="V41" s="42" t="n">
        <f aca="false">IFERROR(U41/U$20,0)</f>
        <v>0.344445045096557</v>
      </c>
      <c r="W41" s="41" t="n">
        <f aca="false">W30-W38</f>
        <v>22449.5766666667</v>
      </c>
      <c r="X41" s="42" t="n">
        <f aca="false">IFERROR(W41/W$20,0)</f>
        <v>0.344445045096557</v>
      </c>
      <c r="Y41" s="41" t="n">
        <f aca="false">Y30-Y38</f>
        <v>22449.5766666667</v>
      </c>
      <c r="Z41" s="42" t="n">
        <f aca="false">IFERROR(Y41/Y$20,0)</f>
        <v>0.344445045096557</v>
      </c>
      <c r="AB41" s="41" t="n">
        <f aca="false">AB30-AB38</f>
        <v>267053.045</v>
      </c>
      <c r="AC41" s="42" t="n">
        <f aca="false">IFERROR(AB41/AB$20,0)</f>
        <v>0.343647670920206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187</v>
      </c>
      <c r="C44" s="28" t="n">
        <f aca="false">'Vessel Budget'!C44+'LW Budget'!C44</f>
        <v>5446.92691666667</v>
      </c>
      <c r="D44" s="39" t="n">
        <f aca="false">IFERROR(C44/C$20,0)</f>
        <v>0.0679370598203795</v>
      </c>
      <c r="E44" s="28" t="n">
        <f aca="false">'Vessel Budget'!E44+'LW Budget'!E44</f>
        <v>5446.92691666667</v>
      </c>
      <c r="F44" s="39" t="n">
        <f aca="false">IFERROR(E44/E$20,0)</f>
        <v>0.120571048186787</v>
      </c>
      <c r="G44" s="28" t="n">
        <f aca="false">'Vessel Budget'!G44+'LW Budget'!G44</f>
        <v>5446.92691666667</v>
      </c>
      <c r="H44" s="39" t="n">
        <f aca="false">IFERROR(G44/G$20,0)</f>
        <v>0.0679370598203795</v>
      </c>
      <c r="I44" s="28" t="n">
        <f aca="false">'Vessel Budget'!I44+'LW Budget'!I44</f>
        <v>5446.92691666667</v>
      </c>
      <c r="J44" s="39" t="n">
        <f aca="false">IFERROR(I44/I$20,0)</f>
        <v>0.120571048186787</v>
      </c>
      <c r="K44" s="28" t="n">
        <f aca="false">'Vessel Budget'!K44+'LW Budget'!K44</f>
        <v>5446.92691666667</v>
      </c>
      <c r="L44" s="39" t="n">
        <f aca="false">IFERROR(K44/K$20,0)</f>
        <v>0.0776180028208094</v>
      </c>
      <c r="M44" s="28" t="n">
        <f aca="false">'Vessel Budget'!M44+'LW Budget'!M44</f>
        <v>5446.92691666667</v>
      </c>
      <c r="N44" s="39" t="n">
        <f aca="false">IFERROR(M44/M$20,0)</f>
        <v>0.0835724884841437</v>
      </c>
      <c r="O44" s="28" t="n">
        <f aca="false">'Vessel Budget'!O44+'LW Budget'!O44</f>
        <v>5446.92691666667</v>
      </c>
      <c r="P44" s="39" t="n">
        <f aca="false">IFERROR(O44/O$20,0)</f>
        <v>0.0835724884841437</v>
      </c>
      <c r="Q44" s="28" t="n">
        <f aca="false">'Vessel Budget'!Q44+'LW Budget'!Q44</f>
        <v>5446.92691666667</v>
      </c>
      <c r="R44" s="39" t="n">
        <f aca="false">IFERROR(Q44/Q$20,0)</f>
        <v>0.0835724884841437</v>
      </c>
      <c r="S44" s="28" t="n">
        <f aca="false">'Vessel Budget'!S44+'LW Budget'!S44</f>
        <v>5446.92691666667</v>
      </c>
      <c r="T44" s="39" t="n">
        <f aca="false">IFERROR(S44/S$20,0)</f>
        <v>0.0835724884841437</v>
      </c>
      <c r="U44" s="28" t="n">
        <f aca="false">'Vessel Budget'!U44+'LW Budget'!U44</f>
        <v>5446.92691666667</v>
      </c>
      <c r="V44" s="39" t="n">
        <f aca="false">IFERROR(U44/U$20,0)</f>
        <v>0.0835724884841437</v>
      </c>
      <c r="W44" s="28" t="n">
        <f aca="false">'Vessel Budget'!W44+'LW Budget'!W44</f>
        <v>5446.92691666667</v>
      </c>
      <c r="X44" s="39" t="n">
        <f aca="false">IFERROR(W44/W$20,0)</f>
        <v>0.0835724884841437</v>
      </c>
      <c r="Y44" s="28" t="n">
        <f aca="false">'Vessel Budget'!Y44+'LW Budget'!Y44</f>
        <v>5446.92691666667</v>
      </c>
      <c r="Z44" s="39" t="n">
        <f aca="false">IFERROR(Y44/Y$20,0)</f>
        <v>0.0835724884841437</v>
      </c>
      <c r="AB44" s="28" t="n">
        <f aca="false">SUM(C44,E44,G44,I44,K44,M44,O44,Q44,S44,U44,W44,Y44)</f>
        <v>65363.123</v>
      </c>
      <c r="AC44" s="39" t="n">
        <f aca="false">IFERROR(AB44/AB$20,0)</f>
        <v>0.084110199840713</v>
      </c>
    </row>
    <row r="45" customFormat="false" ht="15" hidden="false" customHeight="true" outlineLevel="0" collapsed="false">
      <c r="A45" s="27" t="s">
        <v>188</v>
      </c>
      <c r="C45" s="28" t="n">
        <f aca="false">'Vessel Budget'!C45+'LW Budget'!C45</f>
        <v>956.916666666667</v>
      </c>
      <c r="D45" s="39" t="n">
        <f aca="false">IFERROR(C45/C$20,0)</f>
        <v>0.0119351894785905</v>
      </c>
      <c r="E45" s="28" t="n">
        <f aca="false">'Vessel Budget'!E45+'LW Budget'!E45</f>
        <v>956.916666666667</v>
      </c>
      <c r="F45" s="39" t="n">
        <f aca="false">IFERROR(E45/E$20,0)</f>
        <v>0.0211819338303171</v>
      </c>
      <c r="G45" s="28" t="n">
        <f aca="false">'Vessel Budget'!G45+'LW Budget'!G45</f>
        <v>956.916666666667</v>
      </c>
      <c r="H45" s="39" t="n">
        <f aca="false">IFERROR(G45/G$20,0)</f>
        <v>0.0119351894785905</v>
      </c>
      <c r="I45" s="28" t="n">
        <f aca="false">'Vessel Budget'!I45+'LW Budget'!I45</f>
        <v>956.916666666667</v>
      </c>
      <c r="J45" s="39" t="n">
        <f aca="false">IFERROR(I45/I$20,0)</f>
        <v>0.0211819338303171</v>
      </c>
      <c r="K45" s="28" t="n">
        <f aca="false">'Vessel Budget'!K45+'LW Budget'!K45</f>
        <v>956.916666666667</v>
      </c>
      <c r="L45" s="39" t="n">
        <f aca="false">IFERROR(K45/K$20,0)</f>
        <v>0.013635938515229</v>
      </c>
      <c r="M45" s="28" t="n">
        <f aca="false">'Vessel Budget'!M45+'LW Budget'!M45</f>
        <v>956.916666666667</v>
      </c>
      <c r="N45" s="39" t="n">
        <f aca="false">IFERROR(M45/M$20,0)</f>
        <v>0.014682023153383</v>
      </c>
      <c r="O45" s="28" t="n">
        <f aca="false">'Vessel Budget'!O45+'LW Budget'!O45</f>
        <v>956.916666666667</v>
      </c>
      <c r="P45" s="39" t="n">
        <f aca="false">IFERROR(O45/O$20,0)</f>
        <v>0.014682023153383</v>
      </c>
      <c r="Q45" s="28" t="n">
        <f aca="false">'Vessel Budget'!Q45+'LW Budget'!Q45</f>
        <v>956.916666666667</v>
      </c>
      <c r="R45" s="39" t="n">
        <f aca="false">IFERROR(Q45/Q$20,0)</f>
        <v>0.014682023153383</v>
      </c>
      <c r="S45" s="28" t="n">
        <f aca="false">'Vessel Budget'!S45+'LW Budget'!S45</f>
        <v>956.916666666667</v>
      </c>
      <c r="T45" s="39" t="n">
        <f aca="false">IFERROR(S45/S$20,0)</f>
        <v>0.014682023153383</v>
      </c>
      <c r="U45" s="28" t="n">
        <f aca="false">'Vessel Budget'!U45+'LW Budget'!U45</f>
        <v>956.916666666667</v>
      </c>
      <c r="V45" s="39" t="n">
        <f aca="false">IFERROR(U45/U$20,0)</f>
        <v>0.014682023153383</v>
      </c>
      <c r="W45" s="28" t="n">
        <f aca="false">'Vessel Budget'!W45+'LW Budget'!W45</f>
        <v>956.916666666667</v>
      </c>
      <c r="X45" s="39" t="n">
        <f aca="false">IFERROR(W45/W$20,0)</f>
        <v>0.014682023153383</v>
      </c>
      <c r="Y45" s="28" t="n">
        <f aca="false">'Vessel Budget'!Y45+'LW Budget'!Y45</f>
        <v>956.916666666667</v>
      </c>
      <c r="Z45" s="39" t="n">
        <f aca="false">IFERROR(Y45/Y$20,0)</f>
        <v>0.014682023153383</v>
      </c>
      <c r="AB45" s="28" t="n">
        <f aca="false">SUM(C45,E45,G45,I45,K45,M45,O45,Q45,S45,U45,W45,Y45)</f>
        <v>11483</v>
      </c>
      <c r="AC45" s="39" t="n">
        <f aca="false">IFERROR(AB45/AB$20,0)</f>
        <v>0.0147764883384</v>
      </c>
    </row>
    <row r="46" customFormat="false" ht="15" hidden="false" customHeight="true" outlineLevel="0" collapsed="false">
      <c r="A46" s="27" t="s">
        <v>189</v>
      </c>
      <c r="C46" s="28" t="n">
        <f aca="false">'Vessel Budget'!C46+'LW Budget'!C46</f>
        <v>1506.25</v>
      </c>
      <c r="D46" s="39" t="n">
        <f aca="false">IFERROR(C46/C$20,0)</f>
        <v>0.0187867760886113</v>
      </c>
      <c r="E46" s="28" t="n">
        <f aca="false">'Vessel Budget'!E46+'LW Budget'!E46</f>
        <v>1506.25</v>
      </c>
      <c r="F46" s="39" t="n">
        <f aca="false">IFERROR(E46/E$20,0)</f>
        <v>0.0333417620815973</v>
      </c>
      <c r="G46" s="28" t="n">
        <f aca="false">'Vessel Budget'!G46+'LW Budget'!G46</f>
        <v>1506.25</v>
      </c>
      <c r="H46" s="39" t="n">
        <f aca="false">IFERROR(G46/G$20,0)</f>
        <v>0.0187867760886113</v>
      </c>
      <c r="I46" s="28" t="n">
        <f aca="false">'Vessel Budget'!I46+'LW Budget'!I46</f>
        <v>1506.25</v>
      </c>
      <c r="J46" s="39" t="n">
        <f aca="false">IFERROR(I46/I$20,0)</f>
        <v>0.0333417620815973</v>
      </c>
      <c r="K46" s="28" t="n">
        <f aca="false">'Vessel Budget'!K46+'LW Budget'!K46</f>
        <v>1506.25</v>
      </c>
      <c r="L46" s="39" t="n">
        <f aca="false">IFERROR(K46/K$20,0)</f>
        <v>0.0214638673397862</v>
      </c>
      <c r="M46" s="28" t="n">
        <f aca="false">'Vessel Budget'!M46+'LW Budget'!M46</f>
        <v>1506.25</v>
      </c>
      <c r="N46" s="39" t="n">
        <f aca="false">IFERROR(M46/M$20,0)</f>
        <v>0.0231104736129407</v>
      </c>
      <c r="O46" s="28" t="n">
        <f aca="false">'Vessel Budget'!O46+'LW Budget'!O46</f>
        <v>1506.25</v>
      </c>
      <c r="P46" s="39" t="n">
        <f aca="false">IFERROR(O46/O$20,0)</f>
        <v>0.0231104736129407</v>
      </c>
      <c r="Q46" s="28" t="n">
        <f aca="false">'Vessel Budget'!Q46+'LW Budget'!Q46</f>
        <v>1506.25</v>
      </c>
      <c r="R46" s="39" t="n">
        <f aca="false">IFERROR(Q46/Q$20,0)</f>
        <v>0.0231104736129407</v>
      </c>
      <c r="S46" s="28" t="n">
        <f aca="false">'Vessel Budget'!S46+'LW Budget'!S46</f>
        <v>1506.25</v>
      </c>
      <c r="T46" s="39" t="n">
        <f aca="false">IFERROR(S46/S$20,0)</f>
        <v>0.0231104736129407</v>
      </c>
      <c r="U46" s="28" t="n">
        <f aca="false">'Vessel Budget'!U46+'LW Budget'!U46</f>
        <v>1506.25</v>
      </c>
      <c r="V46" s="39" t="n">
        <f aca="false">IFERROR(U46/U$20,0)</f>
        <v>0.0231104736129407</v>
      </c>
      <c r="W46" s="28" t="n">
        <f aca="false">'Vessel Budget'!W46+'LW Budget'!W46</f>
        <v>1506.25</v>
      </c>
      <c r="X46" s="39" t="n">
        <f aca="false">IFERROR(W46/W$20,0)</f>
        <v>0.0231104736129407</v>
      </c>
      <c r="Y46" s="28" t="n">
        <f aca="false">'Vessel Budget'!Y46+'LW Budget'!Y46</f>
        <v>1506.25</v>
      </c>
      <c r="Z46" s="39" t="n">
        <f aca="false">IFERROR(Y46/Y$20,0)</f>
        <v>0.0231104736129407</v>
      </c>
      <c r="AB46" s="28" t="n">
        <f aca="false">SUM(C46,E46,G46,I46,K46,M46,O46,Q46,S46,U46,W46,Y46)</f>
        <v>18075</v>
      </c>
      <c r="AC46" s="39" t="n">
        <f aca="false">IFERROR(AB46/AB$20,0)</f>
        <v>0.0232591680498633</v>
      </c>
    </row>
    <row r="47" customFormat="false" ht="15" hidden="false" customHeight="true" outlineLevel="0" collapsed="false">
      <c r="A47" s="27" t="s">
        <v>190</v>
      </c>
      <c r="C47" s="28" t="n">
        <f aca="false">'Vessel Budget'!C47+'LW Budget'!C47</f>
        <v>6723.66666666667</v>
      </c>
      <c r="D47" s="39" t="n">
        <f aca="false">IFERROR(C47/C$20,0)</f>
        <v>0.0838612581982581</v>
      </c>
      <c r="E47" s="28" t="n">
        <f aca="false">'Vessel Budget'!E47+'LW Budget'!E47</f>
        <v>6723.66666666667</v>
      </c>
      <c r="F47" s="39" t="n">
        <f aca="false">IFERROR(E47/E$20,0)</f>
        <v>0.148832460956658</v>
      </c>
      <c r="G47" s="28" t="n">
        <f aca="false">'Vessel Budget'!G47+'LW Budget'!G47</f>
        <v>6723.66666666667</v>
      </c>
      <c r="H47" s="39" t="n">
        <f aca="false">IFERROR(G47/G$20,0)</f>
        <v>0.0838612581982581</v>
      </c>
      <c r="I47" s="28" t="n">
        <f aca="false">'Vessel Budget'!I47+'LW Budget'!I47</f>
        <v>6723.66666666667</v>
      </c>
      <c r="J47" s="39" t="n">
        <f aca="false">IFERROR(I47/I$20,0)</f>
        <v>0.148832460956658</v>
      </c>
      <c r="K47" s="28" t="n">
        <f aca="false">'Vessel Budget'!K47+'LW Budget'!K47</f>
        <v>6723.66666666667</v>
      </c>
      <c r="L47" s="39" t="n">
        <f aca="false">IFERROR(K47/K$20,0)</f>
        <v>0.0958113788350379</v>
      </c>
      <c r="M47" s="28" t="n">
        <f aca="false">'Vessel Budget'!M47+'LW Budget'!M47</f>
        <v>6723.66666666667</v>
      </c>
      <c r="N47" s="39" t="n">
        <f aca="false">IFERROR(M47/M$20,0)</f>
        <v>0.103161574162462</v>
      </c>
      <c r="O47" s="28" t="n">
        <f aca="false">'Vessel Budget'!O47+'LW Budget'!O47</f>
        <v>6723.66666666667</v>
      </c>
      <c r="P47" s="39" t="n">
        <f aca="false">IFERROR(O47/O$20,0)</f>
        <v>0.103161574162462</v>
      </c>
      <c r="Q47" s="28" t="n">
        <f aca="false">'Vessel Budget'!Q47+'LW Budget'!Q47</f>
        <v>6723.66666666667</v>
      </c>
      <c r="R47" s="39" t="n">
        <f aca="false">IFERROR(Q47/Q$20,0)</f>
        <v>0.103161574162462</v>
      </c>
      <c r="S47" s="28" t="n">
        <f aca="false">'Vessel Budget'!S47+'LW Budget'!S47</f>
        <v>6723.66666666667</v>
      </c>
      <c r="T47" s="39" t="n">
        <f aca="false">IFERROR(S47/S$20,0)</f>
        <v>0.103161574162462</v>
      </c>
      <c r="U47" s="28" t="n">
        <f aca="false">'Vessel Budget'!U47+'LW Budget'!U47</f>
        <v>6723.66666666667</v>
      </c>
      <c r="V47" s="39" t="n">
        <f aca="false">IFERROR(U47/U$20,0)</f>
        <v>0.103161574162462</v>
      </c>
      <c r="W47" s="28" t="n">
        <f aca="false">'Vessel Budget'!W47+'LW Budget'!W47</f>
        <v>6723.66666666667</v>
      </c>
      <c r="X47" s="39" t="n">
        <f aca="false">IFERROR(W47/W$20,0)</f>
        <v>0.103161574162462</v>
      </c>
      <c r="Y47" s="28" t="n">
        <f aca="false">'Vessel Budget'!Y47+'LW Budget'!Y47</f>
        <v>6723.66666666667</v>
      </c>
      <c r="Z47" s="39" t="n">
        <f aca="false">IFERROR(Y47/Y$20,0)</f>
        <v>0.103161574162462</v>
      </c>
      <c r="AB47" s="28" t="n">
        <f aca="false">SUM(C47,E47,G47,I47,K47,M47,O47,Q47,S47,U47,W47,Y47)</f>
        <v>80684</v>
      </c>
      <c r="AC47" s="39" t="n">
        <f aca="false">IFERROR(AB47/AB$20,0)</f>
        <v>0.103825323094615</v>
      </c>
    </row>
    <row r="48" customFormat="false" ht="15" hidden="false" customHeight="true" outlineLevel="0" collapsed="false">
      <c r="A48" s="27" t="s">
        <v>191</v>
      </c>
      <c r="C48" s="28" t="n">
        <f aca="false">'Vessel Budget'!C48+'LW Budget'!C48</f>
        <v>272.583333333333</v>
      </c>
      <c r="D48" s="39" t="n">
        <f aca="false">IFERROR(C48/C$20,0)</f>
        <v>0.00339980882909254</v>
      </c>
      <c r="E48" s="28" t="n">
        <f aca="false">'Vessel Budget'!E48+'LW Budget'!E48</f>
        <v>272.583333333333</v>
      </c>
      <c r="F48" s="39" t="n">
        <f aca="false">IFERROR(E48/E$20,0)</f>
        <v>0.00603379827213858</v>
      </c>
      <c r="G48" s="28" t="n">
        <f aca="false">'Vessel Budget'!G48+'LW Budget'!G48</f>
        <v>272.583333333333</v>
      </c>
      <c r="H48" s="39" t="n">
        <f aca="false">IFERROR(G48/G$20,0)</f>
        <v>0.00339980882909254</v>
      </c>
      <c r="I48" s="28" t="n">
        <f aca="false">'Vessel Budget'!I48+'LW Budget'!I48</f>
        <v>272.583333333333</v>
      </c>
      <c r="J48" s="39" t="n">
        <f aca="false">IFERROR(I48/I$20,0)</f>
        <v>0.00603379827213858</v>
      </c>
      <c r="K48" s="28" t="n">
        <f aca="false">'Vessel Budget'!K48+'LW Budget'!K48</f>
        <v>272.583333333333</v>
      </c>
      <c r="L48" s="39" t="n">
        <f aca="false">IFERROR(K48/K$20,0)</f>
        <v>0.00388427718220972</v>
      </c>
      <c r="M48" s="28" t="n">
        <f aca="false">'Vessel Budget'!M48+'LW Budget'!M48</f>
        <v>272.583333333333</v>
      </c>
      <c r="N48" s="39" t="n">
        <f aca="false">IFERROR(M48/M$20,0)</f>
        <v>0.00418226053598501</v>
      </c>
      <c r="O48" s="28" t="n">
        <f aca="false">'Vessel Budget'!O48+'LW Budget'!O48</f>
        <v>272.583333333333</v>
      </c>
      <c r="P48" s="39" t="n">
        <f aca="false">IFERROR(O48/O$20,0)</f>
        <v>0.00418226053598501</v>
      </c>
      <c r="Q48" s="28" t="n">
        <f aca="false">'Vessel Budget'!Q48+'LW Budget'!Q48</f>
        <v>272.583333333333</v>
      </c>
      <c r="R48" s="39" t="n">
        <f aca="false">IFERROR(Q48/Q$20,0)</f>
        <v>0.00418226053598501</v>
      </c>
      <c r="S48" s="28" t="n">
        <f aca="false">'Vessel Budget'!S48+'LW Budget'!S48</f>
        <v>272.583333333333</v>
      </c>
      <c r="T48" s="39" t="n">
        <f aca="false">IFERROR(S48/S$20,0)</f>
        <v>0.00418226053598501</v>
      </c>
      <c r="U48" s="28" t="n">
        <f aca="false">'Vessel Budget'!U48+'LW Budget'!U48</f>
        <v>272.583333333333</v>
      </c>
      <c r="V48" s="39" t="n">
        <f aca="false">IFERROR(U48/U$20,0)</f>
        <v>0.00418226053598501</v>
      </c>
      <c r="W48" s="28" t="n">
        <f aca="false">'Vessel Budget'!W48+'LW Budget'!W48</f>
        <v>272.583333333333</v>
      </c>
      <c r="X48" s="39" t="n">
        <f aca="false">IFERROR(W48/W$20,0)</f>
        <v>0.00418226053598501</v>
      </c>
      <c r="Y48" s="28" t="n">
        <f aca="false">'Vessel Budget'!Y48+'LW Budget'!Y48</f>
        <v>272.583333333333</v>
      </c>
      <c r="Z48" s="39" t="n">
        <f aca="false">IFERROR(Y48/Y$20,0)</f>
        <v>0.00418226053598501</v>
      </c>
      <c r="AB48" s="28" t="n">
        <f aca="false">SUM(C48,E48,G48,I48,K48,M48,O48,Q48,S48,U48,W48,Y48)</f>
        <v>3271</v>
      </c>
      <c r="AC48" s="39" t="n">
        <f aca="false">IFERROR(AB48/AB$20,0)</f>
        <v>0.00420916949881621</v>
      </c>
    </row>
    <row r="49" customFormat="false" ht="15" hidden="false" customHeight="true" outlineLevel="0" collapsed="false">
      <c r="A49" s="27" t="s">
        <v>192</v>
      </c>
      <c r="C49" s="28" t="n">
        <f aca="false">'Vessel Budget'!C49+'LW Budget'!C49</f>
        <v>1250</v>
      </c>
      <c r="D49" s="39" t="n">
        <f aca="false">IFERROR(C49/C$20,0)</f>
        <v>0.0155906855507148</v>
      </c>
      <c r="E49" s="28" t="n">
        <f aca="false">'Vessel Budget'!E49+'LW Budget'!E49</f>
        <v>375</v>
      </c>
      <c r="F49" s="39" t="n">
        <f aca="false">IFERROR(E49/E$20,0)</f>
        <v>0.00830085363027319</v>
      </c>
      <c r="G49" s="28" t="n">
        <f aca="false">'Vessel Budget'!G49+'LW Budget'!G49</f>
        <v>1250</v>
      </c>
      <c r="H49" s="39" t="n">
        <f aca="false">IFERROR(G49/G$20,0)</f>
        <v>0.0155906855507148</v>
      </c>
      <c r="I49" s="28" t="n">
        <f aca="false">'Vessel Budget'!I49+'LW Budget'!I49</f>
        <v>375</v>
      </c>
      <c r="J49" s="39" t="n">
        <f aca="false">IFERROR(I49/I$20,0)</f>
        <v>0.00830085363027319</v>
      </c>
      <c r="K49" s="28" t="n">
        <f aca="false">'Vessel Budget'!K49+'LW Budget'!K49</f>
        <v>1000</v>
      </c>
      <c r="L49" s="39" t="n">
        <f aca="false">IFERROR(K49/K$20,0)</f>
        <v>0.0142498704330531</v>
      </c>
      <c r="M49" s="28" t="n">
        <f aca="false">'Vessel Budget'!M49+'LW Budget'!M49</f>
        <v>875</v>
      </c>
      <c r="N49" s="39" t="n">
        <f aca="false">IFERROR(M49/M$20,0)</f>
        <v>0.0134251713934095</v>
      </c>
      <c r="O49" s="28" t="n">
        <f aca="false">'Vessel Budget'!O49+'LW Budget'!O49</f>
        <v>875</v>
      </c>
      <c r="P49" s="39" t="n">
        <f aca="false">IFERROR(O49/O$20,0)</f>
        <v>0.0134251713934095</v>
      </c>
      <c r="Q49" s="28" t="n">
        <f aca="false">'Vessel Budget'!Q49+'LW Budget'!Q49</f>
        <v>875</v>
      </c>
      <c r="R49" s="39" t="n">
        <f aca="false">IFERROR(Q49/Q$20,0)</f>
        <v>0.0134251713934095</v>
      </c>
      <c r="S49" s="28" t="n">
        <f aca="false">'Vessel Budget'!S49+'LW Budget'!S49</f>
        <v>875</v>
      </c>
      <c r="T49" s="39" t="n">
        <f aca="false">IFERROR(S49/S$20,0)</f>
        <v>0.0134251713934095</v>
      </c>
      <c r="U49" s="28" t="n">
        <f aca="false">'Vessel Budget'!U49+'LW Budget'!U49</f>
        <v>875</v>
      </c>
      <c r="V49" s="39" t="n">
        <f aca="false">IFERROR(U49/U$20,0)</f>
        <v>0.0134251713934095</v>
      </c>
      <c r="W49" s="28" t="n">
        <f aca="false">'Vessel Budget'!W49+'LW Budget'!W49</f>
        <v>875</v>
      </c>
      <c r="X49" s="39" t="n">
        <f aca="false">IFERROR(W49/W$20,0)</f>
        <v>0.0134251713934095</v>
      </c>
      <c r="Y49" s="28" t="n">
        <f aca="false">'Vessel Budget'!Y49+'LW Budget'!Y49</f>
        <v>875</v>
      </c>
      <c r="Z49" s="39" t="n">
        <f aca="false">IFERROR(Y49/Y$20,0)</f>
        <v>0.0134251713934095</v>
      </c>
      <c r="AB49" s="28" t="n">
        <f aca="false">SUM(C49,E49,G49,I49,K49,M49,O49,Q49,S49,U49,W49,Y49)</f>
        <v>10375</v>
      </c>
      <c r="AC49" s="39" t="n">
        <f aca="false">IFERROR(AB49/AB$20,0)</f>
        <v>0.0133506981199077</v>
      </c>
    </row>
    <row r="50" customFormat="false" ht="15" hidden="false" customHeight="true" outlineLevel="0" collapsed="false">
      <c r="A50" s="31" t="s">
        <v>193</v>
      </c>
      <c r="C50" s="32" t="n">
        <f aca="false">SUM(C44:C49)</f>
        <v>16156.3435833333</v>
      </c>
      <c r="D50" s="40" t="n">
        <f aca="false">IFERROR(C50/C$20,0)</f>
        <v>0.201510777965647</v>
      </c>
      <c r="E50" s="32" t="n">
        <f aca="false">SUM(E44:E49)</f>
        <v>15281.3435833333</v>
      </c>
      <c r="F50" s="40" t="n">
        <f aca="false">IFERROR(E50/E$20,0)</f>
        <v>0.338261856957772</v>
      </c>
      <c r="G50" s="32" t="n">
        <f aca="false">SUM(G44:G49)</f>
        <v>16156.3435833333</v>
      </c>
      <c r="H50" s="40" t="n">
        <f aca="false">IFERROR(G50/G$20,0)</f>
        <v>0.201510777965647</v>
      </c>
      <c r="I50" s="32" t="n">
        <f aca="false">SUM(I44:I49)</f>
        <v>15281.3435833333</v>
      </c>
      <c r="J50" s="40" t="n">
        <f aca="false">IFERROR(I50/I$20,0)</f>
        <v>0.338261856957772</v>
      </c>
      <c r="K50" s="32" t="n">
        <f aca="false">SUM(K44:K49)</f>
        <v>15906.3435833333</v>
      </c>
      <c r="L50" s="40" t="n">
        <f aca="false">IFERROR(K50/K$20,0)</f>
        <v>0.226663335126125</v>
      </c>
      <c r="M50" s="32" t="n">
        <f aca="false">SUM(M44:M49)</f>
        <v>15781.3435833333</v>
      </c>
      <c r="N50" s="40" t="n">
        <f aca="false">IFERROR(M50/M$20,0)</f>
        <v>0.242133991342324</v>
      </c>
      <c r="O50" s="32" t="n">
        <f aca="false">SUM(O44:O49)</f>
        <v>15781.3435833333</v>
      </c>
      <c r="P50" s="40" t="n">
        <f aca="false">IFERROR(O50/O$20,0)</f>
        <v>0.242133991342324</v>
      </c>
      <c r="Q50" s="32" t="n">
        <f aca="false">SUM(Q44:Q49)</f>
        <v>15781.3435833333</v>
      </c>
      <c r="R50" s="40" t="n">
        <f aca="false">IFERROR(Q50/Q$20,0)</f>
        <v>0.242133991342324</v>
      </c>
      <c r="S50" s="32" t="n">
        <f aca="false">SUM(S44:S49)</f>
        <v>15781.3435833333</v>
      </c>
      <c r="T50" s="40" t="n">
        <f aca="false">IFERROR(S50/S$20,0)</f>
        <v>0.242133991342324</v>
      </c>
      <c r="U50" s="32" t="n">
        <f aca="false">SUM(U44:U49)</f>
        <v>15781.3435833333</v>
      </c>
      <c r="V50" s="40" t="n">
        <f aca="false">IFERROR(U50/U$20,0)</f>
        <v>0.242133991342324</v>
      </c>
      <c r="W50" s="32" t="n">
        <f aca="false">SUM(W44:W49)</f>
        <v>15781.3435833333</v>
      </c>
      <c r="X50" s="40" t="n">
        <f aca="false">IFERROR(W50/W$20,0)</f>
        <v>0.242133991342324</v>
      </c>
      <c r="Y50" s="32" t="n">
        <f aca="false">SUM(Y44:Y49)</f>
        <v>15781.3435833333</v>
      </c>
      <c r="Z50" s="40" t="n">
        <f aca="false">IFERROR(Y50/Y$20,0)</f>
        <v>0.242133991342324</v>
      </c>
      <c r="AB50" s="32" t="n">
        <f aca="false">SUM(AB44:AB49)</f>
        <v>189251.123</v>
      </c>
      <c r="AC50" s="40" t="n">
        <f aca="false">IFERROR(AB50/AB$20,0)</f>
        <v>0.243531046942316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f aca="false">'Vessel Budget'!C53+'LW Budget'!C53</f>
        <v>722.916666666667</v>
      </c>
      <c r="D53" s="39" t="n">
        <f aca="false">IFERROR(C53/C$20,0)</f>
        <v>0.00901661314349671</v>
      </c>
      <c r="E53" s="28" t="n">
        <f aca="false">'Vessel Budget'!E53+'LW Budget'!E53</f>
        <v>722.916666666667</v>
      </c>
      <c r="F53" s="39" t="n">
        <f aca="false">IFERROR(E53/E$20,0)</f>
        <v>0.0160022011650267</v>
      </c>
      <c r="G53" s="28" t="n">
        <f aca="false">'Vessel Budget'!G53+'LW Budget'!G53</f>
        <v>722.916666666667</v>
      </c>
      <c r="H53" s="39" t="n">
        <f aca="false">IFERROR(G53/G$20,0)</f>
        <v>0.00901661314349671</v>
      </c>
      <c r="I53" s="28" t="n">
        <f aca="false">'Vessel Budget'!I53+'LW Budget'!I53</f>
        <v>722.916666666667</v>
      </c>
      <c r="J53" s="39" t="n">
        <f aca="false">IFERROR(I53/I$20,0)</f>
        <v>0.0160022011650267</v>
      </c>
      <c r="K53" s="28" t="n">
        <f aca="false">'Vessel Budget'!K53+'LW Budget'!K53</f>
        <v>722.916666666667</v>
      </c>
      <c r="L53" s="39" t="n">
        <f aca="false">IFERROR(K53/K$20,0)</f>
        <v>0.0103014688338946</v>
      </c>
      <c r="M53" s="28" t="n">
        <f aca="false">'Vessel Budget'!M53+'LW Budget'!M53</f>
        <v>722.916666666667</v>
      </c>
      <c r="N53" s="39" t="n">
        <f aca="false">IFERROR(M53/M$20,0)</f>
        <v>0.0110917487464598</v>
      </c>
      <c r="O53" s="28" t="n">
        <f aca="false">'Vessel Budget'!O53+'LW Budget'!O53</f>
        <v>722.916666666667</v>
      </c>
      <c r="P53" s="39" t="n">
        <f aca="false">IFERROR(O53/O$20,0)</f>
        <v>0.0110917487464598</v>
      </c>
      <c r="Q53" s="28" t="n">
        <f aca="false">'Vessel Budget'!Q53+'LW Budget'!Q53</f>
        <v>722.916666666667</v>
      </c>
      <c r="R53" s="39" t="n">
        <f aca="false">IFERROR(Q53/Q$20,0)</f>
        <v>0.0110917487464598</v>
      </c>
      <c r="S53" s="28" t="n">
        <f aca="false">'Vessel Budget'!S53+'LW Budget'!S53</f>
        <v>722.916666666667</v>
      </c>
      <c r="T53" s="39" t="n">
        <f aca="false">IFERROR(S53/S$20,0)</f>
        <v>0.0110917487464598</v>
      </c>
      <c r="U53" s="28" t="n">
        <f aca="false">'Vessel Budget'!U53+'LW Budget'!U53</f>
        <v>722.916666666667</v>
      </c>
      <c r="V53" s="39" t="n">
        <f aca="false">IFERROR(U53/U$20,0)</f>
        <v>0.0110917487464598</v>
      </c>
      <c r="W53" s="28" t="n">
        <f aca="false">'Vessel Budget'!W53+'LW Budget'!W53</f>
        <v>722.916666666667</v>
      </c>
      <c r="X53" s="39" t="n">
        <f aca="false">IFERROR(W53/W$20,0)</f>
        <v>0.0110917487464598</v>
      </c>
      <c r="Y53" s="28" t="n">
        <f aca="false">'Vessel Budget'!Y53+'LW Budget'!Y53</f>
        <v>722.916666666667</v>
      </c>
      <c r="Z53" s="39" t="n">
        <f aca="false">IFERROR(Y53/Y$20,0)</f>
        <v>0.0110917487464598</v>
      </c>
      <c r="AB53" s="28" t="n">
        <f aca="false">SUM(C53,E53,G53,I53,K53,M53,O53,Q53,S53,U53,W53,Y53)</f>
        <v>8675</v>
      </c>
      <c r="AC53" s="39" t="n">
        <f aca="false">IFERROR(AB53/AB$20,0)</f>
        <v>0.0111631138496578</v>
      </c>
    </row>
    <row r="54" customFormat="false" ht="15" hidden="false" customHeight="true" outlineLevel="0" collapsed="false">
      <c r="A54" s="27" t="s">
        <v>196</v>
      </c>
      <c r="C54" s="28" t="n">
        <f aca="false">'Vessel Budget'!C54+'LW Budget'!C54</f>
        <v>0</v>
      </c>
      <c r="D54" s="39" t="n">
        <f aca="false">IFERROR(C54/C$20,0)</f>
        <v>0</v>
      </c>
      <c r="E54" s="28" t="n">
        <f aca="false">'Vessel Budget'!E54+'LW Budget'!E54</f>
        <v>0</v>
      </c>
      <c r="F54" s="39" t="n">
        <f aca="false">IFERROR(E54/E$20,0)</f>
        <v>0</v>
      </c>
      <c r="G54" s="28" t="n">
        <f aca="false">'Vessel Budget'!G54+'LW Budget'!G54</f>
        <v>0</v>
      </c>
      <c r="H54" s="39" t="n">
        <f aca="false">IFERROR(G54/G$20,0)</f>
        <v>0</v>
      </c>
      <c r="I54" s="28" t="n">
        <f aca="false">'Vessel Budget'!I54+'LW Budget'!I54</f>
        <v>0</v>
      </c>
      <c r="J54" s="39" t="n">
        <f aca="false">IFERROR(I54/I$20,0)</f>
        <v>0</v>
      </c>
      <c r="K54" s="28" t="n">
        <f aca="false">'Vessel Budget'!K54+'LW Budget'!K54</f>
        <v>0</v>
      </c>
      <c r="L54" s="39" t="n">
        <f aca="false">IFERROR(K54/K$20,0)</f>
        <v>0</v>
      </c>
      <c r="M54" s="28" t="n">
        <f aca="false">'Vessel Budget'!M54+'LW Budget'!M54</f>
        <v>0</v>
      </c>
      <c r="N54" s="39" t="n">
        <f aca="false">IFERROR(M54/M$20,0)</f>
        <v>0</v>
      </c>
      <c r="O54" s="28" t="n">
        <f aca="false">'Vessel Budget'!O54+'LW Budget'!O54</f>
        <v>0</v>
      </c>
      <c r="P54" s="39" t="n">
        <f aca="false">IFERROR(O54/O$20,0)</f>
        <v>0</v>
      </c>
      <c r="Q54" s="28" t="n">
        <f aca="false">'Vessel Budget'!Q54+'LW Budget'!Q54</f>
        <v>0</v>
      </c>
      <c r="R54" s="39" t="n">
        <f aca="false">IFERROR(Q54/Q$20,0)</f>
        <v>0</v>
      </c>
      <c r="S54" s="28" t="n">
        <f aca="false">'Vessel Budget'!S54+'LW Budget'!S54</f>
        <v>0</v>
      </c>
      <c r="T54" s="39" t="n">
        <f aca="false">IFERROR(S54/S$20,0)</f>
        <v>0</v>
      </c>
      <c r="U54" s="28" t="n">
        <f aca="false">'Vessel Budget'!U54+'LW Budget'!U54</f>
        <v>0</v>
      </c>
      <c r="V54" s="39" t="n">
        <f aca="false">IFERROR(U54/U$20,0)</f>
        <v>0</v>
      </c>
      <c r="W54" s="28" t="n">
        <f aca="false">'Vessel Budget'!W54+'LW Budget'!W54</f>
        <v>0</v>
      </c>
      <c r="X54" s="39" t="n">
        <f aca="false">IFERROR(W54/W$20,0)</f>
        <v>0</v>
      </c>
      <c r="Y54" s="28" t="n">
        <f aca="false">'Vessel Budget'!Y54+'LW Budget'!Y54</f>
        <v>0</v>
      </c>
      <c r="Z54" s="39" t="n">
        <f aca="false">IFERROR(Y54/Y$20,0)</f>
        <v>0</v>
      </c>
      <c r="AB54" s="28" t="n">
        <f aca="false">SUM(C54,E54,G54,I54,K54,M54,O54,Q54,S54,U54,W54,Y54)</f>
        <v>0</v>
      </c>
      <c r="AC54" s="39" t="n">
        <f aca="false">IFERROR(AB54/AB$20,0)</f>
        <v>0</v>
      </c>
    </row>
    <row r="55" customFormat="false" ht="15" hidden="false" customHeight="true" outlineLevel="0" collapsed="false">
      <c r="A55" s="27" t="s">
        <v>197</v>
      </c>
      <c r="C55" s="28" t="n">
        <f aca="false">'Vessel Budget'!C55+'LW Budget'!C55</f>
        <v>2189.5</v>
      </c>
      <c r="D55" s="39" t="n">
        <f aca="false">IFERROR(C55/C$20,0)</f>
        <v>0.027308644810632</v>
      </c>
      <c r="E55" s="28" t="n">
        <f aca="false">'Vessel Budget'!E55+'LW Budget'!E55</f>
        <v>2189.5</v>
      </c>
      <c r="F55" s="39" t="n">
        <f aca="false">IFERROR(E55/E$20,0)</f>
        <v>0.0484659173959551</v>
      </c>
      <c r="G55" s="28" t="n">
        <f aca="false">'Vessel Budget'!G55+'LW Budget'!G55</f>
        <v>2189.5</v>
      </c>
      <c r="H55" s="39" t="n">
        <f aca="false">IFERROR(G55/G$20,0)</f>
        <v>0.027308644810632</v>
      </c>
      <c r="I55" s="28" t="n">
        <f aca="false">'Vessel Budget'!I55+'LW Budget'!I55</f>
        <v>2189.5</v>
      </c>
      <c r="J55" s="39" t="n">
        <f aca="false">IFERROR(I55/I$20,0)</f>
        <v>0.0484659173959551</v>
      </c>
      <c r="K55" s="28" t="n">
        <f aca="false">'Vessel Budget'!K55+'LW Budget'!K55</f>
        <v>2189.5</v>
      </c>
      <c r="L55" s="39" t="n">
        <f aca="false">IFERROR(K55/K$20,0)</f>
        <v>0.0312000913131697</v>
      </c>
      <c r="M55" s="28" t="n">
        <f aca="false">'Vessel Budget'!M55+'LW Budget'!M55</f>
        <v>2189.5</v>
      </c>
      <c r="N55" s="39" t="n">
        <f aca="false">IFERROR(M55/M$20,0)</f>
        <v>0.0335936145895659</v>
      </c>
      <c r="O55" s="28" t="n">
        <f aca="false">'Vessel Budget'!O55+'LW Budget'!O55</f>
        <v>2189.5</v>
      </c>
      <c r="P55" s="39" t="n">
        <f aca="false">IFERROR(O55/O$20,0)</f>
        <v>0.0335936145895659</v>
      </c>
      <c r="Q55" s="28" t="n">
        <f aca="false">'Vessel Budget'!Q55+'LW Budget'!Q55</f>
        <v>2189.5</v>
      </c>
      <c r="R55" s="39" t="n">
        <f aca="false">IFERROR(Q55/Q$20,0)</f>
        <v>0.0335936145895659</v>
      </c>
      <c r="S55" s="28" t="n">
        <f aca="false">'Vessel Budget'!S55+'LW Budget'!S55</f>
        <v>2189.5</v>
      </c>
      <c r="T55" s="39" t="n">
        <f aca="false">IFERROR(S55/S$20,0)</f>
        <v>0.0335936145895659</v>
      </c>
      <c r="U55" s="28" t="n">
        <f aca="false">'Vessel Budget'!U55+'LW Budget'!U55</f>
        <v>2189.5</v>
      </c>
      <c r="V55" s="39" t="n">
        <f aca="false">IFERROR(U55/U$20,0)</f>
        <v>0.0335936145895659</v>
      </c>
      <c r="W55" s="28" t="n">
        <f aca="false">'Vessel Budget'!W55+'LW Budget'!W55</f>
        <v>2189.5</v>
      </c>
      <c r="X55" s="39" t="n">
        <f aca="false">IFERROR(W55/W$20,0)</f>
        <v>0.0335936145895659</v>
      </c>
      <c r="Y55" s="28" t="n">
        <f aca="false">'Vessel Budget'!Y55+'LW Budget'!Y55</f>
        <v>2189.5</v>
      </c>
      <c r="Z55" s="39" t="n">
        <f aca="false">IFERROR(Y55/Y$20,0)</f>
        <v>0.0335936145895659</v>
      </c>
      <c r="AB55" s="28" t="n">
        <f aca="false">SUM(C55,E55,G55,I55,K55,M55,O55,Q55,S55,U55,W55,Y55)</f>
        <v>26274</v>
      </c>
      <c r="AC55" s="39" t="n">
        <f aca="false">IFERROR(AB55/AB$20,0)</f>
        <v>0.0338097583038511</v>
      </c>
    </row>
    <row r="56" customFormat="false" ht="15" hidden="false" customHeight="true" outlineLevel="0" collapsed="false">
      <c r="A56" s="27" t="s">
        <v>133</v>
      </c>
      <c r="C56" s="28" t="n">
        <f aca="false">'Vessel Budget'!C56+'LW Budget'!C56</f>
        <v>3207.04306666667</v>
      </c>
      <c r="D56" s="39" t="n">
        <f aca="false">IFERROR(C56/C$20,0)</f>
        <v>0.04</v>
      </c>
      <c r="E56" s="28" t="n">
        <f aca="false">'Vessel Budget'!E56+'LW Budget'!E56</f>
        <v>1807.04306666667</v>
      </c>
      <c r="F56" s="39" t="n">
        <f aca="false">IFERROR(E56/E$20,0)</f>
        <v>0.04</v>
      </c>
      <c r="G56" s="28" t="n">
        <f aca="false">'Vessel Budget'!G56+'LW Budget'!G56</f>
        <v>3207.04306666667</v>
      </c>
      <c r="H56" s="39" t="n">
        <f aca="false">IFERROR(G56/G$20,0)</f>
        <v>0.04</v>
      </c>
      <c r="I56" s="28" t="n">
        <f aca="false">'Vessel Budget'!I56+'LW Budget'!I56</f>
        <v>1807.04306666667</v>
      </c>
      <c r="J56" s="39" t="n">
        <f aca="false">IFERROR(I56/I$20,0)</f>
        <v>0.04</v>
      </c>
      <c r="K56" s="28" t="n">
        <f aca="false">'Vessel Budget'!K56+'LW Budget'!K56</f>
        <v>2807.04306666667</v>
      </c>
      <c r="L56" s="39" t="n">
        <f aca="false">IFERROR(K56/K$20,0)</f>
        <v>0.04</v>
      </c>
      <c r="M56" s="28" t="n">
        <f aca="false">'Vessel Budget'!M56+'LW Budget'!M56</f>
        <v>2607.04306666667</v>
      </c>
      <c r="N56" s="39" t="n">
        <f aca="false">IFERROR(M56/M$20,0)</f>
        <v>0.04</v>
      </c>
      <c r="O56" s="28" t="n">
        <f aca="false">'Vessel Budget'!O56+'LW Budget'!O56</f>
        <v>2607.04306666667</v>
      </c>
      <c r="P56" s="39" t="n">
        <f aca="false">IFERROR(O56/O$20,0)</f>
        <v>0.04</v>
      </c>
      <c r="Q56" s="28" t="n">
        <f aca="false">'Vessel Budget'!Q56+'LW Budget'!Q56</f>
        <v>2607.04306666667</v>
      </c>
      <c r="R56" s="39" t="n">
        <f aca="false">IFERROR(Q56/Q$20,0)</f>
        <v>0.04</v>
      </c>
      <c r="S56" s="28" t="n">
        <f aca="false">'Vessel Budget'!S56+'LW Budget'!S56</f>
        <v>2607.04306666667</v>
      </c>
      <c r="T56" s="39" t="n">
        <f aca="false">IFERROR(S56/S$20,0)</f>
        <v>0.04</v>
      </c>
      <c r="U56" s="28" t="n">
        <f aca="false">'Vessel Budget'!U56+'LW Budget'!U56</f>
        <v>2607.04306666667</v>
      </c>
      <c r="V56" s="39" t="n">
        <f aca="false">IFERROR(U56/U$20,0)</f>
        <v>0.04</v>
      </c>
      <c r="W56" s="28" t="n">
        <f aca="false">'Vessel Budget'!W56+'LW Budget'!W56</f>
        <v>2607.04306666667</v>
      </c>
      <c r="X56" s="39" t="n">
        <f aca="false">IFERROR(W56/W$20,0)</f>
        <v>0.04</v>
      </c>
      <c r="Y56" s="28" t="n">
        <f aca="false">'Vessel Budget'!Y56+'LW Budget'!Y56</f>
        <v>2607.04306666667</v>
      </c>
      <c r="Z56" s="39" t="n">
        <f aca="false">IFERROR(Y56/Y$20,0)</f>
        <v>0.04</v>
      </c>
      <c r="AB56" s="28" t="n">
        <f aca="false">SUM(C56,E56,G56,I56,K56,M56,O56,Q56,S56,U56,W56,Y56)</f>
        <v>31084.5168</v>
      </c>
      <c r="AC56" s="39" t="n">
        <f aca="false">IFERROR(AB56/AB$20,0)</f>
        <v>0.04</v>
      </c>
    </row>
    <row r="57" customFormat="false" ht="15" hidden="false" customHeight="true" outlineLevel="0" collapsed="false">
      <c r="A57" s="27" t="s">
        <v>198</v>
      </c>
      <c r="C57" s="28" t="n">
        <f aca="false">'Vessel Budget'!C57+'LW Budget'!C57</f>
        <v>0</v>
      </c>
      <c r="D57" s="39" t="n">
        <f aca="false">IFERROR(C57/C$20,0)</f>
        <v>0</v>
      </c>
      <c r="E57" s="28" t="n">
        <f aca="false">'Vessel Budget'!E57+'LW Budget'!E57</f>
        <v>0</v>
      </c>
      <c r="F57" s="39" t="n">
        <f aca="false">IFERROR(E57/E$20,0)</f>
        <v>0</v>
      </c>
      <c r="G57" s="28" t="n">
        <f aca="false">'Vessel Budget'!G57+'LW Budget'!G57</f>
        <v>0</v>
      </c>
      <c r="H57" s="39" t="n">
        <f aca="false">IFERROR(G57/G$20,0)</f>
        <v>0</v>
      </c>
      <c r="I57" s="28" t="n">
        <f aca="false">'Vessel Budget'!I57+'LW Budget'!I57</f>
        <v>0</v>
      </c>
      <c r="J57" s="39" t="n">
        <f aca="false">IFERROR(I57/I$20,0)</f>
        <v>0</v>
      </c>
      <c r="K57" s="28" t="n">
        <f aca="false">'Vessel Budget'!K57+'LW Budget'!K57</f>
        <v>0</v>
      </c>
      <c r="L57" s="39" t="n">
        <f aca="false">IFERROR(K57/K$20,0)</f>
        <v>0</v>
      </c>
      <c r="M57" s="28" t="n">
        <f aca="false">'Vessel Budget'!M57+'LW Budget'!M57</f>
        <v>0</v>
      </c>
      <c r="N57" s="39" t="n">
        <f aca="false">IFERROR(M57/M$20,0)</f>
        <v>0</v>
      </c>
      <c r="O57" s="28" t="n">
        <f aca="false">'Vessel Budget'!O57+'LW Budget'!O57</f>
        <v>0</v>
      </c>
      <c r="P57" s="39" t="n">
        <f aca="false">IFERROR(O57/O$20,0)</f>
        <v>0</v>
      </c>
      <c r="Q57" s="28" t="n">
        <f aca="false">'Vessel Budget'!Q57+'LW Budget'!Q57</f>
        <v>0</v>
      </c>
      <c r="R57" s="39" t="n">
        <f aca="false">IFERROR(Q57/Q$20,0)</f>
        <v>0</v>
      </c>
      <c r="S57" s="28" t="n">
        <f aca="false">'Vessel Budget'!S57+'LW Budget'!S57</f>
        <v>0</v>
      </c>
      <c r="T57" s="39" t="n">
        <f aca="false">IFERROR(S57/S$20,0)</f>
        <v>0</v>
      </c>
      <c r="U57" s="28" t="n">
        <f aca="false">'Vessel Budget'!U57+'LW Budget'!U57</f>
        <v>0</v>
      </c>
      <c r="V57" s="39" t="n">
        <f aca="false">IFERROR(U57/U$20,0)</f>
        <v>0</v>
      </c>
      <c r="W57" s="28" t="n">
        <f aca="false">'Vessel Budget'!W57+'LW Budget'!W57</f>
        <v>0</v>
      </c>
      <c r="X57" s="39" t="n">
        <f aca="false">IFERROR(W57/W$20,0)</f>
        <v>0</v>
      </c>
      <c r="Y57" s="28" t="n">
        <f aca="false">'Vessel Budget'!Y57+'LW Budget'!Y57</f>
        <v>0</v>
      </c>
      <c r="Z57" s="39" t="n">
        <f aca="false">IFERROR(Y57/Y$20,0)</f>
        <v>0</v>
      </c>
      <c r="AB57" s="28" t="n">
        <f aca="false">SUM(C57,E57,G57,I57,K57,M57,O57,Q57,S57,U57,W57,Y57)</f>
        <v>0</v>
      </c>
      <c r="AC57" s="39" t="n">
        <f aca="false">IFERROR(AB57/AB$20,0)</f>
        <v>0</v>
      </c>
    </row>
    <row r="58" customFormat="false" ht="15" hidden="false" customHeight="true" outlineLevel="0" collapsed="false">
      <c r="A58" s="27" t="s">
        <v>199</v>
      </c>
      <c r="C58" s="28" t="n">
        <f aca="false">'Vessel Budget'!C58+'LW Budget'!C58</f>
        <v>0</v>
      </c>
      <c r="D58" s="39" t="n">
        <f aca="false">IFERROR(C58/C$20,0)</f>
        <v>0</v>
      </c>
      <c r="E58" s="28" t="n">
        <f aca="false">'Vessel Budget'!E58+'LW Budget'!E58</f>
        <v>0</v>
      </c>
      <c r="F58" s="39" t="n">
        <f aca="false">IFERROR(E58/E$20,0)</f>
        <v>0</v>
      </c>
      <c r="G58" s="28" t="n">
        <f aca="false">'Vessel Budget'!G58+'LW Budget'!G58</f>
        <v>0</v>
      </c>
      <c r="H58" s="39" t="n">
        <f aca="false">IFERROR(G58/G$20,0)</f>
        <v>0</v>
      </c>
      <c r="I58" s="28" t="n">
        <f aca="false">'Vessel Budget'!I58+'LW Budget'!I58</f>
        <v>0</v>
      </c>
      <c r="J58" s="39" t="n">
        <f aca="false">IFERROR(I58/I$20,0)</f>
        <v>0</v>
      </c>
      <c r="K58" s="28" t="n">
        <f aca="false">'Vessel Budget'!K58+'LW Budget'!K58</f>
        <v>0</v>
      </c>
      <c r="L58" s="39" t="n">
        <f aca="false">IFERROR(K58/K$20,0)</f>
        <v>0</v>
      </c>
      <c r="M58" s="28" t="n">
        <f aca="false">'Vessel Budget'!M58+'LW Budget'!M58</f>
        <v>0</v>
      </c>
      <c r="N58" s="39" t="n">
        <f aca="false">IFERROR(M58/M$20,0)</f>
        <v>0</v>
      </c>
      <c r="O58" s="28" t="n">
        <f aca="false">'Vessel Budget'!O58+'LW Budget'!O58</f>
        <v>0</v>
      </c>
      <c r="P58" s="39" t="n">
        <f aca="false">IFERROR(O58/O$20,0)</f>
        <v>0</v>
      </c>
      <c r="Q58" s="28" t="n">
        <f aca="false">'Vessel Budget'!Q58+'LW Budget'!Q58</f>
        <v>0</v>
      </c>
      <c r="R58" s="39" t="n">
        <f aca="false">IFERROR(Q58/Q$20,0)</f>
        <v>0</v>
      </c>
      <c r="S58" s="28" t="n">
        <f aca="false">'Vessel Budget'!S58+'LW Budget'!S58</f>
        <v>0</v>
      </c>
      <c r="T58" s="39" t="n">
        <f aca="false">IFERROR(S58/S$20,0)</f>
        <v>0</v>
      </c>
      <c r="U58" s="28" t="n">
        <f aca="false">'Vessel Budget'!U58+'LW Budget'!U58</f>
        <v>0</v>
      </c>
      <c r="V58" s="39" t="n">
        <f aca="false">IFERROR(U58/U$20,0)</f>
        <v>0</v>
      </c>
      <c r="W58" s="28" t="n">
        <f aca="false">'Vessel Budget'!W58+'LW Budget'!W58</f>
        <v>0</v>
      </c>
      <c r="X58" s="39" t="n">
        <f aca="false">IFERROR(W58/W$20,0)</f>
        <v>0</v>
      </c>
      <c r="Y58" s="28" t="n">
        <f aca="false">'Vessel Budget'!Y58+'LW Budget'!Y58</f>
        <v>0</v>
      </c>
      <c r="Z58" s="39" t="n">
        <f aca="false">IFERROR(Y58/Y$20,0)</f>
        <v>0</v>
      </c>
      <c r="AB58" s="28" t="n">
        <f aca="false">SUM(C58,E58,G58,I58,K58,M58,O58,Q58,S58,U58,W58,Y58)</f>
        <v>0</v>
      </c>
      <c r="AC58" s="39" t="n">
        <f aca="false">IFERROR(AB58/AB$20,0)</f>
        <v>0</v>
      </c>
    </row>
    <row r="59" customFormat="false" ht="15" hidden="false" customHeight="true" outlineLevel="0" collapsed="false">
      <c r="A59" s="27" t="s">
        <v>200</v>
      </c>
      <c r="C59" s="28" t="n">
        <f aca="false">'Vessel Budget'!C59+'LW Budget'!C59</f>
        <v>0</v>
      </c>
      <c r="D59" s="39" t="n">
        <f aca="false">IFERROR(C59/C$20,0)</f>
        <v>0</v>
      </c>
      <c r="E59" s="28" t="n">
        <f aca="false">'Vessel Budget'!E59+'LW Budget'!E59</f>
        <v>0</v>
      </c>
      <c r="F59" s="39" t="n">
        <f aca="false">IFERROR(E59/E$20,0)</f>
        <v>0</v>
      </c>
      <c r="G59" s="28" t="n">
        <f aca="false">'Vessel Budget'!G59+'LW Budget'!G59</f>
        <v>0</v>
      </c>
      <c r="H59" s="39" t="n">
        <f aca="false">IFERROR(G59/G$20,0)</f>
        <v>0</v>
      </c>
      <c r="I59" s="28" t="n">
        <f aca="false">'Vessel Budget'!I59+'LW Budget'!I59</f>
        <v>0</v>
      </c>
      <c r="J59" s="39" t="n">
        <f aca="false">IFERROR(I59/I$20,0)</f>
        <v>0</v>
      </c>
      <c r="K59" s="28" t="n">
        <f aca="false">'Vessel Budget'!K59+'LW Budget'!K59</f>
        <v>0</v>
      </c>
      <c r="L59" s="39" t="n">
        <f aca="false">IFERROR(K59/K$20,0)</f>
        <v>0</v>
      </c>
      <c r="M59" s="28" t="n">
        <f aca="false">'Vessel Budget'!M59+'LW Budget'!M59</f>
        <v>0</v>
      </c>
      <c r="N59" s="39" t="n">
        <f aca="false">IFERROR(M59/M$20,0)</f>
        <v>0</v>
      </c>
      <c r="O59" s="28" t="n">
        <f aca="false">'Vessel Budget'!O59+'LW Budget'!O59</f>
        <v>0</v>
      </c>
      <c r="P59" s="39" t="n">
        <f aca="false">IFERROR(O59/O$20,0)</f>
        <v>0</v>
      </c>
      <c r="Q59" s="28" t="n">
        <f aca="false">'Vessel Budget'!Q59+'LW Budget'!Q59</f>
        <v>0</v>
      </c>
      <c r="R59" s="39" t="n">
        <f aca="false">IFERROR(Q59/Q$20,0)</f>
        <v>0</v>
      </c>
      <c r="S59" s="28" t="n">
        <f aca="false">'Vessel Budget'!S59+'LW Budget'!S59</f>
        <v>0</v>
      </c>
      <c r="T59" s="39" t="n">
        <f aca="false">IFERROR(S59/S$20,0)</f>
        <v>0</v>
      </c>
      <c r="U59" s="28" t="n">
        <f aca="false">'Vessel Budget'!U59+'LW Budget'!U59</f>
        <v>0</v>
      </c>
      <c r="V59" s="39" t="n">
        <f aca="false">IFERROR(U59/U$20,0)</f>
        <v>0</v>
      </c>
      <c r="W59" s="28" t="n">
        <f aca="false">'Vessel Budget'!W59+'LW Budget'!W59</f>
        <v>0</v>
      </c>
      <c r="X59" s="39" t="n">
        <f aca="false">IFERROR(W59/W$20,0)</f>
        <v>0</v>
      </c>
      <c r="Y59" s="28" t="n">
        <f aca="false">'Vessel Budget'!Y59+'LW Budget'!Y59</f>
        <v>0</v>
      </c>
      <c r="Z59" s="39" t="n">
        <f aca="false">IFERROR(Y59/Y$20,0)</f>
        <v>0</v>
      </c>
      <c r="AB59" s="28" t="n">
        <f aca="false">SUM(C59,E59,G59,I59,K59,M59,O59,Q59,S59,U59,W59,Y59)</f>
        <v>0</v>
      </c>
      <c r="AC59" s="39" t="n">
        <f aca="false">IFERROR(AB59/AB$20,0)</f>
        <v>0</v>
      </c>
    </row>
    <row r="60" customFormat="false" ht="15" hidden="false" customHeight="true" outlineLevel="0" collapsed="false">
      <c r="A60" s="31" t="s">
        <v>201</v>
      </c>
      <c r="C60" s="32" t="n">
        <f aca="false">SUM(C53:C59)</f>
        <v>6119.45973333333</v>
      </c>
      <c r="D60" s="40" t="n">
        <f aca="false">IFERROR(C60/C$20,0)</f>
        <v>0.0763252579541287</v>
      </c>
      <c r="E60" s="32" t="n">
        <f aca="false">SUM(E53:E59)</f>
        <v>4719.45973333333</v>
      </c>
      <c r="F60" s="40" t="n">
        <f aca="false">IFERROR(E60/E$20,0)</f>
        <v>0.104468118560982</v>
      </c>
      <c r="G60" s="32" t="n">
        <f aca="false">SUM(G53:G59)</f>
        <v>6119.45973333333</v>
      </c>
      <c r="H60" s="40" t="n">
        <f aca="false">IFERROR(G60/G$20,0)</f>
        <v>0.0763252579541287</v>
      </c>
      <c r="I60" s="32" t="n">
        <f aca="false">SUM(I53:I59)</f>
        <v>4719.45973333333</v>
      </c>
      <c r="J60" s="40" t="n">
        <f aca="false">IFERROR(I60/I$20,0)</f>
        <v>0.104468118560982</v>
      </c>
      <c r="K60" s="32" t="n">
        <f aca="false">SUM(K53:K59)</f>
        <v>5719.45973333333</v>
      </c>
      <c r="L60" s="40" t="n">
        <f aca="false">IFERROR(K60/K$20,0)</f>
        <v>0.0815015601470644</v>
      </c>
      <c r="M60" s="32" t="n">
        <f aca="false">SUM(M53:M59)</f>
        <v>5519.45973333333</v>
      </c>
      <c r="N60" s="40" t="n">
        <f aca="false">IFERROR(M60/M$20,0)</f>
        <v>0.0846853633360257</v>
      </c>
      <c r="O60" s="32" t="n">
        <f aca="false">SUM(O53:O59)</f>
        <v>5519.45973333333</v>
      </c>
      <c r="P60" s="40" t="n">
        <f aca="false">IFERROR(O60/O$20,0)</f>
        <v>0.0846853633360257</v>
      </c>
      <c r="Q60" s="32" t="n">
        <f aca="false">SUM(Q53:Q59)</f>
        <v>5519.45973333333</v>
      </c>
      <c r="R60" s="40" t="n">
        <f aca="false">IFERROR(Q60/Q$20,0)</f>
        <v>0.0846853633360257</v>
      </c>
      <c r="S60" s="32" t="n">
        <f aca="false">SUM(S53:S59)</f>
        <v>5519.45973333333</v>
      </c>
      <c r="T60" s="40" t="n">
        <f aca="false">IFERROR(S60/S$20,0)</f>
        <v>0.0846853633360257</v>
      </c>
      <c r="U60" s="32" t="n">
        <f aca="false">SUM(U53:U59)</f>
        <v>5519.45973333333</v>
      </c>
      <c r="V60" s="40" t="n">
        <f aca="false">IFERROR(U60/U$20,0)</f>
        <v>0.0846853633360257</v>
      </c>
      <c r="W60" s="32" t="n">
        <f aca="false">SUM(W53:W59)</f>
        <v>5519.45973333333</v>
      </c>
      <c r="X60" s="40" t="n">
        <f aca="false">IFERROR(W60/W$20,0)</f>
        <v>0.0846853633360257</v>
      </c>
      <c r="Y60" s="32" t="n">
        <f aca="false">SUM(Y53:Y59)</f>
        <v>5519.45973333333</v>
      </c>
      <c r="Z60" s="40" t="n">
        <f aca="false">IFERROR(Y60/Y$20,0)</f>
        <v>0.0846853633360257</v>
      </c>
      <c r="AB60" s="32" t="n">
        <f aca="false">SUM(AB53:AB59)</f>
        <v>66033.5168</v>
      </c>
      <c r="AC60" s="40" t="n">
        <f aca="false">IFERROR(AB60/AB$20,0)</f>
        <v>0.0849728721535089</v>
      </c>
    </row>
    <row r="62" customFormat="false" ht="15" hidden="false" customHeight="true" outlineLevel="0" collapsed="false">
      <c r="A62" s="31" t="s">
        <v>202</v>
      </c>
      <c r="C62" s="32" t="n">
        <f aca="false">C41-C50-C60</f>
        <v>7199.39834999999</v>
      </c>
      <c r="D62" s="40" t="n">
        <f aca="false">IFERROR(C62/C$20,0)</f>
        <v>0.0897948446633477</v>
      </c>
      <c r="E62" s="32" t="n">
        <f aca="false">E41-E50-E60</f>
        <v>-6918.72665</v>
      </c>
      <c r="F62" s="40" t="n">
        <f aca="false">IFERROR(E62/E$20,0)</f>
        <v>-0.153150232612054</v>
      </c>
      <c r="G62" s="32" t="n">
        <f aca="false">G41-G50-G60</f>
        <v>7199.39834999999</v>
      </c>
      <c r="H62" s="40" t="n">
        <f aca="false">IFERROR(G62/G$20,0)</f>
        <v>0.0897948446633477</v>
      </c>
      <c r="I62" s="32" t="n">
        <f aca="false">I41-I50-I60</f>
        <v>-6918.72665</v>
      </c>
      <c r="J62" s="40" t="n">
        <f aca="false">IFERROR(I62/I$20,0)</f>
        <v>-0.153150232612054</v>
      </c>
      <c r="K62" s="32" t="n">
        <f aca="false">K41-K50-K60</f>
        <v>3165.64835000001</v>
      </c>
      <c r="L62" s="40" t="n">
        <f aca="false">IFERROR(K62/K$20,0)</f>
        <v>0.0451100788241084</v>
      </c>
      <c r="M62" s="32" t="n">
        <f aca="false">M41-M50-M60</f>
        <v>1148.77334999999</v>
      </c>
      <c r="N62" s="40" t="n">
        <f aca="false">IFERROR(M62/M$20,0)</f>
        <v>0.017625690418207</v>
      </c>
      <c r="O62" s="32" t="n">
        <f aca="false">O41-O50-O60</f>
        <v>1148.77334999999</v>
      </c>
      <c r="P62" s="40" t="n">
        <f aca="false">IFERROR(O62/O$20,0)</f>
        <v>0.017625690418207</v>
      </c>
      <c r="Q62" s="32" t="n">
        <f aca="false">Q41-Q50-Q60</f>
        <v>1148.77334999999</v>
      </c>
      <c r="R62" s="40" t="n">
        <f aca="false">IFERROR(Q62/Q$20,0)</f>
        <v>0.017625690418207</v>
      </c>
      <c r="S62" s="32" t="n">
        <f aca="false">S41-S50-S60</f>
        <v>1148.77334999999</v>
      </c>
      <c r="T62" s="40" t="n">
        <f aca="false">IFERROR(S62/S$20,0)</f>
        <v>0.017625690418207</v>
      </c>
      <c r="U62" s="32" t="n">
        <f aca="false">U41-U50-U60</f>
        <v>1148.77334999999</v>
      </c>
      <c r="V62" s="40" t="n">
        <f aca="false">IFERROR(U62/U$20,0)</f>
        <v>0.017625690418207</v>
      </c>
      <c r="W62" s="32" t="n">
        <f aca="false">W41-W50-W60</f>
        <v>1148.77334999999</v>
      </c>
      <c r="X62" s="40" t="n">
        <f aca="false">IFERROR(W62/W$20,0)</f>
        <v>0.017625690418207</v>
      </c>
      <c r="Y62" s="32" t="n">
        <f aca="false">Y41-Y50-Y60</f>
        <v>1148.77334999999</v>
      </c>
      <c r="Z62" s="40" t="n">
        <f aca="false">IFERROR(Y62/Y$20,0)</f>
        <v>0.017625690418207</v>
      </c>
      <c r="AB62" s="32" t="n">
        <f aca="false">AB41-AB50-AB60</f>
        <v>11768.4052</v>
      </c>
      <c r="AC62" s="40" t="n">
        <f aca="false">IFERROR(AB62/AB$20,0)</f>
        <v>0.015143751824381</v>
      </c>
    </row>
    <row r="64" customFormat="false" ht="15" hidden="false" customHeight="true" outlineLevel="0" collapsed="false">
      <c r="A64" s="27" t="s">
        <v>203</v>
      </c>
      <c r="C64" s="28" t="n">
        <f aca="false">'Vessel Budget'!C64+'LW Budget'!C64</f>
        <v>0</v>
      </c>
      <c r="D64" s="39" t="n">
        <f aca="false">IFERROR(C64/C$20,0)</f>
        <v>0</v>
      </c>
      <c r="E64" s="28" t="n">
        <f aca="false">'Vessel Budget'!E64+'LW Budget'!E64</f>
        <v>0</v>
      </c>
      <c r="F64" s="39" t="n">
        <f aca="false">IFERROR(E64/E$20,0)</f>
        <v>0</v>
      </c>
      <c r="G64" s="28" t="n">
        <f aca="false">'Vessel Budget'!G64+'LW Budget'!G64</f>
        <v>0</v>
      </c>
      <c r="H64" s="39" t="n">
        <f aca="false">IFERROR(G64/G$20,0)</f>
        <v>0</v>
      </c>
      <c r="I64" s="28" t="n">
        <f aca="false">'Vessel Budget'!I64+'LW Budget'!I64</f>
        <v>0</v>
      </c>
      <c r="J64" s="39" t="n">
        <f aca="false">IFERROR(I64/I$20,0)</f>
        <v>0</v>
      </c>
      <c r="K64" s="28" t="n">
        <f aca="false">'Vessel Budget'!K64+'LW Budget'!K64</f>
        <v>0</v>
      </c>
      <c r="L64" s="39" t="n">
        <f aca="false">IFERROR(K64/K$20,0)</f>
        <v>0</v>
      </c>
      <c r="M64" s="28" t="n">
        <f aca="false">'Vessel Budget'!M64+'LW Budget'!M64</f>
        <v>0</v>
      </c>
      <c r="N64" s="39" t="n">
        <f aca="false">IFERROR(M64/M$20,0)</f>
        <v>0</v>
      </c>
      <c r="O64" s="28" t="n">
        <f aca="false">'Vessel Budget'!O64+'LW Budget'!O64</f>
        <v>0</v>
      </c>
      <c r="P64" s="39" t="n">
        <f aca="false">IFERROR(O64/O$20,0)</f>
        <v>0</v>
      </c>
      <c r="Q64" s="28" t="n">
        <f aca="false">'Vessel Budget'!Q64+'LW Budget'!Q64</f>
        <v>0</v>
      </c>
      <c r="R64" s="39" t="n">
        <f aca="false">IFERROR(Q64/Q$20,0)</f>
        <v>0</v>
      </c>
      <c r="S64" s="28" t="n">
        <f aca="false">'Vessel Budget'!S64+'LW Budget'!S64</f>
        <v>0</v>
      </c>
      <c r="T64" s="39" t="n">
        <f aca="false">IFERROR(S64/S$20,0)</f>
        <v>0</v>
      </c>
      <c r="U64" s="28" t="n">
        <f aca="false">'Vessel Budget'!U64+'LW Budget'!U64</f>
        <v>0</v>
      </c>
      <c r="V64" s="39" t="n">
        <f aca="false">IFERROR(U64/U$20,0)</f>
        <v>0</v>
      </c>
      <c r="W64" s="28" t="n">
        <f aca="false">'Vessel Budget'!W64+'LW Budget'!W64</f>
        <v>0</v>
      </c>
      <c r="X64" s="39" t="n">
        <f aca="false">IFERROR(W64/W$20,0)</f>
        <v>0</v>
      </c>
      <c r="Y64" s="28" t="n">
        <f aca="false">'Vessel Budget'!Y64+'LW Budget'!Y64</f>
        <v>0</v>
      </c>
      <c r="Z64" s="39" t="n">
        <f aca="false">IFERROR(Y64/Y$20,0)</f>
        <v>0</v>
      </c>
      <c r="AB64" s="28" t="n">
        <f aca="false">SUM(C64,E64,G64,I64,K64,M64,O64,Q64,S64,U64,W64,Y64)</f>
        <v>0</v>
      </c>
      <c r="AC64" s="39" t="n">
        <f aca="false">IFERROR(AB64/AB$20,0)</f>
        <v>0</v>
      </c>
    </row>
    <row r="66" customFormat="false" ht="15" hidden="false" customHeight="true" outlineLevel="0" collapsed="false">
      <c r="A66" s="31" t="s">
        <v>204</v>
      </c>
      <c r="C66" s="41" t="n">
        <f aca="false">C62-C64</f>
        <v>7199.39834999999</v>
      </c>
      <c r="D66" s="42" t="n">
        <f aca="false">IFERROR(C66/C$20,0)</f>
        <v>0.0897948446633477</v>
      </c>
      <c r="E66" s="41" t="n">
        <f aca="false">E62-E64</f>
        <v>-6918.72665</v>
      </c>
      <c r="F66" s="42" t="n">
        <f aca="false">IFERROR(E66/E$20,0)</f>
        <v>-0.153150232612054</v>
      </c>
      <c r="G66" s="41" t="n">
        <f aca="false">G62-G64</f>
        <v>7199.39834999999</v>
      </c>
      <c r="H66" s="42" t="n">
        <f aca="false">IFERROR(G66/G$20,0)</f>
        <v>0.0897948446633477</v>
      </c>
      <c r="I66" s="41" t="n">
        <f aca="false">I62-I64</f>
        <v>-6918.72665</v>
      </c>
      <c r="J66" s="42" t="n">
        <f aca="false">IFERROR(I66/I$20,0)</f>
        <v>-0.153150232612054</v>
      </c>
      <c r="K66" s="41" t="n">
        <f aca="false">K62-K64</f>
        <v>3165.64835000001</v>
      </c>
      <c r="L66" s="42" t="n">
        <f aca="false">IFERROR(K66/K$20,0)</f>
        <v>0.0451100788241084</v>
      </c>
      <c r="M66" s="41" t="n">
        <f aca="false">M62-M64</f>
        <v>1148.77334999999</v>
      </c>
      <c r="N66" s="42" t="n">
        <f aca="false">IFERROR(M66/M$20,0)</f>
        <v>0.017625690418207</v>
      </c>
      <c r="O66" s="41" t="n">
        <f aca="false">O62-O64</f>
        <v>1148.77334999999</v>
      </c>
      <c r="P66" s="42" t="n">
        <f aca="false">IFERROR(O66/O$20,0)</f>
        <v>0.017625690418207</v>
      </c>
      <c r="Q66" s="41" t="n">
        <f aca="false">Q62-Q64</f>
        <v>1148.77334999999</v>
      </c>
      <c r="R66" s="42" t="n">
        <f aca="false">IFERROR(Q66/Q$20,0)</f>
        <v>0.017625690418207</v>
      </c>
      <c r="S66" s="41" t="n">
        <f aca="false">S62-S64</f>
        <v>1148.77334999999</v>
      </c>
      <c r="T66" s="42" t="n">
        <f aca="false">IFERROR(S66/S$20,0)</f>
        <v>0.017625690418207</v>
      </c>
      <c r="U66" s="41" t="n">
        <f aca="false">U62-U64</f>
        <v>1148.77334999999</v>
      </c>
      <c r="V66" s="42" t="n">
        <f aca="false">IFERROR(U66/U$20,0)</f>
        <v>0.017625690418207</v>
      </c>
      <c r="W66" s="41" t="n">
        <f aca="false">W62-W64</f>
        <v>1148.77334999999</v>
      </c>
      <c r="X66" s="42" t="n">
        <f aca="false">IFERROR(W66/W$20,0)</f>
        <v>0.017625690418207</v>
      </c>
      <c r="Y66" s="41" t="n">
        <f aca="false">Y62-Y64</f>
        <v>1148.77334999999</v>
      </c>
      <c r="Z66" s="42" t="n">
        <f aca="false">IFERROR(Y66/Y$20,0)</f>
        <v>0.017625690418207</v>
      </c>
      <c r="AB66" s="41" t="n">
        <f aca="false">AB62-AB64</f>
        <v>11768.4052</v>
      </c>
      <c r="AC66" s="42" t="n">
        <f aca="false">IFERROR(AB66/AB$20,0)</f>
        <v>0.015143751824381</v>
      </c>
    </row>
    <row r="68" customFormat="false" ht="15" hidden="false" customHeight="true" outlineLevel="0" collapsed="false">
      <c r="A68" s="27" t="s">
        <v>205</v>
      </c>
      <c r="C68" s="28" t="n">
        <f aca="false">'Vessel Budget'!C68+'LW Budget'!C68</f>
        <v>0</v>
      </c>
      <c r="D68" s="39" t="n">
        <f aca="false">IFERROR(C68/C$20,0)</f>
        <v>0</v>
      </c>
      <c r="E68" s="28" t="n">
        <f aca="false">'Vessel Budget'!E68+'LW Budget'!E68</f>
        <v>0</v>
      </c>
      <c r="F68" s="39" t="n">
        <f aca="false">IFERROR(E68/E$20,0)</f>
        <v>0</v>
      </c>
      <c r="G68" s="28" t="n">
        <f aca="false">'Vessel Budget'!G68+'LW Budget'!G68</f>
        <v>0</v>
      </c>
      <c r="H68" s="39" t="n">
        <f aca="false">IFERROR(G68/G$20,0)</f>
        <v>0</v>
      </c>
      <c r="I68" s="28" t="n">
        <f aca="false">'Vessel Budget'!I68+'LW Budget'!I68</f>
        <v>0</v>
      </c>
      <c r="J68" s="39" t="n">
        <f aca="false">IFERROR(I68/I$20,0)</f>
        <v>0</v>
      </c>
      <c r="K68" s="28" t="n">
        <f aca="false">'Vessel Budget'!K68+'LW Budget'!K68</f>
        <v>0</v>
      </c>
      <c r="L68" s="39" t="n">
        <f aca="false">IFERROR(K68/K$20,0)</f>
        <v>0</v>
      </c>
      <c r="M68" s="28" t="n">
        <f aca="false">'Vessel Budget'!M68+'LW Budget'!M68</f>
        <v>0</v>
      </c>
      <c r="N68" s="39" t="n">
        <f aca="false">IFERROR(M68/M$20,0)</f>
        <v>0</v>
      </c>
      <c r="O68" s="28" t="n">
        <f aca="false">'Vessel Budget'!O68+'LW Budget'!O68</f>
        <v>0</v>
      </c>
      <c r="P68" s="39" t="n">
        <f aca="false">IFERROR(O68/O$20,0)</f>
        <v>0</v>
      </c>
      <c r="Q68" s="28" t="n">
        <f aca="false">'Vessel Budget'!Q68+'LW Budget'!Q68</f>
        <v>0</v>
      </c>
      <c r="R68" s="39" t="n">
        <f aca="false">IFERROR(Q68/Q$20,0)</f>
        <v>0</v>
      </c>
      <c r="S68" s="28" t="n">
        <f aca="false">'Vessel Budget'!S68+'LW Budget'!S68</f>
        <v>0</v>
      </c>
      <c r="T68" s="39" t="n">
        <f aca="false">IFERROR(S68/S$20,0)</f>
        <v>0</v>
      </c>
      <c r="U68" s="28" t="n">
        <f aca="false">'Vessel Budget'!U68+'LW Budget'!U68</f>
        <v>0</v>
      </c>
      <c r="V68" s="39" t="n">
        <f aca="false">IFERROR(U68/U$20,0)</f>
        <v>0</v>
      </c>
      <c r="W68" s="28" t="n">
        <f aca="false">'Vessel Budget'!W68+'LW Budget'!W68</f>
        <v>0</v>
      </c>
      <c r="X68" s="39" t="n">
        <f aca="false">IFERROR(W68/W$20,0)</f>
        <v>0</v>
      </c>
      <c r="Y68" s="28" t="n">
        <f aca="false">'Vessel Budget'!Y68+'LW Budget'!Y68</f>
        <v>0</v>
      </c>
      <c r="Z68" s="39" t="n">
        <f aca="false">IFERROR(Y68/Y$20,0)</f>
        <v>0</v>
      </c>
      <c r="AB68" s="28" t="n">
        <f aca="false">SUM(C68,E68,G68,I68,K68,M68,O68,Q68,S68,U68,W68,Y68)</f>
        <v>0</v>
      </c>
      <c r="AC68" s="39" t="n">
        <f aca="false">IFERROR(AB68/AB$20,0)</f>
        <v>0</v>
      </c>
    </row>
    <row r="69" customFormat="false" ht="15" hidden="false" customHeight="true" outlineLevel="0" collapsed="false">
      <c r="A69" s="27" t="s">
        <v>206</v>
      </c>
      <c r="C69" s="28" t="n">
        <f aca="false">'Vessel Budget'!C69+'LW Budget'!C69</f>
        <v>249</v>
      </c>
      <c r="D69" s="39" t="n">
        <f aca="false">IFERROR(C69/C$20,0)</f>
        <v>0.00310566456170238</v>
      </c>
      <c r="E69" s="28" t="n">
        <f aca="false">'Vessel Budget'!E69+'LW Budget'!E69</f>
        <v>249</v>
      </c>
      <c r="F69" s="39" t="n">
        <f aca="false">IFERROR(E69/E$20,0)</f>
        <v>0.0055117668105014</v>
      </c>
      <c r="G69" s="28" t="n">
        <f aca="false">'Vessel Budget'!G69+'LW Budget'!G69</f>
        <v>249</v>
      </c>
      <c r="H69" s="39" t="n">
        <f aca="false">IFERROR(G69/G$20,0)</f>
        <v>0.00310566456170238</v>
      </c>
      <c r="I69" s="28" t="n">
        <f aca="false">'Vessel Budget'!I69+'LW Budget'!I69</f>
        <v>249</v>
      </c>
      <c r="J69" s="39" t="n">
        <f aca="false">IFERROR(I69/I$20,0)</f>
        <v>0.0055117668105014</v>
      </c>
      <c r="K69" s="28" t="n">
        <f aca="false">'Vessel Budget'!K69+'LW Budget'!K69</f>
        <v>249</v>
      </c>
      <c r="L69" s="39" t="n">
        <f aca="false">IFERROR(K69/K$20,0)</f>
        <v>0.00354821773783022</v>
      </c>
      <c r="M69" s="28" t="n">
        <f aca="false">'Vessel Budget'!M69+'LW Budget'!M69</f>
        <v>249</v>
      </c>
      <c r="N69" s="39" t="n">
        <f aca="false">IFERROR(M69/M$20,0)</f>
        <v>0.00382042020223883</v>
      </c>
      <c r="O69" s="28" t="n">
        <f aca="false">'Vessel Budget'!O69+'LW Budget'!O69</f>
        <v>249</v>
      </c>
      <c r="P69" s="39" t="n">
        <f aca="false">IFERROR(O69/O$20,0)</f>
        <v>0.00382042020223883</v>
      </c>
      <c r="Q69" s="28" t="n">
        <f aca="false">'Vessel Budget'!Q69+'LW Budget'!Q69</f>
        <v>249</v>
      </c>
      <c r="R69" s="39" t="n">
        <f aca="false">IFERROR(Q69/Q$20,0)</f>
        <v>0.00382042020223883</v>
      </c>
      <c r="S69" s="28" t="n">
        <f aca="false">'Vessel Budget'!S69+'LW Budget'!S69</f>
        <v>249</v>
      </c>
      <c r="T69" s="39" t="n">
        <f aca="false">IFERROR(S69/S$20,0)</f>
        <v>0.00382042020223883</v>
      </c>
      <c r="U69" s="28" t="n">
        <f aca="false">'Vessel Budget'!U69+'LW Budget'!U69</f>
        <v>249</v>
      </c>
      <c r="V69" s="39" t="n">
        <f aca="false">IFERROR(U69/U$20,0)</f>
        <v>0.00382042020223883</v>
      </c>
      <c r="W69" s="28" t="n">
        <f aca="false">'Vessel Budget'!W69+'LW Budget'!W69</f>
        <v>249</v>
      </c>
      <c r="X69" s="39" t="n">
        <f aca="false">IFERROR(W69/W$20,0)</f>
        <v>0.00382042020223883</v>
      </c>
      <c r="Y69" s="28" t="n">
        <f aca="false">'Vessel Budget'!Y69+'LW Budget'!Y69</f>
        <v>249</v>
      </c>
      <c r="Z69" s="39" t="n">
        <f aca="false">IFERROR(Y69/Y$20,0)</f>
        <v>0.00382042020223883</v>
      </c>
      <c r="AB69" s="28" t="n">
        <f aca="false">SUM(C69,E69,G69,I69,K69,M69,O69,Q69,S69,U69,W69,Y69)</f>
        <v>2988</v>
      </c>
      <c r="AC69" s="39" t="n">
        <f aca="false">IFERROR(AB69/AB$20,0)</f>
        <v>0.00384500105853342</v>
      </c>
    </row>
    <row r="70" customFormat="false" ht="15" hidden="false" customHeight="true" outlineLevel="0" collapsed="false">
      <c r="A70" s="31" t="s">
        <v>207</v>
      </c>
      <c r="C70" s="43" t="n">
        <f aca="false">C66-C68-C69</f>
        <v>6950.39834999999</v>
      </c>
      <c r="D70" s="44" t="n">
        <f aca="false">IFERROR(C70/C$20,0)</f>
        <v>0.0866891801016453</v>
      </c>
      <c r="E70" s="43" t="n">
        <f aca="false">E66-E68-E69</f>
        <v>-7167.72665</v>
      </c>
      <c r="F70" s="44" t="n">
        <f aca="false">IFERROR(E70/E$20,0)</f>
        <v>-0.158661999422556</v>
      </c>
      <c r="G70" s="43" t="n">
        <f aca="false">G66-G68-G69</f>
        <v>6950.39834999999</v>
      </c>
      <c r="H70" s="44" t="n">
        <f aca="false">IFERROR(G70/G$20,0)</f>
        <v>0.0866891801016453</v>
      </c>
      <c r="I70" s="43" t="n">
        <f aca="false">I66-I68-I69</f>
        <v>-7167.72665</v>
      </c>
      <c r="J70" s="44" t="n">
        <f aca="false">IFERROR(I70/I$20,0)</f>
        <v>-0.158661999422556</v>
      </c>
      <c r="K70" s="43" t="n">
        <f aca="false">K66-K68-K69</f>
        <v>2916.64835000001</v>
      </c>
      <c r="L70" s="44" t="n">
        <f aca="false">IFERROR(K70/K$20,0)</f>
        <v>0.0415618610862782</v>
      </c>
      <c r="M70" s="43" t="n">
        <f aca="false">M66-M68-M69</f>
        <v>899.773349999991</v>
      </c>
      <c r="N70" s="44" t="n">
        <f aca="false">IFERROR(M70/M$20,0)</f>
        <v>0.0138052702159682</v>
      </c>
      <c r="O70" s="43" t="n">
        <f aca="false">O66-O68-O69</f>
        <v>899.773349999991</v>
      </c>
      <c r="P70" s="44" t="n">
        <f aca="false">IFERROR(O70/O$20,0)</f>
        <v>0.0138052702159682</v>
      </c>
      <c r="Q70" s="43" t="n">
        <f aca="false">Q66-Q68-Q69</f>
        <v>899.773349999991</v>
      </c>
      <c r="R70" s="44" t="n">
        <f aca="false">IFERROR(Q70/Q$20,0)</f>
        <v>0.0138052702159682</v>
      </c>
      <c r="S70" s="43" t="n">
        <f aca="false">S66-S68-S69</f>
        <v>899.773349999991</v>
      </c>
      <c r="T70" s="44" t="n">
        <f aca="false">IFERROR(S70/S$20,0)</f>
        <v>0.0138052702159682</v>
      </c>
      <c r="U70" s="43" t="n">
        <f aca="false">U66-U68-U69</f>
        <v>899.773349999991</v>
      </c>
      <c r="V70" s="44" t="n">
        <f aca="false">IFERROR(U70/U$20,0)</f>
        <v>0.0138052702159682</v>
      </c>
      <c r="W70" s="43" t="n">
        <f aca="false">W66-W68-W69</f>
        <v>899.773349999991</v>
      </c>
      <c r="X70" s="44" t="n">
        <f aca="false">IFERROR(W70/W$20,0)</f>
        <v>0.0138052702159682</v>
      </c>
      <c r="Y70" s="43" t="n">
        <f aca="false">Y66-Y68-Y69</f>
        <v>899.773349999991</v>
      </c>
      <c r="Z70" s="44" t="n">
        <f aca="false">IFERROR(Y70/Y$20,0)</f>
        <v>0.0138052702159682</v>
      </c>
      <c r="AB70" s="43" t="n">
        <f aca="false">AB66-AB68-AB69</f>
        <v>8780.40520000001</v>
      </c>
      <c r="AC70" s="44" t="n">
        <f aca="false">IFERROR(AB70/AB$20,0)</f>
        <v>0.0112987507658475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"/>
    <col collapsed="false" customWidth="true" hidden="false" outlineLevel="0" max="2" min="2" style="9" width="34"/>
    <col collapsed="false" customWidth="true" hidden="false" outlineLevel="0" max="3" min="3" style="9" width="15"/>
    <col collapsed="false" customWidth="true" hidden="false" outlineLevel="0" max="4" min="4" style="9" width="10"/>
    <col collapsed="false" customWidth="true" hidden="false" outlineLevel="0" max="5" min="5" style="9" width="3"/>
    <col collapsed="false" customWidth="true" hidden="false" outlineLevel="0" max="6" min="6" style="9" width="22"/>
    <col collapsed="false" customWidth="true" hidden="false" outlineLevel="0" max="7" min="7" style="9" width="14"/>
  </cols>
  <sheetData>
    <row r="2" customFormat="false" ht="42" hidden="false" customHeight="true" outlineLevel="0" collapsed="false">
      <c r="B2" s="47" t="s">
        <v>238</v>
      </c>
      <c r="C2" s="47"/>
      <c r="D2" s="47"/>
      <c r="E2" s="47"/>
      <c r="F2" s="47"/>
      <c r="G2" s="47"/>
    </row>
    <row r="3" customFormat="false" ht="15" hidden="false" customHeight="true" outlineLevel="0" collapsed="false">
      <c r="B3" s="48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8"/>
      <c r="D3" s="48"/>
      <c r="E3" s="48"/>
      <c r="F3" s="48"/>
      <c r="G3" s="48"/>
    </row>
    <row r="5" customFormat="false" ht="15" hidden="false" customHeight="true" outlineLevel="0" collapsed="false">
      <c r="B5" s="49" t="s">
        <v>239</v>
      </c>
      <c r="C5" s="50" t="s">
        <v>240</v>
      </c>
      <c r="D5" s="50" t="s">
        <v>241</v>
      </c>
      <c r="F5" s="49" t="s">
        <v>242</v>
      </c>
    </row>
    <row r="6" customFormat="false" ht="15" hidden="false" customHeight="true" outlineLevel="0" collapsed="false">
      <c r="B6" s="51" t="s">
        <v>243</v>
      </c>
      <c r="C6" s="52" t="n">
        <f aca="false">'Vessel Budget'!$AB$20</f>
        <v>415000</v>
      </c>
      <c r="D6" s="53" t="n">
        <f aca="false">C6/C6</f>
        <v>1</v>
      </c>
      <c r="F6" s="54" t="s">
        <v>244</v>
      </c>
      <c r="G6" s="55" t="n">
        <f aca="false">'Vessel Budget'!$AB$62/'Vessel Budget'!$AB$20</f>
        <v>0.130668903614458</v>
      </c>
    </row>
    <row r="7" customFormat="false" ht="15" hidden="false" customHeight="true" outlineLevel="0" collapsed="false">
      <c r="B7" s="56" t="s">
        <v>129</v>
      </c>
      <c r="C7" s="57" t="n">
        <f aca="false">'Vessel Budget'!$AB$29</f>
        <v>170033.8</v>
      </c>
      <c r="D7" s="58" t="n">
        <f aca="false">C7/C6</f>
        <v>0.40972</v>
      </c>
      <c r="F7" s="54" t="s">
        <v>19</v>
      </c>
      <c r="G7" s="55" t="n">
        <f aca="false">'Vessel Budget'!$AB$40/'Vessel Budget'!$AB$20</f>
        <v>0.579827481927711</v>
      </c>
    </row>
    <row r="8" customFormat="false" ht="15" hidden="false" customHeight="true" outlineLevel="0" collapsed="false">
      <c r="B8" s="51" t="s">
        <v>245</v>
      </c>
      <c r="C8" s="52" t="n">
        <f aca="false">'Vessel Budget'!$AB$30</f>
        <v>244966.2</v>
      </c>
      <c r="D8" s="53" t="n">
        <f aca="false">C8/C6</f>
        <v>0.59028</v>
      </c>
      <c r="F8" s="54" t="s">
        <v>246</v>
      </c>
      <c r="G8" s="55" t="n">
        <f aca="false">'Vessel Budget'!$AB$29/'Vessel Budget'!$AB$20</f>
        <v>0.40972</v>
      </c>
    </row>
    <row r="9" customFormat="false" ht="15" hidden="false" customHeight="true" outlineLevel="0" collapsed="false">
      <c r="B9" s="56" t="s">
        <v>247</v>
      </c>
      <c r="C9" s="57" t="n">
        <f aca="false">'Vessel Budget'!$AB$38</f>
        <v>70594.605</v>
      </c>
      <c r="D9" s="58" t="n">
        <f aca="false">C9/C6</f>
        <v>0.170107481927711</v>
      </c>
      <c r="F9" s="54" t="s">
        <v>248</v>
      </c>
      <c r="G9" s="59" t="n">
        <f aca="false">'Vessel Budget'!$AB$9</f>
        <v>83</v>
      </c>
    </row>
    <row r="10" customFormat="false" ht="15" hidden="false" customHeight="true" outlineLevel="0" collapsed="false">
      <c r="B10" s="51" t="s">
        <v>249</v>
      </c>
      <c r="C10" s="52" t="n">
        <f aca="false">'Vessel Budget'!$AB$40</f>
        <v>240628.405</v>
      </c>
      <c r="D10" s="53" t="n">
        <f aca="false">C10/C6</f>
        <v>0.579827481927711</v>
      </c>
      <c r="F10" s="54" t="s">
        <v>250</v>
      </c>
      <c r="G10" s="60" t="n">
        <f aca="false">SUM('Vessel Budget'!$AB$12:$AB$16)/'Vessel Budget'!$AB$9</f>
        <v>4000</v>
      </c>
    </row>
    <row r="11" customFormat="false" ht="15" hidden="false" customHeight="true" outlineLevel="0" collapsed="false">
      <c r="B11" s="56" t="s">
        <v>251</v>
      </c>
      <c r="C11" s="61" t="n">
        <f aca="false">'Vessel Budget'!$AB$50-'Vessel Budget'!$AB$49</f>
        <v>80624</v>
      </c>
      <c r="D11" s="58" t="n">
        <f aca="false">C11/C6</f>
        <v>0.194274698795181</v>
      </c>
      <c r="F11" s="54" t="s">
        <v>252</v>
      </c>
      <c r="G11" s="60" t="n">
        <f aca="false">'Vessel Budget'!$AB$20/'Vessel Budget'!$AB$9</f>
        <v>5000</v>
      </c>
    </row>
    <row r="12" customFormat="false" ht="15" hidden="false" customHeight="true" outlineLevel="0" collapsed="false">
      <c r="B12" s="56" t="s">
        <v>253</v>
      </c>
      <c r="C12" s="61" t="n">
        <f aca="false">'Vessel Budget'!$AB$49</f>
        <v>10375</v>
      </c>
      <c r="D12" s="58" t="n">
        <f aca="false">C12/C6</f>
        <v>0.025</v>
      </c>
    </row>
    <row r="13" customFormat="false" ht="15" hidden="false" customHeight="true" outlineLevel="0" collapsed="false">
      <c r="B13" s="56" t="s">
        <v>254</v>
      </c>
      <c r="C13" s="61" t="n">
        <f aca="false">'Vessel Budget'!$AB$60-'Vessel Budget'!$AB$54-'Vessel Budget'!$AB$56-'Vessel Budget'!$AB$57</f>
        <v>12545</v>
      </c>
      <c r="D13" s="58" t="n">
        <f aca="false">C13/C6</f>
        <v>0.0302289156626506</v>
      </c>
    </row>
    <row r="14" customFormat="false" ht="15" hidden="false" customHeight="true" outlineLevel="0" collapsed="false">
      <c r="B14" s="62" t="s">
        <v>255</v>
      </c>
      <c r="C14" s="63" t="n">
        <f aca="false">'Vessel Budget'!$AB$56</f>
        <v>16600</v>
      </c>
      <c r="D14" s="64" t="n">
        <f aca="false">C14/C6</f>
        <v>0.04</v>
      </c>
    </row>
    <row r="15" customFormat="false" ht="15" hidden="false" customHeight="true" outlineLevel="0" collapsed="false">
      <c r="B15" s="9" t="s">
        <v>256</v>
      </c>
      <c r="C15" s="15" t="n">
        <f aca="false">SUM('Vessel Budget'!$AB$12:$AB$16)*'Vessel Assumptions'!$C$32</f>
        <v>16600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257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65" t="s">
        <v>258</v>
      </c>
      <c r="C17" s="66" t="n">
        <f aca="false">'Vessel Budget'!$AB$62</f>
        <v>54227.595</v>
      </c>
      <c r="D17" s="53" t="n">
        <f aca="false">C17/C6</f>
        <v>0.130668903614458</v>
      </c>
    </row>
    <row r="18" customFormat="false" ht="15" hidden="false" customHeight="true" outlineLevel="0" collapsed="false">
      <c r="B18" s="51"/>
      <c r="C18" s="52"/>
      <c r="D18" s="53"/>
    </row>
    <row r="20" customFormat="false" ht="15" hidden="false" customHeight="true" outlineLevel="0" collapsed="false">
      <c r="B20" s="67" t="s">
        <v>259</v>
      </c>
      <c r="C20" s="67"/>
      <c r="D20" s="67"/>
      <c r="E20" s="67"/>
      <c r="F20" s="67"/>
      <c r="G20" s="67"/>
    </row>
    <row r="21" customFormat="false" ht="15" hidden="false" customHeight="true" outlineLevel="0" collapsed="false">
      <c r="B21" s="67"/>
      <c r="C21" s="67"/>
      <c r="D21" s="67"/>
      <c r="E21" s="67"/>
      <c r="F21" s="67"/>
      <c r="G21" s="67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"/>
    <col collapsed="false" customWidth="true" hidden="false" outlineLevel="0" max="2" min="2" style="9" width="42"/>
    <col collapsed="false" customWidth="true" hidden="false" outlineLevel="0" max="3" min="3" style="9" width="16"/>
    <col collapsed="false" customWidth="true" hidden="false" outlineLevel="0" max="4" min="4" style="9" width="46"/>
  </cols>
  <sheetData>
    <row r="2" customFormat="false" ht="39.75" hidden="false" customHeight="true" outlineLevel="0" collapsed="false">
      <c r="B2" s="47" t="s">
        <v>260</v>
      </c>
      <c r="C2" s="47"/>
      <c r="D2" s="47"/>
    </row>
    <row r="3" customFormat="false" ht="15" hidden="false" customHeight="true" outlineLevel="0" collapsed="false">
      <c r="B3" s="48" t="s">
        <v>261</v>
      </c>
      <c r="C3" s="48"/>
      <c r="D3" s="48"/>
    </row>
    <row r="5" customFormat="false" ht="19.5" hidden="false" customHeight="true" outlineLevel="0" collapsed="false">
      <c r="B5" s="68" t="s">
        <v>262</v>
      </c>
      <c r="C5" s="68"/>
      <c r="D5" s="68"/>
    </row>
    <row r="6" customFormat="false" ht="15" hidden="false" customHeight="true" outlineLevel="0" collapsed="false">
      <c r="B6" s="54" t="s">
        <v>263</v>
      </c>
      <c r="C6" s="69" t="n">
        <v>4000</v>
      </c>
      <c r="D6" s="70" t="s">
        <v>264</v>
      </c>
    </row>
    <row r="7" customFormat="false" ht="15" hidden="false" customHeight="true" outlineLevel="0" collapsed="false">
      <c r="B7" s="54" t="s">
        <v>265</v>
      </c>
      <c r="C7" s="71" t="n">
        <v>0.8</v>
      </c>
      <c r="D7" s="70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4" t="s">
        <v>266</v>
      </c>
      <c r="C8" s="71" t="n">
        <v>0.749</v>
      </c>
      <c r="D8" s="70" t="s">
        <v>267</v>
      </c>
    </row>
    <row r="9" customFormat="false" ht="15" hidden="false" customHeight="true" outlineLevel="0" collapsed="false">
      <c r="B9" s="54" t="s">
        <v>268</v>
      </c>
      <c r="C9" s="71" t="n">
        <v>0.2</v>
      </c>
      <c r="D9" s="70" t="s">
        <v>269</v>
      </c>
    </row>
    <row r="11" customFormat="false" ht="19.5" hidden="false" customHeight="true" outlineLevel="0" collapsed="false">
      <c r="B11" s="68" t="s">
        <v>270</v>
      </c>
      <c r="C11" s="68"/>
      <c r="D11" s="68"/>
    </row>
    <row r="12" customFormat="false" ht="15" hidden="false" customHeight="true" outlineLevel="0" collapsed="false">
      <c r="B12" s="54" t="s">
        <v>271</v>
      </c>
      <c r="C12" s="71" t="n">
        <v>0.6</v>
      </c>
      <c r="D12" s="70" t="str">
        <f aca="false">TEXT(1-$C$12,"0%")&amp;" margin target"</f>
        <v>40% margin target</v>
      </c>
    </row>
    <row r="13" customFormat="false" ht="15" hidden="false" customHeight="true" outlineLevel="0" collapsed="false">
      <c r="B13" s="54" t="s">
        <v>272</v>
      </c>
      <c r="C13" s="71" t="n">
        <v>0.25</v>
      </c>
      <c r="D13" s="70" t="str">
        <f aca="false">TEXT(1-$C$13,"0%")&amp;" margin"</f>
        <v>75% margin</v>
      </c>
    </row>
    <row r="15" customFormat="false" ht="19.5" hidden="false" customHeight="true" outlineLevel="0" collapsed="false">
      <c r="B15" s="68" t="s">
        <v>273</v>
      </c>
      <c r="C15" s="68"/>
      <c r="D15" s="68"/>
    </row>
    <row r="16" customFormat="false" ht="15" hidden="false" customHeight="true" outlineLevel="0" collapsed="false">
      <c r="B16" s="54" t="s">
        <v>274</v>
      </c>
      <c r="C16" s="72" t="n">
        <v>1</v>
      </c>
    </row>
    <row r="17" customFormat="false" ht="15" hidden="false" customHeight="true" outlineLevel="0" collapsed="false">
      <c r="B17" s="54" t="s">
        <v>275</v>
      </c>
      <c r="C17" s="72" t="n">
        <v>2</v>
      </c>
    </row>
    <row r="18" customFormat="false" ht="15" hidden="false" customHeight="true" outlineLevel="0" collapsed="false">
      <c r="B18" s="54" t="s">
        <v>276</v>
      </c>
      <c r="C18" s="69" t="n">
        <v>35</v>
      </c>
    </row>
    <row r="19" customFormat="false" ht="15" hidden="false" customHeight="true" outlineLevel="0" collapsed="false">
      <c r="B19" s="54" t="s">
        <v>277</v>
      </c>
      <c r="C19" s="72" t="n">
        <v>5</v>
      </c>
    </row>
    <row r="20" customFormat="false" ht="15" hidden="false" customHeight="true" outlineLevel="0" collapsed="false">
      <c r="B20" s="73" t="s">
        <v>278</v>
      </c>
      <c r="C20" s="74" t="n">
        <f aca="false">(C16+C17)*C18*C19</f>
        <v>525</v>
      </c>
    </row>
    <row r="21" customFormat="false" ht="15" hidden="false" customHeight="true" outlineLevel="0" collapsed="false">
      <c r="B21" s="54" t="s">
        <v>279</v>
      </c>
      <c r="C21" s="74" t="n">
        <f aca="false">'Vessel GL Basis'!D8</f>
        <v>1435.83333333333</v>
      </c>
      <c r="D21" s="70" t="s">
        <v>280</v>
      </c>
    </row>
    <row r="22" customFormat="false" ht="15" hidden="false" customHeight="true" outlineLevel="0" collapsed="false">
      <c r="B22" s="54" t="s">
        <v>281</v>
      </c>
      <c r="C22" s="71" t="n">
        <v>0.161</v>
      </c>
      <c r="D22" s="70" t="s">
        <v>282</v>
      </c>
    </row>
    <row r="24" customFormat="false" ht="19.5" hidden="false" customHeight="true" outlineLevel="0" collapsed="false">
      <c r="B24" s="68" t="s">
        <v>283</v>
      </c>
      <c r="C24" s="68"/>
      <c r="D24" s="68"/>
    </row>
    <row r="25" customFormat="false" ht="15" hidden="false" customHeight="true" outlineLevel="0" collapsed="false">
      <c r="B25" s="54" t="s">
        <v>284</v>
      </c>
      <c r="C25" s="74" t="n">
        <f aca="false">'Vessel GL Basis'!D18</f>
        <v>6718.66666666667</v>
      </c>
      <c r="D25" s="70" t="s">
        <v>280</v>
      </c>
    </row>
    <row r="26" customFormat="false" ht="15" hidden="false" customHeight="true" outlineLevel="0" collapsed="false">
      <c r="B26" s="54" t="s">
        <v>285</v>
      </c>
      <c r="C26" s="74" t="n">
        <f aca="false">'Vessel GL Basis'!D24</f>
        <v>1045.41666666667</v>
      </c>
      <c r="D26" s="70" t="s">
        <v>280</v>
      </c>
    </row>
    <row r="27" customFormat="false" ht="15" hidden="false" customHeight="true" outlineLevel="0" collapsed="false">
      <c r="B27" s="54" t="s">
        <v>286</v>
      </c>
      <c r="C27" s="71" t="n">
        <v>0.025</v>
      </c>
      <c r="D27" s="70" t="s">
        <v>287</v>
      </c>
    </row>
    <row r="29" customFormat="false" ht="19.5" hidden="false" customHeight="true" outlineLevel="0" collapsed="false">
      <c r="B29" s="68" t="s">
        <v>288</v>
      </c>
      <c r="C29" s="68"/>
      <c r="D29" s="68"/>
    </row>
    <row r="30" customFormat="false" ht="15" hidden="false" customHeight="true" outlineLevel="0" collapsed="false">
      <c r="B30" s="54" t="s">
        <v>289</v>
      </c>
      <c r="C30" s="75" t="n">
        <v>0.04</v>
      </c>
      <c r="D30" s="70" t="s">
        <v>290</v>
      </c>
    </row>
    <row r="31" customFormat="false" ht="15" hidden="false" customHeight="true" outlineLevel="0" collapsed="false">
      <c r="B31" s="73" t="s">
        <v>291</v>
      </c>
      <c r="C31" s="76" t="n">
        <v>0</v>
      </c>
      <c r="D31" s="9" t="s">
        <v>292</v>
      </c>
    </row>
    <row r="32" customFormat="false" ht="15" hidden="false" customHeight="true" outlineLevel="0" collapsed="false">
      <c r="B32" s="9" t="s">
        <v>293</v>
      </c>
      <c r="C32" s="77" t="n">
        <v>0.05</v>
      </c>
      <c r="D32" s="9" t="s">
        <v>294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148</v>
      </c>
    </row>
    <row r="2" customFormat="false" ht="15" hidden="false" customHeight="true" outlineLevel="0" collapsed="false">
      <c r="A2" s="19" t="s">
        <v>295</v>
      </c>
    </row>
    <row r="3" customFormat="false" ht="15" hidden="false" customHeight="true" outlineLevel="0" collapsed="false">
      <c r="A3" s="19" t="s">
        <v>157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157</v>
      </c>
      <c r="AC5" s="35"/>
    </row>
    <row r="6" customFormat="false" ht="15" hidden="false" customHeight="true" outlineLevel="0" collapsed="false">
      <c r="C6" s="37" t="s">
        <v>236</v>
      </c>
      <c r="D6" s="37"/>
      <c r="E6" s="37" t="s">
        <v>236</v>
      </c>
      <c r="F6" s="37"/>
      <c r="G6" s="37" t="s">
        <v>236</v>
      </c>
      <c r="H6" s="37"/>
      <c r="I6" s="37" t="s">
        <v>236</v>
      </c>
      <c r="J6" s="37"/>
      <c r="K6" s="37" t="s">
        <v>236</v>
      </c>
      <c r="L6" s="37"/>
      <c r="M6" s="37" t="s">
        <v>236</v>
      </c>
      <c r="N6" s="37"/>
      <c r="O6" s="37" t="s">
        <v>236</v>
      </c>
      <c r="P6" s="37"/>
      <c r="Q6" s="37" t="s">
        <v>236</v>
      </c>
      <c r="R6" s="37"/>
      <c r="S6" s="37" t="s">
        <v>236</v>
      </c>
      <c r="T6" s="37"/>
      <c r="U6" s="37" t="s">
        <v>236</v>
      </c>
      <c r="V6" s="37"/>
      <c r="W6" s="37" t="s">
        <v>236</v>
      </c>
      <c r="X6" s="37"/>
      <c r="Y6" s="37" t="s">
        <v>236</v>
      </c>
      <c r="Z6" s="37"/>
      <c r="AB6" s="37" t="s">
        <v>159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8" customFormat="false" ht="15" hidden="false" customHeight="true" outlineLevel="0" collapsed="false">
      <c r="A8" s="27" t="s">
        <v>296</v>
      </c>
      <c r="C8" s="78" t="n">
        <v>13</v>
      </c>
      <c r="E8" s="78" t="n">
        <v>4</v>
      </c>
      <c r="G8" s="78" t="n">
        <v>13</v>
      </c>
      <c r="I8" s="78" t="n">
        <v>4</v>
      </c>
      <c r="K8" s="78" t="n">
        <v>10</v>
      </c>
      <c r="M8" s="79" t="n">
        <f aca="false">AVERAGE($C$8,$E$8,$G$8,$I$8,$K$8)</f>
        <v>8.8</v>
      </c>
      <c r="O8" s="79" t="n">
        <f aca="false">AVERAGE($C$8,$E$8,$G$8,$I$8,$K$8)</f>
        <v>8.8</v>
      </c>
      <c r="Q8" s="79" t="n">
        <f aca="false">AVERAGE($C$8,$E$8,$G$8,$I$8,$K$8)</f>
        <v>8.8</v>
      </c>
      <c r="S8" s="79" t="n">
        <f aca="false">AVERAGE($C$8,$E$8,$G$8,$I$8,$K$8)</f>
        <v>8.8</v>
      </c>
      <c r="U8" s="79" t="n">
        <f aca="false">AVERAGE($C$8,$E$8,$G$8,$I$8,$K$8)</f>
        <v>8.8</v>
      </c>
      <c r="W8" s="79" t="n">
        <f aca="false">AVERAGE($C$8,$E$8,$G$8,$I$8,$K$8)</f>
        <v>8.8</v>
      </c>
      <c r="Y8" s="79" t="n">
        <f aca="false">AVERAGE($C$8,$E$8,$G$8,$I$8,$K$8)</f>
        <v>8.8</v>
      </c>
      <c r="AB8" s="46" t="n">
        <f aca="false">SUM(C8,E8,G8,I8,K8,M8,O8,Q8,S8,U8,W8,Y8)</f>
        <v>105.6</v>
      </c>
    </row>
    <row r="9" customFormat="false" ht="15" hidden="false" customHeight="true" outlineLevel="0" collapsed="false">
      <c r="A9" s="27" t="s">
        <v>297</v>
      </c>
      <c r="C9" s="46" t="n">
        <f aca="false">ROUND(C8*'Vessel Assumptions'!$C$7,0)</f>
        <v>10</v>
      </c>
      <c r="E9" s="46" t="n">
        <f aca="false">ROUND(E8*'Vessel Assumptions'!$C$7,0)</f>
        <v>3</v>
      </c>
      <c r="G9" s="46" t="n">
        <f aca="false">ROUND(G8*'Vessel Assumptions'!$C$7,0)</f>
        <v>10</v>
      </c>
      <c r="I9" s="46" t="n">
        <f aca="false">ROUND(I8*'Vessel Assumptions'!$C$7,0)</f>
        <v>3</v>
      </c>
      <c r="K9" s="46" t="n">
        <f aca="false">ROUND(K8*'Vessel Assumptions'!$C$7,0)</f>
        <v>8</v>
      </c>
      <c r="M9" s="46" t="n">
        <f aca="false">ROUND(M8*'Vessel Assumptions'!$C$7,0)</f>
        <v>7</v>
      </c>
      <c r="O9" s="46" t="n">
        <f aca="false">ROUND(O8*'Vessel Assumptions'!$C$7,0)</f>
        <v>7</v>
      </c>
      <c r="Q9" s="46" t="n">
        <f aca="false">ROUND(Q8*'Vessel Assumptions'!$C$7,0)</f>
        <v>7</v>
      </c>
      <c r="S9" s="46" t="n">
        <f aca="false">ROUND(S8*'Vessel Assumptions'!$C$7,0)</f>
        <v>7</v>
      </c>
      <c r="U9" s="46" t="n">
        <f aca="false">ROUND(U8*'Vessel Assumptions'!$C$7,0)</f>
        <v>7</v>
      </c>
      <c r="W9" s="46" t="n">
        <f aca="false">ROUND(W8*'Vessel Assumptions'!$C$7,0)</f>
        <v>7</v>
      </c>
      <c r="Y9" s="46" t="n">
        <f aca="false">ROUND(Y8*'Vessel Assumptions'!$C$7,0)</f>
        <v>7</v>
      </c>
      <c r="AB9" s="46" t="n">
        <f aca="false">SUM(C9,E9,G9,I9,K9,M9,O9,Q9,S9,U9,W9,Y9)</f>
        <v>83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C9*'Vessel Assumptions'!$C$6*'Vessel Assumptions'!$C$8</f>
        <v>29960</v>
      </c>
      <c r="D12" s="39" t="n">
        <f aca="false">IFERROR(C12/C$20,0)</f>
        <v>0.5992</v>
      </c>
      <c r="E12" s="28" t="n">
        <f aca="false">E9*'Vessel Assumptions'!$C$6*'Vessel Assumptions'!$C$8</f>
        <v>8988</v>
      </c>
      <c r="F12" s="39" t="n">
        <f aca="false">IFERROR(E12/E$20,0)</f>
        <v>0.5992</v>
      </c>
      <c r="G12" s="28" t="n">
        <f aca="false">G9*'Vessel Assumptions'!$C$6*'Vessel Assumptions'!$C$8</f>
        <v>29960</v>
      </c>
      <c r="H12" s="39" t="n">
        <f aca="false">IFERROR(G12/G$20,0)</f>
        <v>0.5992</v>
      </c>
      <c r="I12" s="28" t="n">
        <f aca="false">I9*'Vessel Assumptions'!$C$6*'Vessel Assumptions'!$C$8</f>
        <v>8988</v>
      </c>
      <c r="J12" s="39" t="n">
        <f aca="false">IFERROR(I12/I$20,0)</f>
        <v>0.5992</v>
      </c>
      <c r="K12" s="28" t="n">
        <f aca="false">K9*'Vessel Assumptions'!$C$6*'Vessel Assumptions'!$C$8</f>
        <v>23968</v>
      </c>
      <c r="L12" s="39" t="n">
        <f aca="false">IFERROR(K12/K$20,0)</f>
        <v>0.5992</v>
      </c>
      <c r="M12" s="28" t="n">
        <f aca="false">M9*'Vessel Assumptions'!$C$6*'Vessel Assumptions'!$C$8</f>
        <v>20972</v>
      </c>
      <c r="N12" s="39" t="n">
        <f aca="false">IFERROR(M12/M$20,0)</f>
        <v>0.5992</v>
      </c>
      <c r="O12" s="28" t="n">
        <f aca="false">O9*'Vessel Assumptions'!$C$6*'Vessel Assumptions'!$C$8</f>
        <v>20972</v>
      </c>
      <c r="P12" s="39" t="n">
        <f aca="false">IFERROR(O12/O$20,0)</f>
        <v>0.5992</v>
      </c>
      <c r="Q12" s="28" t="n">
        <f aca="false">Q9*'Vessel Assumptions'!$C$6*'Vessel Assumptions'!$C$8</f>
        <v>20972</v>
      </c>
      <c r="R12" s="39" t="n">
        <f aca="false">IFERROR(Q12/Q$20,0)</f>
        <v>0.5992</v>
      </c>
      <c r="S12" s="28" t="n">
        <f aca="false">S9*'Vessel Assumptions'!$C$6*'Vessel Assumptions'!$C$8</f>
        <v>20972</v>
      </c>
      <c r="T12" s="39" t="n">
        <f aca="false">IFERROR(S12/S$20,0)</f>
        <v>0.5992</v>
      </c>
      <c r="U12" s="28" t="n">
        <f aca="false">U9*'Vessel Assumptions'!$C$6*'Vessel Assumptions'!$C$8</f>
        <v>20972</v>
      </c>
      <c r="V12" s="39" t="n">
        <f aca="false">IFERROR(U12/U$20,0)</f>
        <v>0.5992</v>
      </c>
      <c r="W12" s="28" t="n">
        <f aca="false">W9*'Vessel Assumptions'!$C$6*'Vessel Assumptions'!$C$8</f>
        <v>20972</v>
      </c>
      <c r="X12" s="39" t="n">
        <f aca="false">IFERROR(W12/W$20,0)</f>
        <v>0.5992</v>
      </c>
      <c r="Y12" s="28" t="n">
        <f aca="false">Y9*'Vessel Assumptions'!$C$6*'Vessel Assumptions'!$C$8</f>
        <v>20972</v>
      </c>
      <c r="Z12" s="39" t="n">
        <f aca="false">IFERROR(Y12/Y$20,0)</f>
        <v>0.5992</v>
      </c>
      <c r="AB12" s="28" t="n">
        <f aca="false">SUM(C12,E12,G12,I12,K12,M12,O12,Q12,S12,U12,W12,Y12)</f>
        <v>248668</v>
      </c>
      <c r="AC12" s="39" t="n">
        <f aca="false">IFERROR(AB12/AB$20,0)</f>
        <v>0.5992</v>
      </c>
    </row>
    <row r="13" customFormat="false" ht="15" hidden="false" customHeight="true" outlineLevel="0" collapsed="false">
      <c r="A13" s="27" t="s">
        <v>164</v>
      </c>
      <c r="C13" s="28" t="n">
        <f aca="false">(C9*'Vessel Assumptions'!$C$6*(1-'Vessel Assumptions'!$C$8))*'Vessel 2026 P&amp;L'!$AB$10/SUM('Vessel 2026 P&amp;L'!$AB$10:$AB$13)</f>
        <v>3369.32758807981</v>
      </c>
      <c r="D13" s="39" t="n">
        <f aca="false">IFERROR(C13/C$20,0)</f>
        <v>0.0673865517615961</v>
      </c>
      <c r="E13" s="28" t="n">
        <f aca="false">(E9*'Vessel Assumptions'!$C$6*(1-'Vessel Assumptions'!$C$8))*'Vessel 2026 P&amp;L'!$AB$10/SUM('Vessel 2026 P&amp;L'!$AB$10:$AB$13)</f>
        <v>1010.79827642394</v>
      </c>
      <c r="F13" s="39" t="n">
        <f aca="false">IFERROR(E13/E$20,0)</f>
        <v>0.0673865517615961</v>
      </c>
      <c r="G13" s="28" t="n">
        <f aca="false">(G9*'Vessel Assumptions'!$C$6*(1-'Vessel Assumptions'!$C$8))*'Vessel 2026 P&amp;L'!$AB$10/SUM('Vessel 2026 P&amp;L'!$AB$10:$AB$13)</f>
        <v>3369.32758807981</v>
      </c>
      <c r="H13" s="39" t="n">
        <f aca="false">IFERROR(G13/G$20,0)</f>
        <v>0.0673865517615961</v>
      </c>
      <c r="I13" s="28" t="n">
        <f aca="false">(I9*'Vessel Assumptions'!$C$6*(1-'Vessel Assumptions'!$C$8))*'Vessel 2026 P&amp;L'!$AB$10/SUM('Vessel 2026 P&amp;L'!$AB$10:$AB$13)</f>
        <v>1010.79827642394</v>
      </c>
      <c r="J13" s="39" t="n">
        <f aca="false">IFERROR(I13/I$20,0)</f>
        <v>0.0673865517615961</v>
      </c>
      <c r="K13" s="28" t="n">
        <f aca="false">(K9*'Vessel Assumptions'!$C$6*(1-'Vessel Assumptions'!$C$8))*'Vessel 2026 P&amp;L'!$AB$10/SUM('Vessel 2026 P&amp;L'!$AB$10:$AB$13)</f>
        <v>2695.46207046384</v>
      </c>
      <c r="L13" s="39" t="n">
        <f aca="false">IFERROR(K13/K$20,0)</f>
        <v>0.0673865517615961</v>
      </c>
      <c r="M13" s="28" t="n">
        <f aca="false">(M9*'Vessel Assumptions'!$C$6*(1-'Vessel Assumptions'!$C$8))*'Vessel 2026 P&amp;L'!$AB$10/SUM('Vessel 2026 P&amp;L'!$AB$10:$AB$13)</f>
        <v>2358.52931165586</v>
      </c>
      <c r="N13" s="39" t="n">
        <f aca="false">IFERROR(M13/M$20,0)</f>
        <v>0.0673865517615961</v>
      </c>
      <c r="O13" s="28" t="n">
        <f aca="false">(O9*'Vessel Assumptions'!$C$6*(1-'Vessel Assumptions'!$C$8))*'Vessel 2026 P&amp;L'!$AB$10/SUM('Vessel 2026 P&amp;L'!$AB$10:$AB$13)</f>
        <v>2358.52931165586</v>
      </c>
      <c r="P13" s="39" t="n">
        <f aca="false">IFERROR(O13/O$20,0)</f>
        <v>0.0673865517615961</v>
      </c>
      <c r="Q13" s="28" t="n">
        <f aca="false">(Q9*'Vessel Assumptions'!$C$6*(1-'Vessel Assumptions'!$C$8))*'Vessel 2026 P&amp;L'!$AB$10/SUM('Vessel 2026 P&amp;L'!$AB$10:$AB$13)</f>
        <v>2358.52931165586</v>
      </c>
      <c r="R13" s="39" t="n">
        <f aca="false">IFERROR(Q13/Q$20,0)</f>
        <v>0.0673865517615961</v>
      </c>
      <c r="S13" s="28" t="n">
        <f aca="false">(S9*'Vessel Assumptions'!$C$6*(1-'Vessel Assumptions'!$C$8))*'Vessel 2026 P&amp;L'!$AB$10/SUM('Vessel 2026 P&amp;L'!$AB$10:$AB$13)</f>
        <v>2358.52931165586</v>
      </c>
      <c r="T13" s="39" t="n">
        <f aca="false">IFERROR(S13/S$20,0)</f>
        <v>0.0673865517615961</v>
      </c>
      <c r="U13" s="28" t="n">
        <f aca="false">(U9*'Vessel Assumptions'!$C$6*(1-'Vessel Assumptions'!$C$8))*'Vessel 2026 P&amp;L'!$AB$10/SUM('Vessel 2026 P&amp;L'!$AB$10:$AB$13)</f>
        <v>2358.52931165586</v>
      </c>
      <c r="V13" s="39" t="n">
        <f aca="false">IFERROR(U13/U$20,0)</f>
        <v>0.0673865517615961</v>
      </c>
      <c r="W13" s="28" t="n">
        <f aca="false">(W9*'Vessel Assumptions'!$C$6*(1-'Vessel Assumptions'!$C$8))*'Vessel 2026 P&amp;L'!$AB$10/SUM('Vessel 2026 P&amp;L'!$AB$10:$AB$13)</f>
        <v>2358.52931165586</v>
      </c>
      <c r="X13" s="39" t="n">
        <f aca="false">IFERROR(W13/W$20,0)</f>
        <v>0.0673865517615961</v>
      </c>
      <c r="Y13" s="28" t="n">
        <f aca="false">(Y9*'Vessel Assumptions'!$C$6*(1-'Vessel Assumptions'!$C$8))*'Vessel 2026 P&amp;L'!$AB$10/SUM('Vessel 2026 P&amp;L'!$AB$10:$AB$13)</f>
        <v>2358.52931165586</v>
      </c>
      <c r="Z13" s="39" t="n">
        <f aca="false">IFERROR(Y13/Y$20,0)</f>
        <v>0.0673865517615961</v>
      </c>
      <c r="AB13" s="28" t="n">
        <f aca="false">SUM(C13,E13,G13,I13,K13,M13,O13,Q13,S13,U13,W13,Y13)</f>
        <v>27965.4189810624</v>
      </c>
      <c r="AC13" s="39" t="n">
        <f aca="false">IFERROR(AB13/AB$20,0)</f>
        <v>0.0673865517615961</v>
      </c>
    </row>
    <row r="14" customFormat="false" ht="15" hidden="false" customHeight="true" outlineLevel="0" collapsed="false">
      <c r="A14" s="27" t="s">
        <v>165</v>
      </c>
      <c r="C14" s="28" t="n">
        <f aca="false">(C9*'Vessel Assumptions'!$C$6*(1-'Vessel Assumptions'!$C$8))*'Vessel 2026 P&amp;L'!$AB$11/SUM('Vessel 2026 P&amp;L'!$AB$10:$AB$13)</f>
        <v>5666.80571145792</v>
      </c>
      <c r="D14" s="39" t="n">
        <f aca="false">IFERROR(C14/C$20,0)</f>
        <v>0.113336114229158</v>
      </c>
      <c r="E14" s="28" t="n">
        <f aca="false">(E9*'Vessel Assumptions'!$C$6*(1-'Vessel Assumptions'!$C$8))*'Vessel 2026 P&amp;L'!$AB$11/SUM('Vessel 2026 P&amp;L'!$AB$10:$AB$13)</f>
        <v>1700.04171343738</v>
      </c>
      <c r="F14" s="39" t="n">
        <f aca="false">IFERROR(E14/E$20,0)</f>
        <v>0.113336114229158</v>
      </c>
      <c r="G14" s="28" t="n">
        <f aca="false">(G9*'Vessel Assumptions'!$C$6*(1-'Vessel Assumptions'!$C$8))*'Vessel 2026 P&amp;L'!$AB$11/SUM('Vessel 2026 P&amp;L'!$AB$10:$AB$13)</f>
        <v>5666.80571145792</v>
      </c>
      <c r="H14" s="39" t="n">
        <f aca="false">IFERROR(G14/G$20,0)</f>
        <v>0.113336114229158</v>
      </c>
      <c r="I14" s="28" t="n">
        <f aca="false">(I9*'Vessel Assumptions'!$C$6*(1-'Vessel Assumptions'!$C$8))*'Vessel 2026 P&amp;L'!$AB$11/SUM('Vessel 2026 P&amp;L'!$AB$10:$AB$13)</f>
        <v>1700.04171343738</v>
      </c>
      <c r="J14" s="39" t="n">
        <f aca="false">IFERROR(I14/I$20,0)</f>
        <v>0.113336114229158</v>
      </c>
      <c r="K14" s="28" t="n">
        <f aca="false">(K9*'Vessel Assumptions'!$C$6*(1-'Vessel Assumptions'!$C$8))*'Vessel 2026 P&amp;L'!$AB$11/SUM('Vessel 2026 P&amp;L'!$AB$10:$AB$13)</f>
        <v>4533.44456916634</v>
      </c>
      <c r="L14" s="39" t="n">
        <f aca="false">IFERROR(K14/K$20,0)</f>
        <v>0.113336114229158</v>
      </c>
      <c r="M14" s="28" t="n">
        <f aca="false">(M9*'Vessel Assumptions'!$C$6*(1-'Vessel Assumptions'!$C$8))*'Vessel 2026 P&amp;L'!$AB$11/SUM('Vessel 2026 P&amp;L'!$AB$10:$AB$13)</f>
        <v>3966.76399802054</v>
      </c>
      <c r="N14" s="39" t="n">
        <f aca="false">IFERROR(M14/M$20,0)</f>
        <v>0.113336114229158</v>
      </c>
      <c r="O14" s="28" t="n">
        <f aca="false">(O9*'Vessel Assumptions'!$C$6*(1-'Vessel Assumptions'!$C$8))*'Vessel 2026 P&amp;L'!$AB$11/SUM('Vessel 2026 P&amp;L'!$AB$10:$AB$13)</f>
        <v>3966.76399802054</v>
      </c>
      <c r="P14" s="39" t="n">
        <f aca="false">IFERROR(O14/O$20,0)</f>
        <v>0.113336114229158</v>
      </c>
      <c r="Q14" s="28" t="n">
        <f aca="false">(Q9*'Vessel Assumptions'!$C$6*(1-'Vessel Assumptions'!$C$8))*'Vessel 2026 P&amp;L'!$AB$11/SUM('Vessel 2026 P&amp;L'!$AB$10:$AB$13)</f>
        <v>3966.76399802054</v>
      </c>
      <c r="R14" s="39" t="n">
        <f aca="false">IFERROR(Q14/Q$20,0)</f>
        <v>0.113336114229158</v>
      </c>
      <c r="S14" s="28" t="n">
        <f aca="false">(S9*'Vessel Assumptions'!$C$6*(1-'Vessel Assumptions'!$C$8))*'Vessel 2026 P&amp;L'!$AB$11/SUM('Vessel 2026 P&amp;L'!$AB$10:$AB$13)</f>
        <v>3966.76399802054</v>
      </c>
      <c r="T14" s="39" t="n">
        <f aca="false">IFERROR(S14/S$20,0)</f>
        <v>0.113336114229158</v>
      </c>
      <c r="U14" s="28" t="n">
        <f aca="false">(U9*'Vessel Assumptions'!$C$6*(1-'Vessel Assumptions'!$C$8))*'Vessel 2026 P&amp;L'!$AB$11/SUM('Vessel 2026 P&amp;L'!$AB$10:$AB$13)</f>
        <v>3966.76399802054</v>
      </c>
      <c r="V14" s="39" t="n">
        <f aca="false">IFERROR(U14/U$20,0)</f>
        <v>0.113336114229158</v>
      </c>
      <c r="W14" s="28" t="n">
        <f aca="false">(W9*'Vessel Assumptions'!$C$6*(1-'Vessel Assumptions'!$C$8))*'Vessel 2026 P&amp;L'!$AB$11/SUM('Vessel 2026 P&amp;L'!$AB$10:$AB$13)</f>
        <v>3966.76399802054</v>
      </c>
      <c r="X14" s="39" t="n">
        <f aca="false">IFERROR(W14/W$20,0)</f>
        <v>0.113336114229158</v>
      </c>
      <c r="Y14" s="28" t="n">
        <f aca="false">(Y9*'Vessel Assumptions'!$C$6*(1-'Vessel Assumptions'!$C$8))*'Vessel 2026 P&amp;L'!$AB$11/SUM('Vessel 2026 P&amp;L'!$AB$10:$AB$13)</f>
        <v>3966.76399802054</v>
      </c>
      <c r="Z14" s="39" t="n">
        <f aca="false">IFERROR(Y14/Y$20,0)</f>
        <v>0.113336114229158</v>
      </c>
      <c r="AB14" s="28" t="n">
        <f aca="false">SUM(C14,E14,G14,I14,K14,M14,O14,Q14,S14,U14,W14,Y14)</f>
        <v>47034.4874051007</v>
      </c>
      <c r="AC14" s="39" t="n">
        <f aca="false">IFERROR(AB14/AB$20,0)</f>
        <v>0.113336114229158</v>
      </c>
    </row>
    <row r="15" customFormat="false" ht="15" hidden="false" customHeight="true" outlineLevel="0" collapsed="false">
      <c r="A15" s="27" t="s">
        <v>166</v>
      </c>
      <c r="C15" s="28" t="n">
        <f aca="false">(C9*'Vessel Assumptions'!$C$6*(1-'Vessel Assumptions'!$C$8))*'Vessel 2026 P&amp;L'!$AB$12/SUM('Vessel 2026 P&amp;L'!$AB$10:$AB$13)</f>
        <v>208.916730033434</v>
      </c>
      <c r="D15" s="39" t="n">
        <f aca="false">IFERROR(C15/C$20,0)</f>
        <v>0.00417833460066867</v>
      </c>
      <c r="E15" s="28" t="n">
        <f aca="false">(E9*'Vessel Assumptions'!$C$6*(1-'Vessel Assumptions'!$C$8))*'Vessel 2026 P&amp;L'!$AB$12/SUM('Vessel 2026 P&amp;L'!$AB$10:$AB$13)</f>
        <v>62.6750190100301</v>
      </c>
      <c r="F15" s="39" t="n">
        <f aca="false">IFERROR(E15/E$20,0)</f>
        <v>0.00417833460066867</v>
      </c>
      <c r="G15" s="28" t="n">
        <f aca="false">(G9*'Vessel Assumptions'!$C$6*(1-'Vessel Assumptions'!$C$8))*'Vessel 2026 P&amp;L'!$AB$12/SUM('Vessel 2026 P&amp;L'!$AB$10:$AB$13)</f>
        <v>208.916730033434</v>
      </c>
      <c r="H15" s="39" t="n">
        <f aca="false">IFERROR(G15/G$20,0)</f>
        <v>0.00417833460066867</v>
      </c>
      <c r="I15" s="28" t="n">
        <f aca="false">(I9*'Vessel Assumptions'!$C$6*(1-'Vessel Assumptions'!$C$8))*'Vessel 2026 P&amp;L'!$AB$12/SUM('Vessel 2026 P&amp;L'!$AB$10:$AB$13)</f>
        <v>62.6750190100301</v>
      </c>
      <c r="J15" s="39" t="n">
        <f aca="false">IFERROR(I15/I$20,0)</f>
        <v>0.00417833460066867</v>
      </c>
      <c r="K15" s="28" t="n">
        <f aca="false">(K9*'Vessel Assumptions'!$C$6*(1-'Vessel Assumptions'!$C$8))*'Vessel 2026 P&amp;L'!$AB$12/SUM('Vessel 2026 P&amp;L'!$AB$10:$AB$13)</f>
        <v>167.133384026747</v>
      </c>
      <c r="L15" s="39" t="n">
        <f aca="false">IFERROR(K15/K$20,0)</f>
        <v>0.00417833460066867</v>
      </c>
      <c r="M15" s="28" t="n">
        <f aca="false">(M9*'Vessel Assumptions'!$C$6*(1-'Vessel Assumptions'!$C$8))*'Vessel 2026 P&amp;L'!$AB$12/SUM('Vessel 2026 P&amp;L'!$AB$10:$AB$13)</f>
        <v>146.241711023403</v>
      </c>
      <c r="N15" s="39" t="n">
        <f aca="false">IFERROR(M15/M$20,0)</f>
        <v>0.00417833460066867</v>
      </c>
      <c r="O15" s="28" t="n">
        <f aca="false">(O9*'Vessel Assumptions'!$C$6*(1-'Vessel Assumptions'!$C$8))*'Vessel 2026 P&amp;L'!$AB$12/SUM('Vessel 2026 P&amp;L'!$AB$10:$AB$13)</f>
        <v>146.241711023403</v>
      </c>
      <c r="P15" s="39" t="n">
        <f aca="false">IFERROR(O15/O$20,0)</f>
        <v>0.00417833460066867</v>
      </c>
      <c r="Q15" s="28" t="n">
        <f aca="false">(Q9*'Vessel Assumptions'!$C$6*(1-'Vessel Assumptions'!$C$8))*'Vessel 2026 P&amp;L'!$AB$12/SUM('Vessel 2026 P&amp;L'!$AB$10:$AB$13)</f>
        <v>146.241711023403</v>
      </c>
      <c r="R15" s="39" t="n">
        <f aca="false">IFERROR(Q15/Q$20,0)</f>
        <v>0.00417833460066867</v>
      </c>
      <c r="S15" s="28" t="n">
        <f aca="false">(S9*'Vessel Assumptions'!$C$6*(1-'Vessel Assumptions'!$C$8))*'Vessel 2026 P&amp;L'!$AB$12/SUM('Vessel 2026 P&amp;L'!$AB$10:$AB$13)</f>
        <v>146.241711023403</v>
      </c>
      <c r="T15" s="39" t="n">
        <f aca="false">IFERROR(S15/S$20,0)</f>
        <v>0.00417833460066867</v>
      </c>
      <c r="U15" s="28" t="n">
        <f aca="false">(U9*'Vessel Assumptions'!$C$6*(1-'Vessel Assumptions'!$C$8))*'Vessel 2026 P&amp;L'!$AB$12/SUM('Vessel 2026 P&amp;L'!$AB$10:$AB$13)</f>
        <v>146.241711023403</v>
      </c>
      <c r="V15" s="39" t="n">
        <f aca="false">IFERROR(U15/U$20,0)</f>
        <v>0.00417833460066867</v>
      </c>
      <c r="W15" s="28" t="n">
        <f aca="false">(W9*'Vessel Assumptions'!$C$6*(1-'Vessel Assumptions'!$C$8))*'Vessel 2026 P&amp;L'!$AB$12/SUM('Vessel 2026 P&amp;L'!$AB$10:$AB$13)</f>
        <v>146.241711023403</v>
      </c>
      <c r="X15" s="39" t="n">
        <f aca="false">IFERROR(W15/W$20,0)</f>
        <v>0.00417833460066867</v>
      </c>
      <c r="Y15" s="28" t="n">
        <f aca="false">(Y9*'Vessel Assumptions'!$C$6*(1-'Vessel Assumptions'!$C$8))*'Vessel 2026 P&amp;L'!$AB$12/SUM('Vessel 2026 P&amp;L'!$AB$10:$AB$13)</f>
        <v>146.241711023403</v>
      </c>
      <c r="Z15" s="39" t="n">
        <f aca="false">IFERROR(Y15/Y$20,0)</f>
        <v>0.00417833460066867</v>
      </c>
      <c r="AB15" s="28" t="n">
        <f aca="false">SUM(C15,E15,G15,I15,K15,M15,O15,Q15,S15,U15,W15,Y15)</f>
        <v>1734.0088592775</v>
      </c>
      <c r="AC15" s="39" t="n">
        <f aca="false">IFERROR(AB15/AB$20,0)</f>
        <v>0.00417833460066867</v>
      </c>
    </row>
    <row r="16" customFormat="false" ht="15" hidden="false" customHeight="true" outlineLevel="0" collapsed="false">
      <c r="A16" s="27" t="s">
        <v>167</v>
      </c>
      <c r="C16" s="28" t="n">
        <f aca="false">(C9*'Vessel Assumptions'!$C$6*(1-'Vessel Assumptions'!$C$8))*'Vessel 2026 P&amp;L'!$AB$13/SUM('Vessel 2026 P&amp;L'!$AB$10:$AB$13)</f>
        <v>794.949970428842</v>
      </c>
      <c r="D16" s="39" t="n">
        <f aca="false">IFERROR(C16/C$20,0)</f>
        <v>0.0158989994085768</v>
      </c>
      <c r="E16" s="28" t="n">
        <f aca="false">(E9*'Vessel Assumptions'!$C$6*(1-'Vessel Assumptions'!$C$8))*'Vessel 2026 P&amp;L'!$AB$13/SUM('Vessel 2026 P&amp;L'!$AB$10:$AB$13)</f>
        <v>238.484991128653</v>
      </c>
      <c r="F16" s="39" t="n">
        <f aca="false">IFERROR(E16/E$20,0)</f>
        <v>0.0158989994085768</v>
      </c>
      <c r="G16" s="28" t="n">
        <f aca="false">(G9*'Vessel Assumptions'!$C$6*(1-'Vessel Assumptions'!$C$8))*'Vessel 2026 P&amp;L'!$AB$13/SUM('Vessel 2026 P&amp;L'!$AB$10:$AB$13)</f>
        <v>794.949970428842</v>
      </c>
      <c r="H16" s="39" t="n">
        <f aca="false">IFERROR(G16/G$20,0)</f>
        <v>0.0158989994085768</v>
      </c>
      <c r="I16" s="28" t="n">
        <f aca="false">(I9*'Vessel Assumptions'!$C$6*(1-'Vessel Assumptions'!$C$8))*'Vessel 2026 P&amp;L'!$AB$13/SUM('Vessel 2026 P&amp;L'!$AB$10:$AB$13)</f>
        <v>238.484991128653</v>
      </c>
      <c r="J16" s="39" t="n">
        <f aca="false">IFERROR(I16/I$20,0)</f>
        <v>0.0158989994085768</v>
      </c>
      <c r="K16" s="28" t="n">
        <f aca="false">(K9*'Vessel Assumptions'!$C$6*(1-'Vessel Assumptions'!$C$8))*'Vessel 2026 P&amp;L'!$AB$13/SUM('Vessel 2026 P&amp;L'!$AB$10:$AB$13)</f>
        <v>635.959976343074</v>
      </c>
      <c r="L16" s="39" t="n">
        <f aca="false">IFERROR(K16/K$20,0)</f>
        <v>0.0158989994085768</v>
      </c>
      <c r="M16" s="28" t="n">
        <f aca="false">(M9*'Vessel Assumptions'!$C$6*(1-'Vessel Assumptions'!$C$8))*'Vessel 2026 P&amp;L'!$AB$13/SUM('Vessel 2026 P&amp;L'!$AB$10:$AB$13)</f>
        <v>556.46497930019</v>
      </c>
      <c r="N16" s="39" t="n">
        <f aca="false">IFERROR(M16/M$20,0)</f>
        <v>0.0158989994085768</v>
      </c>
      <c r="O16" s="28" t="n">
        <f aca="false">(O9*'Vessel Assumptions'!$C$6*(1-'Vessel Assumptions'!$C$8))*'Vessel 2026 P&amp;L'!$AB$13/SUM('Vessel 2026 P&amp;L'!$AB$10:$AB$13)</f>
        <v>556.46497930019</v>
      </c>
      <c r="P16" s="39" t="n">
        <f aca="false">IFERROR(O16/O$20,0)</f>
        <v>0.0158989994085768</v>
      </c>
      <c r="Q16" s="28" t="n">
        <f aca="false">(Q9*'Vessel Assumptions'!$C$6*(1-'Vessel Assumptions'!$C$8))*'Vessel 2026 P&amp;L'!$AB$13/SUM('Vessel 2026 P&amp;L'!$AB$10:$AB$13)</f>
        <v>556.46497930019</v>
      </c>
      <c r="R16" s="39" t="n">
        <f aca="false">IFERROR(Q16/Q$20,0)</f>
        <v>0.0158989994085768</v>
      </c>
      <c r="S16" s="28" t="n">
        <f aca="false">(S9*'Vessel Assumptions'!$C$6*(1-'Vessel Assumptions'!$C$8))*'Vessel 2026 P&amp;L'!$AB$13/SUM('Vessel 2026 P&amp;L'!$AB$10:$AB$13)</f>
        <v>556.46497930019</v>
      </c>
      <c r="T16" s="39" t="n">
        <f aca="false">IFERROR(S16/S$20,0)</f>
        <v>0.0158989994085768</v>
      </c>
      <c r="U16" s="28" t="n">
        <f aca="false">(U9*'Vessel Assumptions'!$C$6*(1-'Vessel Assumptions'!$C$8))*'Vessel 2026 P&amp;L'!$AB$13/SUM('Vessel 2026 P&amp;L'!$AB$10:$AB$13)</f>
        <v>556.46497930019</v>
      </c>
      <c r="V16" s="39" t="n">
        <f aca="false">IFERROR(U16/U$20,0)</f>
        <v>0.0158989994085768</v>
      </c>
      <c r="W16" s="28" t="n">
        <f aca="false">(W9*'Vessel Assumptions'!$C$6*(1-'Vessel Assumptions'!$C$8))*'Vessel 2026 P&amp;L'!$AB$13/SUM('Vessel 2026 P&amp;L'!$AB$10:$AB$13)</f>
        <v>556.46497930019</v>
      </c>
      <c r="X16" s="39" t="n">
        <f aca="false">IFERROR(W16/W$20,0)</f>
        <v>0.0158989994085768</v>
      </c>
      <c r="Y16" s="28" t="n">
        <f aca="false">(Y9*'Vessel Assumptions'!$C$6*(1-'Vessel Assumptions'!$C$8))*'Vessel 2026 P&amp;L'!$AB$13/SUM('Vessel 2026 P&amp;L'!$AB$10:$AB$13)</f>
        <v>556.46497930019</v>
      </c>
      <c r="Z16" s="39" t="n">
        <f aca="false">IFERROR(Y16/Y$20,0)</f>
        <v>0.0158989994085768</v>
      </c>
      <c r="AB16" s="28" t="n">
        <f aca="false">SUM(C16,E16,G16,I16,K16,M16,O16,Q16,S16,U16,W16,Y16)</f>
        <v>6598.08475455939</v>
      </c>
      <c r="AC16" s="39" t="n">
        <f aca="false">IFERROR(AB16/AB$20,0)</f>
        <v>0.0158989994085768</v>
      </c>
    </row>
    <row r="17" customFormat="false" ht="15" hidden="false" customHeight="true" outlineLevel="0" collapsed="false">
      <c r="A17" s="27" t="s">
        <v>168</v>
      </c>
      <c r="C17" s="28" t="n">
        <v>0</v>
      </c>
      <c r="D17" s="39" t="n">
        <f aca="false">IFERROR(C17/C$20,0)</f>
        <v>0</v>
      </c>
      <c r="E17" s="28" t="n">
        <v>0</v>
      </c>
      <c r="F17" s="39" t="n">
        <f aca="false">IFERROR(E17/E$20,0)</f>
        <v>0</v>
      </c>
      <c r="G17" s="28" t="n">
        <v>0</v>
      </c>
      <c r="H17" s="39" t="n">
        <f aca="false">IFERROR(G17/G$20,0)</f>
        <v>0</v>
      </c>
      <c r="I17" s="28" t="n">
        <v>0</v>
      </c>
      <c r="J17" s="39" t="n">
        <f aca="false">IFERROR(I17/I$20,0)</f>
        <v>0</v>
      </c>
      <c r="K17" s="28" t="n">
        <v>0</v>
      </c>
      <c r="L17" s="39" t="n">
        <f aca="false">IFERROR(K17/K$20,0)</f>
        <v>0</v>
      </c>
      <c r="M17" s="28" t="n">
        <v>0</v>
      </c>
      <c r="N17" s="39" t="n">
        <f aca="false">IFERROR(M17/M$20,0)</f>
        <v>0</v>
      </c>
      <c r="O17" s="28" t="n">
        <v>0</v>
      </c>
      <c r="P17" s="39" t="n">
        <f aca="false">IFERROR(O17/O$20,0)</f>
        <v>0</v>
      </c>
      <c r="Q17" s="28" t="n">
        <v>0</v>
      </c>
      <c r="R17" s="39" t="n">
        <f aca="false">IFERROR(Q17/Q$20,0)</f>
        <v>0</v>
      </c>
      <c r="S17" s="28" t="n">
        <v>0</v>
      </c>
      <c r="T17" s="39" t="n">
        <f aca="false">IFERROR(S17/S$20,0)</f>
        <v>0</v>
      </c>
      <c r="U17" s="28" t="n">
        <v>0</v>
      </c>
      <c r="V17" s="39" t="n">
        <f aca="false">IFERROR(U17/U$20,0)</f>
        <v>0</v>
      </c>
      <c r="W17" s="28" t="n">
        <v>0</v>
      </c>
      <c r="X17" s="39" t="n">
        <f aca="false">IFERROR(W17/W$20,0)</f>
        <v>0</v>
      </c>
      <c r="Y17" s="28" t="n">
        <v>0</v>
      </c>
      <c r="Z17" s="39" t="n">
        <f aca="false">IFERROR(Y17/Y$20,0)</f>
        <v>0</v>
      </c>
      <c r="AB17" s="28" t="n">
        <f aca="false">SUM(C17,E17,G17,I17,K17,M17,O17,Q17,S17,U17,W17,Y17)</f>
        <v>0</v>
      </c>
      <c r="AC17" s="39" t="n">
        <f aca="false">IFERROR(AB17/AB$20,0)</f>
        <v>0</v>
      </c>
    </row>
    <row r="18" customFormat="false" ht="15" hidden="false" customHeight="true" outlineLevel="0" collapsed="false">
      <c r="A18" s="27" t="s">
        <v>298</v>
      </c>
      <c r="C18" s="28" t="n">
        <f aca="false">C9*'Vessel Assumptions'!$C$6*'Vessel Assumptions'!$C$9+SUM(C12:C16)*'Vessel Assumptions'!$C$32</f>
        <v>10000</v>
      </c>
      <c r="D18" s="39" t="n">
        <f aca="false">IFERROR(C18/C$20,0)</f>
        <v>0.2</v>
      </c>
      <c r="E18" s="28" t="n">
        <f aca="false">E9*'Vessel Assumptions'!$C$6*'Vessel Assumptions'!$C$9+SUM(E12:E16)*'Vessel Assumptions'!$C$32</f>
        <v>3000</v>
      </c>
      <c r="F18" s="39" t="n">
        <f aca="false">IFERROR(E18/E$20,0)</f>
        <v>0.2</v>
      </c>
      <c r="G18" s="28" t="n">
        <f aca="false">G9*'Vessel Assumptions'!$C$6*'Vessel Assumptions'!$C$9+SUM(G12:G16)*'Vessel Assumptions'!$C$32</f>
        <v>10000</v>
      </c>
      <c r="H18" s="39" t="n">
        <f aca="false">IFERROR(G18/G$20,0)</f>
        <v>0.2</v>
      </c>
      <c r="I18" s="28" t="n">
        <f aca="false">I9*'Vessel Assumptions'!$C$6*'Vessel Assumptions'!$C$9+SUM(I12:I16)*'Vessel Assumptions'!$C$32</f>
        <v>3000</v>
      </c>
      <c r="J18" s="39" t="n">
        <f aca="false">IFERROR(I18/I$20,0)</f>
        <v>0.2</v>
      </c>
      <c r="K18" s="28" t="n">
        <f aca="false">K9*'Vessel Assumptions'!$C$6*'Vessel Assumptions'!$C$9+SUM(K12:K16)*'Vessel Assumptions'!$C$32</f>
        <v>8000</v>
      </c>
      <c r="L18" s="39" t="n">
        <f aca="false">IFERROR(K18/K$20,0)</f>
        <v>0.2</v>
      </c>
      <c r="M18" s="28" t="n">
        <f aca="false">M9*'Vessel Assumptions'!$C$6*'Vessel Assumptions'!$C$9+SUM(M12:M16)*'Vessel Assumptions'!$C$32</f>
        <v>7000</v>
      </c>
      <c r="N18" s="39" t="n">
        <f aca="false">IFERROR(M18/M$20,0)</f>
        <v>0.2</v>
      </c>
      <c r="O18" s="28" t="n">
        <f aca="false">O9*'Vessel Assumptions'!$C$6*'Vessel Assumptions'!$C$9+SUM(O12:O16)*'Vessel Assumptions'!$C$32</f>
        <v>7000</v>
      </c>
      <c r="P18" s="39" t="n">
        <f aca="false">IFERROR(O18/O$20,0)</f>
        <v>0.2</v>
      </c>
      <c r="Q18" s="28" t="n">
        <f aca="false">Q9*'Vessel Assumptions'!$C$6*'Vessel Assumptions'!$C$9+SUM(Q12:Q16)*'Vessel Assumptions'!$C$32</f>
        <v>7000</v>
      </c>
      <c r="R18" s="39" t="n">
        <f aca="false">IFERROR(Q18/Q$20,0)</f>
        <v>0.2</v>
      </c>
      <c r="S18" s="28" t="n">
        <f aca="false">S9*'Vessel Assumptions'!$C$6*'Vessel Assumptions'!$C$9+SUM(S12:S16)*'Vessel Assumptions'!$C$32</f>
        <v>7000</v>
      </c>
      <c r="T18" s="39" t="n">
        <f aca="false">IFERROR(S18/S$20,0)</f>
        <v>0.2</v>
      </c>
      <c r="U18" s="28" t="n">
        <f aca="false">U9*'Vessel Assumptions'!$C$6*'Vessel Assumptions'!$C$9+SUM(U12:U16)*'Vessel Assumptions'!$C$32</f>
        <v>7000</v>
      </c>
      <c r="V18" s="39" t="n">
        <f aca="false">IFERROR(U18/U$20,0)</f>
        <v>0.2</v>
      </c>
      <c r="W18" s="28" t="n">
        <f aca="false">W9*'Vessel Assumptions'!$C$6*'Vessel Assumptions'!$C$9+SUM(W12:W16)*'Vessel Assumptions'!$C$32</f>
        <v>7000</v>
      </c>
      <c r="X18" s="39" t="n">
        <f aca="false">IFERROR(W18/W$20,0)</f>
        <v>0.2</v>
      </c>
      <c r="Y18" s="28" t="n">
        <f aca="false">Y9*'Vessel Assumptions'!$C$6*'Vessel Assumptions'!$C$9+SUM(Y12:Y16)*'Vessel Assumptions'!$C$32</f>
        <v>7000</v>
      </c>
      <c r="Z18" s="39" t="n">
        <f aca="false">IFERROR(Y18/Y$20,0)</f>
        <v>0.2</v>
      </c>
      <c r="AB18" s="28" t="n">
        <f aca="false">SUM(C18,E18,G18,I18,K18,M18,O18,Q18,S18,U18,W18,Y18)</f>
        <v>83000</v>
      </c>
      <c r="AC18" s="39" t="n">
        <f aca="false">IFERROR(AB18/AB$20,0)</f>
        <v>0.2</v>
      </c>
    </row>
    <row r="19" customFormat="false" ht="15" hidden="false" customHeight="true" outlineLevel="0" collapsed="false">
      <c r="A19" s="27" t="s">
        <v>170</v>
      </c>
      <c r="C19" s="28" t="n">
        <v>0</v>
      </c>
      <c r="D19" s="39" t="n">
        <f aca="false">IFERROR(C19/C$20,0)</f>
        <v>0</v>
      </c>
      <c r="E19" s="28" t="n">
        <v>0</v>
      </c>
      <c r="F19" s="39" t="n">
        <f aca="false">IFERROR(E19/E$20,0)</f>
        <v>0</v>
      </c>
      <c r="G19" s="28" t="n">
        <v>0</v>
      </c>
      <c r="H19" s="39" t="n">
        <f aca="false">IFERROR(G19/G$20,0)</f>
        <v>0</v>
      </c>
      <c r="I19" s="28" t="n">
        <v>0</v>
      </c>
      <c r="J19" s="39" t="n">
        <f aca="false">IFERROR(I19/I$20,0)</f>
        <v>0</v>
      </c>
      <c r="K19" s="28" t="n">
        <v>0</v>
      </c>
      <c r="L19" s="39" t="n">
        <f aca="false">IFERROR(K19/K$20,0)</f>
        <v>0</v>
      </c>
      <c r="M19" s="28" t="n">
        <v>0</v>
      </c>
      <c r="N19" s="39" t="n">
        <f aca="false">IFERROR(M19/M$20,0)</f>
        <v>0</v>
      </c>
      <c r="O19" s="28" t="n">
        <v>0</v>
      </c>
      <c r="P19" s="39" t="n">
        <f aca="false">IFERROR(O19/O$20,0)</f>
        <v>0</v>
      </c>
      <c r="Q19" s="28" t="n">
        <v>0</v>
      </c>
      <c r="R19" s="39" t="n">
        <f aca="false">IFERROR(Q19/Q$20,0)</f>
        <v>0</v>
      </c>
      <c r="S19" s="28" t="n">
        <v>0</v>
      </c>
      <c r="T19" s="39" t="n">
        <f aca="false">IFERROR(S19/S$20,0)</f>
        <v>0</v>
      </c>
      <c r="U19" s="28" t="n">
        <v>0</v>
      </c>
      <c r="V19" s="39" t="n">
        <f aca="false">IFERROR(U19/U$20,0)</f>
        <v>0</v>
      </c>
      <c r="W19" s="28" t="n">
        <v>0</v>
      </c>
      <c r="X19" s="39" t="n">
        <f aca="false">IFERROR(W19/W$20,0)</f>
        <v>0</v>
      </c>
      <c r="Y19" s="28" t="n">
        <v>0</v>
      </c>
      <c r="Z19" s="39" t="n">
        <f aca="false">IFERROR(Y19/Y$20,0)</f>
        <v>0</v>
      </c>
      <c r="AB19" s="28" t="n">
        <f aca="false">SUM(C19,E19,G19,I19,K19,M19,O19,Q19,S19,U19,W19,Y19)</f>
        <v>0</v>
      </c>
      <c r="AC19" s="39" t="n">
        <f aca="false">IFERROR(AB19/AB$20,0)</f>
        <v>0</v>
      </c>
    </row>
    <row r="20" customFormat="false" ht="15" hidden="false" customHeight="true" outlineLevel="0" collapsed="false">
      <c r="A20" s="31" t="s">
        <v>128</v>
      </c>
      <c r="C20" s="32" t="n">
        <f aca="false">SUM(C12:C19)</f>
        <v>50000</v>
      </c>
      <c r="D20" s="40" t="n">
        <f aca="false">IFERROR(C20/C$20,0)</f>
        <v>1</v>
      </c>
      <c r="E20" s="32" t="n">
        <f aca="false">SUM(E12:E19)</f>
        <v>15000</v>
      </c>
      <c r="F20" s="40" t="n">
        <f aca="false">IFERROR(E20/E$20,0)</f>
        <v>1</v>
      </c>
      <c r="G20" s="32" t="n">
        <f aca="false">SUM(G12:G19)</f>
        <v>50000</v>
      </c>
      <c r="H20" s="40" t="n">
        <f aca="false">IFERROR(G20/G$20,0)</f>
        <v>1</v>
      </c>
      <c r="I20" s="32" t="n">
        <f aca="false">SUM(I12:I19)</f>
        <v>15000</v>
      </c>
      <c r="J20" s="40" t="n">
        <f aca="false">IFERROR(I20/I$20,0)</f>
        <v>1</v>
      </c>
      <c r="K20" s="32" t="n">
        <f aca="false">SUM(K12:K19)</f>
        <v>40000</v>
      </c>
      <c r="L20" s="40" t="n">
        <f aca="false">IFERROR(K20/K$20,0)</f>
        <v>1</v>
      </c>
      <c r="M20" s="32" t="n">
        <f aca="false">SUM(M12:M19)</f>
        <v>35000</v>
      </c>
      <c r="N20" s="40" t="n">
        <f aca="false">IFERROR(M20/M$20,0)</f>
        <v>1</v>
      </c>
      <c r="O20" s="32" t="n">
        <f aca="false">SUM(O12:O19)</f>
        <v>35000</v>
      </c>
      <c r="P20" s="40" t="n">
        <f aca="false">IFERROR(O20/O$20,0)</f>
        <v>1</v>
      </c>
      <c r="Q20" s="32" t="n">
        <f aca="false">SUM(Q12:Q19)</f>
        <v>35000</v>
      </c>
      <c r="R20" s="40" t="n">
        <f aca="false">IFERROR(Q20/Q$20,0)</f>
        <v>1</v>
      </c>
      <c r="S20" s="32" t="n">
        <f aca="false">SUM(S12:S19)</f>
        <v>35000</v>
      </c>
      <c r="T20" s="40" t="n">
        <f aca="false">IFERROR(S20/S$20,0)</f>
        <v>1</v>
      </c>
      <c r="U20" s="32" t="n">
        <f aca="false">SUM(U12:U19)</f>
        <v>35000</v>
      </c>
      <c r="V20" s="40" t="n">
        <f aca="false">IFERROR(U20/U$20,0)</f>
        <v>1</v>
      </c>
      <c r="W20" s="32" t="n">
        <f aca="false">SUM(W12:W19)</f>
        <v>35000</v>
      </c>
      <c r="X20" s="40" t="n">
        <f aca="false">IFERROR(W20/W$20,0)</f>
        <v>1</v>
      </c>
      <c r="Y20" s="32" t="n">
        <f aca="false">SUM(Y12:Y19)</f>
        <v>35000</v>
      </c>
      <c r="Z20" s="40" t="n">
        <f aca="false">IFERROR(Y20/Y$20,0)</f>
        <v>1</v>
      </c>
      <c r="AB20" s="32" t="n">
        <f aca="false">SUM(AB12:AB19)</f>
        <v>415000</v>
      </c>
      <c r="AC20" s="40" t="n">
        <f aca="false">IFERROR(AB20/AB$20,0)</f>
        <v>1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C12*'Vessel Assumptions'!$C$12</f>
        <v>17976</v>
      </c>
      <c r="D23" s="39" t="n">
        <f aca="false">IFERROR(C23/C$12,0)</f>
        <v>0.6</v>
      </c>
      <c r="E23" s="28" t="n">
        <f aca="false">E12*'Vessel Assumptions'!$C$12</f>
        <v>5392.8</v>
      </c>
      <c r="F23" s="39" t="n">
        <f aca="false">IFERROR(E23/E$12,0)</f>
        <v>0.6</v>
      </c>
      <c r="G23" s="28" t="n">
        <f aca="false">G12*'Vessel Assumptions'!$C$12</f>
        <v>17976</v>
      </c>
      <c r="H23" s="39" t="n">
        <f aca="false">IFERROR(G23/G$12,0)</f>
        <v>0.6</v>
      </c>
      <c r="I23" s="28" t="n">
        <f aca="false">I12*'Vessel Assumptions'!$C$12</f>
        <v>5392.8</v>
      </c>
      <c r="J23" s="39" t="n">
        <f aca="false">IFERROR(I23/I$12,0)</f>
        <v>0.6</v>
      </c>
      <c r="K23" s="28" t="n">
        <f aca="false">K12*'Vessel Assumptions'!$C$12</f>
        <v>14380.8</v>
      </c>
      <c r="L23" s="39" t="n">
        <f aca="false">IFERROR(K23/K$12,0)</f>
        <v>0.6</v>
      </c>
      <c r="M23" s="28" t="n">
        <f aca="false">M12*'Vessel Assumptions'!$C$12</f>
        <v>12583.2</v>
      </c>
      <c r="N23" s="39" t="n">
        <f aca="false">IFERROR(M23/M$12,0)</f>
        <v>0.6</v>
      </c>
      <c r="O23" s="28" t="n">
        <f aca="false">O12*'Vessel Assumptions'!$C$12</f>
        <v>12583.2</v>
      </c>
      <c r="P23" s="39" t="n">
        <f aca="false">IFERROR(O23/O$12,0)</f>
        <v>0.6</v>
      </c>
      <c r="Q23" s="28" t="n">
        <f aca="false">Q12*'Vessel Assumptions'!$C$12</f>
        <v>12583.2</v>
      </c>
      <c r="R23" s="39" t="n">
        <f aca="false">IFERROR(Q23/Q$12,0)</f>
        <v>0.6</v>
      </c>
      <c r="S23" s="28" t="n">
        <f aca="false">S12*'Vessel Assumptions'!$C$12</f>
        <v>12583.2</v>
      </c>
      <c r="T23" s="39" t="n">
        <f aca="false">IFERROR(S23/S$12,0)</f>
        <v>0.6</v>
      </c>
      <c r="U23" s="28" t="n">
        <f aca="false">U12*'Vessel Assumptions'!$C$12</f>
        <v>12583.2</v>
      </c>
      <c r="V23" s="39" t="n">
        <f aca="false">IFERROR(U23/U$12,0)</f>
        <v>0.6</v>
      </c>
      <c r="W23" s="28" t="n">
        <f aca="false">W12*'Vessel Assumptions'!$C$12</f>
        <v>12583.2</v>
      </c>
      <c r="X23" s="39" t="n">
        <f aca="false">IFERROR(W23/W$12,0)</f>
        <v>0.6</v>
      </c>
      <c r="Y23" s="28" t="n">
        <f aca="false">Y12*'Vessel Assumptions'!$C$12</f>
        <v>12583.2</v>
      </c>
      <c r="Z23" s="39" t="n">
        <f aca="false">IFERROR(Y23/Y$12,0)</f>
        <v>0.6</v>
      </c>
      <c r="AB23" s="28" t="n">
        <f aca="false">SUM(C23,E23,G23,I23,K23,M23,O23,Q23,S23,U23,W23,Y23)</f>
        <v>149200.8</v>
      </c>
      <c r="AC23" s="39" t="n">
        <f aca="false">IFERROR(AB23/AB$12,0)</f>
        <v>0.6</v>
      </c>
    </row>
    <row r="24" customFormat="false" ht="15" hidden="false" customHeight="true" outlineLevel="0" collapsed="false">
      <c r="A24" s="27" t="s">
        <v>173</v>
      </c>
      <c r="C24" s="28" t="n">
        <f aca="false">C13*'Vessel Assumptions'!$C$13</f>
        <v>842.331897019952</v>
      </c>
      <c r="D24" s="39" t="n">
        <f aca="false">IFERROR(C24/C$13,0)</f>
        <v>0.25</v>
      </c>
      <c r="E24" s="28" t="n">
        <f aca="false">E13*'Vessel Assumptions'!$C$13</f>
        <v>252.699569105985</v>
      </c>
      <c r="F24" s="39" t="n">
        <f aca="false">IFERROR(E24/E$13,0)</f>
        <v>0.25</v>
      </c>
      <c r="G24" s="28" t="n">
        <f aca="false">G13*'Vessel Assumptions'!$C$13</f>
        <v>842.331897019952</v>
      </c>
      <c r="H24" s="39" t="n">
        <f aca="false">IFERROR(G24/G$13,0)</f>
        <v>0.25</v>
      </c>
      <c r="I24" s="28" t="n">
        <f aca="false">I13*'Vessel Assumptions'!$C$13</f>
        <v>252.699569105985</v>
      </c>
      <c r="J24" s="39" t="n">
        <f aca="false">IFERROR(I24/I$13,0)</f>
        <v>0.25</v>
      </c>
      <c r="K24" s="28" t="n">
        <f aca="false">K13*'Vessel Assumptions'!$C$13</f>
        <v>673.865517615961</v>
      </c>
      <c r="L24" s="39" t="n">
        <f aca="false">IFERROR(K24/K$13,0)</f>
        <v>0.25</v>
      </c>
      <c r="M24" s="28" t="n">
        <f aca="false">M13*'Vessel Assumptions'!$C$13</f>
        <v>589.632327913966</v>
      </c>
      <c r="N24" s="39" t="n">
        <f aca="false">IFERROR(M24/M$13,0)</f>
        <v>0.25</v>
      </c>
      <c r="O24" s="28" t="n">
        <f aca="false">O13*'Vessel Assumptions'!$C$13</f>
        <v>589.632327913966</v>
      </c>
      <c r="P24" s="39" t="n">
        <f aca="false">IFERROR(O24/O$13,0)</f>
        <v>0.25</v>
      </c>
      <c r="Q24" s="28" t="n">
        <f aca="false">Q13*'Vessel Assumptions'!$C$13</f>
        <v>589.632327913966</v>
      </c>
      <c r="R24" s="39" t="n">
        <f aca="false">IFERROR(Q24/Q$13,0)</f>
        <v>0.25</v>
      </c>
      <c r="S24" s="28" t="n">
        <f aca="false">S13*'Vessel Assumptions'!$C$13</f>
        <v>589.632327913966</v>
      </c>
      <c r="T24" s="39" t="n">
        <f aca="false">IFERROR(S24/S$13,0)</f>
        <v>0.25</v>
      </c>
      <c r="U24" s="28" t="n">
        <f aca="false">U13*'Vessel Assumptions'!$C$13</f>
        <v>589.632327913966</v>
      </c>
      <c r="V24" s="39" t="n">
        <f aca="false">IFERROR(U24/U$13,0)</f>
        <v>0.25</v>
      </c>
      <c r="W24" s="28" t="n">
        <f aca="false">W13*'Vessel Assumptions'!$C$13</f>
        <v>589.632327913966</v>
      </c>
      <c r="X24" s="39" t="n">
        <f aca="false">IFERROR(W24/W$13,0)</f>
        <v>0.25</v>
      </c>
      <c r="Y24" s="28" t="n">
        <f aca="false">Y13*'Vessel Assumptions'!$C$13</f>
        <v>589.632327913966</v>
      </c>
      <c r="Z24" s="39" t="n">
        <f aca="false">IFERROR(Y24/Y$13,0)</f>
        <v>0.25</v>
      </c>
      <c r="AB24" s="28" t="n">
        <f aca="false">SUM(C24,E24,G24,I24,K24,M24,O24,Q24,S24,U24,W24,Y24)</f>
        <v>6991.3547452656</v>
      </c>
      <c r="AC24" s="39" t="n">
        <f aca="false">IFERROR(AB24/AB$13,0)</f>
        <v>0.25</v>
      </c>
    </row>
    <row r="25" customFormat="false" ht="15" hidden="false" customHeight="true" outlineLevel="0" collapsed="false">
      <c r="A25" s="27" t="s">
        <v>174</v>
      </c>
      <c r="C25" s="28" t="n">
        <f aca="false">C14*'Vessel Assumptions'!$C$13</f>
        <v>1416.70142786448</v>
      </c>
      <c r="D25" s="39" t="n">
        <f aca="false">IFERROR(C25/C$14,0)</f>
        <v>0.25</v>
      </c>
      <c r="E25" s="28" t="n">
        <f aca="false">E14*'Vessel Assumptions'!$C$13</f>
        <v>425.010428359344</v>
      </c>
      <c r="F25" s="39" t="n">
        <f aca="false">IFERROR(E25/E$14,0)</f>
        <v>0.25</v>
      </c>
      <c r="G25" s="28" t="n">
        <f aca="false">G14*'Vessel Assumptions'!$C$13</f>
        <v>1416.70142786448</v>
      </c>
      <c r="H25" s="39" t="n">
        <f aca="false">IFERROR(G25/G$14,0)</f>
        <v>0.25</v>
      </c>
      <c r="I25" s="28" t="n">
        <f aca="false">I14*'Vessel Assumptions'!$C$13</f>
        <v>425.010428359344</v>
      </c>
      <c r="J25" s="39" t="n">
        <f aca="false">IFERROR(I25/I$14,0)</f>
        <v>0.25</v>
      </c>
      <c r="K25" s="28" t="n">
        <f aca="false">K14*'Vessel Assumptions'!$C$13</f>
        <v>1133.36114229158</v>
      </c>
      <c r="L25" s="39" t="n">
        <f aca="false">IFERROR(K25/K$14,0)</f>
        <v>0.25</v>
      </c>
      <c r="M25" s="28" t="n">
        <f aca="false">M14*'Vessel Assumptions'!$C$13</f>
        <v>991.690999505136</v>
      </c>
      <c r="N25" s="39" t="n">
        <f aca="false">IFERROR(M25/M$14,0)</f>
        <v>0.25</v>
      </c>
      <c r="O25" s="28" t="n">
        <f aca="false">O14*'Vessel Assumptions'!$C$13</f>
        <v>991.690999505136</v>
      </c>
      <c r="P25" s="39" t="n">
        <f aca="false">IFERROR(O25/O$14,0)</f>
        <v>0.25</v>
      </c>
      <c r="Q25" s="28" t="n">
        <f aca="false">Q14*'Vessel Assumptions'!$C$13</f>
        <v>991.690999505136</v>
      </c>
      <c r="R25" s="39" t="n">
        <f aca="false">IFERROR(Q25/Q$14,0)</f>
        <v>0.25</v>
      </c>
      <c r="S25" s="28" t="n">
        <f aca="false">S14*'Vessel Assumptions'!$C$13</f>
        <v>991.690999505136</v>
      </c>
      <c r="T25" s="39" t="n">
        <f aca="false">IFERROR(S25/S$14,0)</f>
        <v>0.25</v>
      </c>
      <c r="U25" s="28" t="n">
        <f aca="false">U14*'Vessel Assumptions'!$C$13</f>
        <v>991.690999505136</v>
      </c>
      <c r="V25" s="39" t="n">
        <f aca="false">IFERROR(U25/U$14,0)</f>
        <v>0.25</v>
      </c>
      <c r="W25" s="28" t="n">
        <f aca="false">W14*'Vessel Assumptions'!$C$13</f>
        <v>991.690999505136</v>
      </c>
      <c r="X25" s="39" t="n">
        <f aca="false">IFERROR(W25/W$14,0)</f>
        <v>0.25</v>
      </c>
      <c r="Y25" s="28" t="n">
        <f aca="false">Y14*'Vessel Assumptions'!$C$13</f>
        <v>991.690999505136</v>
      </c>
      <c r="Z25" s="39" t="n">
        <f aca="false">IFERROR(Y25/Y$14,0)</f>
        <v>0.25</v>
      </c>
      <c r="AB25" s="28" t="n">
        <f aca="false">SUM(C25,E25,G25,I25,K25,M25,O25,Q25,S25,U25,W25,Y25)</f>
        <v>11758.6218512752</v>
      </c>
      <c r="AC25" s="39" t="n">
        <f aca="false">IFERROR(AB25/AB$14,0)</f>
        <v>0.25</v>
      </c>
    </row>
    <row r="26" customFormat="false" ht="15" hidden="false" customHeight="true" outlineLevel="0" collapsed="false">
      <c r="A26" s="27" t="s">
        <v>175</v>
      </c>
      <c r="C26" s="28" t="n">
        <f aca="false">C15*'Vessel Assumptions'!$C$13</f>
        <v>52.2291825083584</v>
      </c>
      <c r="D26" s="39" t="n">
        <f aca="false">IFERROR(C26/C$15,0)</f>
        <v>0.25</v>
      </c>
      <c r="E26" s="28" t="n">
        <f aca="false">E15*'Vessel Assumptions'!$C$13</f>
        <v>15.6687547525075</v>
      </c>
      <c r="F26" s="39" t="n">
        <f aca="false">IFERROR(E26/E$15,0)</f>
        <v>0.25</v>
      </c>
      <c r="G26" s="28" t="n">
        <f aca="false">G15*'Vessel Assumptions'!$C$13</f>
        <v>52.2291825083584</v>
      </c>
      <c r="H26" s="39" t="n">
        <f aca="false">IFERROR(G26/G$15,0)</f>
        <v>0.25</v>
      </c>
      <c r="I26" s="28" t="n">
        <f aca="false">I15*'Vessel Assumptions'!$C$13</f>
        <v>15.6687547525075</v>
      </c>
      <c r="J26" s="39" t="n">
        <f aca="false">IFERROR(I26/I$15,0)</f>
        <v>0.25</v>
      </c>
      <c r="K26" s="28" t="n">
        <f aca="false">K15*'Vessel Assumptions'!$C$13</f>
        <v>41.7833460066867</v>
      </c>
      <c r="L26" s="39" t="n">
        <f aca="false">IFERROR(K26/K$15,0)</f>
        <v>0.25</v>
      </c>
      <c r="M26" s="28" t="n">
        <f aca="false">M15*'Vessel Assumptions'!$C$13</f>
        <v>36.5604277558509</v>
      </c>
      <c r="N26" s="39" t="n">
        <f aca="false">IFERROR(M26/M$15,0)</f>
        <v>0.25</v>
      </c>
      <c r="O26" s="28" t="n">
        <f aca="false">O15*'Vessel Assumptions'!$C$13</f>
        <v>36.5604277558509</v>
      </c>
      <c r="P26" s="39" t="n">
        <f aca="false">IFERROR(O26/O$15,0)</f>
        <v>0.25</v>
      </c>
      <c r="Q26" s="28" t="n">
        <f aca="false">Q15*'Vessel Assumptions'!$C$13</f>
        <v>36.5604277558509</v>
      </c>
      <c r="R26" s="39" t="n">
        <f aca="false">IFERROR(Q26/Q$15,0)</f>
        <v>0.25</v>
      </c>
      <c r="S26" s="28" t="n">
        <f aca="false">S15*'Vessel Assumptions'!$C$13</f>
        <v>36.5604277558509</v>
      </c>
      <c r="T26" s="39" t="n">
        <f aca="false">IFERROR(S26/S$15,0)</f>
        <v>0.25</v>
      </c>
      <c r="U26" s="28" t="n">
        <f aca="false">U15*'Vessel Assumptions'!$C$13</f>
        <v>36.5604277558509</v>
      </c>
      <c r="V26" s="39" t="n">
        <f aca="false">IFERROR(U26/U$15,0)</f>
        <v>0.25</v>
      </c>
      <c r="W26" s="28" t="n">
        <f aca="false">W15*'Vessel Assumptions'!$C$13</f>
        <v>36.5604277558509</v>
      </c>
      <c r="X26" s="39" t="n">
        <f aca="false">IFERROR(W26/W$15,0)</f>
        <v>0.25</v>
      </c>
      <c r="Y26" s="28" t="n">
        <f aca="false">Y15*'Vessel Assumptions'!$C$13</f>
        <v>36.5604277558509</v>
      </c>
      <c r="Z26" s="39" t="n">
        <f aca="false">IFERROR(Y26/Y$15,0)</f>
        <v>0.25</v>
      </c>
      <c r="AB26" s="28" t="n">
        <f aca="false">SUM(C26,E26,G26,I26,K26,M26,O26,Q26,S26,U26,W26,Y26)</f>
        <v>433.502214819375</v>
      </c>
      <c r="AC26" s="39" t="n">
        <f aca="false">IFERROR(AB26/AB$15,0)</f>
        <v>0.25</v>
      </c>
    </row>
    <row r="27" customFormat="false" ht="15" hidden="false" customHeight="true" outlineLevel="0" collapsed="false">
      <c r="A27" s="27" t="s">
        <v>176</v>
      </c>
      <c r="C27" s="28" t="n">
        <f aca="false">C16*'Vessel Assumptions'!$C$13</f>
        <v>198.737492607211</v>
      </c>
      <c r="D27" s="39" t="n">
        <f aca="false">IFERROR(C27/C$16,0)</f>
        <v>0.25</v>
      </c>
      <c r="E27" s="28" t="n">
        <f aca="false">E16*'Vessel Assumptions'!$C$13</f>
        <v>59.6212477821632</v>
      </c>
      <c r="F27" s="39" t="n">
        <f aca="false">IFERROR(E27/E$16,0)</f>
        <v>0.25</v>
      </c>
      <c r="G27" s="28" t="n">
        <f aca="false">G16*'Vessel Assumptions'!$C$13</f>
        <v>198.737492607211</v>
      </c>
      <c r="H27" s="39" t="n">
        <f aca="false">IFERROR(G27/G$16,0)</f>
        <v>0.25</v>
      </c>
      <c r="I27" s="28" t="n">
        <f aca="false">I16*'Vessel Assumptions'!$C$13</f>
        <v>59.6212477821632</v>
      </c>
      <c r="J27" s="39" t="n">
        <f aca="false">IFERROR(I27/I$16,0)</f>
        <v>0.25</v>
      </c>
      <c r="K27" s="28" t="n">
        <f aca="false">K16*'Vessel Assumptions'!$C$13</f>
        <v>158.989994085768</v>
      </c>
      <c r="L27" s="39" t="n">
        <f aca="false">IFERROR(K27/K$16,0)</f>
        <v>0.25</v>
      </c>
      <c r="M27" s="28" t="n">
        <f aca="false">M16*'Vessel Assumptions'!$C$13</f>
        <v>139.116244825047</v>
      </c>
      <c r="N27" s="39" t="n">
        <f aca="false">IFERROR(M27/M$16,0)</f>
        <v>0.25</v>
      </c>
      <c r="O27" s="28" t="n">
        <f aca="false">O16*'Vessel Assumptions'!$C$13</f>
        <v>139.116244825047</v>
      </c>
      <c r="P27" s="39" t="n">
        <f aca="false">IFERROR(O27/O$16,0)</f>
        <v>0.25</v>
      </c>
      <c r="Q27" s="28" t="n">
        <f aca="false">Q16*'Vessel Assumptions'!$C$13</f>
        <v>139.116244825047</v>
      </c>
      <c r="R27" s="39" t="n">
        <f aca="false">IFERROR(Q27/Q$16,0)</f>
        <v>0.25</v>
      </c>
      <c r="S27" s="28" t="n">
        <f aca="false">S16*'Vessel Assumptions'!$C$13</f>
        <v>139.116244825047</v>
      </c>
      <c r="T27" s="39" t="n">
        <f aca="false">IFERROR(S27/S$16,0)</f>
        <v>0.25</v>
      </c>
      <c r="U27" s="28" t="n">
        <f aca="false">U16*'Vessel Assumptions'!$C$13</f>
        <v>139.116244825047</v>
      </c>
      <c r="V27" s="39" t="n">
        <f aca="false">IFERROR(U27/U$16,0)</f>
        <v>0.25</v>
      </c>
      <c r="W27" s="28" t="n">
        <f aca="false">W16*'Vessel Assumptions'!$C$13</f>
        <v>139.116244825047</v>
      </c>
      <c r="X27" s="39" t="n">
        <f aca="false">IFERROR(W27/W$16,0)</f>
        <v>0.25</v>
      </c>
      <c r="Y27" s="28" t="n">
        <f aca="false">Y16*'Vessel Assumptions'!$C$13</f>
        <v>139.116244825047</v>
      </c>
      <c r="Z27" s="39" t="n">
        <f aca="false">IFERROR(Y27/Y$16,0)</f>
        <v>0.25</v>
      </c>
      <c r="AB27" s="28" t="n">
        <f aca="false">SUM(C27,E27,G27,I27,K27,M27,O27,Q27,S27,U27,W27,Y27)</f>
        <v>1649.52118863985</v>
      </c>
      <c r="AC27" s="39" t="n">
        <f aca="false">IFERROR(AB27/AB$16,0)</f>
        <v>0.25</v>
      </c>
    </row>
    <row r="28" customFormat="false" ht="15" hidden="false" customHeight="true" outlineLevel="0" collapsed="false">
      <c r="A28" s="27" t="s">
        <v>177</v>
      </c>
      <c r="C28" s="28" t="n">
        <v>0</v>
      </c>
      <c r="D28" s="39" t="n">
        <f aca="false">IFERROR(C28/C$17,0)</f>
        <v>0</v>
      </c>
      <c r="E28" s="28" t="n">
        <v>0</v>
      </c>
      <c r="F28" s="39" t="n">
        <f aca="false">IFERROR(E28/E$17,0)</f>
        <v>0</v>
      </c>
      <c r="G28" s="28" t="n">
        <v>0</v>
      </c>
      <c r="H28" s="39" t="n">
        <f aca="false">IFERROR(G28/G$17,0)</f>
        <v>0</v>
      </c>
      <c r="I28" s="28" t="n">
        <v>0</v>
      </c>
      <c r="J28" s="39" t="n">
        <f aca="false">IFERROR(I28/I$17,0)</f>
        <v>0</v>
      </c>
      <c r="K28" s="28" t="n">
        <v>0</v>
      </c>
      <c r="L28" s="39" t="n">
        <f aca="false">IFERROR(K28/K$17,0)</f>
        <v>0</v>
      </c>
      <c r="M28" s="28" t="n">
        <v>0</v>
      </c>
      <c r="N28" s="39" t="n">
        <f aca="false">IFERROR(M28/M$17,0)</f>
        <v>0</v>
      </c>
      <c r="O28" s="28" t="n">
        <v>0</v>
      </c>
      <c r="P28" s="39" t="n">
        <f aca="false">IFERROR(O28/O$17,0)</f>
        <v>0</v>
      </c>
      <c r="Q28" s="28" t="n">
        <v>0</v>
      </c>
      <c r="R28" s="39" t="n">
        <f aca="false">IFERROR(Q28/Q$17,0)</f>
        <v>0</v>
      </c>
      <c r="S28" s="28" t="n">
        <v>0</v>
      </c>
      <c r="T28" s="39" t="n">
        <f aca="false">IFERROR(S28/S$17,0)</f>
        <v>0</v>
      </c>
      <c r="U28" s="28" t="n">
        <v>0</v>
      </c>
      <c r="V28" s="39" t="n">
        <f aca="false">IFERROR(U28/U$17,0)</f>
        <v>0</v>
      </c>
      <c r="W28" s="28" t="n">
        <v>0</v>
      </c>
      <c r="X28" s="39" t="n">
        <f aca="false">IFERROR(W28/W$17,0)</f>
        <v>0</v>
      </c>
      <c r="Y28" s="28" t="n">
        <v>0</v>
      </c>
      <c r="Z28" s="39" t="n">
        <f aca="false">IFERROR(Y28/Y$17,0)</f>
        <v>0</v>
      </c>
      <c r="AB28" s="28" t="n">
        <f aca="false">SUM(C28,E28,G28,I28,K28,M28,O28,Q28,S28,U28,W28,Y28)</f>
        <v>0</v>
      </c>
      <c r="AC28" s="39" t="n">
        <f aca="false">IFERROR(AB28/AB$17,0)</f>
        <v>0</v>
      </c>
    </row>
    <row r="29" customFormat="false" ht="15" hidden="false" customHeight="true" outlineLevel="0" collapsed="false">
      <c r="A29" s="31" t="s">
        <v>129</v>
      </c>
      <c r="C29" s="32" t="n">
        <f aca="false">SUM(C23:C28)</f>
        <v>20486</v>
      </c>
      <c r="D29" s="40" t="n">
        <f aca="false">IFERROR(C29/C$20,0)</f>
        <v>0.40972</v>
      </c>
      <c r="E29" s="32" t="n">
        <f aca="false">SUM(E23:E28)</f>
        <v>6145.8</v>
      </c>
      <c r="F29" s="40" t="n">
        <f aca="false">IFERROR(E29/E$20,0)</f>
        <v>0.40972</v>
      </c>
      <c r="G29" s="32" t="n">
        <f aca="false">SUM(G23:G28)</f>
        <v>20486</v>
      </c>
      <c r="H29" s="40" t="n">
        <f aca="false">IFERROR(G29/G$20,0)</f>
        <v>0.40972</v>
      </c>
      <c r="I29" s="32" t="n">
        <f aca="false">SUM(I23:I28)</f>
        <v>6145.8</v>
      </c>
      <c r="J29" s="40" t="n">
        <f aca="false">IFERROR(I29/I$20,0)</f>
        <v>0.40972</v>
      </c>
      <c r="K29" s="32" t="n">
        <f aca="false">SUM(K23:K28)</f>
        <v>16388.8</v>
      </c>
      <c r="L29" s="40" t="n">
        <f aca="false">IFERROR(K29/K$20,0)</f>
        <v>0.40972</v>
      </c>
      <c r="M29" s="32" t="n">
        <f aca="false">SUM(M23:M28)</f>
        <v>14340.2</v>
      </c>
      <c r="N29" s="40" t="n">
        <f aca="false">IFERROR(M29/M$20,0)</f>
        <v>0.40972</v>
      </c>
      <c r="O29" s="32" t="n">
        <f aca="false">SUM(O23:O28)</f>
        <v>14340.2</v>
      </c>
      <c r="P29" s="40" t="n">
        <f aca="false">IFERROR(O29/O$20,0)</f>
        <v>0.40972</v>
      </c>
      <c r="Q29" s="32" t="n">
        <f aca="false">SUM(Q23:Q28)</f>
        <v>14340.2</v>
      </c>
      <c r="R29" s="40" t="n">
        <f aca="false">IFERROR(Q29/Q$20,0)</f>
        <v>0.40972</v>
      </c>
      <c r="S29" s="32" t="n">
        <f aca="false">SUM(S23:S28)</f>
        <v>14340.2</v>
      </c>
      <c r="T29" s="40" t="n">
        <f aca="false">IFERROR(S29/S$20,0)</f>
        <v>0.40972</v>
      </c>
      <c r="U29" s="32" t="n">
        <f aca="false">SUM(U23:U28)</f>
        <v>14340.2</v>
      </c>
      <c r="V29" s="40" t="n">
        <f aca="false">IFERROR(U29/U$20,0)</f>
        <v>0.40972</v>
      </c>
      <c r="W29" s="32" t="n">
        <f aca="false">SUM(W23:W28)</f>
        <v>14340.2</v>
      </c>
      <c r="X29" s="40" t="n">
        <f aca="false">IFERROR(W29/W$20,0)</f>
        <v>0.40972</v>
      </c>
      <c r="Y29" s="32" t="n">
        <f aca="false">SUM(Y23:Y28)</f>
        <v>14340.2</v>
      </c>
      <c r="Z29" s="40" t="n">
        <f aca="false">IFERROR(Y29/Y$20,0)</f>
        <v>0.40972</v>
      </c>
      <c r="AB29" s="32" t="n">
        <f aca="false">SUM(AB23:AB28)</f>
        <v>170033.8</v>
      </c>
      <c r="AC29" s="40" t="n">
        <f aca="false">IFERROR(AB29/AB$20,0)</f>
        <v>0.40972</v>
      </c>
    </row>
    <row r="30" customFormat="false" ht="15" hidden="false" customHeight="true" outlineLevel="0" collapsed="false">
      <c r="A30" s="31" t="s">
        <v>130</v>
      </c>
      <c r="C30" s="41" t="n">
        <f aca="false">C20-C29</f>
        <v>29514</v>
      </c>
      <c r="D30" s="42" t="n">
        <f aca="false">IFERROR(C30/C$20,0)</f>
        <v>0.59028</v>
      </c>
      <c r="E30" s="41" t="n">
        <f aca="false">E20-E29</f>
        <v>8854.2</v>
      </c>
      <c r="F30" s="42" t="n">
        <f aca="false">IFERROR(E30/E$20,0)</f>
        <v>0.59028</v>
      </c>
      <c r="G30" s="41" t="n">
        <f aca="false">G20-G29</f>
        <v>29514</v>
      </c>
      <c r="H30" s="42" t="n">
        <f aca="false">IFERROR(G30/G$20,0)</f>
        <v>0.59028</v>
      </c>
      <c r="I30" s="41" t="n">
        <f aca="false">I20-I29</f>
        <v>8854.2</v>
      </c>
      <c r="J30" s="42" t="n">
        <f aca="false">IFERROR(I30/I$20,0)</f>
        <v>0.59028</v>
      </c>
      <c r="K30" s="41" t="n">
        <f aca="false">K20-K29</f>
        <v>23611.2</v>
      </c>
      <c r="L30" s="42" t="n">
        <f aca="false">IFERROR(K30/K$20,0)</f>
        <v>0.59028</v>
      </c>
      <c r="M30" s="41" t="n">
        <f aca="false">M20-M29</f>
        <v>20659.8</v>
      </c>
      <c r="N30" s="42" t="n">
        <f aca="false">IFERROR(M30/M$20,0)</f>
        <v>0.59028</v>
      </c>
      <c r="O30" s="41" t="n">
        <f aca="false">O20-O29</f>
        <v>20659.8</v>
      </c>
      <c r="P30" s="42" t="n">
        <f aca="false">IFERROR(O30/O$20,0)</f>
        <v>0.59028</v>
      </c>
      <c r="Q30" s="41" t="n">
        <f aca="false">Q20-Q29</f>
        <v>20659.8</v>
      </c>
      <c r="R30" s="42" t="n">
        <f aca="false">IFERROR(Q30/Q$20,0)</f>
        <v>0.59028</v>
      </c>
      <c r="S30" s="41" t="n">
        <f aca="false">S20-S29</f>
        <v>20659.8</v>
      </c>
      <c r="T30" s="42" t="n">
        <f aca="false">IFERROR(S30/S$20,0)</f>
        <v>0.59028</v>
      </c>
      <c r="U30" s="41" t="n">
        <f aca="false">U20-U29</f>
        <v>20659.8</v>
      </c>
      <c r="V30" s="42" t="n">
        <f aca="false">IFERROR(U30/U$20,0)</f>
        <v>0.59028</v>
      </c>
      <c r="W30" s="41" t="n">
        <f aca="false">W20-W29</f>
        <v>20659.8</v>
      </c>
      <c r="X30" s="42" t="n">
        <f aca="false">IFERROR(W30/W$20,0)</f>
        <v>0.59028</v>
      </c>
      <c r="Y30" s="41" t="n">
        <f aca="false">Y20-Y29</f>
        <v>20659.8</v>
      </c>
      <c r="Z30" s="42" t="n">
        <f aca="false">IFERROR(Y30/Y$20,0)</f>
        <v>0.59028</v>
      </c>
      <c r="AB30" s="41" t="n">
        <f aca="false">AB20-AB29</f>
        <v>244966.2</v>
      </c>
      <c r="AC30" s="42" t="n">
        <f aca="false">IFERROR(AB30/AB$20,0)</f>
        <v>0.59028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'Vessel Assumptions'!$C$21</f>
        <v>1435.83333333333</v>
      </c>
      <c r="D33" s="39" t="n">
        <f aca="false">IFERROR(C33/C$20,0)</f>
        <v>0.0287166666666667</v>
      </c>
      <c r="E33" s="28" t="n">
        <f aca="false">'Vessel Assumptions'!$C$21</f>
        <v>1435.83333333333</v>
      </c>
      <c r="F33" s="39" t="n">
        <f aca="false">IFERROR(E33/E$20,0)</f>
        <v>0.0957222222222222</v>
      </c>
      <c r="G33" s="28" t="n">
        <f aca="false">'Vessel Assumptions'!$C$21</f>
        <v>1435.83333333333</v>
      </c>
      <c r="H33" s="39" t="n">
        <f aca="false">IFERROR(G33/G$20,0)</f>
        <v>0.0287166666666667</v>
      </c>
      <c r="I33" s="28" t="n">
        <f aca="false">'Vessel Assumptions'!$C$21</f>
        <v>1435.83333333333</v>
      </c>
      <c r="J33" s="39" t="n">
        <f aca="false">IFERROR(I33/I$20,0)</f>
        <v>0.0957222222222222</v>
      </c>
      <c r="K33" s="28" t="n">
        <f aca="false">'Vessel Assumptions'!$C$21</f>
        <v>1435.83333333333</v>
      </c>
      <c r="L33" s="39" t="n">
        <f aca="false">IFERROR(K33/K$20,0)</f>
        <v>0.0358958333333333</v>
      </c>
      <c r="M33" s="28" t="n">
        <f aca="false">'Vessel Assumptions'!$C$21</f>
        <v>1435.83333333333</v>
      </c>
      <c r="N33" s="39" t="n">
        <f aca="false">IFERROR(M33/M$20,0)</f>
        <v>0.0410238095238095</v>
      </c>
      <c r="O33" s="28" t="n">
        <f aca="false">'Vessel Assumptions'!$C$21</f>
        <v>1435.83333333333</v>
      </c>
      <c r="P33" s="39" t="n">
        <f aca="false">IFERROR(O33/O$20,0)</f>
        <v>0.0410238095238095</v>
      </c>
      <c r="Q33" s="28" t="n">
        <f aca="false">'Vessel Assumptions'!$C$21</f>
        <v>1435.83333333333</v>
      </c>
      <c r="R33" s="39" t="n">
        <f aca="false">IFERROR(Q33/Q$20,0)</f>
        <v>0.0410238095238095</v>
      </c>
      <c r="S33" s="28" t="n">
        <f aca="false">'Vessel Assumptions'!$C$21</f>
        <v>1435.83333333333</v>
      </c>
      <c r="T33" s="39" t="n">
        <f aca="false">IFERROR(S33/S$20,0)</f>
        <v>0.0410238095238095</v>
      </c>
      <c r="U33" s="28" t="n">
        <f aca="false">'Vessel Assumptions'!$C$21</f>
        <v>1435.83333333333</v>
      </c>
      <c r="V33" s="39" t="n">
        <f aca="false">IFERROR(U33/U$20,0)</f>
        <v>0.0410238095238095</v>
      </c>
      <c r="W33" s="28" t="n">
        <f aca="false">'Vessel Assumptions'!$C$21</f>
        <v>1435.83333333333</v>
      </c>
      <c r="X33" s="39" t="n">
        <f aca="false">IFERROR(W33/W$20,0)</f>
        <v>0.0410238095238095</v>
      </c>
      <c r="Y33" s="28" t="n">
        <f aca="false">'Vessel Assumptions'!$C$21</f>
        <v>1435.83333333333</v>
      </c>
      <c r="Z33" s="39" t="n">
        <f aca="false">IFERROR(Y33/Y$20,0)</f>
        <v>0.0410238095238095</v>
      </c>
      <c r="AB33" s="28" t="n">
        <f aca="false">SUM(C33,E33,G33,I33,K33,M33,O33,Q33,S33,U33,W33,Y33)</f>
        <v>17230</v>
      </c>
      <c r="AC33" s="39" t="n">
        <f aca="false">IFERROR(AB33/AB$20,0)</f>
        <v>0.0415180722891566</v>
      </c>
    </row>
    <row r="34" customFormat="false" ht="15" hidden="false" customHeight="true" outlineLevel="0" collapsed="false">
      <c r="A34" s="27" t="s">
        <v>180</v>
      </c>
      <c r="C34" s="28" t="n">
        <v>0</v>
      </c>
      <c r="D34" s="39" t="n">
        <f aca="false">IFERROR(C34/C$20,0)</f>
        <v>0</v>
      </c>
      <c r="E34" s="28" t="n">
        <v>0</v>
      </c>
      <c r="F34" s="39" t="n">
        <f aca="false">IFERROR(E34/E$20,0)</f>
        <v>0</v>
      </c>
      <c r="G34" s="28" t="n">
        <v>0</v>
      </c>
      <c r="H34" s="39" t="n">
        <f aca="false">IFERROR(G34/G$20,0)</f>
        <v>0</v>
      </c>
      <c r="I34" s="28" t="n">
        <v>0</v>
      </c>
      <c r="J34" s="39" t="n">
        <f aca="false">IFERROR(I34/I$20,0)</f>
        <v>0</v>
      </c>
      <c r="K34" s="28" t="n">
        <v>0</v>
      </c>
      <c r="L34" s="39" t="n">
        <f aca="false">IFERROR(K34/K$20,0)</f>
        <v>0</v>
      </c>
      <c r="M34" s="28" t="n">
        <v>0</v>
      </c>
      <c r="N34" s="39" t="n">
        <f aca="false">IFERROR(M34/M$20,0)</f>
        <v>0</v>
      </c>
      <c r="O34" s="28" t="n">
        <v>0</v>
      </c>
      <c r="P34" s="39" t="n">
        <f aca="false">IFERROR(O34/O$20,0)</f>
        <v>0</v>
      </c>
      <c r="Q34" s="28" t="n">
        <v>0</v>
      </c>
      <c r="R34" s="39" t="n">
        <f aca="false">IFERROR(Q34/Q$20,0)</f>
        <v>0</v>
      </c>
      <c r="S34" s="28" t="n">
        <v>0</v>
      </c>
      <c r="T34" s="39" t="n">
        <f aca="false">IFERROR(S34/S$20,0)</f>
        <v>0</v>
      </c>
      <c r="U34" s="28" t="n">
        <v>0</v>
      </c>
      <c r="V34" s="39" t="n">
        <f aca="false">IFERROR(U34/U$20,0)</f>
        <v>0</v>
      </c>
      <c r="W34" s="28" t="n">
        <v>0</v>
      </c>
      <c r="X34" s="39" t="n">
        <f aca="false">IFERROR(W34/W$20,0)</f>
        <v>0</v>
      </c>
      <c r="Y34" s="28" t="n">
        <v>0</v>
      </c>
      <c r="Z34" s="39" t="n">
        <f aca="false">IFERROR(Y34/Y$20,0)</f>
        <v>0</v>
      </c>
      <c r="AB34" s="28" t="n">
        <f aca="false">SUM(C34,E34,G34,I34,K34,M34,O34,Q34,S34,U34,W34,Y34)</f>
        <v>0</v>
      </c>
      <c r="AC34" s="39" t="n">
        <f aca="false">IFERROR(AB34/AB$20,0)</f>
        <v>0</v>
      </c>
    </row>
    <row r="35" customFormat="false" ht="15" hidden="false" customHeight="true" outlineLevel="0" collapsed="false">
      <c r="A35" s="27" t="s">
        <v>181</v>
      </c>
      <c r="C35" s="28" t="n">
        <f aca="false">C9*'Vessel Assumptions'!$C$20</f>
        <v>5250</v>
      </c>
      <c r="D35" s="39" t="n">
        <f aca="false">IFERROR(C35/C$20,0)</f>
        <v>0.105</v>
      </c>
      <c r="E35" s="28" t="n">
        <f aca="false">E9*'Vessel Assumptions'!$C$20</f>
        <v>1575</v>
      </c>
      <c r="F35" s="39" t="n">
        <f aca="false">IFERROR(E35/E$20,0)</f>
        <v>0.105</v>
      </c>
      <c r="G35" s="28" t="n">
        <f aca="false">G9*'Vessel Assumptions'!$C$20</f>
        <v>5250</v>
      </c>
      <c r="H35" s="39" t="n">
        <f aca="false">IFERROR(G35/G$20,0)</f>
        <v>0.105</v>
      </c>
      <c r="I35" s="28" t="n">
        <f aca="false">I9*'Vessel Assumptions'!$C$20</f>
        <v>1575</v>
      </c>
      <c r="J35" s="39" t="n">
        <f aca="false">IFERROR(I35/I$20,0)</f>
        <v>0.105</v>
      </c>
      <c r="K35" s="28" t="n">
        <f aca="false">K9*'Vessel Assumptions'!$C$20</f>
        <v>4200</v>
      </c>
      <c r="L35" s="39" t="n">
        <f aca="false">IFERROR(K35/K$20,0)</f>
        <v>0.105</v>
      </c>
      <c r="M35" s="28" t="n">
        <f aca="false">M9*'Vessel Assumptions'!$C$20</f>
        <v>3675</v>
      </c>
      <c r="N35" s="39" t="n">
        <f aca="false">IFERROR(M35/M$20,0)</f>
        <v>0.105</v>
      </c>
      <c r="O35" s="28" t="n">
        <f aca="false">O9*'Vessel Assumptions'!$C$20</f>
        <v>3675</v>
      </c>
      <c r="P35" s="39" t="n">
        <f aca="false">IFERROR(O35/O$20,0)</f>
        <v>0.105</v>
      </c>
      <c r="Q35" s="28" t="n">
        <f aca="false">Q9*'Vessel Assumptions'!$C$20</f>
        <v>3675</v>
      </c>
      <c r="R35" s="39" t="n">
        <f aca="false">IFERROR(Q35/Q$20,0)</f>
        <v>0.105</v>
      </c>
      <c r="S35" s="28" t="n">
        <f aca="false">S9*'Vessel Assumptions'!$C$20</f>
        <v>3675</v>
      </c>
      <c r="T35" s="39" t="n">
        <f aca="false">IFERROR(S35/S$20,0)</f>
        <v>0.105</v>
      </c>
      <c r="U35" s="28" t="n">
        <f aca="false">U9*'Vessel Assumptions'!$C$20</f>
        <v>3675</v>
      </c>
      <c r="V35" s="39" t="n">
        <f aca="false">IFERROR(U35/U$20,0)</f>
        <v>0.105</v>
      </c>
      <c r="W35" s="28" t="n">
        <f aca="false">W9*'Vessel Assumptions'!$C$20</f>
        <v>3675</v>
      </c>
      <c r="X35" s="39" t="n">
        <f aca="false">IFERROR(W35/W$20,0)</f>
        <v>0.105</v>
      </c>
      <c r="Y35" s="28" t="n">
        <f aca="false">Y9*'Vessel Assumptions'!$C$20</f>
        <v>3675</v>
      </c>
      <c r="Z35" s="39" t="n">
        <f aca="false">IFERROR(Y35/Y$20,0)</f>
        <v>0.105</v>
      </c>
      <c r="AB35" s="28" t="n">
        <f aca="false">SUM(C35,E35,G35,I35,K35,M35,O35,Q35,S35,U35,W35,Y35)</f>
        <v>43575</v>
      </c>
      <c r="AC35" s="39" t="n">
        <f aca="false">IFERROR(AB35/AB$20,0)</f>
        <v>0.105</v>
      </c>
    </row>
    <row r="36" customFormat="false" ht="15" hidden="false" customHeight="true" outlineLevel="0" collapsed="false">
      <c r="A36" s="27" t="s">
        <v>182</v>
      </c>
      <c r="C36" s="28" t="n">
        <f aca="false">(C33+C35)*'Vessel Assumptions'!$C$22</f>
        <v>1076.41916666667</v>
      </c>
      <c r="D36" s="39" t="n">
        <f aca="false">IFERROR(C36/C$20,0)</f>
        <v>0.0215283833333333</v>
      </c>
      <c r="E36" s="28" t="n">
        <f aca="false">(E33+E35)*'Vessel Assumptions'!$C$22</f>
        <v>484.744166666667</v>
      </c>
      <c r="F36" s="39" t="n">
        <f aca="false">IFERROR(E36/E$20,0)</f>
        <v>0.0323162777777778</v>
      </c>
      <c r="G36" s="28" t="n">
        <f aca="false">(G33+G35)*'Vessel Assumptions'!$C$22</f>
        <v>1076.41916666667</v>
      </c>
      <c r="H36" s="39" t="n">
        <f aca="false">IFERROR(G36/G$20,0)</f>
        <v>0.0215283833333333</v>
      </c>
      <c r="I36" s="28" t="n">
        <f aca="false">(I33+I35)*'Vessel Assumptions'!$C$22</f>
        <v>484.744166666667</v>
      </c>
      <c r="J36" s="39" t="n">
        <f aca="false">IFERROR(I36/I$20,0)</f>
        <v>0.0323162777777778</v>
      </c>
      <c r="K36" s="28" t="n">
        <f aca="false">(K33+K35)*'Vessel Assumptions'!$C$22</f>
        <v>907.369166666667</v>
      </c>
      <c r="L36" s="39" t="n">
        <f aca="false">IFERROR(K36/K$20,0)</f>
        <v>0.0226842291666667</v>
      </c>
      <c r="M36" s="28" t="n">
        <f aca="false">(M33+M35)*'Vessel Assumptions'!$C$22</f>
        <v>822.844166666667</v>
      </c>
      <c r="N36" s="39" t="n">
        <f aca="false">IFERROR(M36/M$20,0)</f>
        <v>0.0235098333333333</v>
      </c>
      <c r="O36" s="28" t="n">
        <f aca="false">(O33+O35)*'Vessel Assumptions'!$C$22</f>
        <v>822.844166666667</v>
      </c>
      <c r="P36" s="39" t="n">
        <f aca="false">IFERROR(O36/O$20,0)</f>
        <v>0.0235098333333333</v>
      </c>
      <c r="Q36" s="28" t="n">
        <f aca="false">(Q33+Q35)*'Vessel Assumptions'!$C$22</f>
        <v>822.844166666667</v>
      </c>
      <c r="R36" s="39" t="n">
        <f aca="false">IFERROR(Q36/Q$20,0)</f>
        <v>0.0235098333333333</v>
      </c>
      <c r="S36" s="28" t="n">
        <f aca="false">(S33+S35)*'Vessel Assumptions'!$C$22</f>
        <v>822.844166666667</v>
      </c>
      <c r="T36" s="39" t="n">
        <f aca="false">IFERROR(S36/S$20,0)</f>
        <v>0.0235098333333333</v>
      </c>
      <c r="U36" s="28" t="n">
        <f aca="false">(U33+U35)*'Vessel Assumptions'!$C$22</f>
        <v>822.844166666667</v>
      </c>
      <c r="V36" s="39" t="n">
        <f aca="false">IFERROR(U36/U$20,0)</f>
        <v>0.0235098333333333</v>
      </c>
      <c r="W36" s="28" t="n">
        <f aca="false">(W33+W35)*'Vessel Assumptions'!$C$22</f>
        <v>822.844166666667</v>
      </c>
      <c r="X36" s="39" t="n">
        <f aca="false">IFERROR(W36/W$20,0)</f>
        <v>0.0235098333333333</v>
      </c>
      <c r="Y36" s="28" t="n">
        <f aca="false">(Y33+Y35)*'Vessel Assumptions'!$C$22</f>
        <v>822.844166666667</v>
      </c>
      <c r="Z36" s="39" t="n">
        <f aca="false">IFERROR(Y36/Y$20,0)</f>
        <v>0.0235098333333333</v>
      </c>
      <c r="AB36" s="28" t="n">
        <f aca="false">SUM(C36,E36,G36,I36,K36,M36,O36,Q36,S36,U36,W36,Y36)</f>
        <v>9789.605</v>
      </c>
      <c r="AC36" s="39" t="n">
        <f aca="false">IFERROR(AB36/AB$20,0)</f>
        <v>0.0235894096385542</v>
      </c>
    </row>
    <row r="37" customFormat="false" ht="15" hidden="false" customHeight="true" outlineLevel="0" collapsed="false">
      <c r="A37" s="27" t="s">
        <v>183</v>
      </c>
      <c r="C37" s="28" t="n">
        <v>0</v>
      </c>
      <c r="D37" s="39" t="n">
        <f aca="false">IFERROR(C37/C$20,0)</f>
        <v>0</v>
      </c>
      <c r="E37" s="28" t="n">
        <v>0</v>
      </c>
      <c r="F37" s="39" t="n">
        <f aca="false">IFERROR(E37/E$20,0)</f>
        <v>0</v>
      </c>
      <c r="G37" s="28" t="n">
        <v>0</v>
      </c>
      <c r="H37" s="39" t="n">
        <f aca="false">IFERROR(G37/G$20,0)</f>
        <v>0</v>
      </c>
      <c r="I37" s="28" t="n">
        <v>0</v>
      </c>
      <c r="J37" s="39" t="n">
        <f aca="false">IFERROR(I37/I$20,0)</f>
        <v>0</v>
      </c>
      <c r="K37" s="28" t="n">
        <v>0</v>
      </c>
      <c r="L37" s="39" t="n">
        <f aca="false">IFERROR(K37/K$20,0)</f>
        <v>0</v>
      </c>
      <c r="M37" s="28" t="n">
        <v>0</v>
      </c>
      <c r="N37" s="39" t="n">
        <f aca="false">IFERROR(M37/M$20,0)</f>
        <v>0</v>
      </c>
      <c r="O37" s="28" t="n">
        <v>0</v>
      </c>
      <c r="P37" s="39" t="n">
        <f aca="false">IFERROR(O37/O$20,0)</f>
        <v>0</v>
      </c>
      <c r="Q37" s="28" t="n">
        <v>0</v>
      </c>
      <c r="R37" s="39" t="n">
        <f aca="false">IFERROR(Q37/Q$20,0)</f>
        <v>0</v>
      </c>
      <c r="S37" s="28" t="n">
        <v>0</v>
      </c>
      <c r="T37" s="39" t="n">
        <f aca="false">IFERROR(S37/S$20,0)</f>
        <v>0</v>
      </c>
      <c r="U37" s="28" t="n">
        <v>0</v>
      </c>
      <c r="V37" s="39" t="n">
        <f aca="false">IFERROR(U37/U$20,0)</f>
        <v>0</v>
      </c>
      <c r="W37" s="28" t="n">
        <v>0</v>
      </c>
      <c r="X37" s="39" t="n">
        <f aca="false">IFERROR(W37/W$20,0)</f>
        <v>0</v>
      </c>
      <c r="Y37" s="28" t="n">
        <v>0</v>
      </c>
      <c r="Z37" s="39" t="n">
        <f aca="false">IFERROR(Y37/Y$20,0)</f>
        <v>0</v>
      </c>
      <c r="AB37" s="28" t="n">
        <f aca="false">SUM(C37,E37,G37,I37,K37,M37,O37,Q37,S37,U37,W37,Y37)</f>
        <v>0</v>
      </c>
      <c r="AC37" s="39" t="n">
        <f aca="false">IFERROR(AB37/AB$20,0)</f>
        <v>0</v>
      </c>
    </row>
    <row r="38" customFormat="false" ht="15" hidden="false" customHeight="true" outlineLevel="0" collapsed="false">
      <c r="A38" s="31" t="s">
        <v>131</v>
      </c>
      <c r="C38" s="32" t="n">
        <f aca="false">SUM(C33:C37)</f>
        <v>7762.2525</v>
      </c>
      <c r="D38" s="40" t="n">
        <f aca="false">IFERROR(C38/C$20,0)</f>
        <v>0.15524505</v>
      </c>
      <c r="E38" s="32" t="n">
        <f aca="false">SUM(E33:E37)</f>
        <v>3495.5775</v>
      </c>
      <c r="F38" s="40" t="n">
        <f aca="false">IFERROR(E38/E$20,0)</f>
        <v>0.2330385</v>
      </c>
      <c r="G38" s="32" t="n">
        <f aca="false">SUM(G33:G37)</f>
        <v>7762.2525</v>
      </c>
      <c r="H38" s="40" t="n">
        <f aca="false">IFERROR(G38/G$20,0)</f>
        <v>0.15524505</v>
      </c>
      <c r="I38" s="32" t="n">
        <f aca="false">SUM(I33:I37)</f>
        <v>3495.5775</v>
      </c>
      <c r="J38" s="40" t="n">
        <f aca="false">IFERROR(I38/I$20,0)</f>
        <v>0.2330385</v>
      </c>
      <c r="K38" s="32" t="n">
        <f aca="false">SUM(K33:K37)</f>
        <v>6543.2025</v>
      </c>
      <c r="L38" s="40" t="n">
        <f aca="false">IFERROR(K38/K$20,0)</f>
        <v>0.1635800625</v>
      </c>
      <c r="M38" s="32" t="n">
        <f aca="false">SUM(M33:M37)</f>
        <v>5933.6775</v>
      </c>
      <c r="N38" s="40" t="n">
        <f aca="false">IFERROR(M38/M$20,0)</f>
        <v>0.169533642857143</v>
      </c>
      <c r="O38" s="32" t="n">
        <f aca="false">SUM(O33:O37)</f>
        <v>5933.6775</v>
      </c>
      <c r="P38" s="40" t="n">
        <f aca="false">IFERROR(O38/O$20,0)</f>
        <v>0.169533642857143</v>
      </c>
      <c r="Q38" s="32" t="n">
        <f aca="false">SUM(Q33:Q37)</f>
        <v>5933.6775</v>
      </c>
      <c r="R38" s="40" t="n">
        <f aca="false">IFERROR(Q38/Q$20,0)</f>
        <v>0.169533642857143</v>
      </c>
      <c r="S38" s="32" t="n">
        <f aca="false">SUM(S33:S37)</f>
        <v>5933.6775</v>
      </c>
      <c r="T38" s="40" t="n">
        <f aca="false">IFERROR(S38/S$20,0)</f>
        <v>0.169533642857143</v>
      </c>
      <c r="U38" s="32" t="n">
        <f aca="false">SUM(U33:U37)</f>
        <v>5933.6775</v>
      </c>
      <c r="V38" s="40" t="n">
        <f aca="false">IFERROR(U38/U$20,0)</f>
        <v>0.169533642857143</v>
      </c>
      <c r="W38" s="32" t="n">
        <f aca="false">SUM(W33:W37)</f>
        <v>5933.6775</v>
      </c>
      <c r="X38" s="40" t="n">
        <f aca="false">IFERROR(W38/W$20,0)</f>
        <v>0.169533642857143</v>
      </c>
      <c r="Y38" s="32" t="n">
        <f aca="false">SUM(Y33:Y37)</f>
        <v>5933.6775</v>
      </c>
      <c r="Z38" s="40" t="n">
        <f aca="false">IFERROR(Y38/Y$20,0)</f>
        <v>0.169533642857143</v>
      </c>
      <c r="AB38" s="32" t="n">
        <f aca="false">SUM(AB33:AB37)</f>
        <v>70594.605</v>
      </c>
      <c r="AC38" s="40" t="n">
        <f aca="false">IFERROR(AB38/AB$20,0)</f>
        <v>0.170107481927711</v>
      </c>
    </row>
    <row r="40" customFormat="false" ht="15" hidden="false" customHeight="true" outlineLevel="0" collapsed="false">
      <c r="A40" s="31" t="s">
        <v>184</v>
      </c>
      <c r="C40" s="41" t="n">
        <f aca="false">C29+C38</f>
        <v>28248.2525</v>
      </c>
      <c r="D40" s="42" t="n">
        <f aca="false">IFERROR(C40/C$20,0)</f>
        <v>0.56496505</v>
      </c>
      <c r="E40" s="41" t="n">
        <f aca="false">E29+E38</f>
        <v>9641.3775</v>
      </c>
      <c r="F40" s="42" t="n">
        <f aca="false">IFERROR(E40/E$20,0)</f>
        <v>0.6427585</v>
      </c>
      <c r="G40" s="41" t="n">
        <f aca="false">G29+G38</f>
        <v>28248.2525</v>
      </c>
      <c r="H40" s="42" t="n">
        <f aca="false">IFERROR(G40/G$20,0)</f>
        <v>0.56496505</v>
      </c>
      <c r="I40" s="41" t="n">
        <f aca="false">I29+I38</f>
        <v>9641.3775</v>
      </c>
      <c r="J40" s="42" t="n">
        <f aca="false">IFERROR(I40/I$20,0)</f>
        <v>0.6427585</v>
      </c>
      <c r="K40" s="41" t="n">
        <f aca="false">K29+K38</f>
        <v>22932.0025</v>
      </c>
      <c r="L40" s="42" t="n">
        <f aca="false">IFERROR(K40/K$20,0)</f>
        <v>0.5733000625</v>
      </c>
      <c r="M40" s="41" t="n">
        <f aca="false">M29+M38</f>
        <v>20273.8775</v>
      </c>
      <c r="N40" s="42" t="n">
        <f aca="false">IFERROR(M40/M$20,0)</f>
        <v>0.579253642857143</v>
      </c>
      <c r="O40" s="41" t="n">
        <f aca="false">O29+O38</f>
        <v>20273.8775</v>
      </c>
      <c r="P40" s="42" t="n">
        <f aca="false">IFERROR(O40/O$20,0)</f>
        <v>0.579253642857143</v>
      </c>
      <c r="Q40" s="41" t="n">
        <f aca="false">Q29+Q38</f>
        <v>20273.8775</v>
      </c>
      <c r="R40" s="42" t="n">
        <f aca="false">IFERROR(Q40/Q$20,0)</f>
        <v>0.579253642857143</v>
      </c>
      <c r="S40" s="41" t="n">
        <f aca="false">S29+S38</f>
        <v>20273.8775</v>
      </c>
      <c r="T40" s="42" t="n">
        <f aca="false">IFERROR(S40/S$20,0)</f>
        <v>0.579253642857143</v>
      </c>
      <c r="U40" s="41" t="n">
        <f aca="false">U29+U38</f>
        <v>20273.8775</v>
      </c>
      <c r="V40" s="42" t="n">
        <f aca="false">IFERROR(U40/U$20,0)</f>
        <v>0.579253642857143</v>
      </c>
      <c r="W40" s="41" t="n">
        <f aca="false">W29+W38</f>
        <v>20273.8775</v>
      </c>
      <c r="X40" s="42" t="n">
        <f aca="false">IFERROR(W40/W$20,0)</f>
        <v>0.579253642857143</v>
      </c>
      <c r="Y40" s="41" t="n">
        <f aca="false">Y29+Y38</f>
        <v>20273.8775</v>
      </c>
      <c r="Z40" s="42" t="n">
        <f aca="false">IFERROR(Y40/Y$20,0)</f>
        <v>0.579253642857143</v>
      </c>
      <c r="AB40" s="41" t="n">
        <f aca="false">AB29+AB38</f>
        <v>240628.405</v>
      </c>
      <c r="AC40" s="42" t="n">
        <f aca="false">IFERROR(AB40/AB$20,0)</f>
        <v>0.579827481927711</v>
      </c>
    </row>
    <row r="41" customFormat="false" ht="15" hidden="false" customHeight="true" outlineLevel="0" collapsed="false">
      <c r="A41" s="31" t="s">
        <v>185</v>
      </c>
      <c r="C41" s="41" t="n">
        <f aca="false">C30-C38</f>
        <v>21751.7475</v>
      </c>
      <c r="D41" s="42" t="n">
        <f aca="false">IFERROR(C41/C$20,0)</f>
        <v>0.43503495</v>
      </c>
      <c r="E41" s="41" t="n">
        <f aca="false">E30-E38</f>
        <v>5358.6225</v>
      </c>
      <c r="F41" s="42" t="n">
        <f aca="false">IFERROR(E41/E$20,0)</f>
        <v>0.3572415</v>
      </c>
      <c r="G41" s="41" t="n">
        <f aca="false">G30-G38</f>
        <v>21751.7475</v>
      </c>
      <c r="H41" s="42" t="n">
        <f aca="false">IFERROR(G41/G$20,0)</f>
        <v>0.43503495</v>
      </c>
      <c r="I41" s="41" t="n">
        <f aca="false">I30-I38</f>
        <v>5358.6225</v>
      </c>
      <c r="J41" s="42" t="n">
        <f aca="false">IFERROR(I41/I$20,0)</f>
        <v>0.3572415</v>
      </c>
      <c r="K41" s="41" t="n">
        <f aca="false">K30-K38</f>
        <v>17067.9975</v>
      </c>
      <c r="L41" s="42" t="n">
        <f aca="false">IFERROR(K41/K$20,0)</f>
        <v>0.4266999375</v>
      </c>
      <c r="M41" s="41" t="n">
        <f aca="false">M30-M38</f>
        <v>14726.1225</v>
      </c>
      <c r="N41" s="42" t="n">
        <f aca="false">IFERROR(M41/M$20,0)</f>
        <v>0.420746357142857</v>
      </c>
      <c r="O41" s="41" t="n">
        <f aca="false">O30-O38</f>
        <v>14726.1225</v>
      </c>
      <c r="P41" s="42" t="n">
        <f aca="false">IFERROR(O41/O$20,0)</f>
        <v>0.420746357142857</v>
      </c>
      <c r="Q41" s="41" t="n">
        <f aca="false">Q30-Q38</f>
        <v>14726.1225</v>
      </c>
      <c r="R41" s="42" t="n">
        <f aca="false">IFERROR(Q41/Q$20,0)</f>
        <v>0.420746357142857</v>
      </c>
      <c r="S41" s="41" t="n">
        <f aca="false">S30-S38</f>
        <v>14726.1225</v>
      </c>
      <c r="T41" s="42" t="n">
        <f aca="false">IFERROR(S41/S$20,0)</f>
        <v>0.420746357142857</v>
      </c>
      <c r="U41" s="41" t="n">
        <f aca="false">U30-U38</f>
        <v>14726.1225</v>
      </c>
      <c r="V41" s="42" t="n">
        <f aca="false">IFERROR(U41/U$20,0)</f>
        <v>0.420746357142857</v>
      </c>
      <c r="W41" s="41" t="n">
        <f aca="false">W30-W38</f>
        <v>14726.1225</v>
      </c>
      <c r="X41" s="42" t="n">
        <f aca="false">IFERROR(W41/W$20,0)</f>
        <v>0.420746357142857</v>
      </c>
      <c r="Y41" s="41" t="n">
        <f aca="false">Y30-Y38</f>
        <v>14726.1225</v>
      </c>
      <c r="Z41" s="42" t="n">
        <f aca="false">IFERROR(Y41/Y$20,0)</f>
        <v>0.420746357142857</v>
      </c>
      <c r="AB41" s="41" t="n">
        <f aca="false">AB30-AB38</f>
        <v>174371.595</v>
      </c>
      <c r="AC41" s="42" t="n">
        <f aca="false">IFERROR(AB41/AB$20,0)</f>
        <v>0.420172518072289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187</v>
      </c>
      <c r="C44" s="28" t="n">
        <f aca="false">'Vessel Assumptions'!$C$25*'Vessel 2026 P&amp;L'!$AB$39/'Vessel 2026 P&amp;L'!$AB$44</f>
        <v>1352.25</v>
      </c>
      <c r="D44" s="39" t="n">
        <f aca="false">IFERROR(C44/C$20,0)</f>
        <v>0.027045</v>
      </c>
      <c r="E44" s="28" t="n">
        <f aca="false">'Vessel Assumptions'!$C$25*'Vessel 2026 P&amp;L'!$AB$39/'Vessel 2026 P&amp;L'!$AB$44</f>
        <v>1352.25</v>
      </c>
      <c r="F44" s="39" t="n">
        <f aca="false">IFERROR(E44/E$20,0)</f>
        <v>0.09015</v>
      </c>
      <c r="G44" s="28" t="n">
        <f aca="false">'Vessel Assumptions'!$C$25*'Vessel 2026 P&amp;L'!$AB$39/'Vessel 2026 P&amp;L'!$AB$44</f>
        <v>1352.25</v>
      </c>
      <c r="H44" s="39" t="n">
        <f aca="false">IFERROR(G44/G$20,0)</f>
        <v>0.027045</v>
      </c>
      <c r="I44" s="28" t="n">
        <f aca="false">'Vessel Assumptions'!$C$25*'Vessel 2026 P&amp;L'!$AB$39/'Vessel 2026 P&amp;L'!$AB$44</f>
        <v>1352.25</v>
      </c>
      <c r="J44" s="39" t="n">
        <f aca="false">IFERROR(I44/I$20,0)</f>
        <v>0.09015</v>
      </c>
      <c r="K44" s="28" t="n">
        <f aca="false">'Vessel Assumptions'!$C$25*'Vessel 2026 P&amp;L'!$AB$39/'Vessel 2026 P&amp;L'!$AB$44</f>
        <v>1352.25</v>
      </c>
      <c r="L44" s="39" t="n">
        <f aca="false">IFERROR(K44/K$20,0)</f>
        <v>0.03380625</v>
      </c>
      <c r="M44" s="28" t="n">
        <f aca="false">'Vessel Assumptions'!$C$25*'Vessel 2026 P&amp;L'!$AB$39/'Vessel 2026 P&amp;L'!$AB$44</f>
        <v>1352.25</v>
      </c>
      <c r="N44" s="39" t="n">
        <f aca="false">IFERROR(M44/M$20,0)</f>
        <v>0.0386357142857143</v>
      </c>
      <c r="O44" s="28" t="n">
        <f aca="false">'Vessel Assumptions'!$C$25*'Vessel 2026 P&amp;L'!$AB$39/'Vessel 2026 P&amp;L'!$AB$44</f>
        <v>1352.25</v>
      </c>
      <c r="P44" s="39" t="n">
        <f aca="false">IFERROR(O44/O$20,0)</f>
        <v>0.0386357142857143</v>
      </c>
      <c r="Q44" s="28" t="n">
        <f aca="false">'Vessel Assumptions'!$C$25*'Vessel 2026 P&amp;L'!$AB$39/'Vessel 2026 P&amp;L'!$AB$44</f>
        <v>1352.25</v>
      </c>
      <c r="R44" s="39" t="n">
        <f aca="false">IFERROR(Q44/Q$20,0)</f>
        <v>0.0386357142857143</v>
      </c>
      <c r="S44" s="28" t="n">
        <f aca="false">'Vessel Assumptions'!$C$25*'Vessel 2026 P&amp;L'!$AB$39/'Vessel 2026 P&amp;L'!$AB$44</f>
        <v>1352.25</v>
      </c>
      <c r="T44" s="39" t="n">
        <f aca="false">IFERROR(S44/S$20,0)</f>
        <v>0.0386357142857143</v>
      </c>
      <c r="U44" s="28" t="n">
        <f aca="false">'Vessel Assumptions'!$C$25*'Vessel 2026 P&amp;L'!$AB$39/'Vessel 2026 P&amp;L'!$AB$44</f>
        <v>1352.25</v>
      </c>
      <c r="V44" s="39" t="n">
        <f aca="false">IFERROR(U44/U$20,0)</f>
        <v>0.0386357142857143</v>
      </c>
      <c r="W44" s="28" t="n">
        <f aca="false">'Vessel Assumptions'!$C$25*'Vessel 2026 P&amp;L'!$AB$39/'Vessel 2026 P&amp;L'!$AB$44</f>
        <v>1352.25</v>
      </c>
      <c r="X44" s="39" t="n">
        <f aca="false">IFERROR(W44/W$20,0)</f>
        <v>0.0386357142857143</v>
      </c>
      <c r="Y44" s="28" t="n">
        <f aca="false">'Vessel Assumptions'!$C$25*'Vessel 2026 P&amp;L'!$AB$39/'Vessel 2026 P&amp;L'!$AB$44</f>
        <v>1352.25</v>
      </c>
      <c r="Z44" s="39" t="n">
        <f aca="false">IFERROR(Y44/Y$20,0)</f>
        <v>0.0386357142857143</v>
      </c>
      <c r="AB44" s="28" t="n">
        <f aca="false">SUM(C44,E44,G44,I44,K44,M44,O44,Q44,S44,U44,W44,Y44)</f>
        <v>16227</v>
      </c>
      <c r="AC44" s="39" t="n">
        <f aca="false">IFERROR(AB44/AB$20,0)</f>
        <v>0.0391012048192771</v>
      </c>
    </row>
    <row r="45" customFormat="false" ht="15" hidden="false" customHeight="true" outlineLevel="0" collapsed="false">
      <c r="A45" s="27" t="s">
        <v>188</v>
      </c>
      <c r="C45" s="28" t="n">
        <f aca="false">'Vessel Assumptions'!$C$25*'Vessel 2026 P&amp;L'!$AB$40/'Vessel 2026 P&amp;L'!$AB$44</f>
        <v>956.916666666667</v>
      </c>
      <c r="D45" s="39" t="n">
        <f aca="false">IFERROR(C45/C$20,0)</f>
        <v>0.0191383333333333</v>
      </c>
      <c r="E45" s="28" t="n">
        <f aca="false">'Vessel Assumptions'!$C$25*'Vessel 2026 P&amp;L'!$AB$40/'Vessel 2026 P&amp;L'!$AB$44</f>
        <v>956.916666666667</v>
      </c>
      <c r="F45" s="39" t="n">
        <f aca="false">IFERROR(E45/E$20,0)</f>
        <v>0.0637944444444445</v>
      </c>
      <c r="G45" s="28" t="n">
        <f aca="false">'Vessel Assumptions'!$C$25*'Vessel 2026 P&amp;L'!$AB$40/'Vessel 2026 P&amp;L'!$AB$44</f>
        <v>956.916666666667</v>
      </c>
      <c r="H45" s="39" t="n">
        <f aca="false">IFERROR(G45/G$20,0)</f>
        <v>0.0191383333333333</v>
      </c>
      <c r="I45" s="28" t="n">
        <f aca="false">'Vessel Assumptions'!$C$25*'Vessel 2026 P&amp;L'!$AB$40/'Vessel 2026 P&amp;L'!$AB$44</f>
        <v>956.916666666667</v>
      </c>
      <c r="J45" s="39" t="n">
        <f aca="false">IFERROR(I45/I$20,0)</f>
        <v>0.0637944444444445</v>
      </c>
      <c r="K45" s="28" t="n">
        <f aca="false">'Vessel Assumptions'!$C$25*'Vessel 2026 P&amp;L'!$AB$40/'Vessel 2026 P&amp;L'!$AB$44</f>
        <v>956.916666666667</v>
      </c>
      <c r="L45" s="39" t="n">
        <f aca="false">IFERROR(K45/K$20,0)</f>
        <v>0.0239229166666667</v>
      </c>
      <c r="M45" s="28" t="n">
        <f aca="false">'Vessel Assumptions'!$C$25*'Vessel 2026 P&amp;L'!$AB$40/'Vessel 2026 P&amp;L'!$AB$44</f>
        <v>956.916666666667</v>
      </c>
      <c r="N45" s="39" t="n">
        <f aca="false">IFERROR(M45/M$20,0)</f>
        <v>0.0273404761904762</v>
      </c>
      <c r="O45" s="28" t="n">
        <f aca="false">'Vessel Assumptions'!$C$25*'Vessel 2026 P&amp;L'!$AB$40/'Vessel 2026 P&amp;L'!$AB$44</f>
        <v>956.916666666667</v>
      </c>
      <c r="P45" s="39" t="n">
        <f aca="false">IFERROR(O45/O$20,0)</f>
        <v>0.0273404761904762</v>
      </c>
      <c r="Q45" s="28" t="n">
        <f aca="false">'Vessel Assumptions'!$C$25*'Vessel 2026 P&amp;L'!$AB$40/'Vessel 2026 P&amp;L'!$AB$44</f>
        <v>956.916666666667</v>
      </c>
      <c r="R45" s="39" t="n">
        <f aca="false">IFERROR(Q45/Q$20,0)</f>
        <v>0.0273404761904762</v>
      </c>
      <c r="S45" s="28" t="n">
        <f aca="false">'Vessel Assumptions'!$C$25*'Vessel 2026 P&amp;L'!$AB$40/'Vessel 2026 P&amp;L'!$AB$44</f>
        <v>956.916666666667</v>
      </c>
      <c r="T45" s="39" t="n">
        <f aca="false">IFERROR(S45/S$20,0)</f>
        <v>0.0273404761904762</v>
      </c>
      <c r="U45" s="28" t="n">
        <f aca="false">'Vessel Assumptions'!$C$25*'Vessel 2026 P&amp;L'!$AB$40/'Vessel 2026 P&amp;L'!$AB$44</f>
        <v>956.916666666667</v>
      </c>
      <c r="V45" s="39" t="n">
        <f aca="false">IFERROR(U45/U$20,0)</f>
        <v>0.0273404761904762</v>
      </c>
      <c r="W45" s="28" t="n">
        <f aca="false">'Vessel Assumptions'!$C$25*'Vessel 2026 P&amp;L'!$AB$40/'Vessel 2026 P&amp;L'!$AB$44</f>
        <v>956.916666666667</v>
      </c>
      <c r="X45" s="39" t="n">
        <f aca="false">IFERROR(W45/W$20,0)</f>
        <v>0.0273404761904762</v>
      </c>
      <c r="Y45" s="28" t="n">
        <f aca="false">'Vessel Assumptions'!$C$25*'Vessel 2026 P&amp;L'!$AB$40/'Vessel 2026 P&amp;L'!$AB$44</f>
        <v>956.916666666667</v>
      </c>
      <c r="Z45" s="39" t="n">
        <f aca="false">IFERROR(Y45/Y$20,0)</f>
        <v>0.0273404761904762</v>
      </c>
      <c r="AB45" s="28" t="n">
        <f aca="false">SUM(C45,E45,G45,I45,K45,M45,O45,Q45,S45,U45,W45,Y45)</f>
        <v>11483</v>
      </c>
      <c r="AC45" s="39" t="n">
        <f aca="false">IFERROR(AB45/AB$20,0)</f>
        <v>0.0276698795180723</v>
      </c>
    </row>
    <row r="46" customFormat="false" ht="15" hidden="false" customHeight="true" outlineLevel="0" collapsed="false">
      <c r="A46" s="27" t="s">
        <v>189</v>
      </c>
      <c r="C46" s="28" t="n">
        <f aca="false">'Vessel Assumptions'!$C$25*'Vessel 2026 P&amp;L'!$AB$41/'Vessel 2026 P&amp;L'!$AB$44</f>
        <v>878.25</v>
      </c>
      <c r="D46" s="39" t="n">
        <f aca="false">IFERROR(C46/C$20,0)</f>
        <v>0.017565</v>
      </c>
      <c r="E46" s="28" t="n">
        <f aca="false">'Vessel Assumptions'!$C$25*'Vessel 2026 P&amp;L'!$AB$41/'Vessel 2026 P&amp;L'!$AB$44</f>
        <v>878.25</v>
      </c>
      <c r="F46" s="39" t="n">
        <f aca="false">IFERROR(E46/E$20,0)</f>
        <v>0.05855</v>
      </c>
      <c r="G46" s="28" t="n">
        <f aca="false">'Vessel Assumptions'!$C$25*'Vessel 2026 P&amp;L'!$AB$41/'Vessel 2026 P&amp;L'!$AB$44</f>
        <v>878.25</v>
      </c>
      <c r="H46" s="39" t="n">
        <f aca="false">IFERROR(G46/G$20,0)</f>
        <v>0.017565</v>
      </c>
      <c r="I46" s="28" t="n">
        <f aca="false">'Vessel Assumptions'!$C$25*'Vessel 2026 P&amp;L'!$AB$41/'Vessel 2026 P&amp;L'!$AB$44</f>
        <v>878.25</v>
      </c>
      <c r="J46" s="39" t="n">
        <f aca="false">IFERROR(I46/I$20,0)</f>
        <v>0.05855</v>
      </c>
      <c r="K46" s="28" t="n">
        <f aca="false">'Vessel Assumptions'!$C$25*'Vessel 2026 P&amp;L'!$AB$41/'Vessel 2026 P&amp;L'!$AB$44</f>
        <v>878.25</v>
      </c>
      <c r="L46" s="39" t="n">
        <f aca="false">IFERROR(K46/K$20,0)</f>
        <v>0.02195625</v>
      </c>
      <c r="M46" s="28" t="n">
        <f aca="false">'Vessel Assumptions'!$C$25*'Vessel 2026 P&amp;L'!$AB$41/'Vessel 2026 P&amp;L'!$AB$44</f>
        <v>878.25</v>
      </c>
      <c r="N46" s="39" t="n">
        <f aca="false">IFERROR(M46/M$20,0)</f>
        <v>0.0250928571428571</v>
      </c>
      <c r="O46" s="28" t="n">
        <f aca="false">'Vessel Assumptions'!$C$25*'Vessel 2026 P&amp;L'!$AB$41/'Vessel 2026 P&amp;L'!$AB$44</f>
        <v>878.25</v>
      </c>
      <c r="P46" s="39" t="n">
        <f aca="false">IFERROR(O46/O$20,0)</f>
        <v>0.0250928571428571</v>
      </c>
      <c r="Q46" s="28" t="n">
        <f aca="false">'Vessel Assumptions'!$C$25*'Vessel 2026 P&amp;L'!$AB$41/'Vessel 2026 P&amp;L'!$AB$44</f>
        <v>878.25</v>
      </c>
      <c r="R46" s="39" t="n">
        <f aca="false">IFERROR(Q46/Q$20,0)</f>
        <v>0.0250928571428571</v>
      </c>
      <c r="S46" s="28" t="n">
        <f aca="false">'Vessel Assumptions'!$C$25*'Vessel 2026 P&amp;L'!$AB$41/'Vessel 2026 P&amp;L'!$AB$44</f>
        <v>878.25</v>
      </c>
      <c r="T46" s="39" t="n">
        <f aca="false">IFERROR(S46/S$20,0)</f>
        <v>0.0250928571428571</v>
      </c>
      <c r="U46" s="28" t="n">
        <f aca="false">'Vessel Assumptions'!$C$25*'Vessel 2026 P&amp;L'!$AB$41/'Vessel 2026 P&amp;L'!$AB$44</f>
        <v>878.25</v>
      </c>
      <c r="V46" s="39" t="n">
        <f aca="false">IFERROR(U46/U$20,0)</f>
        <v>0.0250928571428571</v>
      </c>
      <c r="W46" s="28" t="n">
        <f aca="false">'Vessel Assumptions'!$C$25*'Vessel 2026 P&amp;L'!$AB$41/'Vessel 2026 P&amp;L'!$AB$44</f>
        <v>878.25</v>
      </c>
      <c r="X46" s="39" t="n">
        <f aca="false">IFERROR(W46/W$20,0)</f>
        <v>0.0250928571428571</v>
      </c>
      <c r="Y46" s="28" t="n">
        <f aca="false">'Vessel Assumptions'!$C$25*'Vessel 2026 P&amp;L'!$AB$41/'Vessel 2026 P&amp;L'!$AB$44</f>
        <v>878.25</v>
      </c>
      <c r="Z46" s="39" t="n">
        <f aca="false">IFERROR(Y46/Y$20,0)</f>
        <v>0.0250928571428571</v>
      </c>
      <c r="AB46" s="28" t="n">
        <f aca="false">SUM(C46,E46,G46,I46,K46,M46,O46,Q46,S46,U46,W46,Y46)</f>
        <v>10539</v>
      </c>
      <c r="AC46" s="39" t="n">
        <f aca="false">IFERROR(AB46/AB$20,0)</f>
        <v>0.0253951807228916</v>
      </c>
    </row>
    <row r="47" customFormat="false" ht="15" hidden="false" customHeight="true" outlineLevel="0" collapsed="false">
      <c r="A47" s="27" t="s">
        <v>190</v>
      </c>
      <c r="C47" s="28" t="n">
        <f aca="false">'Vessel Assumptions'!$C$25*'Vessel 2026 P&amp;L'!$AB$42/'Vessel 2026 P&amp;L'!$AB$44</f>
        <v>3331.66666666667</v>
      </c>
      <c r="D47" s="39" t="n">
        <f aca="false">IFERROR(C47/C$20,0)</f>
        <v>0.0666333333333333</v>
      </c>
      <c r="E47" s="28" t="n">
        <f aca="false">'Vessel Assumptions'!$C$25*'Vessel 2026 P&amp;L'!$AB$42/'Vessel 2026 P&amp;L'!$AB$44</f>
        <v>3331.66666666667</v>
      </c>
      <c r="F47" s="39" t="n">
        <f aca="false">IFERROR(E47/E$20,0)</f>
        <v>0.222111111111111</v>
      </c>
      <c r="G47" s="28" t="n">
        <f aca="false">'Vessel Assumptions'!$C$25*'Vessel 2026 P&amp;L'!$AB$42/'Vessel 2026 P&amp;L'!$AB$44</f>
        <v>3331.66666666667</v>
      </c>
      <c r="H47" s="39" t="n">
        <f aca="false">IFERROR(G47/G$20,0)</f>
        <v>0.0666333333333333</v>
      </c>
      <c r="I47" s="28" t="n">
        <f aca="false">'Vessel Assumptions'!$C$25*'Vessel 2026 P&amp;L'!$AB$42/'Vessel 2026 P&amp;L'!$AB$44</f>
        <v>3331.66666666667</v>
      </c>
      <c r="J47" s="39" t="n">
        <f aca="false">IFERROR(I47/I$20,0)</f>
        <v>0.222111111111111</v>
      </c>
      <c r="K47" s="28" t="n">
        <f aca="false">'Vessel Assumptions'!$C$25*'Vessel 2026 P&amp;L'!$AB$42/'Vessel 2026 P&amp;L'!$AB$44</f>
        <v>3331.66666666667</v>
      </c>
      <c r="L47" s="39" t="n">
        <f aca="false">IFERROR(K47/K$20,0)</f>
        <v>0.0832916666666667</v>
      </c>
      <c r="M47" s="28" t="n">
        <f aca="false">'Vessel Assumptions'!$C$25*'Vessel 2026 P&amp;L'!$AB$42/'Vessel 2026 P&amp;L'!$AB$44</f>
        <v>3331.66666666667</v>
      </c>
      <c r="N47" s="39" t="n">
        <f aca="false">IFERROR(M47/M$20,0)</f>
        <v>0.0951904761904762</v>
      </c>
      <c r="O47" s="28" t="n">
        <f aca="false">'Vessel Assumptions'!$C$25*'Vessel 2026 P&amp;L'!$AB$42/'Vessel 2026 P&amp;L'!$AB$44</f>
        <v>3331.66666666667</v>
      </c>
      <c r="P47" s="39" t="n">
        <f aca="false">IFERROR(O47/O$20,0)</f>
        <v>0.0951904761904762</v>
      </c>
      <c r="Q47" s="28" t="n">
        <f aca="false">'Vessel Assumptions'!$C$25*'Vessel 2026 P&amp;L'!$AB$42/'Vessel 2026 P&amp;L'!$AB$44</f>
        <v>3331.66666666667</v>
      </c>
      <c r="R47" s="39" t="n">
        <f aca="false">IFERROR(Q47/Q$20,0)</f>
        <v>0.0951904761904762</v>
      </c>
      <c r="S47" s="28" t="n">
        <f aca="false">'Vessel Assumptions'!$C$25*'Vessel 2026 P&amp;L'!$AB$42/'Vessel 2026 P&amp;L'!$AB$44</f>
        <v>3331.66666666667</v>
      </c>
      <c r="T47" s="39" t="n">
        <f aca="false">IFERROR(S47/S$20,0)</f>
        <v>0.0951904761904762</v>
      </c>
      <c r="U47" s="28" t="n">
        <f aca="false">'Vessel Assumptions'!$C$25*'Vessel 2026 P&amp;L'!$AB$42/'Vessel 2026 P&amp;L'!$AB$44</f>
        <v>3331.66666666667</v>
      </c>
      <c r="V47" s="39" t="n">
        <f aca="false">IFERROR(U47/U$20,0)</f>
        <v>0.0951904761904762</v>
      </c>
      <c r="W47" s="28" t="n">
        <f aca="false">'Vessel Assumptions'!$C$25*'Vessel 2026 P&amp;L'!$AB$42/'Vessel 2026 P&amp;L'!$AB$44</f>
        <v>3331.66666666667</v>
      </c>
      <c r="X47" s="39" t="n">
        <f aca="false">IFERROR(W47/W$20,0)</f>
        <v>0.0951904761904762</v>
      </c>
      <c r="Y47" s="28" t="n">
        <f aca="false">'Vessel Assumptions'!$C$25*'Vessel 2026 P&amp;L'!$AB$42/'Vessel 2026 P&amp;L'!$AB$44</f>
        <v>3331.66666666667</v>
      </c>
      <c r="Z47" s="39" t="n">
        <f aca="false">IFERROR(Y47/Y$20,0)</f>
        <v>0.0951904761904762</v>
      </c>
      <c r="AB47" s="28" t="n">
        <f aca="false">SUM(C47,E47,G47,I47,K47,M47,O47,Q47,S47,U47,W47,Y47)</f>
        <v>39980</v>
      </c>
      <c r="AC47" s="39" t="n">
        <f aca="false">IFERROR(AB47/AB$20,0)</f>
        <v>0.0963373493975904</v>
      </c>
    </row>
    <row r="48" customFormat="false" ht="15" hidden="false" customHeight="true" outlineLevel="0" collapsed="false">
      <c r="A48" s="27" t="s">
        <v>191</v>
      </c>
      <c r="C48" s="28" t="n">
        <f aca="false">'Vessel Assumptions'!$C$25*'Vessel 2026 P&amp;L'!$AB$43/'Vessel 2026 P&amp;L'!$AB$44</f>
        <v>199.583333333333</v>
      </c>
      <c r="D48" s="39" t="n">
        <f aca="false">IFERROR(C48/C$20,0)</f>
        <v>0.00399166666666667</v>
      </c>
      <c r="E48" s="28" t="n">
        <f aca="false">'Vessel Assumptions'!$C$25*'Vessel 2026 P&amp;L'!$AB$43/'Vessel 2026 P&amp;L'!$AB$44</f>
        <v>199.583333333333</v>
      </c>
      <c r="F48" s="39" t="n">
        <f aca="false">IFERROR(E48/E$20,0)</f>
        <v>0.0133055555555556</v>
      </c>
      <c r="G48" s="28" t="n">
        <f aca="false">'Vessel Assumptions'!$C$25*'Vessel 2026 P&amp;L'!$AB$43/'Vessel 2026 P&amp;L'!$AB$44</f>
        <v>199.583333333333</v>
      </c>
      <c r="H48" s="39" t="n">
        <f aca="false">IFERROR(G48/G$20,0)</f>
        <v>0.00399166666666667</v>
      </c>
      <c r="I48" s="28" t="n">
        <f aca="false">'Vessel Assumptions'!$C$25*'Vessel 2026 P&amp;L'!$AB$43/'Vessel 2026 P&amp;L'!$AB$44</f>
        <v>199.583333333333</v>
      </c>
      <c r="J48" s="39" t="n">
        <f aca="false">IFERROR(I48/I$20,0)</f>
        <v>0.0133055555555556</v>
      </c>
      <c r="K48" s="28" t="n">
        <f aca="false">'Vessel Assumptions'!$C$25*'Vessel 2026 P&amp;L'!$AB$43/'Vessel 2026 P&amp;L'!$AB$44</f>
        <v>199.583333333333</v>
      </c>
      <c r="L48" s="39" t="n">
        <f aca="false">IFERROR(K48/K$20,0)</f>
        <v>0.00498958333333333</v>
      </c>
      <c r="M48" s="28" t="n">
        <f aca="false">'Vessel Assumptions'!$C$25*'Vessel 2026 P&amp;L'!$AB$43/'Vessel 2026 P&amp;L'!$AB$44</f>
        <v>199.583333333333</v>
      </c>
      <c r="N48" s="39" t="n">
        <f aca="false">IFERROR(M48/M$20,0)</f>
        <v>0.00570238095238095</v>
      </c>
      <c r="O48" s="28" t="n">
        <f aca="false">'Vessel Assumptions'!$C$25*'Vessel 2026 P&amp;L'!$AB$43/'Vessel 2026 P&amp;L'!$AB$44</f>
        <v>199.583333333333</v>
      </c>
      <c r="P48" s="39" t="n">
        <f aca="false">IFERROR(O48/O$20,0)</f>
        <v>0.00570238095238095</v>
      </c>
      <c r="Q48" s="28" t="n">
        <f aca="false">'Vessel Assumptions'!$C$25*'Vessel 2026 P&amp;L'!$AB$43/'Vessel 2026 P&amp;L'!$AB$44</f>
        <v>199.583333333333</v>
      </c>
      <c r="R48" s="39" t="n">
        <f aca="false">IFERROR(Q48/Q$20,0)</f>
        <v>0.00570238095238095</v>
      </c>
      <c r="S48" s="28" t="n">
        <f aca="false">'Vessel Assumptions'!$C$25*'Vessel 2026 P&amp;L'!$AB$43/'Vessel 2026 P&amp;L'!$AB$44</f>
        <v>199.583333333333</v>
      </c>
      <c r="T48" s="39" t="n">
        <f aca="false">IFERROR(S48/S$20,0)</f>
        <v>0.00570238095238095</v>
      </c>
      <c r="U48" s="28" t="n">
        <f aca="false">'Vessel Assumptions'!$C$25*'Vessel 2026 P&amp;L'!$AB$43/'Vessel 2026 P&amp;L'!$AB$44</f>
        <v>199.583333333333</v>
      </c>
      <c r="V48" s="39" t="n">
        <f aca="false">IFERROR(U48/U$20,0)</f>
        <v>0.00570238095238095</v>
      </c>
      <c r="W48" s="28" t="n">
        <f aca="false">'Vessel Assumptions'!$C$25*'Vessel 2026 P&amp;L'!$AB$43/'Vessel 2026 P&amp;L'!$AB$44</f>
        <v>199.583333333333</v>
      </c>
      <c r="X48" s="39" t="n">
        <f aca="false">IFERROR(W48/W$20,0)</f>
        <v>0.00570238095238095</v>
      </c>
      <c r="Y48" s="28" t="n">
        <f aca="false">'Vessel Assumptions'!$C$25*'Vessel 2026 P&amp;L'!$AB$43/'Vessel 2026 P&amp;L'!$AB$44</f>
        <v>199.583333333333</v>
      </c>
      <c r="Z48" s="39" t="n">
        <f aca="false">IFERROR(Y48/Y$20,0)</f>
        <v>0.00570238095238095</v>
      </c>
      <c r="AB48" s="28" t="n">
        <f aca="false">SUM(C48,E48,G48,I48,K48,M48,O48,Q48,S48,U48,W48,Y48)</f>
        <v>2395</v>
      </c>
      <c r="AC48" s="39" t="n">
        <f aca="false">IFERROR(AB48/AB$20,0)</f>
        <v>0.0057710843373494</v>
      </c>
    </row>
    <row r="49" customFormat="false" ht="15" hidden="false" customHeight="true" outlineLevel="0" collapsed="false">
      <c r="A49" s="27" t="s">
        <v>192</v>
      </c>
      <c r="C49" s="28" t="n">
        <f aca="false">C20*'Vessel Assumptions'!$C$27</f>
        <v>1250</v>
      </c>
      <c r="D49" s="39" t="n">
        <f aca="false">IFERROR(C49/C$20,0)</f>
        <v>0.025</v>
      </c>
      <c r="E49" s="28" t="n">
        <f aca="false">E20*'Vessel Assumptions'!$C$27</f>
        <v>375</v>
      </c>
      <c r="F49" s="39" t="n">
        <f aca="false">IFERROR(E49/E$20,0)</f>
        <v>0.025</v>
      </c>
      <c r="G49" s="28" t="n">
        <f aca="false">G20*'Vessel Assumptions'!$C$27</f>
        <v>1250</v>
      </c>
      <c r="H49" s="39" t="n">
        <f aca="false">IFERROR(G49/G$20,0)</f>
        <v>0.025</v>
      </c>
      <c r="I49" s="28" t="n">
        <f aca="false">I20*'Vessel Assumptions'!$C$27</f>
        <v>375</v>
      </c>
      <c r="J49" s="39" t="n">
        <f aca="false">IFERROR(I49/I$20,0)</f>
        <v>0.025</v>
      </c>
      <c r="K49" s="28" t="n">
        <f aca="false">K20*'Vessel Assumptions'!$C$27</f>
        <v>1000</v>
      </c>
      <c r="L49" s="39" t="n">
        <f aca="false">IFERROR(K49/K$20,0)</f>
        <v>0.025</v>
      </c>
      <c r="M49" s="28" t="n">
        <f aca="false">M20*'Vessel Assumptions'!$C$27</f>
        <v>875</v>
      </c>
      <c r="N49" s="39" t="n">
        <f aca="false">IFERROR(M49/M$20,0)</f>
        <v>0.025</v>
      </c>
      <c r="O49" s="28" t="n">
        <f aca="false">O20*'Vessel Assumptions'!$C$27</f>
        <v>875</v>
      </c>
      <c r="P49" s="39" t="n">
        <f aca="false">IFERROR(O49/O$20,0)</f>
        <v>0.025</v>
      </c>
      <c r="Q49" s="28" t="n">
        <f aca="false">Q20*'Vessel Assumptions'!$C$27</f>
        <v>875</v>
      </c>
      <c r="R49" s="39" t="n">
        <f aca="false">IFERROR(Q49/Q$20,0)</f>
        <v>0.025</v>
      </c>
      <c r="S49" s="28" t="n">
        <f aca="false">S20*'Vessel Assumptions'!$C$27</f>
        <v>875</v>
      </c>
      <c r="T49" s="39" t="n">
        <f aca="false">IFERROR(S49/S$20,0)</f>
        <v>0.025</v>
      </c>
      <c r="U49" s="28" t="n">
        <f aca="false">U20*'Vessel Assumptions'!$C$27</f>
        <v>875</v>
      </c>
      <c r="V49" s="39" t="n">
        <f aca="false">IFERROR(U49/U$20,0)</f>
        <v>0.025</v>
      </c>
      <c r="W49" s="28" t="n">
        <f aca="false">W20*'Vessel Assumptions'!$C$27</f>
        <v>875</v>
      </c>
      <c r="X49" s="39" t="n">
        <f aca="false">IFERROR(W49/W$20,0)</f>
        <v>0.025</v>
      </c>
      <c r="Y49" s="28" t="n">
        <f aca="false">Y20*'Vessel Assumptions'!$C$27</f>
        <v>875</v>
      </c>
      <c r="Z49" s="39" t="n">
        <f aca="false">IFERROR(Y49/Y$20,0)</f>
        <v>0.025</v>
      </c>
      <c r="AB49" s="28" t="n">
        <f aca="false">SUM(C49,E49,G49,I49,K49,M49,O49,Q49,S49,U49,W49,Y49)</f>
        <v>10375</v>
      </c>
      <c r="AC49" s="39" t="n">
        <f aca="false">IFERROR(AB49/AB$20,0)</f>
        <v>0.025</v>
      </c>
    </row>
    <row r="50" customFormat="false" ht="15" hidden="false" customHeight="true" outlineLevel="0" collapsed="false">
      <c r="A50" s="31" t="s">
        <v>193</v>
      </c>
      <c r="C50" s="32" t="n">
        <f aca="false">SUM(C44:C49)</f>
        <v>7968.66666666667</v>
      </c>
      <c r="D50" s="40" t="n">
        <f aca="false">IFERROR(C50/C$20,0)</f>
        <v>0.159373333333333</v>
      </c>
      <c r="E50" s="32" t="n">
        <f aca="false">SUM(E44:E49)</f>
        <v>7093.66666666667</v>
      </c>
      <c r="F50" s="40" t="n">
        <f aca="false">IFERROR(E50/E$20,0)</f>
        <v>0.472911111111111</v>
      </c>
      <c r="G50" s="32" t="n">
        <f aca="false">SUM(G44:G49)</f>
        <v>7968.66666666667</v>
      </c>
      <c r="H50" s="40" t="n">
        <f aca="false">IFERROR(G50/G$20,0)</f>
        <v>0.159373333333333</v>
      </c>
      <c r="I50" s="32" t="n">
        <f aca="false">SUM(I44:I49)</f>
        <v>7093.66666666667</v>
      </c>
      <c r="J50" s="40" t="n">
        <f aca="false">IFERROR(I50/I$20,0)</f>
        <v>0.472911111111111</v>
      </c>
      <c r="K50" s="32" t="n">
        <f aca="false">SUM(K44:K49)</f>
        <v>7718.66666666667</v>
      </c>
      <c r="L50" s="40" t="n">
        <f aca="false">IFERROR(K50/K$20,0)</f>
        <v>0.192966666666667</v>
      </c>
      <c r="M50" s="32" t="n">
        <f aca="false">SUM(M44:M49)</f>
        <v>7593.66666666667</v>
      </c>
      <c r="N50" s="40" t="n">
        <f aca="false">IFERROR(M50/M$20,0)</f>
        <v>0.216961904761905</v>
      </c>
      <c r="O50" s="32" t="n">
        <f aca="false">SUM(O44:O49)</f>
        <v>7593.66666666667</v>
      </c>
      <c r="P50" s="40" t="n">
        <f aca="false">IFERROR(O50/O$20,0)</f>
        <v>0.216961904761905</v>
      </c>
      <c r="Q50" s="32" t="n">
        <f aca="false">SUM(Q44:Q49)</f>
        <v>7593.66666666667</v>
      </c>
      <c r="R50" s="40" t="n">
        <f aca="false">IFERROR(Q50/Q$20,0)</f>
        <v>0.216961904761905</v>
      </c>
      <c r="S50" s="32" t="n">
        <f aca="false">SUM(S44:S49)</f>
        <v>7593.66666666667</v>
      </c>
      <c r="T50" s="40" t="n">
        <f aca="false">IFERROR(S50/S$20,0)</f>
        <v>0.216961904761905</v>
      </c>
      <c r="U50" s="32" t="n">
        <f aca="false">SUM(U44:U49)</f>
        <v>7593.66666666667</v>
      </c>
      <c r="V50" s="40" t="n">
        <f aca="false">IFERROR(U50/U$20,0)</f>
        <v>0.216961904761905</v>
      </c>
      <c r="W50" s="32" t="n">
        <f aca="false">SUM(W44:W49)</f>
        <v>7593.66666666667</v>
      </c>
      <c r="X50" s="40" t="n">
        <f aca="false">IFERROR(W50/W$20,0)</f>
        <v>0.216961904761905</v>
      </c>
      <c r="Y50" s="32" t="n">
        <f aca="false">SUM(Y44:Y49)</f>
        <v>7593.66666666667</v>
      </c>
      <c r="Z50" s="40" t="n">
        <f aca="false">IFERROR(Y50/Y$20,0)</f>
        <v>0.216961904761905</v>
      </c>
      <c r="AB50" s="32" t="n">
        <f aca="false">SUM(AB44:AB49)</f>
        <v>90999</v>
      </c>
      <c r="AC50" s="40" t="n">
        <f aca="false">IFERROR(AB50/AB$20,0)</f>
        <v>0.219274698795181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f aca="false">'Vessel Assumptions'!$C$26*'Vessel 2026 P&amp;L'!$AB$47/('Vessel 2026 P&amp;L'!$AB$47+'Vessel 2026 P&amp;L'!$AB$49+'Vessel 2026 P&amp;L'!$AB$51+'Vessel 2026 P&amp;L'!$AB$52)</f>
        <v>473.916666666667</v>
      </c>
      <c r="D53" s="39" t="n">
        <f aca="false">IFERROR(C53/C$20,0)</f>
        <v>0.00947833333333334</v>
      </c>
      <c r="E53" s="28" t="n">
        <f aca="false">'Vessel Assumptions'!$C$26*'Vessel 2026 P&amp;L'!$AB$47/('Vessel 2026 P&amp;L'!$AB$47+'Vessel 2026 P&amp;L'!$AB$49+'Vessel 2026 P&amp;L'!$AB$51+'Vessel 2026 P&amp;L'!$AB$52)</f>
        <v>473.916666666667</v>
      </c>
      <c r="F53" s="39" t="n">
        <f aca="false">IFERROR(E53/E$20,0)</f>
        <v>0.0315944444444445</v>
      </c>
      <c r="G53" s="28" t="n">
        <f aca="false">'Vessel Assumptions'!$C$26*'Vessel 2026 P&amp;L'!$AB$47/('Vessel 2026 P&amp;L'!$AB$47+'Vessel 2026 P&amp;L'!$AB$49+'Vessel 2026 P&amp;L'!$AB$51+'Vessel 2026 P&amp;L'!$AB$52)</f>
        <v>473.916666666667</v>
      </c>
      <c r="H53" s="39" t="n">
        <f aca="false">IFERROR(G53/G$20,0)</f>
        <v>0.00947833333333334</v>
      </c>
      <c r="I53" s="28" t="n">
        <f aca="false">'Vessel Assumptions'!$C$26*'Vessel 2026 P&amp;L'!$AB$47/('Vessel 2026 P&amp;L'!$AB$47+'Vessel 2026 P&amp;L'!$AB$49+'Vessel 2026 P&amp;L'!$AB$51+'Vessel 2026 P&amp;L'!$AB$52)</f>
        <v>473.916666666667</v>
      </c>
      <c r="J53" s="39" t="n">
        <f aca="false">IFERROR(I53/I$20,0)</f>
        <v>0.0315944444444445</v>
      </c>
      <c r="K53" s="28" t="n">
        <f aca="false">'Vessel Assumptions'!$C$26*'Vessel 2026 P&amp;L'!$AB$47/('Vessel 2026 P&amp;L'!$AB$47+'Vessel 2026 P&amp;L'!$AB$49+'Vessel 2026 P&amp;L'!$AB$51+'Vessel 2026 P&amp;L'!$AB$52)</f>
        <v>473.916666666667</v>
      </c>
      <c r="L53" s="39" t="n">
        <f aca="false">IFERROR(K53/K$20,0)</f>
        <v>0.0118479166666667</v>
      </c>
      <c r="M53" s="28" t="n">
        <f aca="false">'Vessel Assumptions'!$C$26*'Vessel 2026 P&amp;L'!$AB$47/('Vessel 2026 P&amp;L'!$AB$47+'Vessel 2026 P&amp;L'!$AB$49+'Vessel 2026 P&amp;L'!$AB$51+'Vessel 2026 P&amp;L'!$AB$52)</f>
        <v>473.916666666667</v>
      </c>
      <c r="N53" s="39" t="n">
        <f aca="false">IFERROR(M53/M$20,0)</f>
        <v>0.0135404761904762</v>
      </c>
      <c r="O53" s="28" t="n">
        <f aca="false">'Vessel Assumptions'!$C$26*'Vessel 2026 P&amp;L'!$AB$47/('Vessel 2026 P&amp;L'!$AB$47+'Vessel 2026 P&amp;L'!$AB$49+'Vessel 2026 P&amp;L'!$AB$51+'Vessel 2026 P&amp;L'!$AB$52)</f>
        <v>473.916666666667</v>
      </c>
      <c r="P53" s="39" t="n">
        <f aca="false">IFERROR(O53/O$20,0)</f>
        <v>0.0135404761904762</v>
      </c>
      <c r="Q53" s="28" t="n">
        <f aca="false">'Vessel Assumptions'!$C$26*'Vessel 2026 P&amp;L'!$AB$47/('Vessel 2026 P&amp;L'!$AB$47+'Vessel 2026 P&amp;L'!$AB$49+'Vessel 2026 P&amp;L'!$AB$51+'Vessel 2026 P&amp;L'!$AB$52)</f>
        <v>473.916666666667</v>
      </c>
      <c r="R53" s="39" t="n">
        <f aca="false">IFERROR(Q53/Q$20,0)</f>
        <v>0.0135404761904762</v>
      </c>
      <c r="S53" s="28" t="n">
        <f aca="false">'Vessel Assumptions'!$C$26*'Vessel 2026 P&amp;L'!$AB$47/('Vessel 2026 P&amp;L'!$AB$47+'Vessel 2026 P&amp;L'!$AB$49+'Vessel 2026 P&amp;L'!$AB$51+'Vessel 2026 P&amp;L'!$AB$52)</f>
        <v>473.916666666667</v>
      </c>
      <c r="T53" s="39" t="n">
        <f aca="false">IFERROR(S53/S$20,0)</f>
        <v>0.0135404761904762</v>
      </c>
      <c r="U53" s="28" t="n">
        <f aca="false">'Vessel Assumptions'!$C$26*'Vessel 2026 P&amp;L'!$AB$47/('Vessel 2026 P&amp;L'!$AB$47+'Vessel 2026 P&amp;L'!$AB$49+'Vessel 2026 P&amp;L'!$AB$51+'Vessel 2026 P&amp;L'!$AB$52)</f>
        <v>473.916666666667</v>
      </c>
      <c r="V53" s="39" t="n">
        <f aca="false">IFERROR(U53/U$20,0)</f>
        <v>0.0135404761904762</v>
      </c>
      <c r="W53" s="28" t="n">
        <f aca="false">'Vessel Assumptions'!$C$26*'Vessel 2026 P&amp;L'!$AB$47/('Vessel 2026 P&amp;L'!$AB$47+'Vessel 2026 P&amp;L'!$AB$49+'Vessel 2026 P&amp;L'!$AB$51+'Vessel 2026 P&amp;L'!$AB$52)</f>
        <v>473.916666666667</v>
      </c>
      <c r="X53" s="39" t="n">
        <f aca="false">IFERROR(W53/W$20,0)</f>
        <v>0.0135404761904762</v>
      </c>
      <c r="Y53" s="28" t="n">
        <f aca="false">'Vessel Assumptions'!$C$26*'Vessel 2026 P&amp;L'!$AB$47/('Vessel 2026 P&amp;L'!$AB$47+'Vessel 2026 P&amp;L'!$AB$49+'Vessel 2026 P&amp;L'!$AB$51+'Vessel 2026 P&amp;L'!$AB$52)</f>
        <v>473.916666666667</v>
      </c>
      <c r="Z53" s="39" t="n">
        <f aca="false">IFERROR(Y53/Y$20,0)</f>
        <v>0.0135404761904762</v>
      </c>
      <c r="AB53" s="28" t="n">
        <f aca="false">SUM(C53,E53,G53,I53,K53,M53,O53,Q53,S53,U53,W53,Y53)</f>
        <v>5687</v>
      </c>
      <c r="AC53" s="39" t="n">
        <f aca="false">IFERROR(AB53/AB$20,0)</f>
        <v>0.0137036144578313</v>
      </c>
    </row>
    <row r="54" customFormat="false" ht="15" hidden="false" customHeight="true" outlineLevel="0" collapsed="false">
      <c r="A54" s="27" t="s">
        <v>196</v>
      </c>
      <c r="C54" s="28" t="n">
        <f aca="false">C20*'Vessel Assumptions'!$C$31</f>
        <v>0</v>
      </c>
      <c r="D54" s="39" t="n">
        <f aca="false">IFERROR(C54/C$20,0)</f>
        <v>0</v>
      </c>
      <c r="E54" s="28" t="n">
        <f aca="false">E20*'Vessel Assumptions'!$C$31</f>
        <v>0</v>
      </c>
      <c r="F54" s="39" t="n">
        <f aca="false">IFERROR(E54/E$20,0)</f>
        <v>0</v>
      </c>
      <c r="G54" s="28" t="n">
        <f aca="false">G20*'Vessel Assumptions'!$C$31</f>
        <v>0</v>
      </c>
      <c r="H54" s="39" t="n">
        <f aca="false">IFERROR(G54/G$20,0)</f>
        <v>0</v>
      </c>
      <c r="I54" s="28" t="n">
        <f aca="false">I20*'Vessel Assumptions'!$C$31</f>
        <v>0</v>
      </c>
      <c r="J54" s="39" t="n">
        <f aca="false">IFERROR(I54/I$20,0)</f>
        <v>0</v>
      </c>
      <c r="K54" s="28" t="n">
        <f aca="false">K20*'Vessel Assumptions'!$C$31</f>
        <v>0</v>
      </c>
      <c r="L54" s="39" t="n">
        <f aca="false">IFERROR(K54/K$20,0)</f>
        <v>0</v>
      </c>
      <c r="M54" s="28" t="n">
        <f aca="false">M20*'Vessel Assumptions'!$C$31</f>
        <v>0</v>
      </c>
      <c r="N54" s="39" t="n">
        <f aca="false">IFERROR(M54/M$20,0)</f>
        <v>0</v>
      </c>
      <c r="O54" s="28" t="n">
        <f aca="false">O20*'Vessel Assumptions'!$C$31</f>
        <v>0</v>
      </c>
      <c r="P54" s="39" t="n">
        <f aca="false">IFERROR(O54/O$20,0)</f>
        <v>0</v>
      </c>
      <c r="Q54" s="28" t="n">
        <f aca="false">Q20*'Vessel Assumptions'!$C$31</f>
        <v>0</v>
      </c>
      <c r="R54" s="39" t="n">
        <f aca="false">IFERROR(Q54/Q$20,0)</f>
        <v>0</v>
      </c>
      <c r="S54" s="28" t="n">
        <f aca="false">S20*'Vessel Assumptions'!$C$31</f>
        <v>0</v>
      </c>
      <c r="T54" s="39" t="n">
        <f aca="false">IFERROR(S54/S$20,0)</f>
        <v>0</v>
      </c>
      <c r="U54" s="28" t="n">
        <f aca="false">U20*'Vessel Assumptions'!$C$31</f>
        <v>0</v>
      </c>
      <c r="V54" s="39" t="n">
        <f aca="false">IFERROR(U54/U$20,0)</f>
        <v>0</v>
      </c>
      <c r="W54" s="28" t="n">
        <f aca="false">W20*'Vessel Assumptions'!$C$31</f>
        <v>0</v>
      </c>
      <c r="X54" s="39" t="n">
        <f aca="false">IFERROR(W54/W$20,0)</f>
        <v>0</v>
      </c>
      <c r="Y54" s="28" t="n">
        <f aca="false">Y20*'Vessel Assumptions'!$C$31</f>
        <v>0</v>
      </c>
      <c r="Z54" s="39" t="n">
        <f aca="false">IFERROR(Y54/Y$20,0)</f>
        <v>0</v>
      </c>
      <c r="AB54" s="28" t="n">
        <f aca="false">SUM(C54,E54,G54,I54,K54,M54,O54,Q54,S54,U54,W54,Y54)</f>
        <v>0</v>
      </c>
      <c r="AC54" s="39" t="n">
        <f aca="false">IFERROR(AB54/AB$20,0)</f>
        <v>0</v>
      </c>
    </row>
    <row r="55" customFormat="false" ht="15" hidden="false" customHeight="true" outlineLevel="0" collapsed="false">
      <c r="A55" s="27" t="s">
        <v>197</v>
      </c>
      <c r="C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9" t="n">
        <f aca="false">IFERROR(C55/C$20,0)</f>
        <v>0.01143</v>
      </c>
      <c r="E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9" t="n">
        <f aca="false">IFERROR(E55/E$20,0)</f>
        <v>0.0381</v>
      </c>
      <c r="G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9" t="n">
        <f aca="false">IFERROR(G55/G$20,0)</f>
        <v>0.01143</v>
      </c>
      <c r="I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9" t="n">
        <f aca="false">IFERROR(I55/I$20,0)</f>
        <v>0.0381</v>
      </c>
      <c r="K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9" t="n">
        <f aca="false">IFERROR(K55/K$20,0)</f>
        <v>0.0142875</v>
      </c>
      <c r="M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9" t="n">
        <f aca="false">IFERROR(M55/M$20,0)</f>
        <v>0.0163285714285714</v>
      </c>
      <c r="O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9" t="n">
        <f aca="false">IFERROR(O55/O$20,0)</f>
        <v>0.0163285714285714</v>
      </c>
      <c r="Q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9" t="n">
        <f aca="false">IFERROR(Q55/Q$20,0)</f>
        <v>0.0163285714285714</v>
      </c>
      <c r="S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9" t="n">
        <f aca="false">IFERROR(S55/S$20,0)</f>
        <v>0.0163285714285714</v>
      </c>
      <c r="U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9" t="n">
        <f aca="false">IFERROR(U55/U$20,0)</f>
        <v>0.0163285714285714</v>
      </c>
      <c r="W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9" t="n">
        <f aca="false">IFERROR(W55/W$20,0)</f>
        <v>0.0163285714285714</v>
      </c>
      <c r="Y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9" t="n">
        <f aca="false">IFERROR(Y55/Y$20,0)</f>
        <v>0.0163285714285714</v>
      </c>
      <c r="AB55" s="28" t="n">
        <f aca="false">SUM(C55,E55,G55,I55,K55,M55,O55,Q55,S55,U55,W55,Y55)</f>
        <v>6858</v>
      </c>
      <c r="AC55" s="39" t="n">
        <f aca="false">IFERROR(AB55/AB$20,0)</f>
        <v>0.0165253012048193</v>
      </c>
    </row>
    <row r="56" customFormat="false" ht="15" hidden="false" customHeight="true" outlineLevel="0" collapsed="false">
      <c r="A56" s="27" t="s">
        <v>133</v>
      </c>
      <c r="C56" s="28" t="n">
        <f aca="false">C20*'Vessel Assumptions'!$C$30</f>
        <v>2000</v>
      </c>
      <c r="D56" s="39" t="n">
        <f aca="false">IFERROR(C56/C$20,0)</f>
        <v>0.04</v>
      </c>
      <c r="E56" s="28" t="n">
        <f aca="false">E20*'Vessel Assumptions'!$C$30</f>
        <v>600</v>
      </c>
      <c r="F56" s="39" t="n">
        <f aca="false">IFERROR(E56/E$20,0)</f>
        <v>0.04</v>
      </c>
      <c r="G56" s="28" t="n">
        <f aca="false">G20*'Vessel Assumptions'!$C$30</f>
        <v>2000</v>
      </c>
      <c r="H56" s="39" t="n">
        <f aca="false">IFERROR(G56/G$20,0)</f>
        <v>0.04</v>
      </c>
      <c r="I56" s="28" t="n">
        <f aca="false">I20*'Vessel Assumptions'!$C$30</f>
        <v>600</v>
      </c>
      <c r="J56" s="39" t="n">
        <f aca="false">IFERROR(I56/I$20,0)</f>
        <v>0.04</v>
      </c>
      <c r="K56" s="28" t="n">
        <f aca="false">K20*'Vessel Assumptions'!$C$30</f>
        <v>1600</v>
      </c>
      <c r="L56" s="39" t="n">
        <f aca="false">IFERROR(K56/K$20,0)</f>
        <v>0.04</v>
      </c>
      <c r="M56" s="28" t="n">
        <f aca="false">M20*'Vessel Assumptions'!$C$30</f>
        <v>1400</v>
      </c>
      <c r="N56" s="39" t="n">
        <f aca="false">IFERROR(M56/M$20,0)</f>
        <v>0.04</v>
      </c>
      <c r="O56" s="28" t="n">
        <f aca="false">O20*'Vessel Assumptions'!$C$30</f>
        <v>1400</v>
      </c>
      <c r="P56" s="39" t="n">
        <f aca="false">IFERROR(O56/O$20,0)</f>
        <v>0.04</v>
      </c>
      <c r="Q56" s="28" t="n">
        <f aca="false">Q20*'Vessel Assumptions'!$C$30</f>
        <v>1400</v>
      </c>
      <c r="R56" s="39" t="n">
        <f aca="false">IFERROR(Q56/Q$20,0)</f>
        <v>0.04</v>
      </c>
      <c r="S56" s="28" t="n">
        <f aca="false">S20*'Vessel Assumptions'!$C$30</f>
        <v>1400</v>
      </c>
      <c r="T56" s="39" t="n">
        <f aca="false">IFERROR(S56/S$20,0)</f>
        <v>0.04</v>
      </c>
      <c r="U56" s="28" t="n">
        <f aca="false">U20*'Vessel Assumptions'!$C$30</f>
        <v>1400</v>
      </c>
      <c r="V56" s="39" t="n">
        <f aca="false">IFERROR(U56/U$20,0)</f>
        <v>0.04</v>
      </c>
      <c r="W56" s="28" t="n">
        <f aca="false">W20*'Vessel Assumptions'!$C$30</f>
        <v>1400</v>
      </c>
      <c r="X56" s="39" t="n">
        <f aca="false">IFERROR(W56/W$20,0)</f>
        <v>0.04</v>
      </c>
      <c r="Y56" s="28" t="n">
        <f aca="false">Y20*'Vessel Assumptions'!$C$30</f>
        <v>1400</v>
      </c>
      <c r="Z56" s="39" t="n">
        <f aca="false">IFERROR(Y56/Y$20,0)</f>
        <v>0.04</v>
      </c>
      <c r="AB56" s="28" t="n">
        <f aca="false">SUM(C56,E56,G56,I56,K56,M56,O56,Q56,S56,U56,W56,Y56)</f>
        <v>16600</v>
      </c>
      <c r="AC56" s="39" t="n">
        <f aca="false">IFERROR(AB56/AB$20,0)</f>
        <v>0.04</v>
      </c>
    </row>
    <row r="57" customFormat="false" ht="15" hidden="false" customHeight="true" outlineLevel="0" collapsed="false">
      <c r="A57" s="27" t="s">
        <v>299</v>
      </c>
      <c r="C57" s="28" t="n">
        <v>0</v>
      </c>
      <c r="D57" s="39" t="n">
        <f aca="false">IFERROR(C57/C$20,0)</f>
        <v>0</v>
      </c>
      <c r="E57" s="28" t="n">
        <v>0</v>
      </c>
      <c r="F57" s="39" t="n">
        <f aca="false">IFERROR(E57/E$20,0)</f>
        <v>0</v>
      </c>
      <c r="G57" s="28" t="n">
        <v>0</v>
      </c>
      <c r="H57" s="39" t="n">
        <f aca="false">IFERROR(G57/G$20,0)</f>
        <v>0</v>
      </c>
      <c r="I57" s="28" t="n">
        <v>0</v>
      </c>
      <c r="J57" s="39" t="n">
        <f aca="false">IFERROR(I57/I$20,0)</f>
        <v>0</v>
      </c>
      <c r="K57" s="28" t="n">
        <v>0</v>
      </c>
      <c r="L57" s="39" t="n">
        <f aca="false">IFERROR(K57/K$20,0)</f>
        <v>0</v>
      </c>
      <c r="M57" s="28" t="n">
        <v>0</v>
      </c>
      <c r="N57" s="39" t="n">
        <f aca="false">IFERROR(M57/M$20,0)</f>
        <v>0</v>
      </c>
      <c r="O57" s="28" t="n">
        <v>0</v>
      </c>
      <c r="P57" s="39" t="n">
        <f aca="false">IFERROR(O57/O$20,0)</f>
        <v>0</v>
      </c>
      <c r="Q57" s="28" t="n">
        <v>0</v>
      </c>
      <c r="R57" s="39" t="n">
        <f aca="false">IFERROR(Q57/Q$20,0)</f>
        <v>0</v>
      </c>
      <c r="S57" s="28" t="n">
        <v>0</v>
      </c>
      <c r="T57" s="39" t="n">
        <f aca="false">IFERROR(S57/S$20,0)</f>
        <v>0</v>
      </c>
      <c r="U57" s="28" t="n">
        <v>0</v>
      </c>
      <c r="V57" s="39" t="n">
        <f aca="false">IFERROR(U57/U$20,0)</f>
        <v>0</v>
      </c>
      <c r="W57" s="28" t="n">
        <v>0</v>
      </c>
      <c r="X57" s="39" t="n">
        <f aca="false">IFERROR(W57/W$20,0)</f>
        <v>0</v>
      </c>
      <c r="Y57" s="28" t="n">
        <v>0</v>
      </c>
      <c r="Z57" s="39" t="n">
        <f aca="false">IFERROR(Y57/Y$20,0)</f>
        <v>0</v>
      </c>
      <c r="AB57" s="28" t="n">
        <f aca="false">SUM(C57,E57,G57,I57,K57,M57,O57,Q57,S57,U57,W57,Y57)</f>
        <v>0</v>
      </c>
      <c r="AC57" s="39" t="n">
        <f aca="false">IFERROR(AB57/AB$20,0)</f>
        <v>0</v>
      </c>
    </row>
    <row r="58" customFormat="false" ht="15" hidden="false" customHeight="true" outlineLevel="0" collapsed="false">
      <c r="A58" s="27" t="s">
        <v>199</v>
      </c>
      <c r="C58" s="28" t="n">
        <v>0</v>
      </c>
      <c r="D58" s="39" t="n">
        <f aca="false">IFERROR(C58/C$20,0)</f>
        <v>0</v>
      </c>
      <c r="E58" s="28" t="n">
        <v>0</v>
      </c>
      <c r="F58" s="39" t="n">
        <f aca="false">IFERROR(E58/E$20,0)</f>
        <v>0</v>
      </c>
      <c r="G58" s="28" t="n">
        <v>0</v>
      </c>
      <c r="H58" s="39" t="n">
        <f aca="false">IFERROR(G58/G$20,0)</f>
        <v>0</v>
      </c>
      <c r="I58" s="28" t="n">
        <v>0</v>
      </c>
      <c r="J58" s="39" t="n">
        <f aca="false">IFERROR(I58/I$20,0)</f>
        <v>0</v>
      </c>
      <c r="K58" s="28" t="n">
        <v>0</v>
      </c>
      <c r="L58" s="39" t="n">
        <f aca="false">IFERROR(K58/K$20,0)</f>
        <v>0</v>
      </c>
      <c r="M58" s="28" t="n">
        <v>0</v>
      </c>
      <c r="N58" s="39" t="n">
        <f aca="false">IFERROR(M58/M$20,0)</f>
        <v>0</v>
      </c>
      <c r="O58" s="28" t="n">
        <v>0</v>
      </c>
      <c r="P58" s="39" t="n">
        <f aca="false">IFERROR(O58/O$20,0)</f>
        <v>0</v>
      </c>
      <c r="Q58" s="28" t="n">
        <v>0</v>
      </c>
      <c r="R58" s="39" t="n">
        <f aca="false">IFERROR(Q58/Q$20,0)</f>
        <v>0</v>
      </c>
      <c r="S58" s="28" t="n">
        <v>0</v>
      </c>
      <c r="T58" s="39" t="n">
        <f aca="false">IFERROR(S58/S$20,0)</f>
        <v>0</v>
      </c>
      <c r="U58" s="28" t="n">
        <v>0</v>
      </c>
      <c r="V58" s="39" t="n">
        <f aca="false">IFERROR(U58/U$20,0)</f>
        <v>0</v>
      </c>
      <c r="W58" s="28" t="n">
        <v>0</v>
      </c>
      <c r="X58" s="39" t="n">
        <f aca="false">IFERROR(W58/W$20,0)</f>
        <v>0</v>
      </c>
      <c r="Y58" s="28" t="n">
        <v>0</v>
      </c>
      <c r="Z58" s="39" t="n">
        <f aca="false">IFERROR(Y58/Y$20,0)</f>
        <v>0</v>
      </c>
      <c r="AB58" s="28" t="n">
        <f aca="false">SUM(C58,E58,G58,I58,K58,M58,O58,Q58,S58,U58,W58,Y58)</f>
        <v>0</v>
      </c>
      <c r="AC58" s="39" t="n">
        <f aca="false">IFERROR(AB58/AB$20,0)</f>
        <v>0</v>
      </c>
    </row>
    <row r="59" customFormat="false" ht="15" hidden="false" customHeight="true" outlineLevel="0" collapsed="false">
      <c r="A59" s="27" t="s">
        <v>200</v>
      </c>
      <c r="C59" s="28" t="n">
        <v>0</v>
      </c>
      <c r="D59" s="39" t="n">
        <f aca="false">IFERROR(C59/C$20,0)</f>
        <v>0</v>
      </c>
      <c r="E59" s="28" t="n">
        <v>0</v>
      </c>
      <c r="F59" s="39" t="n">
        <f aca="false">IFERROR(E59/E$20,0)</f>
        <v>0</v>
      </c>
      <c r="G59" s="28" t="n">
        <v>0</v>
      </c>
      <c r="H59" s="39" t="n">
        <f aca="false">IFERROR(G59/G$20,0)</f>
        <v>0</v>
      </c>
      <c r="I59" s="28" t="n">
        <v>0</v>
      </c>
      <c r="J59" s="39" t="n">
        <f aca="false">IFERROR(I59/I$20,0)</f>
        <v>0</v>
      </c>
      <c r="K59" s="28" t="n">
        <v>0</v>
      </c>
      <c r="L59" s="39" t="n">
        <f aca="false">IFERROR(K59/K$20,0)</f>
        <v>0</v>
      </c>
      <c r="M59" s="28" t="n">
        <v>0</v>
      </c>
      <c r="N59" s="39" t="n">
        <f aca="false">IFERROR(M59/M$20,0)</f>
        <v>0</v>
      </c>
      <c r="O59" s="28" t="n">
        <v>0</v>
      </c>
      <c r="P59" s="39" t="n">
        <f aca="false">IFERROR(O59/O$20,0)</f>
        <v>0</v>
      </c>
      <c r="Q59" s="28" t="n">
        <v>0</v>
      </c>
      <c r="R59" s="39" t="n">
        <f aca="false">IFERROR(Q59/Q$20,0)</f>
        <v>0</v>
      </c>
      <c r="S59" s="28" t="n">
        <v>0</v>
      </c>
      <c r="T59" s="39" t="n">
        <f aca="false">IFERROR(S59/S$20,0)</f>
        <v>0</v>
      </c>
      <c r="U59" s="28" t="n">
        <v>0</v>
      </c>
      <c r="V59" s="39" t="n">
        <f aca="false">IFERROR(U59/U$20,0)</f>
        <v>0</v>
      </c>
      <c r="W59" s="28" t="n">
        <v>0</v>
      </c>
      <c r="X59" s="39" t="n">
        <f aca="false">IFERROR(W59/W$20,0)</f>
        <v>0</v>
      </c>
      <c r="Y59" s="28" t="n">
        <v>0</v>
      </c>
      <c r="Z59" s="39" t="n">
        <f aca="false">IFERROR(Y59/Y$20,0)</f>
        <v>0</v>
      </c>
      <c r="AB59" s="28" t="n">
        <f aca="false">SUM(C59,E59,G59,I59,K59,M59,O59,Q59,S59,U59,W59,Y59)</f>
        <v>0</v>
      </c>
      <c r="AC59" s="39" t="n">
        <f aca="false">IFERROR(AB59/AB$20,0)</f>
        <v>0</v>
      </c>
    </row>
    <row r="60" customFormat="false" ht="15" hidden="false" customHeight="true" outlineLevel="0" collapsed="false">
      <c r="A60" s="31" t="s">
        <v>201</v>
      </c>
      <c r="C60" s="32" t="n">
        <f aca="false">SUM(C53:C59)</f>
        <v>3045.41666666667</v>
      </c>
      <c r="D60" s="40" t="n">
        <f aca="false">IFERROR(C60/C$20,0)</f>
        <v>0.0609083333333333</v>
      </c>
      <c r="E60" s="32" t="n">
        <f aca="false">SUM(E53:E59)</f>
        <v>1645.41666666667</v>
      </c>
      <c r="F60" s="40" t="n">
        <f aca="false">IFERROR(E60/E$20,0)</f>
        <v>0.109694444444444</v>
      </c>
      <c r="G60" s="32" t="n">
        <f aca="false">SUM(G53:G59)</f>
        <v>3045.41666666667</v>
      </c>
      <c r="H60" s="40" t="n">
        <f aca="false">IFERROR(G60/G$20,0)</f>
        <v>0.0609083333333333</v>
      </c>
      <c r="I60" s="32" t="n">
        <f aca="false">SUM(I53:I59)</f>
        <v>1645.41666666667</v>
      </c>
      <c r="J60" s="40" t="n">
        <f aca="false">IFERROR(I60/I$20,0)</f>
        <v>0.109694444444444</v>
      </c>
      <c r="K60" s="32" t="n">
        <f aca="false">SUM(K53:K59)</f>
        <v>2645.41666666667</v>
      </c>
      <c r="L60" s="40" t="n">
        <f aca="false">IFERROR(K60/K$20,0)</f>
        <v>0.0661354166666667</v>
      </c>
      <c r="M60" s="32" t="n">
        <f aca="false">SUM(M53:M59)</f>
        <v>2445.41666666667</v>
      </c>
      <c r="N60" s="40" t="n">
        <f aca="false">IFERROR(M60/M$20,0)</f>
        <v>0.0698690476190476</v>
      </c>
      <c r="O60" s="32" t="n">
        <f aca="false">SUM(O53:O59)</f>
        <v>2445.41666666667</v>
      </c>
      <c r="P60" s="40" t="n">
        <f aca="false">IFERROR(O60/O$20,0)</f>
        <v>0.0698690476190476</v>
      </c>
      <c r="Q60" s="32" t="n">
        <f aca="false">SUM(Q53:Q59)</f>
        <v>2445.41666666667</v>
      </c>
      <c r="R60" s="40" t="n">
        <f aca="false">IFERROR(Q60/Q$20,0)</f>
        <v>0.0698690476190476</v>
      </c>
      <c r="S60" s="32" t="n">
        <f aca="false">SUM(S53:S59)</f>
        <v>2445.41666666667</v>
      </c>
      <c r="T60" s="40" t="n">
        <f aca="false">IFERROR(S60/S$20,0)</f>
        <v>0.0698690476190476</v>
      </c>
      <c r="U60" s="32" t="n">
        <f aca="false">SUM(U53:U59)</f>
        <v>2445.41666666667</v>
      </c>
      <c r="V60" s="40" t="n">
        <f aca="false">IFERROR(U60/U$20,0)</f>
        <v>0.0698690476190476</v>
      </c>
      <c r="W60" s="32" t="n">
        <f aca="false">SUM(W53:W59)</f>
        <v>2445.41666666667</v>
      </c>
      <c r="X60" s="40" t="n">
        <f aca="false">IFERROR(W60/W$20,0)</f>
        <v>0.0698690476190476</v>
      </c>
      <c r="Y60" s="32" t="n">
        <f aca="false">SUM(Y53:Y59)</f>
        <v>2445.41666666667</v>
      </c>
      <c r="Z60" s="40" t="n">
        <f aca="false">IFERROR(Y60/Y$20,0)</f>
        <v>0.0698690476190476</v>
      </c>
      <c r="AB60" s="32" t="n">
        <f aca="false">SUM(AB53:AB59)</f>
        <v>29145</v>
      </c>
      <c r="AC60" s="40" t="n">
        <f aca="false">IFERROR(AB60/AB$20,0)</f>
        <v>0.0702289156626506</v>
      </c>
    </row>
    <row r="62" customFormat="false" ht="15" hidden="false" customHeight="true" outlineLevel="0" collapsed="false">
      <c r="A62" s="31" t="s">
        <v>202</v>
      </c>
      <c r="C62" s="32" t="n">
        <f aca="false">C41-C50-C60</f>
        <v>10737.6641666667</v>
      </c>
      <c r="D62" s="40" t="n">
        <f aca="false">IFERROR(C62/C$20,0)</f>
        <v>0.214753283333333</v>
      </c>
      <c r="E62" s="32" t="n">
        <f aca="false">E41-E50-E60</f>
        <v>-3380.46083333333</v>
      </c>
      <c r="F62" s="40" t="n">
        <f aca="false">IFERROR(E62/E$20,0)</f>
        <v>-0.225364055555556</v>
      </c>
      <c r="G62" s="32" t="n">
        <f aca="false">G41-G50-G60</f>
        <v>10737.6641666667</v>
      </c>
      <c r="H62" s="40" t="n">
        <f aca="false">IFERROR(G62/G$20,0)</f>
        <v>0.214753283333333</v>
      </c>
      <c r="I62" s="32" t="n">
        <f aca="false">I41-I50-I60</f>
        <v>-3380.46083333333</v>
      </c>
      <c r="J62" s="40" t="n">
        <f aca="false">IFERROR(I62/I$20,0)</f>
        <v>-0.225364055555556</v>
      </c>
      <c r="K62" s="32" t="n">
        <f aca="false">K41-K50-K60</f>
        <v>6703.91416666667</v>
      </c>
      <c r="L62" s="40" t="n">
        <f aca="false">IFERROR(K62/K$20,0)</f>
        <v>0.167597854166667</v>
      </c>
      <c r="M62" s="32" t="n">
        <f aca="false">M41-M50-M60</f>
        <v>4687.03916666667</v>
      </c>
      <c r="N62" s="40" t="n">
        <f aca="false">IFERROR(M62/M$20,0)</f>
        <v>0.133915404761905</v>
      </c>
      <c r="O62" s="32" t="n">
        <f aca="false">O41-O50-O60</f>
        <v>4687.03916666667</v>
      </c>
      <c r="P62" s="40" t="n">
        <f aca="false">IFERROR(O62/O$20,0)</f>
        <v>0.133915404761905</v>
      </c>
      <c r="Q62" s="32" t="n">
        <f aca="false">Q41-Q50-Q60</f>
        <v>4687.03916666667</v>
      </c>
      <c r="R62" s="40" t="n">
        <f aca="false">IFERROR(Q62/Q$20,0)</f>
        <v>0.133915404761905</v>
      </c>
      <c r="S62" s="32" t="n">
        <f aca="false">S41-S50-S60</f>
        <v>4687.03916666667</v>
      </c>
      <c r="T62" s="40" t="n">
        <f aca="false">IFERROR(S62/S$20,0)</f>
        <v>0.133915404761905</v>
      </c>
      <c r="U62" s="32" t="n">
        <f aca="false">U41-U50-U60</f>
        <v>4687.03916666667</v>
      </c>
      <c r="V62" s="40" t="n">
        <f aca="false">IFERROR(U62/U$20,0)</f>
        <v>0.133915404761905</v>
      </c>
      <c r="W62" s="32" t="n">
        <f aca="false">W41-W50-W60</f>
        <v>4687.03916666667</v>
      </c>
      <c r="X62" s="40" t="n">
        <f aca="false">IFERROR(W62/W$20,0)</f>
        <v>0.133915404761905</v>
      </c>
      <c r="Y62" s="32" t="n">
        <f aca="false">Y41-Y50-Y60</f>
        <v>4687.03916666667</v>
      </c>
      <c r="Z62" s="40" t="n">
        <f aca="false">IFERROR(Y62/Y$20,0)</f>
        <v>0.133915404761905</v>
      </c>
      <c r="AB62" s="32" t="n">
        <f aca="false">AB41-AB50-AB60</f>
        <v>54227.595</v>
      </c>
      <c r="AC62" s="40" t="n">
        <f aca="false">IFERROR(AB62/AB$20,0)</f>
        <v>0.130668903614458</v>
      </c>
    </row>
    <row r="64" customFormat="false" ht="15" hidden="false" customHeight="true" outlineLevel="0" collapsed="false">
      <c r="A64" s="27" t="s">
        <v>203</v>
      </c>
      <c r="C64" s="28" t="n">
        <v>0</v>
      </c>
      <c r="D64" s="39" t="n">
        <f aca="false">IFERROR(C64/C$20,0)</f>
        <v>0</v>
      </c>
      <c r="E64" s="28" t="n">
        <v>0</v>
      </c>
      <c r="F64" s="39" t="n">
        <f aca="false">IFERROR(E64/E$20,0)</f>
        <v>0</v>
      </c>
      <c r="G64" s="28" t="n">
        <v>0</v>
      </c>
      <c r="H64" s="39" t="n">
        <f aca="false">IFERROR(G64/G$20,0)</f>
        <v>0</v>
      </c>
      <c r="I64" s="28" t="n">
        <v>0</v>
      </c>
      <c r="J64" s="39" t="n">
        <f aca="false">IFERROR(I64/I$20,0)</f>
        <v>0</v>
      </c>
      <c r="K64" s="28" t="n">
        <v>0</v>
      </c>
      <c r="L64" s="39" t="n">
        <f aca="false">IFERROR(K64/K$20,0)</f>
        <v>0</v>
      </c>
      <c r="M64" s="28" t="n">
        <v>0</v>
      </c>
      <c r="N64" s="39" t="n">
        <f aca="false">IFERROR(M64/M$20,0)</f>
        <v>0</v>
      </c>
      <c r="O64" s="28" t="n">
        <v>0</v>
      </c>
      <c r="P64" s="39" t="n">
        <f aca="false">IFERROR(O64/O$20,0)</f>
        <v>0</v>
      </c>
      <c r="Q64" s="28" t="n">
        <v>0</v>
      </c>
      <c r="R64" s="39" t="n">
        <f aca="false">IFERROR(Q64/Q$20,0)</f>
        <v>0</v>
      </c>
      <c r="S64" s="28" t="n">
        <v>0</v>
      </c>
      <c r="T64" s="39" t="n">
        <f aca="false">IFERROR(S64/S$20,0)</f>
        <v>0</v>
      </c>
      <c r="U64" s="28" t="n">
        <v>0</v>
      </c>
      <c r="V64" s="39" t="n">
        <f aca="false">IFERROR(U64/U$20,0)</f>
        <v>0</v>
      </c>
      <c r="W64" s="28" t="n">
        <v>0</v>
      </c>
      <c r="X64" s="39" t="n">
        <f aca="false">IFERROR(W64/W$20,0)</f>
        <v>0</v>
      </c>
      <c r="Y64" s="28" t="n">
        <v>0</v>
      </c>
      <c r="Z64" s="39" t="n">
        <f aca="false">IFERROR(Y64/Y$20,0)</f>
        <v>0</v>
      </c>
      <c r="AB64" s="28" t="n">
        <f aca="false">SUM(C64,E64,G64,I64,K64,M64,O64,Q64,S64,U64,W64,Y64)</f>
        <v>0</v>
      </c>
      <c r="AC64" s="39" t="n">
        <f aca="false">IFERROR(AB64/AB$20,0)</f>
        <v>0</v>
      </c>
    </row>
    <row r="66" customFormat="false" ht="15" hidden="false" customHeight="true" outlineLevel="0" collapsed="false">
      <c r="A66" s="31" t="s">
        <v>204</v>
      </c>
      <c r="C66" s="41" t="n">
        <f aca="false">C62-C64</f>
        <v>10737.6641666667</v>
      </c>
      <c r="D66" s="42" t="n">
        <f aca="false">IFERROR(C66/C$20,0)</f>
        <v>0.214753283333333</v>
      </c>
      <c r="E66" s="41" t="n">
        <f aca="false">E62-E64</f>
        <v>-3380.46083333333</v>
      </c>
      <c r="F66" s="42" t="n">
        <f aca="false">IFERROR(E66/E$20,0)</f>
        <v>-0.225364055555556</v>
      </c>
      <c r="G66" s="41" t="n">
        <f aca="false">G62-G64</f>
        <v>10737.6641666667</v>
      </c>
      <c r="H66" s="42" t="n">
        <f aca="false">IFERROR(G66/G$20,0)</f>
        <v>0.214753283333333</v>
      </c>
      <c r="I66" s="41" t="n">
        <f aca="false">I62-I64</f>
        <v>-3380.46083333333</v>
      </c>
      <c r="J66" s="42" t="n">
        <f aca="false">IFERROR(I66/I$20,0)</f>
        <v>-0.225364055555556</v>
      </c>
      <c r="K66" s="41" t="n">
        <f aca="false">K62-K64</f>
        <v>6703.91416666667</v>
      </c>
      <c r="L66" s="42" t="n">
        <f aca="false">IFERROR(K66/K$20,0)</f>
        <v>0.167597854166667</v>
      </c>
      <c r="M66" s="41" t="n">
        <f aca="false">M62-M64</f>
        <v>4687.03916666667</v>
      </c>
      <c r="N66" s="42" t="n">
        <f aca="false">IFERROR(M66/M$20,0)</f>
        <v>0.133915404761905</v>
      </c>
      <c r="O66" s="41" t="n">
        <f aca="false">O62-O64</f>
        <v>4687.03916666667</v>
      </c>
      <c r="P66" s="42" t="n">
        <f aca="false">IFERROR(O66/O$20,0)</f>
        <v>0.133915404761905</v>
      </c>
      <c r="Q66" s="41" t="n">
        <f aca="false">Q62-Q64</f>
        <v>4687.03916666667</v>
      </c>
      <c r="R66" s="42" t="n">
        <f aca="false">IFERROR(Q66/Q$20,0)</f>
        <v>0.133915404761905</v>
      </c>
      <c r="S66" s="41" t="n">
        <f aca="false">S62-S64</f>
        <v>4687.03916666667</v>
      </c>
      <c r="T66" s="42" t="n">
        <f aca="false">IFERROR(S66/S$20,0)</f>
        <v>0.133915404761905</v>
      </c>
      <c r="U66" s="41" t="n">
        <f aca="false">U62-U64</f>
        <v>4687.03916666667</v>
      </c>
      <c r="V66" s="42" t="n">
        <f aca="false">IFERROR(U66/U$20,0)</f>
        <v>0.133915404761905</v>
      </c>
      <c r="W66" s="41" t="n">
        <f aca="false">W62-W64</f>
        <v>4687.03916666667</v>
      </c>
      <c r="X66" s="42" t="n">
        <f aca="false">IFERROR(W66/W$20,0)</f>
        <v>0.133915404761905</v>
      </c>
      <c r="Y66" s="41" t="n">
        <f aca="false">Y62-Y64</f>
        <v>4687.03916666667</v>
      </c>
      <c r="Z66" s="42" t="n">
        <f aca="false">IFERROR(Y66/Y$20,0)</f>
        <v>0.133915404761905</v>
      </c>
      <c r="AB66" s="41" t="n">
        <f aca="false">AB62-AB64</f>
        <v>54227.595</v>
      </c>
      <c r="AC66" s="42" t="n">
        <f aca="false">IFERROR(AB66/AB$20,0)</f>
        <v>0.130668903614458</v>
      </c>
    </row>
    <row r="68" customFormat="false" ht="15" hidden="false" customHeight="true" outlineLevel="0" collapsed="false">
      <c r="A68" s="27" t="s">
        <v>205</v>
      </c>
      <c r="C68" s="28" t="n">
        <v>0</v>
      </c>
      <c r="D68" s="39" t="n">
        <f aca="false">IFERROR(C68/C$20,0)</f>
        <v>0</v>
      </c>
      <c r="E68" s="28" t="n">
        <v>0</v>
      </c>
      <c r="F68" s="39" t="n">
        <f aca="false">IFERROR(E68/E$20,0)</f>
        <v>0</v>
      </c>
      <c r="G68" s="28" t="n">
        <v>0</v>
      </c>
      <c r="H68" s="39" t="n">
        <f aca="false">IFERROR(G68/G$20,0)</f>
        <v>0</v>
      </c>
      <c r="I68" s="28" t="n">
        <v>0</v>
      </c>
      <c r="J68" s="39" t="n">
        <f aca="false">IFERROR(I68/I$20,0)</f>
        <v>0</v>
      </c>
      <c r="K68" s="28" t="n">
        <v>0</v>
      </c>
      <c r="L68" s="39" t="n">
        <f aca="false">IFERROR(K68/K$20,0)</f>
        <v>0</v>
      </c>
      <c r="M68" s="28" t="n">
        <v>0</v>
      </c>
      <c r="N68" s="39" t="n">
        <f aca="false">IFERROR(M68/M$20,0)</f>
        <v>0</v>
      </c>
      <c r="O68" s="28" t="n">
        <v>0</v>
      </c>
      <c r="P68" s="39" t="n">
        <f aca="false">IFERROR(O68/O$20,0)</f>
        <v>0</v>
      </c>
      <c r="Q68" s="28" t="n">
        <v>0</v>
      </c>
      <c r="R68" s="39" t="n">
        <f aca="false">IFERROR(Q68/Q$20,0)</f>
        <v>0</v>
      </c>
      <c r="S68" s="28" t="n">
        <v>0</v>
      </c>
      <c r="T68" s="39" t="n">
        <f aca="false">IFERROR(S68/S$20,0)</f>
        <v>0</v>
      </c>
      <c r="U68" s="28" t="n">
        <v>0</v>
      </c>
      <c r="V68" s="39" t="n">
        <f aca="false">IFERROR(U68/U$20,0)</f>
        <v>0</v>
      </c>
      <c r="W68" s="28" t="n">
        <v>0</v>
      </c>
      <c r="X68" s="39" t="n">
        <f aca="false">IFERROR(W68/W$20,0)</f>
        <v>0</v>
      </c>
      <c r="Y68" s="28" t="n">
        <v>0</v>
      </c>
      <c r="Z68" s="39" t="n">
        <f aca="false">IFERROR(Y68/Y$20,0)</f>
        <v>0</v>
      </c>
      <c r="AB68" s="28" t="n">
        <f aca="false">SUM(C68,E68,G68,I68,K68,M68,O68,Q68,S68,U68,W68,Y68)</f>
        <v>0</v>
      </c>
      <c r="AC68" s="39" t="n">
        <f aca="false">IFERROR(AB68/AB$20,0)</f>
        <v>0</v>
      </c>
    </row>
    <row r="69" customFormat="false" ht="15" hidden="false" customHeight="true" outlineLevel="0" collapsed="false">
      <c r="A69" s="27" t="s">
        <v>206</v>
      </c>
      <c r="C69" s="28" t="n">
        <v>0</v>
      </c>
      <c r="D69" s="39" t="n">
        <f aca="false">IFERROR(C69/C$20,0)</f>
        <v>0</v>
      </c>
      <c r="E69" s="28" t="n">
        <v>0</v>
      </c>
      <c r="F69" s="39" t="n">
        <f aca="false">IFERROR(E69/E$20,0)</f>
        <v>0</v>
      </c>
      <c r="G69" s="28" t="n">
        <v>0</v>
      </c>
      <c r="H69" s="39" t="n">
        <f aca="false">IFERROR(G69/G$20,0)</f>
        <v>0</v>
      </c>
      <c r="I69" s="28" t="n">
        <v>0</v>
      </c>
      <c r="J69" s="39" t="n">
        <f aca="false">IFERROR(I69/I$20,0)</f>
        <v>0</v>
      </c>
      <c r="K69" s="28" t="n">
        <v>0</v>
      </c>
      <c r="L69" s="39" t="n">
        <f aca="false">IFERROR(K69/K$20,0)</f>
        <v>0</v>
      </c>
      <c r="M69" s="28" t="n">
        <v>0</v>
      </c>
      <c r="N69" s="39" t="n">
        <f aca="false">IFERROR(M69/M$20,0)</f>
        <v>0</v>
      </c>
      <c r="O69" s="28" t="n">
        <v>0</v>
      </c>
      <c r="P69" s="39" t="n">
        <f aca="false">IFERROR(O69/O$20,0)</f>
        <v>0</v>
      </c>
      <c r="Q69" s="28" t="n">
        <v>0</v>
      </c>
      <c r="R69" s="39" t="n">
        <f aca="false">IFERROR(Q69/Q$20,0)</f>
        <v>0</v>
      </c>
      <c r="S69" s="28" t="n">
        <v>0</v>
      </c>
      <c r="T69" s="39" t="n">
        <f aca="false">IFERROR(S69/S$20,0)</f>
        <v>0</v>
      </c>
      <c r="U69" s="28" t="n">
        <v>0</v>
      </c>
      <c r="V69" s="39" t="n">
        <f aca="false">IFERROR(U69/U$20,0)</f>
        <v>0</v>
      </c>
      <c r="W69" s="28" t="n">
        <v>0</v>
      </c>
      <c r="X69" s="39" t="n">
        <f aca="false">IFERROR(W69/W$20,0)</f>
        <v>0</v>
      </c>
      <c r="Y69" s="28" t="n">
        <v>0</v>
      </c>
      <c r="Z69" s="39" t="n">
        <f aca="false">IFERROR(Y69/Y$20,0)</f>
        <v>0</v>
      </c>
      <c r="AB69" s="28" t="n">
        <f aca="false">SUM(C69,E69,G69,I69,K69,M69,O69,Q69,S69,U69,W69,Y69)</f>
        <v>0</v>
      </c>
      <c r="AC69" s="39" t="n">
        <f aca="false">IFERROR(AB69/AB$20,0)</f>
        <v>0</v>
      </c>
    </row>
    <row r="70" customFormat="false" ht="15" hidden="false" customHeight="true" outlineLevel="0" collapsed="false">
      <c r="A70" s="31" t="s">
        <v>207</v>
      </c>
      <c r="C70" s="43" t="n">
        <f aca="false">C66-C68-C69</f>
        <v>10737.6641666667</v>
      </c>
      <c r="D70" s="44" t="n">
        <f aca="false">IFERROR(C70/C$20,0)</f>
        <v>0.214753283333333</v>
      </c>
      <c r="E70" s="43" t="n">
        <f aca="false">E66-E68-E69</f>
        <v>-3380.46083333333</v>
      </c>
      <c r="F70" s="44" t="n">
        <f aca="false">IFERROR(E70/E$20,0)</f>
        <v>-0.225364055555556</v>
      </c>
      <c r="G70" s="43" t="n">
        <f aca="false">G66-G68-G69</f>
        <v>10737.6641666667</v>
      </c>
      <c r="H70" s="44" t="n">
        <f aca="false">IFERROR(G70/G$20,0)</f>
        <v>0.214753283333333</v>
      </c>
      <c r="I70" s="43" t="n">
        <f aca="false">I66-I68-I69</f>
        <v>-3380.46083333333</v>
      </c>
      <c r="J70" s="44" t="n">
        <f aca="false">IFERROR(I70/I$20,0)</f>
        <v>-0.225364055555556</v>
      </c>
      <c r="K70" s="43" t="n">
        <f aca="false">K66-K68-K69</f>
        <v>6703.91416666667</v>
      </c>
      <c r="L70" s="44" t="n">
        <f aca="false">IFERROR(K70/K$20,0)</f>
        <v>0.167597854166667</v>
      </c>
      <c r="M70" s="43" t="n">
        <f aca="false">M66-M68-M69</f>
        <v>4687.03916666667</v>
      </c>
      <c r="N70" s="44" t="n">
        <f aca="false">IFERROR(M70/M$20,0)</f>
        <v>0.133915404761905</v>
      </c>
      <c r="O70" s="43" t="n">
        <f aca="false">O66-O68-O69</f>
        <v>4687.03916666667</v>
      </c>
      <c r="P70" s="44" t="n">
        <f aca="false">IFERROR(O70/O$20,0)</f>
        <v>0.133915404761905</v>
      </c>
      <c r="Q70" s="43" t="n">
        <f aca="false">Q66-Q68-Q69</f>
        <v>4687.03916666667</v>
      </c>
      <c r="R70" s="44" t="n">
        <f aca="false">IFERROR(Q70/Q$20,0)</f>
        <v>0.133915404761905</v>
      </c>
      <c r="S70" s="43" t="n">
        <f aca="false">S66-S68-S69</f>
        <v>4687.03916666667</v>
      </c>
      <c r="T70" s="44" t="n">
        <f aca="false">IFERROR(S70/S$20,0)</f>
        <v>0.133915404761905</v>
      </c>
      <c r="U70" s="43" t="n">
        <f aca="false">U66-U68-U69</f>
        <v>4687.03916666667</v>
      </c>
      <c r="V70" s="44" t="n">
        <f aca="false">IFERROR(U70/U$20,0)</f>
        <v>0.133915404761905</v>
      </c>
      <c r="W70" s="43" t="n">
        <f aca="false">W66-W68-W69</f>
        <v>4687.03916666667</v>
      </c>
      <c r="X70" s="44" t="n">
        <f aca="false">IFERROR(W70/W$20,0)</f>
        <v>0.133915404761905</v>
      </c>
      <c r="Y70" s="43" t="n">
        <f aca="false">Y66-Y68-Y69</f>
        <v>4687.03916666667</v>
      </c>
      <c r="Z70" s="44" t="n">
        <f aca="false">IFERROR(Y70/Y$20,0)</f>
        <v>0.133915404761905</v>
      </c>
      <c r="AB70" s="43" t="n">
        <f aca="false">AB66-AB68-AB69</f>
        <v>54227.595</v>
      </c>
      <c r="AC70" s="44" t="n">
        <f aca="false">IFERROR(AB70/AB$20,0)</f>
        <v>0.130668903614458</v>
      </c>
    </row>
    <row r="72" customFormat="false" ht="15" hidden="false" customHeight="true" outlineLevel="0" collapsed="false">
      <c r="A72" s="21" t="s">
        <v>300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"/>
    <col collapsed="false" customWidth="true" hidden="false" outlineLevel="0" max="2" min="2" style="9" width="42"/>
    <col collapsed="false" customWidth="true" hidden="false" outlineLevel="0" max="4" min="3" style="9" width="15"/>
  </cols>
  <sheetData>
    <row r="1" customFormat="false" ht="37.5" hidden="false" customHeight="true" outlineLevel="0" collapsed="false">
      <c r="A1" s="47" t="s">
        <v>301</v>
      </c>
      <c r="B1" s="47"/>
      <c r="C1" s="47"/>
      <c r="D1" s="47"/>
    </row>
    <row r="2" customFormat="false" ht="15" hidden="false" customHeight="true" outlineLevel="0" collapsed="false">
      <c r="A2" s="48" t="s">
        <v>302</v>
      </c>
      <c r="B2" s="48"/>
      <c r="C2" s="48"/>
      <c r="D2" s="48"/>
    </row>
    <row r="4" customFormat="false" ht="15" hidden="false" customHeight="true" outlineLevel="0" collapsed="false">
      <c r="B4" s="80" t="s">
        <v>303</v>
      </c>
      <c r="C4" s="50" t="s">
        <v>304</v>
      </c>
      <c r="D4" s="50" t="s">
        <v>305</v>
      </c>
    </row>
    <row r="6" customFormat="false" ht="15" hidden="false" customHeight="true" outlineLevel="0" collapsed="false">
      <c r="B6" s="49" t="s">
        <v>306</v>
      </c>
    </row>
    <row r="8" customFormat="false" ht="15" hidden="false" customHeight="true" outlineLevel="0" collapsed="false">
      <c r="B8" s="56" t="s">
        <v>307</v>
      </c>
      <c r="C8" s="57" t="n">
        <f aca="false">'Vessel 2026 P&amp;L'!$AB$28</f>
        <v>17230</v>
      </c>
      <c r="D8" s="57" t="n">
        <f aca="false">C8/12</f>
        <v>1435.83333333333</v>
      </c>
    </row>
    <row r="10" customFormat="false" ht="15" hidden="false" customHeight="true" outlineLevel="0" collapsed="false">
      <c r="B10" s="49" t="s">
        <v>308</v>
      </c>
    </row>
    <row r="11" customFormat="false" ht="15" hidden="false" customHeight="true" outlineLevel="0" collapsed="false">
      <c r="B11" s="56" t="s">
        <v>309</v>
      </c>
      <c r="C11" s="57" t="n">
        <v>18543</v>
      </c>
      <c r="D11" s="57" t="n">
        <f aca="false">C11/12</f>
        <v>1545.25</v>
      </c>
    </row>
    <row r="12" customFormat="false" ht="15" hidden="false" customHeight="true" outlineLevel="0" collapsed="false">
      <c r="B12" s="56" t="s">
        <v>310</v>
      </c>
      <c r="C12" s="57" t="n">
        <v>30300</v>
      </c>
      <c r="D12" s="57" t="n">
        <f aca="false">C12/12</f>
        <v>2525</v>
      </c>
    </row>
    <row r="13" customFormat="false" ht="15" hidden="false" customHeight="true" outlineLevel="0" collapsed="false">
      <c r="B13" s="56" t="s">
        <v>311</v>
      </c>
      <c r="C13" s="57" t="n">
        <v>13917</v>
      </c>
      <c r="D13" s="57" t="n">
        <f aca="false">C13/12</f>
        <v>1159.75</v>
      </c>
    </row>
    <row r="14" customFormat="false" ht="15" hidden="false" customHeight="true" outlineLevel="0" collapsed="false">
      <c r="B14" s="56" t="s">
        <v>312</v>
      </c>
      <c r="C14" s="57" t="n">
        <v>6750</v>
      </c>
      <c r="D14" s="57" t="n">
        <f aca="false">C14/12</f>
        <v>562.5</v>
      </c>
    </row>
    <row r="15" customFormat="false" ht="15" hidden="false" customHeight="true" outlineLevel="0" collapsed="false">
      <c r="B15" s="56" t="s">
        <v>313</v>
      </c>
      <c r="C15" s="57" t="n">
        <v>5748</v>
      </c>
      <c r="D15" s="57" t="n">
        <f aca="false">C15/12</f>
        <v>479</v>
      </c>
    </row>
    <row r="16" customFormat="false" ht="15" hidden="false" customHeight="true" outlineLevel="0" collapsed="false">
      <c r="B16" s="56" t="s">
        <v>195</v>
      </c>
      <c r="C16" s="57" t="n">
        <v>5602</v>
      </c>
      <c r="D16" s="57" t="n">
        <f aca="false">C16/12</f>
        <v>466.833333333333</v>
      </c>
    </row>
    <row r="17" customFormat="false" ht="15" hidden="false" customHeight="true" outlineLevel="0" collapsed="false">
      <c r="B17" s="51" t="s">
        <v>314</v>
      </c>
      <c r="C17" s="52" t="n">
        <f aca="false">SUM(C11:C16)</f>
        <v>80860</v>
      </c>
      <c r="D17" s="52" t="n">
        <f aca="false">C17/12</f>
        <v>6738.33333333333</v>
      </c>
    </row>
    <row r="18" customFormat="false" ht="15" hidden="false" customHeight="true" outlineLevel="0" collapsed="false">
      <c r="B18" s="70" t="s">
        <v>315</v>
      </c>
      <c r="C18" s="81" t="n">
        <f aca="false">'Vessel 2026 P&amp;L'!$AB$44</f>
        <v>80624</v>
      </c>
      <c r="D18" s="82" t="n">
        <f aca="false">C18/12</f>
        <v>6718.66666666667</v>
      </c>
    </row>
    <row r="20" customFormat="false" ht="15" hidden="false" customHeight="true" outlineLevel="0" collapsed="false">
      <c r="B20" s="49" t="s">
        <v>316</v>
      </c>
    </row>
    <row r="21" customFormat="false" ht="15" hidden="false" customHeight="true" outlineLevel="0" collapsed="false">
      <c r="B21" s="56" t="s">
        <v>317</v>
      </c>
      <c r="C21" s="57" t="n">
        <v>2106</v>
      </c>
      <c r="D21" s="57" t="n">
        <f aca="false">C21/12</f>
        <v>175.5</v>
      </c>
    </row>
    <row r="22" customFormat="false" ht="15" hidden="false" customHeight="true" outlineLevel="0" collapsed="false">
      <c r="B22" s="56" t="s">
        <v>318</v>
      </c>
      <c r="C22" s="57" t="n">
        <v>1800</v>
      </c>
      <c r="D22" s="57" t="n">
        <f aca="false">C22/12</f>
        <v>150</v>
      </c>
    </row>
    <row r="23" customFormat="false" ht="15" hidden="false" customHeight="true" outlineLevel="0" collapsed="false">
      <c r="B23" s="56" t="s">
        <v>319</v>
      </c>
      <c r="C23" s="57" t="n">
        <v>4855</v>
      </c>
      <c r="D23" s="57" t="n">
        <f aca="false">C23/12</f>
        <v>404.583333333333</v>
      </c>
    </row>
    <row r="24" customFormat="false" ht="15" hidden="false" customHeight="true" outlineLevel="0" collapsed="false">
      <c r="B24" s="51" t="s">
        <v>320</v>
      </c>
      <c r="C24" s="52" t="n">
        <f aca="false">'Vessel 2026 P&amp;L'!$AB$47+'Vessel 2026 P&amp;L'!$AB$49+'Vessel 2026 P&amp;L'!$AB$51+'Vessel 2026 P&amp;L'!$AB$52</f>
        <v>12545</v>
      </c>
      <c r="D24" s="52" t="n">
        <f aca="false">C24/12</f>
        <v>1045.41666666667</v>
      </c>
    </row>
    <row r="26" customFormat="false" ht="15" hidden="false" customHeight="true" outlineLevel="0" collapsed="false">
      <c r="B26" s="49" t="s">
        <v>321</v>
      </c>
    </row>
    <row r="27" customFormat="false" ht="15" hidden="false" customHeight="true" outlineLevel="0" collapsed="false">
      <c r="B27" s="56" t="s">
        <v>322</v>
      </c>
      <c r="C27" s="57" t="n">
        <v>2745</v>
      </c>
      <c r="D27" s="57" t="n">
        <f aca="false">C27/12</f>
        <v>228.75</v>
      </c>
    </row>
    <row r="28" customFormat="false" ht="15" hidden="false" customHeight="true" outlineLevel="0" collapsed="false">
      <c r="B28" s="56" t="s">
        <v>323</v>
      </c>
      <c r="C28" s="57" t="n">
        <v>48000</v>
      </c>
      <c r="D28" s="57" t="n">
        <f aca="false">C28/12</f>
        <v>4000</v>
      </c>
    </row>
    <row r="29" customFormat="false" ht="15" hidden="false" customHeight="true" outlineLevel="0" collapsed="false">
      <c r="B29" s="56" t="s">
        <v>324</v>
      </c>
      <c r="C29" s="57" t="n">
        <f aca="false">'Vessel 2026 P&amp;L'!$AB$48</f>
        <v>21341</v>
      </c>
      <c r="D29" s="57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148</v>
      </c>
    </row>
    <row r="2" customFormat="false" ht="15" hidden="false" customHeight="true" outlineLevel="0" collapsed="false">
      <c r="A2" s="19" t="s">
        <v>325</v>
      </c>
    </row>
    <row r="3" customFormat="false" ht="15" hidden="false" customHeight="true" outlineLevel="0" collapsed="false">
      <c r="A3" s="19" t="s">
        <v>326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326</v>
      </c>
      <c r="AC5" s="35"/>
    </row>
    <row r="6" customFormat="false" ht="15" hidden="false" customHeight="true" outlineLevel="0" collapsed="false">
      <c r="C6" s="37" t="s">
        <v>327</v>
      </c>
      <c r="D6" s="37"/>
      <c r="E6" s="37" t="s">
        <v>327</v>
      </c>
      <c r="F6" s="37"/>
      <c r="G6" s="37" t="s">
        <v>327</v>
      </c>
      <c r="H6" s="37"/>
      <c r="I6" s="37" t="s">
        <v>327</v>
      </c>
      <c r="J6" s="37"/>
      <c r="K6" s="37" t="s">
        <v>327</v>
      </c>
      <c r="L6" s="37"/>
      <c r="M6" s="37" t="s">
        <v>327</v>
      </c>
      <c r="N6" s="37"/>
      <c r="O6" s="37" t="s">
        <v>328</v>
      </c>
      <c r="P6" s="37"/>
      <c r="Q6" s="37" t="s">
        <v>328</v>
      </c>
      <c r="R6" s="37"/>
      <c r="S6" s="37" t="s">
        <v>328</v>
      </c>
      <c r="T6" s="37"/>
      <c r="U6" s="37" t="s">
        <v>328</v>
      </c>
      <c r="V6" s="37"/>
      <c r="W6" s="37" t="s">
        <v>328</v>
      </c>
      <c r="X6" s="37"/>
      <c r="Y6" s="37" t="s">
        <v>328</v>
      </c>
      <c r="Z6" s="37"/>
      <c r="AB6" s="37" t="s">
        <v>329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8" customFormat="false" ht="15" hidden="false" customHeight="true" outlineLevel="0" collapsed="false">
      <c r="A8" s="31" t="s">
        <v>162</v>
      </c>
    </row>
    <row r="9" customFormat="false" ht="15" hidden="false" customHeight="true" outlineLevel="0" collapsed="false">
      <c r="A9" s="27" t="s">
        <v>163</v>
      </c>
      <c r="C9" s="28" t="n">
        <v>28343</v>
      </c>
      <c r="D9" s="39" t="n">
        <f aca="false">IFERROR(C9/C$16,0)</f>
        <v>0.743559473214754</v>
      </c>
      <c r="E9" s="28" t="n">
        <v>9119</v>
      </c>
      <c r="F9" s="39" t="n">
        <f aca="false">IFERROR(E9/E$16,0)</f>
        <v>0.546309609393722</v>
      </c>
      <c r="G9" s="28" t="n">
        <v>21950</v>
      </c>
      <c r="H9" s="39" t="n">
        <f aca="false">IFERROR(G9/G$16,0)</f>
        <v>0.551438261524934</v>
      </c>
      <c r="I9" s="28" t="n">
        <v>4645</v>
      </c>
      <c r="J9" s="39" t="n">
        <f aca="false">IFERROR(I9/I$16,0)</f>
        <v>0.37079907400016</v>
      </c>
      <c r="K9" s="28" t="n">
        <v>14241</v>
      </c>
      <c r="L9" s="39" t="n">
        <f aca="false">IFERROR(K9/K$16,0)</f>
        <v>0.347859009746208</v>
      </c>
      <c r="M9" s="28" t="n">
        <v>15390</v>
      </c>
      <c r="N9" s="39" t="n">
        <f aca="false">IFERROR(M9/M$16,0)</f>
        <v>0.335857538790564</v>
      </c>
      <c r="O9" s="28" t="n">
        <v>11504</v>
      </c>
      <c r="P9" s="39" t="n">
        <f aca="false">IFERROR(O9/O$16,0)</f>
        <v>0.347868158451769</v>
      </c>
      <c r="Q9" s="28" t="n">
        <v>8697</v>
      </c>
      <c r="R9" s="39" t="n">
        <f aca="false">IFERROR(Q9/Q$16,0)</f>
        <v>0.347866085356586</v>
      </c>
      <c r="S9" s="28" t="n">
        <v>8697</v>
      </c>
      <c r="T9" s="39" t="n">
        <f aca="false">IFERROR(S9/S$16,0)</f>
        <v>0.347866085356586</v>
      </c>
      <c r="U9" s="28" t="n">
        <v>6957</v>
      </c>
      <c r="V9" s="39" t="n">
        <f aca="false">IFERROR(U9/U$16,0)</f>
        <v>0.34785</v>
      </c>
      <c r="W9" s="28" t="n">
        <v>6957</v>
      </c>
      <c r="X9" s="39" t="n">
        <f aca="false">IFERROR(W9/W$16,0)</f>
        <v>0.34785</v>
      </c>
      <c r="Y9" s="28" t="n">
        <v>12175</v>
      </c>
      <c r="Z9" s="39" t="n">
        <f aca="false">IFERROR(Y9/Y$16,0)</f>
        <v>0.347867081916626</v>
      </c>
      <c r="AB9" s="28" t="n">
        <f aca="false">SUM(C9,E9,G9,I9,K9,M9,O9,Q9,S9,U9,W9,Y9)</f>
        <v>148675</v>
      </c>
      <c r="AC9" s="39" t="n">
        <f aca="false">IFERROR(AB9/AB$16,0)</f>
        <v>0.422402159244265</v>
      </c>
    </row>
    <row r="10" customFormat="false" ht="15" hidden="false" customHeight="true" outlineLevel="0" collapsed="false">
      <c r="A10" s="27" t="s">
        <v>164</v>
      </c>
      <c r="C10" s="28" t="n">
        <v>5992</v>
      </c>
      <c r="D10" s="39" t="n">
        <f aca="false">IFERROR(C10/C$16,0)</f>
        <v>0.157196075344981</v>
      </c>
      <c r="E10" s="28" t="n">
        <v>4542</v>
      </c>
      <c r="F10" s="39" t="n">
        <f aca="false">IFERROR(E10/E$16,0)</f>
        <v>0.272106398274623</v>
      </c>
      <c r="G10" s="28" t="n">
        <v>3907</v>
      </c>
      <c r="H10" s="39" t="n">
        <f aca="false">IFERROR(G10/G$16,0)</f>
        <v>0.0981534983042331</v>
      </c>
      <c r="I10" s="28" t="n">
        <v>1012</v>
      </c>
      <c r="J10" s="39" t="n">
        <f aca="false">IFERROR(I10/I$16,0)</f>
        <v>0.0807855033128443</v>
      </c>
      <c r="K10" s="28" t="n">
        <v>2090</v>
      </c>
      <c r="L10" s="39" t="n">
        <f aca="false">IFERROR(K10/K$16,0)</f>
        <v>0.0510515645228266</v>
      </c>
      <c r="M10" s="28" t="n">
        <v>2193</v>
      </c>
      <c r="N10" s="39" t="n">
        <f aca="false">IFERROR(M10/M$16,0)</f>
        <v>0.0478580625450102</v>
      </c>
      <c r="O10" s="28" t="n">
        <v>1688</v>
      </c>
      <c r="P10" s="39" t="n">
        <f aca="false">IFERROR(O10/O$16,0)</f>
        <v>0.0510432416087088</v>
      </c>
      <c r="Q10" s="28" t="n">
        <v>1276</v>
      </c>
      <c r="R10" s="39" t="n">
        <f aca="false">IFERROR(Q10/Q$16,0)</f>
        <v>0.0510379584816607</v>
      </c>
      <c r="S10" s="28" t="n">
        <v>1276</v>
      </c>
      <c r="T10" s="39" t="n">
        <f aca="false">IFERROR(S10/S$16,0)</f>
        <v>0.0510379584816607</v>
      </c>
      <c r="U10" s="28" t="n">
        <v>1021</v>
      </c>
      <c r="V10" s="39" t="n">
        <f aca="false">IFERROR(U10/U$16,0)</f>
        <v>0.05105</v>
      </c>
      <c r="W10" s="28" t="n">
        <v>1021</v>
      </c>
      <c r="X10" s="39" t="n">
        <f aca="false">IFERROR(W10/W$16,0)</f>
        <v>0.05105</v>
      </c>
      <c r="Y10" s="28" t="n">
        <v>1786</v>
      </c>
      <c r="Z10" s="39" t="n">
        <f aca="false">IFERROR(Y10/Y$16,0)</f>
        <v>0.0510300294294123</v>
      </c>
      <c r="AB10" s="28" t="n">
        <f aca="false">SUM(C10,E10,G10,I10,K10,M10,O10,Q10,S10,U10,W10,Y10)</f>
        <v>27804</v>
      </c>
      <c r="AC10" s="39" t="n">
        <f aca="false">IFERROR(AB10/AB$16,0)</f>
        <v>0.0789942467504794</v>
      </c>
    </row>
    <row r="11" customFormat="false" ht="15" hidden="false" customHeight="true" outlineLevel="0" collapsed="false">
      <c r="A11" s="27" t="s">
        <v>165</v>
      </c>
      <c r="C11" s="28" t="n">
        <v>1351</v>
      </c>
      <c r="D11" s="39" t="n">
        <f aca="false">IFERROR(C11/C$16,0)</f>
        <v>0.0354425730625951</v>
      </c>
      <c r="E11" s="28" t="n">
        <v>2141</v>
      </c>
      <c r="F11" s="39" t="n">
        <f aca="false">IFERROR(E11/E$16,0)</f>
        <v>0.128265037143542</v>
      </c>
      <c r="G11" s="28" t="n">
        <v>10278</v>
      </c>
      <c r="H11" s="39" t="n">
        <f aca="false">IFERROR(G11/G$16,0)</f>
        <v>0.258208767742746</v>
      </c>
      <c r="I11" s="28" t="n">
        <v>1836</v>
      </c>
      <c r="J11" s="39" t="n">
        <f aca="false">IFERROR(I11/I$16,0)</f>
        <v>0.146563423006306</v>
      </c>
      <c r="K11" s="28" t="n">
        <v>5557</v>
      </c>
      <c r="L11" s="39" t="n">
        <f aca="false">IFERROR(K11/K$16,0)</f>
        <v>0.135738537824568</v>
      </c>
      <c r="M11" s="28" t="n">
        <v>4142</v>
      </c>
      <c r="N11" s="39" t="n">
        <f aca="false">IFERROR(M11/M$16,0)</f>
        <v>0.0903912882177073</v>
      </c>
      <c r="O11" s="28" t="n">
        <v>4489</v>
      </c>
      <c r="P11" s="39" t="n">
        <f aca="false">IFERROR(O11/O$16,0)</f>
        <v>0.13574236468098</v>
      </c>
      <c r="Q11" s="28" t="n">
        <v>3394</v>
      </c>
      <c r="R11" s="39" t="n">
        <f aca="false">IFERROR(Q11/Q$16,0)</f>
        <v>0.135754569817207</v>
      </c>
      <c r="S11" s="28" t="n">
        <v>3394</v>
      </c>
      <c r="T11" s="39" t="n">
        <f aca="false">IFERROR(S11/S$16,0)</f>
        <v>0.135754569817207</v>
      </c>
      <c r="U11" s="28" t="n">
        <v>2715</v>
      </c>
      <c r="V11" s="39" t="n">
        <f aca="false">IFERROR(U11/U$16,0)</f>
        <v>0.13575</v>
      </c>
      <c r="W11" s="28" t="n">
        <v>2715</v>
      </c>
      <c r="X11" s="39" t="n">
        <f aca="false">IFERROR(W11/W$16,0)</f>
        <v>0.13575</v>
      </c>
      <c r="Y11" s="28" t="n">
        <v>4751</v>
      </c>
      <c r="Z11" s="39" t="n">
        <f aca="false">IFERROR(Y11/Y$16,0)</f>
        <v>0.135746735621018</v>
      </c>
      <c r="AB11" s="28" t="n">
        <f aca="false">SUM(C11,E11,G11,I11,K11,M11,O11,Q11,S11,U11,W11,Y11)</f>
        <v>46763</v>
      </c>
      <c r="AC11" s="39" t="n">
        <f aca="false">IFERROR(AB11/AB$16,0)</f>
        <v>0.132858867817317</v>
      </c>
    </row>
    <row r="12" customFormat="false" ht="15" hidden="false" customHeight="true" outlineLevel="0" collapsed="false">
      <c r="A12" s="27" t="s">
        <v>166</v>
      </c>
      <c r="C12" s="28" t="n">
        <v>40</v>
      </c>
      <c r="D12" s="39" t="n">
        <f aca="false">IFERROR(C12/C$16,0)</f>
        <v>0.00104937299963272</v>
      </c>
      <c r="E12" s="28" t="n">
        <v>0</v>
      </c>
      <c r="F12" s="39" t="n">
        <f aca="false">IFERROR(E12/E$16,0)</f>
        <v>0</v>
      </c>
      <c r="G12" s="28" t="n">
        <v>187</v>
      </c>
      <c r="H12" s="39" t="n">
        <f aca="false">IFERROR(G12/G$16,0)</f>
        <v>0.00469790227358372</v>
      </c>
      <c r="I12" s="28" t="n">
        <v>34</v>
      </c>
      <c r="J12" s="39" t="n">
        <f aca="false">IFERROR(I12/I$16,0)</f>
        <v>0.00271413746307975</v>
      </c>
      <c r="K12" s="28" t="n">
        <v>193</v>
      </c>
      <c r="L12" s="39" t="n">
        <f aca="false">IFERROR(K12/K$16,0)</f>
        <v>0.00471433107794524</v>
      </c>
      <c r="M12" s="28" t="n">
        <v>525</v>
      </c>
      <c r="N12" s="39" t="n">
        <f aca="false">IFERROR(M12/M$16,0)</f>
        <v>0.0114571285162473</v>
      </c>
      <c r="O12" s="28" t="n">
        <v>156</v>
      </c>
      <c r="P12" s="39" t="n">
        <f aca="false">IFERROR(O12/O$16,0)</f>
        <v>0.00471726640459631</v>
      </c>
      <c r="Q12" s="28" t="n">
        <v>118</v>
      </c>
      <c r="R12" s="39" t="n">
        <f aca="false">IFERROR(Q12/Q$16,0)</f>
        <v>0.0047198112075517</v>
      </c>
      <c r="S12" s="28" t="n">
        <v>118</v>
      </c>
      <c r="T12" s="39" t="n">
        <f aca="false">IFERROR(S12/S$16,0)</f>
        <v>0.0047198112075517</v>
      </c>
      <c r="U12" s="28" t="n">
        <v>94</v>
      </c>
      <c r="V12" s="39" t="n">
        <f aca="false">IFERROR(U12/U$16,0)</f>
        <v>0.0047</v>
      </c>
      <c r="W12" s="28" t="n">
        <v>94</v>
      </c>
      <c r="X12" s="39" t="n">
        <f aca="false">IFERROR(W12/W$16,0)</f>
        <v>0.0047</v>
      </c>
      <c r="Y12" s="28" t="n">
        <v>165</v>
      </c>
      <c r="Z12" s="39" t="n">
        <f aca="false">IFERROR(Y12/Y$16,0)</f>
        <v>0.00471442041201177</v>
      </c>
      <c r="AB12" s="28" t="n">
        <f aca="false">SUM(C12,E12,G12,I12,K12,M12,O12,Q12,S12,U12,W12,Y12)</f>
        <v>1724</v>
      </c>
      <c r="AC12" s="39" t="n">
        <f aca="false">IFERROR(AB12/AB$16,0)</f>
        <v>0.00489807514738263</v>
      </c>
    </row>
    <row r="13" customFormat="false" ht="15" hidden="false" customHeight="true" outlineLevel="0" collapsed="false">
      <c r="A13" s="27" t="s">
        <v>167</v>
      </c>
      <c r="C13" s="28" t="n">
        <v>758</v>
      </c>
      <c r="D13" s="39" t="n">
        <f aca="false">IFERROR(C13/C$16,0)</f>
        <v>0.01988561834304</v>
      </c>
      <c r="E13" s="28" t="n">
        <v>471</v>
      </c>
      <c r="F13" s="39" t="n">
        <f aca="false">IFERROR(E13/E$16,0)</f>
        <v>0.0282171099928109</v>
      </c>
      <c r="G13" s="28" t="n">
        <v>729</v>
      </c>
      <c r="H13" s="39" t="n">
        <f aca="false">IFERROR(G13/G$16,0)</f>
        <v>0.0183142821253611</v>
      </c>
      <c r="I13" s="28" t="n">
        <v>426</v>
      </c>
      <c r="J13" s="39" t="n">
        <f aca="false">IFERROR(I13/I$16,0)</f>
        <v>0.0340065458609404</v>
      </c>
      <c r="K13" s="28" t="n">
        <v>770</v>
      </c>
      <c r="L13" s="39" t="n">
        <f aca="false">IFERROR(K13/K$16,0)</f>
        <v>0.0188084711399888</v>
      </c>
      <c r="M13" s="28" t="n">
        <v>434</v>
      </c>
      <c r="N13" s="39" t="n">
        <f aca="false">IFERROR(M13/M$16,0)</f>
        <v>0.00947122624009777</v>
      </c>
      <c r="O13" s="28" t="n">
        <v>622</v>
      </c>
      <c r="P13" s="39" t="n">
        <f aca="false">IFERROR(O13/O$16,0)</f>
        <v>0.0188085878439673</v>
      </c>
      <c r="Q13" s="28" t="n">
        <v>470</v>
      </c>
      <c r="R13" s="39" t="n">
        <f aca="false">IFERROR(Q13/Q$16,0)</f>
        <v>0.0187992480300788</v>
      </c>
      <c r="S13" s="28" t="n">
        <v>470</v>
      </c>
      <c r="T13" s="39" t="n">
        <f aca="false">IFERROR(S13/S$16,0)</f>
        <v>0.0187992480300788</v>
      </c>
      <c r="U13" s="28" t="n">
        <v>376</v>
      </c>
      <c r="V13" s="39" t="n">
        <f aca="false">IFERROR(U13/U$16,0)</f>
        <v>0.0188</v>
      </c>
      <c r="W13" s="28" t="n">
        <v>376</v>
      </c>
      <c r="X13" s="39" t="n">
        <f aca="false">IFERROR(W13/W$16,0)</f>
        <v>0.0188</v>
      </c>
      <c r="Y13" s="28" t="n">
        <v>658</v>
      </c>
      <c r="Z13" s="39" t="n">
        <f aca="false">IFERROR(Y13/Y$16,0)</f>
        <v>0.0188005371582045</v>
      </c>
      <c r="AB13" s="28" t="n">
        <f aca="false">SUM(C13,E13,G13,I13,K13,M13,O13,Q13,S13,U13,W13,Y13)</f>
        <v>6560</v>
      </c>
      <c r="AC13" s="39" t="n">
        <f aca="false">IFERROR(AB13/AB$16,0)</f>
        <v>0.0186376873357483</v>
      </c>
    </row>
    <row r="14" customFormat="false" ht="15" hidden="false" customHeight="true" outlineLevel="0" collapsed="false">
      <c r="A14" s="27" t="s">
        <v>169</v>
      </c>
      <c r="C14" s="28" t="n">
        <v>3280</v>
      </c>
      <c r="D14" s="39" t="n">
        <f aca="false">IFERROR(C14/C$16,0)</f>
        <v>0.086048585969883</v>
      </c>
      <c r="E14" s="28" t="n">
        <v>419</v>
      </c>
      <c r="F14" s="39" t="n">
        <f aca="false">IFERROR(E14/E$16,0)</f>
        <v>0.0251018451953031</v>
      </c>
      <c r="G14" s="28" t="n">
        <v>2754</v>
      </c>
      <c r="H14" s="39" t="n">
        <f aca="false">IFERROR(G14/G$16,0)</f>
        <v>0.0691872880291421</v>
      </c>
      <c r="I14" s="28" t="n">
        <v>4574</v>
      </c>
      <c r="J14" s="39" t="n">
        <f aca="false">IFERROR(I14/I$16,0)</f>
        <v>0.36513131635667</v>
      </c>
      <c r="K14" s="28" t="n">
        <v>18088</v>
      </c>
      <c r="L14" s="39" t="n">
        <f aca="false">IFERROR(K14/K$16,0)</f>
        <v>0.441828085688463</v>
      </c>
      <c r="M14" s="28" t="n">
        <v>23139</v>
      </c>
      <c r="N14" s="39" t="n">
        <f aca="false">IFERROR(M14/M$16,0)</f>
        <v>0.504964755690374</v>
      </c>
      <c r="O14" s="28" t="n">
        <v>14611</v>
      </c>
      <c r="P14" s="39" t="n">
        <f aca="false">IFERROR(O14/O$16,0)</f>
        <v>0.441820381009979</v>
      </c>
      <c r="Q14" s="28" t="n">
        <v>11046</v>
      </c>
      <c r="R14" s="39" t="n">
        <f aca="false">IFERROR(Q14/Q$16,0)</f>
        <v>0.441822327106916</v>
      </c>
      <c r="S14" s="28" t="n">
        <v>11046</v>
      </c>
      <c r="T14" s="39" t="n">
        <f aca="false">IFERROR(S14/S$16,0)</f>
        <v>0.441822327106916</v>
      </c>
      <c r="U14" s="28" t="n">
        <v>8837</v>
      </c>
      <c r="V14" s="39" t="n">
        <f aca="false">IFERROR(U14/U$16,0)</f>
        <v>0.44185</v>
      </c>
      <c r="W14" s="28" t="n">
        <v>8837</v>
      </c>
      <c r="X14" s="39" t="n">
        <f aca="false">IFERROR(W14/W$16,0)</f>
        <v>0.44185</v>
      </c>
      <c r="Y14" s="28" t="n">
        <v>15464</v>
      </c>
      <c r="Z14" s="39" t="n">
        <f aca="false">IFERROR(Y14/Y$16,0)</f>
        <v>0.441841195462728</v>
      </c>
      <c r="AB14" s="28" t="n">
        <f aca="false">SUM(C14,E14,G14,I14,K14,M14,O14,Q14,S14,U14,W14,Y14)</f>
        <v>122095</v>
      </c>
      <c r="AC14" s="39" t="n">
        <f aca="false">IFERROR(AB14/AB$16,0)</f>
        <v>0.346885432203992</v>
      </c>
    </row>
    <row r="15" customFormat="false" ht="15" hidden="false" customHeight="true" outlineLevel="0" collapsed="false">
      <c r="A15" s="27" t="s">
        <v>170</v>
      </c>
      <c r="C15" s="28" t="n">
        <v>-1646</v>
      </c>
      <c r="D15" s="39" t="n">
        <f aca="false">IFERROR(C15/C$16,0)</f>
        <v>-0.0431816989348864</v>
      </c>
      <c r="E15" s="28" t="n">
        <v>0</v>
      </c>
      <c r="F15" s="39" t="n">
        <f aca="false">IFERROR(E15/E$16,0)</f>
        <v>0</v>
      </c>
      <c r="G15" s="28" t="n">
        <v>0</v>
      </c>
      <c r="H15" s="39" t="n">
        <f aca="false">IFERROR(G15/G$16,0)</f>
        <v>0</v>
      </c>
      <c r="I15" s="28" t="n">
        <v>0</v>
      </c>
      <c r="J15" s="39" t="n">
        <f aca="false">IFERROR(I15/I$16,0)</f>
        <v>0</v>
      </c>
      <c r="K15" s="28" t="n">
        <v>0</v>
      </c>
      <c r="L15" s="39" t="n">
        <f aca="false">IFERROR(K15/K$16,0)</f>
        <v>0</v>
      </c>
      <c r="M15" s="28" t="n">
        <v>0</v>
      </c>
      <c r="N15" s="39" t="n">
        <f aca="false">IFERROR(M15/M$16,0)</f>
        <v>0</v>
      </c>
      <c r="O15" s="28" t="n">
        <v>0</v>
      </c>
      <c r="P15" s="39" t="n">
        <f aca="false">IFERROR(O15/O$16,0)</f>
        <v>0</v>
      </c>
      <c r="Q15" s="28" t="n">
        <v>0</v>
      </c>
      <c r="R15" s="39" t="n">
        <f aca="false">IFERROR(Q15/Q$16,0)</f>
        <v>0</v>
      </c>
      <c r="S15" s="28" t="n">
        <v>0</v>
      </c>
      <c r="T15" s="39" t="n">
        <f aca="false">IFERROR(S15/S$16,0)</f>
        <v>0</v>
      </c>
      <c r="U15" s="28" t="n">
        <v>0</v>
      </c>
      <c r="V15" s="39" t="n">
        <f aca="false">IFERROR(U15/U$16,0)</f>
        <v>0</v>
      </c>
      <c r="W15" s="28" t="n">
        <v>0</v>
      </c>
      <c r="X15" s="39" t="n">
        <f aca="false">IFERROR(W15/W$16,0)</f>
        <v>0</v>
      </c>
      <c r="Y15" s="28" t="n">
        <v>0</v>
      </c>
      <c r="Z15" s="39" t="n">
        <f aca="false">IFERROR(Y15/Y$16,0)</f>
        <v>0</v>
      </c>
      <c r="AB15" s="28" t="n">
        <f aca="false">SUM(C15,E15,G15,I15,K15,M15,O15,Q15,S15,U15,W15,Y15)</f>
        <v>-1646</v>
      </c>
      <c r="AC15" s="39" t="n">
        <f aca="false">IFERROR(AB15/AB$16,0)</f>
        <v>-0.00467646849918318</v>
      </c>
    </row>
    <row r="16" customFormat="false" ht="15" hidden="false" customHeight="true" outlineLevel="0" collapsed="false">
      <c r="A16" s="31" t="s">
        <v>128</v>
      </c>
      <c r="C16" s="32" t="n">
        <f aca="false">SUM(C9:C15)</f>
        <v>38118</v>
      </c>
      <c r="D16" s="40" t="n">
        <f aca="false">IFERROR(C16/C$16,0)</f>
        <v>1</v>
      </c>
      <c r="E16" s="32" t="n">
        <f aca="false">SUM(E9:E15)</f>
        <v>16692</v>
      </c>
      <c r="F16" s="40" t="n">
        <f aca="false">IFERROR(E16/E$16,0)</f>
        <v>1</v>
      </c>
      <c r="G16" s="32" t="n">
        <f aca="false">SUM(G9:G15)</f>
        <v>39805</v>
      </c>
      <c r="H16" s="40" t="n">
        <f aca="false">IFERROR(G16/G$16,0)</f>
        <v>1</v>
      </c>
      <c r="I16" s="32" t="n">
        <f aca="false">SUM(I9:I15)</f>
        <v>12527</v>
      </c>
      <c r="J16" s="40" t="n">
        <f aca="false">IFERROR(I16/I$16,0)</f>
        <v>1</v>
      </c>
      <c r="K16" s="32" t="n">
        <f aca="false">SUM(K9:K15)</f>
        <v>40939</v>
      </c>
      <c r="L16" s="40" t="n">
        <f aca="false">IFERROR(K16/K$16,0)</f>
        <v>1</v>
      </c>
      <c r="M16" s="32" t="n">
        <f aca="false">SUM(M9:M15)</f>
        <v>45823</v>
      </c>
      <c r="N16" s="40" t="n">
        <f aca="false">IFERROR(M16/M$16,0)</f>
        <v>1</v>
      </c>
      <c r="O16" s="32" t="n">
        <f aca="false">SUM(O9:O15)</f>
        <v>33070</v>
      </c>
      <c r="P16" s="40" t="n">
        <f aca="false">IFERROR(O16/O$16,0)</f>
        <v>1</v>
      </c>
      <c r="Q16" s="32" t="n">
        <f aca="false">SUM(Q9:Q15)</f>
        <v>25001</v>
      </c>
      <c r="R16" s="40" t="n">
        <f aca="false">IFERROR(Q16/Q$16,0)</f>
        <v>1</v>
      </c>
      <c r="S16" s="32" t="n">
        <f aca="false">SUM(S9:S15)</f>
        <v>25001</v>
      </c>
      <c r="T16" s="40" t="n">
        <f aca="false">IFERROR(S16/S$16,0)</f>
        <v>1</v>
      </c>
      <c r="U16" s="32" t="n">
        <f aca="false">SUM(U9:U15)</f>
        <v>20000</v>
      </c>
      <c r="V16" s="40" t="n">
        <f aca="false">IFERROR(U16/U$16,0)</f>
        <v>1</v>
      </c>
      <c r="W16" s="32" t="n">
        <f aca="false">SUM(W9:W15)</f>
        <v>20000</v>
      </c>
      <c r="X16" s="40" t="n">
        <f aca="false">IFERROR(W16/W$16,0)</f>
        <v>1</v>
      </c>
      <c r="Y16" s="32" t="n">
        <f aca="false">SUM(Y9:Y15)</f>
        <v>34999</v>
      </c>
      <c r="Z16" s="40" t="n">
        <f aca="false">IFERROR(Y16/Y$16,0)</f>
        <v>1</v>
      </c>
      <c r="AB16" s="32" t="n">
        <f aca="false">SUM(AB9:AB15)</f>
        <v>351975</v>
      </c>
      <c r="AC16" s="40" t="n">
        <f aca="false">IFERROR(AB16/AB$16,0)</f>
        <v>1</v>
      </c>
    </row>
    <row r="18" customFormat="false" ht="15" hidden="false" customHeight="true" outlineLevel="0" collapsed="false">
      <c r="A18" s="31" t="s">
        <v>171</v>
      </c>
    </row>
    <row r="19" customFormat="false" ht="15" hidden="false" customHeight="true" outlineLevel="0" collapsed="false">
      <c r="A19" s="27" t="s">
        <v>172</v>
      </c>
      <c r="C19" s="28" t="n">
        <v>18631</v>
      </c>
      <c r="D19" s="39" t="n">
        <f aca="false">IFERROR(C19/C$9,0)</f>
        <v>0.657340436792153</v>
      </c>
      <c r="E19" s="28" t="n">
        <v>8386</v>
      </c>
      <c r="F19" s="39" t="n">
        <f aca="false">IFERROR(E19/E$9,0)</f>
        <v>0.919618379208247</v>
      </c>
      <c r="G19" s="28" t="n">
        <v>14740</v>
      </c>
      <c r="H19" s="39" t="n">
        <f aca="false">IFERROR(G19/G$9,0)</f>
        <v>0.671526195899772</v>
      </c>
      <c r="I19" s="28" t="n">
        <v>4280</v>
      </c>
      <c r="J19" s="39" t="n">
        <f aca="false">IFERROR(I19/I$9,0)</f>
        <v>0.921420882669537</v>
      </c>
      <c r="K19" s="28" t="n">
        <v>11232</v>
      </c>
      <c r="L19" s="39" t="n">
        <f aca="false">IFERROR(K19/K$9,0)</f>
        <v>0.788708658099853</v>
      </c>
      <c r="M19" s="28" t="n">
        <v>10735</v>
      </c>
      <c r="N19" s="39" t="n">
        <f aca="false">IFERROR(M19/M$9,0)</f>
        <v>0.697530864197531</v>
      </c>
      <c r="O19" s="28" t="n">
        <v>7478</v>
      </c>
      <c r="P19" s="39" t="n">
        <f aca="false">IFERROR(O19/O$9,0)</f>
        <v>0.650034770514604</v>
      </c>
      <c r="Q19" s="28" t="n">
        <v>5653</v>
      </c>
      <c r="R19" s="39" t="n">
        <f aca="false">IFERROR(Q19/Q$9,0)</f>
        <v>0.649994250891112</v>
      </c>
      <c r="S19" s="28" t="n">
        <v>5653</v>
      </c>
      <c r="T19" s="39" t="n">
        <f aca="false">IFERROR(S19/S$9,0)</f>
        <v>0.649994250891112</v>
      </c>
      <c r="U19" s="28" t="n">
        <v>4522</v>
      </c>
      <c r="V19" s="39" t="n">
        <f aca="false">IFERROR(U19/U$9,0)</f>
        <v>0.649992812994107</v>
      </c>
      <c r="W19" s="28" t="n">
        <v>4522</v>
      </c>
      <c r="X19" s="39" t="n">
        <f aca="false">IFERROR(W19/W$9,0)</f>
        <v>0.649992812994107</v>
      </c>
      <c r="Y19" s="28" t="n">
        <v>7914</v>
      </c>
      <c r="Z19" s="39" t="n">
        <f aca="false">IFERROR(Y19/Y$9,0)</f>
        <v>0.650020533880904</v>
      </c>
      <c r="AB19" s="28" t="n">
        <f aca="false">SUM(C19,E19,G19,I19,K19,M19,O19,Q19,S19,U19,W19,Y19)</f>
        <v>103746</v>
      </c>
      <c r="AC19" s="39" t="n">
        <f aca="false">IFERROR(AB19/AB$9,0)</f>
        <v>0.69780393475702</v>
      </c>
    </row>
    <row r="20" customFormat="false" ht="15" hidden="false" customHeight="true" outlineLevel="0" collapsed="false">
      <c r="A20" s="27" t="s">
        <v>173</v>
      </c>
      <c r="C20" s="28" t="n">
        <v>1198</v>
      </c>
      <c r="D20" s="39" t="n">
        <f aca="false">IFERROR(C20/C$10,0)</f>
        <v>0.199933244325768</v>
      </c>
      <c r="E20" s="28" t="n">
        <v>895</v>
      </c>
      <c r="F20" s="39" t="n">
        <f aca="false">IFERROR(E20/E$10,0)</f>
        <v>0.19704975781594</v>
      </c>
      <c r="G20" s="28" t="n">
        <v>1888</v>
      </c>
      <c r="H20" s="39" t="n">
        <f aca="false">IFERROR(G20/G$10,0)</f>
        <v>0.483235218837983</v>
      </c>
      <c r="I20" s="28" t="n">
        <v>0</v>
      </c>
      <c r="J20" s="39" t="n">
        <f aca="false">IFERROR(I20/I$10,0)</f>
        <v>0</v>
      </c>
      <c r="K20" s="28" t="n">
        <v>0</v>
      </c>
      <c r="L20" s="39" t="n">
        <f aca="false">IFERROR(K20/K$10,0)</f>
        <v>0</v>
      </c>
      <c r="M20" s="28" t="n">
        <v>0</v>
      </c>
      <c r="N20" s="39" t="n">
        <f aca="false">IFERROR(M20/M$10,0)</f>
        <v>0</v>
      </c>
      <c r="O20" s="28" t="n">
        <v>506</v>
      </c>
      <c r="P20" s="39" t="n">
        <f aca="false">IFERROR(O20/O$10,0)</f>
        <v>0.299763033175355</v>
      </c>
      <c r="Q20" s="28" t="n">
        <v>383</v>
      </c>
      <c r="R20" s="39" t="n">
        <f aca="false">IFERROR(Q20/Q$10,0)</f>
        <v>0.300156739811912</v>
      </c>
      <c r="S20" s="28" t="n">
        <v>383</v>
      </c>
      <c r="T20" s="39" t="n">
        <f aca="false">IFERROR(S20/S$10,0)</f>
        <v>0.300156739811912</v>
      </c>
      <c r="U20" s="28" t="n">
        <v>306</v>
      </c>
      <c r="V20" s="39" t="n">
        <f aca="false">IFERROR(U20/U$10,0)</f>
        <v>0.299706170421156</v>
      </c>
      <c r="W20" s="28" t="n">
        <v>306</v>
      </c>
      <c r="X20" s="39" t="n">
        <f aca="false">IFERROR(W20/W$10,0)</f>
        <v>0.299706170421156</v>
      </c>
      <c r="Y20" s="28" t="n">
        <v>536</v>
      </c>
      <c r="Z20" s="39" t="n">
        <f aca="false">IFERROR(Y20/Y$10,0)</f>
        <v>0.300111982082867</v>
      </c>
      <c r="AB20" s="28" t="n">
        <f aca="false">SUM(C20,E20,G20,I20,K20,M20,O20,Q20,S20,U20,W20,Y20)</f>
        <v>6401</v>
      </c>
      <c r="AC20" s="39" t="n">
        <f aca="false">IFERROR(AB20/AB$10,0)</f>
        <v>0.230218673572148</v>
      </c>
    </row>
    <row r="21" customFormat="false" ht="15" hidden="false" customHeight="true" outlineLevel="0" collapsed="false">
      <c r="A21" s="27" t="s">
        <v>174</v>
      </c>
      <c r="C21" s="28" t="n">
        <v>243</v>
      </c>
      <c r="D21" s="39" t="n">
        <f aca="false">IFERROR(C21/C$11,0)</f>
        <v>0.179866765358993</v>
      </c>
      <c r="E21" s="28" t="n">
        <v>931</v>
      </c>
      <c r="F21" s="39" t="n">
        <f aca="false">IFERROR(E21/E$11,0)</f>
        <v>0.434843531060252</v>
      </c>
      <c r="G21" s="28" t="n">
        <v>723</v>
      </c>
      <c r="H21" s="39" t="n">
        <f aca="false">IFERROR(G21/G$11,0)</f>
        <v>0.0703444249854057</v>
      </c>
      <c r="I21" s="28" t="n">
        <v>0</v>
      </c>
      <c r="J21" s="39" t="n">
        <f aca="false">IFERROR(I21/I$11,0)</f>
        <v>0</v>
      </c>
      <c r="K21" s="28" t="n">
        <v>1308</v>
      </c>
      <c r="L21" s="39" t="n">
        <f aca="false">IFERROR(K21/K$11,0)</f>
        <v>0.235378801511607</v>
      </c>
      <c r="M21" s="28" t="n">
        <v>5238</v>
      </c>
      <c r="N21" s="39" t="n">
        <f aca="false">IFERROR(M21/M$11,0)</f>
        <v>1.2646064703042</v>
      </c>
      <c r="O21" s="28" t="n">
        <v>0</v>
      </c>
      <c r="P21" s="39" t="n">
        <f aca="false">IFERROR(O21/O$11,0)</f>
        <v>0</v>
      </c>
      <c r="Q21" s="28" t="n">
        <v>0</v>
      </c>
      <c r="R21" s="39" t="n">
        <f aca="false">IFERROR(Q21/Q$11,0)</f>
        <v>0</v>
      </c>
      <c r="S21" s="28" t="n">
        <v>0</v>
      </c>
      <c r="T21" s="39" t="n">
        <f aca="false">IFERROR(S21/S$11,0)</f>
        <v>0</v>
      </c>
      <c r="U21" s="28" t="n">
        <v>0</v>
      </c>
      <c r="V21" s="39" t="n">
        <f aca="false">IFERROR(U21/U$11,0)</f>
        <v>0</v>
      </c>
      <c r="W21" s="28" t="n">
        <v>0</v>
      </c>
      <c r="X21" s="39" t="n">
        <f aca="false">IFERROR(W21/W$11,0)</f>
        <v>0</v>
      </c>
      <c r="Y21" s="28" t="n">
        <v>0</v>
      </c>
      <c r="Z21" s="39" t="n">
        <f aca="false">IFERROR(Y21/Y$11,0)</f>
        <v>0</v>
      </c>
      <c r="AB21" s="28" t="n">
        <f aca="false">SUM(C21,E21,G21,I21,K21,M21,O21,Q21,S21,U21,W21,Y21)</f>
        <v>8443</v>
      </c>
      <c r="AC21" s="39" t="n">
        <f aca="false">IFERROR(AB21/AB$11,0)</f>
        <v>0.180548724418878</v>
      </c>
    </row>
    <row r="22" customFormat="false" ht="15" hidden="false" customHeight="true" outlineLevel="0" collapsed="false">
      <c r="A22" s="27" t="s">
        <v>175</v>
      </c>
      <c r="C22" s="28" t="n">
        <v>8</v>
      </c>
      <c r="D22" s="39" t="n">
        <f aca="false">IFERROR(C22/C$12,0)</f>
        <v>0.2</v>
      </c>
      <c r="E22" s="28" t="n">
        <v>707</v>
      </c>
      <c r="F22" s="39" t="n">
        <f aca="false">IFERROR(E22/E$12,0)</f>
        <v>0</v>
      </c>
      <c r="G22" s="28" t="n">
        <v>239</v>
      </c>
      <c r="H22" s="39" t="n">
        <f aca="false">IFERROR(G22/G$12,0)</f>
        <v>1.27807486631016</v>
      </c>
      <c r="I22" s="28" t="n">
        <v>0</v>
      </c>
      <c r="J22" s="39" t="n">
        <f aca="false">IFERROR(I22/I$12,0)</f>
        <v>0</v>
      </c>
      <c r="K22" s="28" t="n">
        <v>0</v>
      </c>
      <c r="L22" s="39" t="n">
        <f aca="false">IFERROR(K22/K$12,0)</f>
        <v>0</v>
      </c>
      <c r="M22" s="28" t="n">
        <v>180</v>
      </c>
      <c r="N22" s="39" t="n">
        <f aca="false">IFERROR(M22/M$12,0)</f>
        <v>0.342857142857143</v>
      </c>
      <c r="O22" s="28" t="n">
        <v>47</v>
      </c>
      <c r="P22" s="39" t="n">
        <f aca="false">IFERROR(O22/O$12,0)</f>
        <v>0.301282051282051</v>
      </c>
      <c r="Q22" s="28" t="n">
        <v>35</v>
      </c>
      <c r="R22" s="39" t="n">
        <f aca="false">IFERROR(Q22/Q$12,0)</f>
        <v>0.296610169491525</v>
      </c>
      <c r="S22" s="28" t="n">
        <v>35</v>
      </c>
      <c r="T22" s="39" t="n">
        <f aca="false">IFERROR(S22/S$12,0)</f>
        <v>0.296610169491525</v>
      </c>
      <c r="U22" s="28" t="n">
        <v>29</v>
      </c>
      <c r="V22" s="39" t="n">
        <f aca="false">IFERROR(U22/U$12,0)</f>
        <v>0.308510638297872</v>
      </c>
      <c r="W22" s="28" t="n">
        <v>29</v>
      </c>
      <c r="X22" s="39" t="n">
        <f aca="false">IFERROR(W22/W$12,0)</f>
        <v>0.308510638297872</v>
      </c>
      <c r="Y22" s="28" t="n">
        <v>49</v>
      </c>
      <c r="Z22" s="39" t="n">
        <f aca="false">IFERROR(Y22/Y$12,0)</f>
        <v>0.296969696969697</v>
      </c>
      <c r="AB22" s="28" t="n">
        <f aca="false">SUM(C22,E22,G22,I22,K22,M22,O22,Q22,S22,U22,W22,Y22)</f>
        <v>1358</v>
      </c>
      <c r="AC22" s="39" t="n">
        <f aca="false">IFERROR(AB22/AB$12,0)</f>
        <v>0.787703016241299</v>
      </c>
    </row>
    <row r="23" customFormat="false" ht="15" hidden="false" customHeight="true" outlineLevel="0" collapsed="false">
      <c r="A23" s="27" t="s">
        <v>176</v>
      </c>
      <c r="C23" s="28" t="n">
        <v>190</v>
      </c>
      <c r="D23" s="39" t="n">
        <f aca="false">IFERROR(C23/C$13,0)</f>
        <v>0.25065963060686</v>
      </c>
      <c r="E23" s="28" t="n">
        <v>888</v>
      </c>
      <c r="F23" s="39" t="n">
        <f aca="false">IFERROR(E23/E$13,0)</f>
        <v>1.88535031847134</v>
      </c>
      <c r="G23" s="28" t="n">
        <v>699</v>
      </c>
      <c r="H23" s="39" t="n">
        <f aca="false">IFERROR(G23/G$13,0)</f>
        <v>0.958847736625514</v>
      </c>
      <c r="I23" s="28" t="n">
        <v>252</v>
      </c>
      <c r="J23" s="39" t="n">
        <f aca="false">IFERROR(I23/I$13,0)</f>
        <v>0.591549295774648</v>
      </c>
      <c r="K23" s="28" t="n">
        <v>404</v>
      </c>
      <c r="L23" s="39" t="n">
        <f aca="false">IFERROR(K23/K$13,0)</f>
        <v>0.524675324675325</v>
      </c>
      <c r="M23" s="28" t="n">
        <v>551</v>
      </c>
      <c r="N23" s="39" t="n">
        <f aca="false">IFERROR(M23/M$13,0)</f>
        <v>1.26958525345622</v>
      </c>
      <c r="O23" s="28" t="n">
        <v>0</v>
      </c>
      <c r="P23" s="39" t="n">
        <f aca="false">IFERROR(O23/O$13,0)</f>
        <v>0</v>
      </c>
      <c r="Q23" s="28" t="n">
        <v>0</v>
      </c>
      <c r="R23" s="39" t="n">
        <f aca="false">IFERROR(Q23/Q$13,0)</f>
        <v>0</v>
      </c>
      <c r="S23" s="28" t="n">
        <v>0</v>
      </c>
      <c r="T23" s="39" t="n">
        <f aca="false">IFERROR(S23/S$13,0)</f>
        <v>0</v>
      </c>
      <c r="U23" s="28" t="n">
        <v>0</v>
      </c>
      <c r="V23" s="39" t="n">
        <f aca="false">IFERROR(U23/U$13,0)</f>
        <v>0</v>
      </c>
      <c r="W23" s="28" t="n">
        <v>0</v>
      </c>
      <c r="X23" s="39" t="n">
        <f aca="false">IFERROR(W23/W$13,0)</f>
        <v>0</v>
      </c>
      <c r="Y23" s="28" t="n">
        <v>0</v>
      </c>
      <c r="Z23" s="39" t="n">
        <f aca="false">IFERROR(Y23/Y$13,0)</f>
        <v>0</v>
      </c>
      <c r="AB23" s="28" t="n">
        <f aca="false">SUM(C23,E23,G23,I23,K23,M23,O23,Q23,S23,U23,W23,Y23)</f>
        <v>2984</v>
      </c>
      <c r="AC23" s="39" t="n">
        <f aca="false">IFERROR(AB23/AB$13,0)</f>
        <v>0.454878048780488</v>
      </c>
    </row>
    <row r="24" customFormat="false" ht="15" hidden="false" customHeight="true" outlineLevel="0" collapsed="false">
      <c r="A24" s="31" t="s">
        <v>129</v>
      </c>
      <c r="C24" s="32" t="n">
        <f aca="false">SUM(C19:C23)</f>
        <v>20270</v>
      </c>
      <c r="D24" s="40" t="n">
        <f aca="false">IFERROR(C24/C$16,0)</f>
        <v>0.531769767563881</v>
      </c>
      <c r="E24" s="32" t="n">
        <f aca="false">SUM(E19:E23)</f>
        <v>11807</v>
      </c>
      <c r="F24" s="40" t="n">
        <f aca="false">IFERROR(E24/E$16,0)</f>
        <v>0.707344835849509</v>
      </c>
      <c r="G24" s="32" t="n">
        <f aca="false">SUM(G19:G23)</f>
        <v>18289</v>
      </c>
      <c r="H24" s="40" t="n">
        <f aca="false">IFERROR(G24/G$16,0)</f>
        <v>0.459464891345308</v>
      </c>
      <c r="I24" s="32" t="n">
        <f aca="false">SUM(I19:I23)</f>
        <v>4532</v>
      </c>
      <c r="J24" s="40" t="n">
        <f aca="false">IFERROR(I24/I$16,0)</f>
        <v>0.361778558314042</v>
      </c>
      <c r="K24" s="32" t="n">
        <f aca="false">SUM(K19:K23)</f>
        <v>12944</v>
      </c>
      <c r="L24" s="40" t="n">
        <f aca="false">IFERROR(K24/K$16,0)</f>
        <v>0.31617772783898</v>
      </c>
      <c r="M24" s="32" t="n">
        <f aca="false">SUM(M19:M23)</f>
        <v>16704</v>
      </c>
      <c r="N24" s="40" t="n">
        <f aca="false">IFERROR(M24/M$16,0)</f>
        <v>0.364533094734086</v>
      </c>
      <c r="O24" s="32" t="n">
        <f aca="false">SUM(O19:O23)</f>
        <v>8031</v>
      </c>
      <c r="P24" s="40" t="n">
        <f aca="false">IFERROR(O24/O$16,0)</f>
        <v>0.242848503175083</v>
      </c>
      <c r="Q24" s="32" t="n">
        <f aca="false">SUM(Q19:Q23)</f>
        <v>6071</v>
      </c>
      <c r="R24" s="40" t="n">
        <f aca="false">IFERROR(Q24/Q$16,0)</f>
        <v>0.242830286788528</v>
      </c>
      <c r="S24" s="32" t="n">
        <f aca="false">SUM(S19:S23)</f>
        <v>6071</v>
      </c>
      <c r="T24" s="40" t="n">
        <f aca="false">IFERROR(S24/S$16,0)</f>
        <v>0.242830286788528</v>
      </c>
      <c r="U24" s="32" t="n">
        <f aca="false">SUM(U19:U23)</f>
        <v>4857</v>
      </c>
      <c r="V24" s="40" t="n">
        <f aca="false">IFERROR(U24/U$16,0)</f>
        <v>0.24285</v>
      </c>
      <c r="W24" s="32" t="n">
        <f aca="false">SUM(W19:W23)</f>
        <v>4857</v>
      </c>
      <c r="X24" s="40" t="n">
        <f aca="false">IFERROR(W24/W$16,0)</f>
        <v>0.24285</v>
      </c>
      <c r="Y24" s="32" t="n">
        <f aca="false">SUM(Y19:Y23)</f>
        <v>8499</v>
      </c>
      <c r="Z24" s="40" t="n">
        <f aca="false">IFERROR(Y24/Y$16,0)</f>
        <v>0.242835509585988</v>
      </c>
      <c r="AB24" s="32" t="n">
        <f aca="false">SUM(AB19:AB23)</f>
        <v>122932</v>
      </c>
      <c r="AC24" s="40" t="n">
        <f aca="false">IFERROR(AB24/AB$16,0)</f>
        <v>0.349263442005824</v>
      </c>
    </row>
    <row r="25" customFormat="false" ht="15" hidden="false" customHeight="true" outlineLevel="0" collapsed="false">
      <c r="A25" s="31" t="s">
        <v>130</v>
      </c>
      <c r="C25" s="41" t="n">
        <f aca="false">C16-C24</f>
        <v>17848</v>
      </c>
      <c r="D25" s="42" t="n">
        <f aca="false">IFERROR(C25/C$16,0)</f>
        <v>0.468230232436119</v>
      </c>
      <c r="E25" s="41" t="n">
        <f aca="false">E16-E24</f>
        <v>4885</v>
      </c>
      <c r="F25" s="42" t="n">
        <f aca="false">IFERROR(E25/E$16,0)</f>
        <v>0.292655164150491</v>
      </c>
      <c r="G25" s="41" t="n">
        <f aca="false">G16-G24</f>
        <v>21516</v>
      </c>
      <c r="H25" s="42" t="n">
        <f aca="false">IFERROR(G25/G$16,0)</f>
        <v>0.540535108654692</v>
      </c>
      <c r="I25" s="41" t="n">
        <f aca="false">I16-I24</f>
        <v>7995</v>
      </c>
      <c r="J25" s="42" t="n">
        <f aca="false">IFERROR(I25/I$16,0)</f>
        <v>0.638221441685958</v>
      </c>
      <c r="K25" s="41" t="n">
        <f aca="false">K16-K24</f>
        <v>27995</v>
      </c>
      <c r="L25" s="42" t="n">
        <f aca="false">IFERROR(K25/K$16,0)</f>
        <v>0.68382227216102</v>
      </c>
      <c r="M25" s="41" t="n">
        <f aca="false">M16-M24</f>
        <v>29119</v>
      </c>
      <c r="N25" s="42" t="n">
        <f aca="false">IFERROR(M25/M$16,0)</f>
        <v>0.635466905265915</v>
      </c>
      <c r="O25" s="41" t="n">
        <f aca="false">O16-O24</f>
        <v>25039</v>
      </c>
      <c r="P25" s="42" t="n">
        <f aca="false">IFERROR(O25/O$16,0)</f>
        <v>0.757151496824917</v>
      </c>
      <c r="Q25" s="41" t="n">
        <f aca="false">Q16-Q24</f>
        <v>18930</v>
      </c>
      <c r="R25" s="42" t="n">
        <f aca="false">IFERROR(Q25/Q$16,0)</f>
        <v>0.757169713211472</v>
      </c>
      <c r="S25" s="41" t="n">
        <f aca="false">S16-S24</f>
        <v>18930</v>
      </c>
      <c r="T25" s="42" t="n">
        <f aca="false">IFERROR(S25/S$16,0)</f>
        <v>0.757169713211472</v>
      </c>
      <c r="U25" s="41" t="n">
        <f aca="false">U16-U24</f>
        <v>15143</v>
      </c>
      <c r="V25" s="42" t="n">
        <f aca="false">IFERROR(U25/U$16,0)</f>
        <v>0.75715</v>
      </c>
      <c r="W25" s="41" t="n">
        <f aca="false">W16-W24</f>
        <v>15143</v>
      </c>
      <c r="X25" s="42" t="n">
        <f aca="false">IFERROR(W25/W$16,0)</f>
        <v>0.75715</v>
      </c>
      <c r="Y25" s="41" t="n">
        <f aca="false">Y16-Y24</f>
        <v>26500</v>
      </c>
      <c r="Z25" s="42" t="n">
        <f aca="false">IFERROR(Y25/Y$16,0)</f>
        <v>0.757164490414012</v>
      </c>
      <c r="AB25" s="41" t="n">
        <f aca="false">AB16-AB24</f>
        <v>229043</v>
      </c>
      <c r="AC25" s="42" t="n">
        <f aca="false">IFERROR(AB25/AB$16,0)</f>
        <v>0.650736557994176</v>
      </c>
    </row>
    <row r="27" customFormat="false" ht="15" hidden="false" customHeight="true" outlineLevel="0" collapsed="false">
      <c r="A27" s="31" t="s">
        <v>178</v>
      </c>
    </row>
    <row r="28" customFormat="false" ht="15" hidden="false" customHeight="true" outlineLevel="0" collapsed="false">
      <c r="A28" s="27" t="s">
        <v>179</v>
      </c>
      <c r="C28" s="28" t="n">
        <v>1230</v>
      </c>
      <c r="D28" s="39" t="n">
        <f aca="false">IFERROR(C28/C$16,0)</f>
        <v>0.0322682197387061</v>
      </c>
      <c r="E28" s="28" t="n">
        <v>615</v>
      </c>
      <c r="F28" s="39" t="n">
        <f aca="false">IFERROR(E28/E$16,0)</f>
        <v>0.036843997124371</v>
      </c>
      <c r="G28" s="28" t="n">
        <v>1277</v>
      </c>
      <c r="H28" s="39" t="n">
        <f aca="false">IFERROR(G28/G$16,0)</f>
        <v>0.0320813968094461</v>
      </c>
      <c r="I28" s="28" t="n">
        <v>1132</v>
      </c>
      <c r="J28" s="39" t="n">
        <f aca="false">IFERROR(I28/I$16,0)</f>
        <v>0.0903648120060669</v>
      </c>
      <c r="K28" s="28" t="n">
        <v>1657</v>
      </c>
      <c r="L28" s="39" t="n">
        <f aca="false">IFERROR(K28/K$16,0)</f>
        <v>0.04047485282982</v>
      </c>
      <c r="M28" s="28" t="n">
        <v>1377</v>
      </c>
      <c r="N28" s="39" t="n">
        <f aca="false">IFERROR(M28/M$16,0)</f>
        <v>0.0300504113654715</v>
      </c>
      <c r="O28" s="28" t="n">
        <v>1657</v>
      </c>
      <c r="P28" s="39" t="n">
        <f aca="false">IFERROR(O28/O$16,0)</f>
        <v>0.0501058361052313</v>
      </c>
      <c r="Q28" s="28" t="n">
        <v>1657</v>
      </c>
      <c r="R28" s="39" t="n">
        <f aca="false">IFERROR(Q28/Q$16,0)</f>
        <v>0.0662773489060438</v>
      </c>
      <c r="S28" s="28" t="n">
        <v>1657</v>
      </c>
      <c r="T28" s="39" t="n">
        <f aca="false">IFERROR(S28/S$16,0)</f>
        <v>0.0662773489060438</v>
      </c>
      <c r="U28" s="28" t="n">
        <v>1657</v>
      </c>
      <c r="V28" s="39" t="n">
        <f aca="false">IFERROR(U28/U$16,0)</f>
        <v>0.08285</v>
      </c>
      <c r="W28" s="28" t="n">
        <v>1657</v>
      </c>
      <c r="X28" s="39" t="n">
        <f aca="false">IFERROR(W28/W$16,0)</f>
        <v>0.08285</v>
      </c>
      <c r="Y28" s="28" t="n">
        <v>1657</v>
      </c>
      <c r="Z28" s="39" t="n">
        <f aca="false">IFERROR(Y28/Y$16,0)</f>
        <v>0.0473442098345667</v>
      </c>
      <c r="AB28" s="28" t="n">
        <f aca="false">SUM(C28,E28,G28,I28,K28,M28,O28,Q28,S28,U28,W28,Y28)</f>
        <v>17230</v>
      </c>
      <c r="AC28" s="39" t="n">
        <f aca="false">IFERROR(AB28/AB$16,0)</f>
        <v>0.0489523403650827</v>
      </c>
    </row>
    <row r="29" customFormat="false" ht="15" hidden="false" customHeight="true" outlineLevel="0" collapsed="false">
      <c r="A29" s="27" t="s">
        <v>180</v>
      </c>
      <c r="C29" s="28" t="n">
        <v>1097</v>
      </c>
      <c r="D29" s="39" t="n">
        <f aca="false">IFERROR(C29/C$16,0)</f>
        <v>0.0287790545149273</v>
      </c>
      <c r="E29" s="28" t="n">
        <v>2016</v>
      </c>
      <c r="F29" s="39" t="n">
        <f aca="false">IFERROR(E29/E$16,0)</f>
        <v>0.12077641984184</v>
      </c>
      <c r="G29" s="28" t="n">
        <v>1928</v>
      </c>
      <c r="H29" s="39" t="n">
        <f aca="false">IFERROR(G29/G$16,0)</f>
        <v>0.0484361261148097</v>
      </c>
      <c r="I29" s="28" t="n">
        <v>584</v>
      </c>
      <c r="J29" s="39" t="n">
        <f aca="false">IFERROR(I29/I$16,0)</f>
        <v>0.0466193023070168</v>
      </c>
      <c r="K29" s="28" t="n">
        <v>0</v>
      </c>
      <c r="L29" s="39" t="n">
        <f aca="false">IFERROR(K29/K$16,0)</f>
        <v>0</v>
      </c>
      <c r="M29" s="28" t="n">
        <v>-1</v>
      </c>
      <c r="N29" s="39" t="n">
        <f aca="false">IFERROR(M29/M$16,0)</f>
        <v>-2.18231019357091E-005</v>
      </c>
      <c r="O29" s="28" t="n">
        <v>0</v>
      </c>
      <c r="P29" s="39" t="n">
        <f aca="false">IFERROR(O29/O$16,0)</f>
        <v>0</v>
      </c>
      <c r="Q29" s="28" t="n">
        <v>0</v>
      </c>
      <c r="R29" s="39" t="n">
        <f aca="false">IFERROR(Q29/Q$16,0)</f>
        <v>0</v>
      </c>
      <c r="S29" s="28" t="n">
        <v>0</v>
      </c>
      <c r="T29" s="39" t="n">
        <f aca="false">IFERROR(S29/S$16,0)</f>
        <v>0</v>
      </c>
      <c r="U29" s="28" t="n">
        <v>0</v>
      </c>
      <c r="V29" s="39" t="n">
        <f aca="false">IFERROR(U29/U$16,0)</f>
        <v>0</v>
      </c>
      <c r="W29" s="28" t="n">
        <v>0</v>
      </c>
      <c r="X29" s="39" t="n">
        <f aca="false">IFERROR(W29/W$16,0)</f>
        <v>0</v>
      </c>
      <c r="Y29" s="28" t="n">
        <v>0</v>
      </c>
      <c r="Z29" s="39" t="n">
        <f aca="false">IFERROR(Y29/Y$16,0)</f>
        <v>0</v>
      </c>
      <c r="AB29" s="28" t="n">
        <f aca="false">SUM(C29,E29,G29,I29,K29,M29,O29,Q29,S29,U29,W29,Y29)</f>
        <v>5624</v>
      </c>
      <c r="AC29" s="39" t="n">
        <f aca="false">IFERROR(AB29/AB$16,0)</f>
        <v>0.0159784075573549</v>
      </c>
    </row>
    <row r="30" customFormat="false" ht="15" hidden="false" customHeight="true" outlineLevel="0" collapsed="false">
      <c r="A30" s="27" t="s">
        <v>181</v>
      </c>
      <c r="C30" s="28" t="n">
        <v>1384</v>
      </c>
      <c r="D30" s="39" t="n">
        <f aca="false">IFERROR(C30/C$16,0)</f>
        <v>0.0363083057872921</v>
      </c>
      <c r="E30" s="28" t="n">
        <v>1502</v>
      </c>
      <c r="F30" s="39" t="n">
        <f aca="false">IFERROR(E30/E$16,0)</f>
        <v>0.0899832254972442</v>
      </c>
      <c r="G30" s="28" t="n">
        <v>5284</v>
      </c>
      <c r="H30" s="39" t="n">
        <f aca="false">IFERROR(G30/G$16,0)</f>
        <v>0.132747142318804</v>
      </c>
      <c r="I30" s="28" t="n">
        <v>0</v>
      </c>
      <c r="J30" s="39" t="n">
        <f aca="false">IFERROR(I30/I$16,0)</f>
        <v>0</v>
      </c>
      <c r="K30" s="28" t="n">
        <v>8918</v>
      </c>
      <c r="L30" s="39" t="n">
        <f aca="false">IFERROR(K30/K$16,0)</f>
        <v>0.217836293021324</v>
      </c>
      <c r="M30" s="28" t="n">
        <v>10928</v>
      </c>
      <c r="N30" s="39" t="n">
        <f aca="false">IFERROR(M30/M$16,0)</f>
        <v>0.23848285795343</v>
      </c>
      <c r="O30" s="28" t="n">
        <v>5384</v>
      </c>
      <c r="P30" s="39" t="n">
        <f aca="false">IFERROR(O30/O$16,0)</f>
        <v>0.162806168732991</v>
      </c>
      <c r="Q30" s="28" t="n">
        <v>2500</v>
      </c>
      <c r="R30" s="39" t="n">
        <f aca="false">IFERROR(Q30/Q$16,0)</f>
        <v>0.0999960001599936</v>
      </c>
      <c r="S30" s="28" t="n">
        <v>2500</v>
      </c>
      <c r="T30" s="39" t="n">
        <f aca="false">IFERROR(S30/S$16,0)</f>
        <v>0.0999960001599936</v>
      </c>
      <c r="U30" s="28" t="n">
        <v>2000</v>
      </c>
      <c r="V30" s="39" t="n">
        <f aca="false">IFERROR(U30/U$16,0)</f>
        <v>0.1</v>
      </c>
      <c r="W30" s="28" t="n">
        <v>2000</v>
      </c>
      <c r="X30" s="39" t="n">
        <f aca="false">IFERROR(W30/W$16,0)</f>
        <v>0.1</v>
      </c>
      <c r="Y30" s="28" t="n">
        <v>3500</v>
      </c>
      <c r="Z30" s="39" t="n">
        <f aca="false">IFERROR(Y30/Y$16,0)</f>
        <v>0.100002857224492</v>
      </c>
      <c r="AB30" s="28" t="n">
        <f aca="false">SUM(C30,E30,G30,I30,K30,M30,O30,Q30,S30,U30,W30,Y30)</f>
        <v>45900</v>
      </c>
      <c r="AC30" s="39" t="n">
        <f aca="false">IFERROR(AB30/AB$16,0)</f>
        <v>0.130406989132751</v>
      </c>
    </row>
    <row r="31" customFormat="false" ht="15" hidden="false" customHeight="true" outlineLevel="0" collapsed="false">
      <c r="A31" s="27" t="s">
        <v>182</v>
      </c>
      <c r="C31" s="28" t="n">
        <v>303</v>
      </c>
      <c r="D31" s="39" t="n">
        <f aca="false">IFERROR(C31/C$16,0)</f>
        <v>0.00794900047221785</v>
      </c>
      <c r="E31" s="28" t="n">
        <v>1318</v>
      </c>
      <c r="F31" s="39" t="n">
        <f aca="false">IFERROR(E31/E$16,0)</f>
        <v>0.0789599808291397</v>
      </c>
      <c r="G31" s="28" t="n">
        <v>842</v>
      </c>
      <c r="H31" s="39" t="n">
        <f aca="false">IFERROR(G31/G$16,0)</f>
        <v>0.0211531214671524</v>
      </c>
      <c r="I31" s="28" t="n">
        <v>479</v>
      </c>
      <c r="J31" s="39" t="n">
        <f aca="false">IFERROR(I31/I$16,0)</f>
        <v>0.038237407200447</v>
      </c>
      <c r="K31" s="28" t="n">
        <v>1667</v>
      </c>
      <c r="L31" s="39" t="n">
        <f aca="false">IFERROR(K31/K$16,0)</f>
        <v>0.0407191186887809</v>
      </c>
      <c r="M31" s="28" t="n">
        <v>1248</v>
      </c>
      <c r="N31" s="39" t="n">
        <f aca="false">IFERROR(M31/M$16,0)</f>
        <v>0.027235231215765</v>
      </c>
      <c r="O31" s="28" t="n">
        <v>257</v>
      </c>
      <c r="P31" s="39" t="n">
        <f aca="false">IFERROR(O31/O$16,0)</f>
        <v>0.00777139401270033</v>
      </c>
      <c r="Q31" s="28" t="n">
        <v>257</v>
      </c>
      <c r="R31" s="39" t="n">
        <f aca="false">IFERROR(Q31/Q$16,0)</f>
        <v>0.0102795888164473</v>
      </c>
      <c r="S31" s="28" t="n">
        <v>257</v>
      </c>
      <c r="T31" s="39" t="n">
        <f aca="false">IFERROR(S31/S$16,0)</f>
        <v>0.0102795888164473</v>
      </c>
      <c r="U31" s="28" t="n">
        <v>257</v>
      </c>
      <c r="V31" s="39" t="n">
        <f aca="false">IFERROR(U31/U$16,0)</f>
        <v>0.01285</v>
      </c>
      <c r="W31" s="28" t="n">
        <v>257</v>
      </c>
      <c r="X31" s="39" t="n">
        <f aca="false">IFERROR(W31/W$16,0)</f>
        <v>0.01285</v>
      </c>
      <c r="Y31" s="28" t="n">
        <v>257</v>
      </c>
      <c r="Z31" s="39" t="n">
        <f aca="false">IFERROR(Y31/Y$16,0)</f>
        <v>0.00734306694476985</v>
      </c>
      <c r="AB31" s="28" t="n">
        <f aca="false">SUM(C31,E31,G31,I31,K31,M31,O31,Q31,S31,U31,W31,Y31)</f>
        <v>7399</v>
      </c>
      <c r="AC31" s="39" t="n">
        <f aca="false">IFERROR(AB31/AB$16,0)</f>
        <v>0.0210213793593295</v>
      </c>
    </row>
    <row r="32" customFormat="false" ht="15" hidden="false" customHeight="true" outlineLevel="0" collapsed="false">
      <c r="A32" s="27" t="s">
        <v>183</v>
      </c>
      <c r="C32" s="28" t="n">
        <v>313</v>
      </c>
      <c r="D32" s="39" t="n">
        <f aca="false">IFERROR(C32/C$16,0)</f>
        <v>0.00821134372212603</v>
      </c>
      <c r="E32" s="28" t="n">
        <v>311</v>
      </c>
      <c r="F32" s="39" t="n">
        <f aca="false">IFERROR(E32/E$16,0)</f>
        <v>0.0186316798466331</v>
      </c>
      <c r="G32" s="28" t="n">
        <v>380</v>
      </c>
      <c r="H32" s="39" t="n">
        <f aca="false">IFERROR(G32/G$16,0)</f>
        <v>0.00954653937947494</v>
      </c>
      <c r="I32" s="28" t="n">
        <v>380</v>
      </c>
      <c r="J32" s="39" t="n">
        <f aca="false">IFERROR(I32/I$16,0)</f>
        <v>0.0303344775285384</v>
      </c>
      <c r="K32" s="28" t="n">
        <v>551</v>
      </c>
      <c r="L32" s="39" t="n">
        <f aca="false">IFERROR(K32/K$16,0)</f>
        <v>0.0134590488287452</v>
      </c>
      <c r="M32" s="28" t="n">
        <v>1598</v>
      </c>
      <c r="N32" s="39" t="n">
        <f aca="false">IFERROR(M32/M$16,0)</f>
        <v>0.0348733168932632</v>
      </c>
      <c r="O32" s="28" t="n">
        <v>58</v>
      </c>
      <c r="P32" s="39" t="n">
        <f aca="false">IFERROR(O32/O$16,0)</f>
        <v>0.00175385545811914</v>
      </c>
      <c r="Q32" s="28" t="n">
        <v>58</v>
      </c>
      <c r="R32" s="39" t="n">
        <f aca="false">IFERROR(Q32/Q$16,0)</f>
        <v>0.00231990720371185</v>
      </c>
      <c r="S32" s="28" t="n">
        <v>58</v>
      </c>
      <c r="T32" s="39" t="n">
        <f aca="false">IFERROR(S32/S$16,0)</f>
        <v>0.00231990720371185</v>
      </c>
      <c r="U32" s="28" t="n">
        <v>58</v>
      </c>
      <c r="V32" s="39" t="n">
        <f aca="false">IFERROR(U32/U$16,0)</f>
        <v>0.0029</v>
      </c>
      <c r="W32" s="28" t="n">
        <v>58</v>
      </c>
      <c r="X32" s="39" t="n">
        <f aca="false">IFERROR(W32/W$16,0)</f>
        <v>0.0029</v>
      </c>
      <c r="Y32" s="28" t="n">
        <v>58</v>
      </c>
      <c r="Z32" s="39" t="n">
        <f aca="false">IFERROR(Y32/Y$16,0)</f>
        <v>0.00165719020543444</v>
      </c>
      <c r="AB32" s="28" t="n">
        <f aca="false">SUM(C32,E32,G32,I32,K32,M32,O32,Q32,S32,U32,W32,Y32)</f>
        <v>3881</v>
      </c>
      <c r="AC32" s="39" t="n">
        <f aca="false">IFERROR(AB32/AB$16,0)</f>
        <v>0.0110263513033596</v>
      </c>
    </row>
    <row r="33" customFormat="false" ht="15" hidden="false" customHeight="true" outlineLevel="0" collapsed="false">
      <c r="A33" s="31" t="s">
        <v>131</v>
      </c>
      <c r="C33" s="32" t="n">
        <f aca="false">SUM(C28:C32)</f>
        <v>4327</v>
      </c>
      <c r="D33" s="40" t="n">
        <f aca="false">IFERROR(C33/C$16,0)</f>
        <v>0.113515924235269</v>
      </c>
      <c r="E33" s="32" t="n">
        <f aca="false">SUM(E28:E32)</f>
        <v>5762</v>
      </c>
      <c r="F33" s="40" t="n">
        <f aca="false">IFERROR(E33/E$16,0)</f>
        <v>0.345195303139228</v>
      </c>
      <c r="G33" s="32" t="n">
        <f aca="false">SUM(G28:G32)</f>
        <v>9711</v>
      </c>
      <c r="H33" s="40" t="n">
        <f aca="false">IFERROR(G33/G$16,0)</f>
        <v>0.243964326089687</v>
      </c>
      <c r="I33" s="32" t="n">
        <f aca="false">SUM(I28:I32)</f>
        <v>2575</v>
      </c>
      <c r="J33" s="40" t="n">
        <f aca="false">IFERROR(I33/I$16,0)</f>
        <v>0.205555999042069</v>
      </c>
      <c r="K33" s="32" t="n">
        <f aca="false">SUM(K28:K32)</f>
        <v>12793</v>
      </c>
      <c r="L33" s="40" t="n">
        <f aca="false">IFERROR(K33/K$16,0)</f>
        <v>0.312489313368671</v>
      </c>
      <c r="M33" s="32" t="n">
        <f aca="false">SUM(M28:M32)</f>
        <v>15150</v>
      </c>
      <c r="N33" s="40" t="n">
        <f aca="false">IFERROR(M33/M$16,0)</f>
        <v>0.330619994325994</v>
      </c>
      <c r="O33" s="32" t="n">
        <f aca="false">SUM(O28:O32)</f>
        <v>7356</v>
      </c>
      <c r="P33" s="40" t="n">
        <f aca="false">IFERROR(O33/O$16,0)</f>
        <v>0.222437254309041</v>
      </c>
      <c r="Q33" s="32" t="n">
        <f aca="false">SUM(Q28:Q32)</f>
        <v>4472</v>
      </c>
      <c r="R33" s="40" t="n">
        <f aca="false">IFERROR(Q33/Q$16,0)</f>
        <v>0.178872845086197</v>
      </c>
      <c r="S33" s="32" t="n">
        <f aca="false">SUM(S28:S32)</f>
        <v>4472</v>
      </c>
      <c r="T33" s="40" t="n">
        <f aca="false">IFERROR(S33/S$16,0)</f>
        <v>0.178872845086197</v>
      </c>
      <c r="U33" s="32" t="n">
        <f aca="false">SUM(U28:U32)</f>
        <v>3972</v>
      </c>
      <c r="V33" s="40" t="n">
        <f aca="false">IFERROR(U33/U$16,0)</f>
        <v>0.1986</v>
      </c>
      <c r="W33" s="32" t="n">
        <f aca="false">SUM(W28:W32)</f>
        <v>3972</v>
      </c>
      <c r="X33" s="40" t="n">
        <f aca="false">IFERROR(W33/W$16,0)</f>
        <v>0.1986</v>
      </c>
      <c r="Y33" s="32" t="n">
        <f aca="false">SUM(Y28:Y32)</f>
        <v>5472</v>
      </c>
      <c r="Z33" s="40" t="n">
        <f aca="false">IFERROR(Y33/Y$16,0)</f>
        <v>0.156347324209263</v>
      </c>
      <c r="AB33" s="32" t="n">
        <f aca="false">SUM(AB28:AB32)</f>
        <v>80034</v>
      </c>
      <c r="AC33" s="40" t="n">
        <f aca="false">IFERROR(AB33/AB$16,0)</f>
        <v>0.227385467717878</v>
      </c>
    </row>
    <row r="35" customFormat="false" ht="15" hidden="false" customHeight="true" outlineLevel="0" collapsed="false">
      <c r="A35" s="31" t="s">
        <v>184</v>
      </c>
      <c r="C35" s="41" t="n">
        <f aca="false">C24+C33</f>
        <v>24597</v>
      </c>
      <c r="D35" s="42" t="n">
        <f aca="false">IFERROR(C35/C$16,0)</f>
        <v>0.64528569179915</v>
      </c>
      <c r="E35" s="41" t="n">
        <f aca="false">E24+E33</f>
        <v>17569</v>
      </c>
      <c r="F35" s="42" t="n">
        <f aca="false">IFERROR(E35/E$16,0)</f>
        <v>1.05254013898874</v>
      </c>
      <c r="G35" s="41" t="n">
        <f aca="false">G24+G33</f>
        <v>28000</v>
      </c>
      <c r="H35" s="42" t="n">
        <f aca="false">IFERROR(G35/G$16,0)</f>
        <v>0.703429217434996</v>
      </c>
      <c r="I35" s="41" t="n">
        <f aca="false">I24+I33</f>
        <v>7107</v>
      </c>
      <c r="J35" s="42" t="n">
        <f aca="false">IFERROR(I35/I$16,0)</f>
        <v>0.567334557356111</v>
      </c>
      <c r="K35" s="41" t="n">
        <f aca="false">K24+K33</f>
        <v>25737</v>
      </c>
      <c r="L35" s="42" t="n">
        <f aca="false">IFERROR(K35/K$16,0)</f>
        <v>0.62866704120765</v>
      </c>
      <c r="M35" s="41" t="n">
        <f aca="false">M24+M33</f>
        <v>31854</v>
      </c>
      <c r="N35" s="42" t="n">
        <f aca="false">IFERROR(M35/M$16,0)</f>
        <v>0.695153089060079</v>
      </c>
      <c r="O35" s="41" t="n">
        <f aca="false">O24+O33</f>
        <v>15387</v>
      </c>
      <c r="P35" s="42" t="n">
        <f aca="false">IFERROR(O35/O$16,0)</f>
        <v>0.465285757484125</v>
      </c>
      <c r="Q35" s="41" t="n">
        <f aca="false">Q24+Q33</f>
        <v>10543</v>
      </c>
      <c r="R35" s="42" t="n">
        <f aca="false">IFERROR(Q35/Q$16,0)</f>
        <v>0.421703131874725</v>
      </c>
      <c r="S35" s="41" t="n">
        <f aca="false">S24+S33</f>
        <v>10543</v>
      </c>
      <c r="T35" s="42" t="n">
        <f aca="false">IFERROR(S35/S$16,0)</f>
        <v>0.421703131874725</v>
      </c>
      <c r="U35" s="41" t="n">
        <f aca="false">U24+U33</f>
        <v>8829</v>
      </c>
      <c r="V35" s="42" t="n">
        <f aca="false">IFERROR(U35/U$16,0)</f>
        <v>0.44145</v>
      </c>
      <c r="W35" s="41" t="n">
        <f aca="false">W24+W33</f>
        <v>8829</v>
      </c>
      <c r="X35" s="42" t="n">
        <f aca="false">IFERROR(W35/W$16,0)</f>
        <v>0.44145</v>
      </c>
      <c r="Y35" s="41" t="n">
        <f aca="false">Y24+Y33</f>
        <v>13971</v>
      </c>
      <c r="Z35" s="42" t="n">
        <f aca="false">IFERROR(Y35/Y$16,0)</f>
        <v>0.399182833795251</v>
      </c>
      <c r="AB35" s="41" t="n">
        <f aca="false">AB24+AB33</f>
        <v>202966</v>
      </c>
      <c r="AC35" s="42" t="n">
        <f aca="false">IFERROR(AB35/AB$16,0)</f>
        <v>0.576648909723702</v>
      </c>
    </row>
    <row r="36" customFormat="false" ht="15" hidden="false" customHeight="true" outlineLevel="0" collapsed="false">
      <c r="A36" s="31" t="s">
        <v>185</v>
      </c>
      <c r="C36" s="41" t="n">
        <f aca="false">C25-C33</f>
        <v>13521</v>
      </c>
      <c r="D36" s="42" t="n">
        <f aca="false">IFERROR(C36/C$16,0)</f>
        <v>0.35471430820085</v>
      </c>
      <c r="E36" s="41" t="n">
        <f aca="false">E25-E33</f>
        <v>-877</v>
      </c>
      <c r="F36" s="42" t="n">
        <f aca="false">IFERROR(E36/E$16,0)</f>
        <v>-0.0525401389887371</v>
      </c>
      <c r="G36" s="41" t="n">
        <f aca="false">G25-G33</f>
        <v>11805</v>
      </c>
      <c r="H36" s="42" t="n">
        <f aca="false">IFERROR(G36/G$16,0)</f>
        <v>0.296570782565004</v>
      </c>
      <c r="I36" s="41" t="n">
        <f aca="false">I25-I33</f>
        <v>5420</v>
      </c>
      <c r="J36" s="42" t="n">
        <f aca="false">IFERROR(I36/I$16,0)</f>
        <v>0.432665442643889</v>
      </c>
      <c r="K36" s="41" t="n">
        <f aca="false">K25-K33</f>
        <v>15202</v>
      </c>
      <c r="L36" s="42" t="n">
        <f aca="false">IFERROR(K36/K$16,0)</f>
        <v>0.37133295879235</v>
      </c>
      <c r="M36" s="41" t="n">
        <f aca="false">M25-M33</f>
        <v>13969</v>
      </c>
      <c r="N36" s="42" t="n">
        <f aca="false">IFERROR(M36/M$16,0)</f>
        <v>0.304846910939921</v>
      </c>
      <c r="O36" s="41" t="n">
        <f aca="false">O25-O33</f>
        <v>17683</v>
      </c>
      <c r="P36" s="42" t="n">
        <f aca="false">IFERROR(O36/O$16,0)</f>
        <v>0.534714242515875</v>
      </c>
      <c r="Q36" s="41" t="n">
        <f aca="false">Q25-Q33</f>
        <v>14458</v>
      </c>
      <c r="R36" s="42" t="n">
        <f aca="false">IFERROR(Q36/Q$16,0)</f>
        <v>0.578296868125275</v>
      </c>
      <c r="S36" s="41" t="n">
        <f aca="false">S25-S33</f>
        <v>14458</v>
      </c>
      <c r="T36" s="42" t="n">
        <f aca="false">IFERROR(S36/S$16,0)</f>
        <v>0.578296868125275</v>
      </c>
      <c r="U36" s="41" t="n">
        <f aca="false">U25-U33</f>
        <v>11171</v>
      </c>
      <c r="V36" s="42" t="n">
        <f aca="false">IFERROR(U36/U$16,0)</f>
        <v>0.55855</v>
      </c>
      <c r="W36" s="41" t="n">
        <f aca="false">W25-W33</f>
        <v>11171</v>
      </c>
      <c r="X36" s="42" t="n">
        <f aca="false">IFERROR(W36/W$16,0)</f>
        <v>0.55855</v>
      </c>
      <c r="Y36" s="41" t="n">
        <f aca="false">Y25-Y33</f>
        <v>21028</v>
      </c>
      <c r="Z36" s="42" t="n">
        <f aca="false">IFERROR(Y36/Y$16,0)</f>
        <v>0.600817166204749</v>
      </c>
      <c r="AB36" s="41" t="n">
        <f aca="false">AB25-AB33</f>
        <v>149009</v>
      </c>
      <c r="AC36" s="42" t="n">
        <f aca="false">IFERROR(AB36/AB$16,0)</f>
        <v>0.423351090276298</v>
      </c>
    </row>
    <row r="38" customFormat="false" ht="15" hidden="false" customHeight="true" outlineLevel="0" collapsed="false">
      <c r="A38" s="31" t="s">
        <v>186</v>
      </c>
    </row>
    <row r="39" customFormat="false" ht="15" hidden="false" customHeight="true" outlineLevel="0" collapsed="false">
      <c r="A39" s="27" t="s">
        <v>187</v>
      </c>
      <c r="C39" s="28" t="n">
        <v>1631</v>
      </c>
      <c r="D39" s="39" t="n">
        <f aca="false">IFERROR(C39/C$16,0)</f>
        <v>0.0427881840600241</v>
      </c>
      <c r="E39" s="28" t="n">
        <v>1306</v>
      </c>
      <c r="F39" s="39" t="n">
        <f aca="false">IFERROR(E39/E$16,0)</f>
        <v>0.0782410735681764</v>
      </c>
      <c r="G39" s="28" t="n">
        <v>3262</v>
      </c>
      <c r="H39" s="39" t="n">
        <f aca="false">IFERROR(G39/G$16,0)</f>
        <v>0.081949503831177</v>
      </c>
      <c r="I39" s="28" t="n">
        <v>580</v>
      </c>
      <c r="J39" s="39" t="n">
        <f aca="false">IFERROR(I39/I$16,0)</f>
        <v>0.0462999920172428</v>
      </c>
      <c r="K39" s="28" t="n">
        <v>947</v>
      </c>
      <c r="L39" s="39" t="n">
        <f aca="false">IFERROR(K39/K$16,0)</f>
        <v>0.0231319768435966</v>
      </c>
      <c r="M39" s="28" t="n">
        <v>929</v>
      </c>
      <c r="N39" s="39" t="n">
        <f aca="false">IFERROR(M39/M$16,0)</f>
        <v>0.0202736616982738</v>
      </c>
      <c r="O39" s="28" t="n">
        <v>1262</v>
      </c>
      <c r="P39" s="39" t="n">
        <f aca="false">IFERROR(O39/O$16,0)</f>
        <v>0.0381614756576958</v>
      </c>
      <c r="Q39" s="28" t="n">
        <v>1262</v>
      </c>
      <c r="R39" s="39" t="n">
        <f aca="false">IFERROR(Q39/Q$16,0)</f>
        <v>0.0504779808807648</v>
      </c>
      <c r="S39" s="28" t="n">
        <v>1262</v>
      </c>
      <c r="T39" s="39" t="n">
        <f aca="false">IFERROR(S39/S$16,0)</f>
        <v>0.0504779808807648</v>
      </c>
      <c r="U39" s="28" t="n">
        <v>1262</v>
      </c>
      <c r="V39" s="39" t="n">
        <f aca="false">IFERROR(U39/U$16,0)</f>
        <v>0.0631</v>
      </c>
      <c r="W39" s="28" t="n">
        <v>1262</v>
      </c>
      <c r="X39" s="39" t="n">
        <f aca="false">IFERROR(W39/W$16,0)</f>
        <v>0.0631</v>
      </c>
      <c r="Y39" s="28" t="n">
        <v>1262</v>
      </c>
      <c r="Z39" s="39" t="n">
        <f aca="false">IFERROR(Y39/Y$16,0)</f>
        <v>0.0360581730906597</v>
      </c>
      <c r="AB39" s="28" t="n">
        <f aca="false">SUM(C39,E39,G39,I39,K39,M39,O39,Q39,S39,U39,W39,Y39)</f>
        <v>16227</v>
      </c>
      <c r="AC39" s="39" t="n">
        <f aca="false">IFERROR(AB39/AB$16,0)</f>
        <v>0.0461027061581078</v>
      </c>
    </row>
    <row r="40" customFormat="false" ht="15" hidden="false" customHeight="true" outlineLevel="0" collapsed="false">
      <c r="A40" s="27" t="s">
        <v>188</v>
      </c>
      <c r="C40" s="28" t="n">
        <v>0</v>
      </c>
      <c r="D40" s="39" t="n">
        <f aca="false">IFERROR(C40/C$16,0)</f>
        <v>0</v>
      </c>
      <c r="E40" s="28" t="n">
        <v>1112</v>
      </c>
      <c r="F40" s="39" t="n">
        <f aca="false">IFERROR(E40/E$16,0)</f>
        <v>0.0666187395159358</v>
      </c>
      <c r="G40" s="28" t="n">
        <v>256</v>
      </c>
      <c r="H40" s="39" t="n">
        <f aca="false">IFERROR(G40/G$16,0)</f>
        <v>0.00643135284511996</v>
      </c>
      <c r="I40" s="28" t="n">
        <v>0</v>
      </c>
      <c r="J40" s="39" t="n">
        <f aca="false">IFERROR(I40/I$16,0)</f>
        <v>0</v>
      </c>
      <c r="K40" s="28" t="n">
        <v>1445</v>
      </c>
      <c r="L40" s="39" t="n">
        <f aca="false">IFERROR(K40/K$16,0)</f>
        <v>0.035296416619849</v>
      </c>
      <c r="M40" s="28" t="n">
        <v>0</v>
      </c>
      <c r="N40" s="39" t="n">
        <f aca="false">IFERROR(M40/M$16,0)</f>
        <v>0</v>
      </c>
      <c r="O40" s="28" t="n">
        <v>1445</v>
      </c>
      <c r="P40" s="39" t="n">
        <f aca="false">IFERROR(O40/O$16,0)</f>
        <v>0.0436951920169338</v>
      </c>
      <c r="Q40" s="28" t="n">
        <v>1445</v>
      </c>
      <c r="R40" s="39" t="n">
        <f aca="false">IFERROR(Q40/Q$16,0)</f>
        <v>0.0577976880924763</v>
      </c>
      <c r="S40" s="28" t="n">
        <v>1445</v>
      </c>
      <c r="T40" s="39" t="n">
        <f aca="false">IFERROR(S40/S$16,0)</f>
        <v>0.0577976880924763</v>
      </c>
      <c r="U40" s="28" t="n">
        <v>1445</v>
      </c>
      <c r="V40" s="39" t="n">
        <f aca="false">IFERROR(U40/U$16,0)</f>
        <v>0.07225</v>
      </c>
      <c r="W40" s="28" t="n">
        <v>1445</v>
      </c>
      <c r="X40" s="39" t="n">
        <f aca="false">IFERROR(W40/W$16,0)</f>
        <v>0.07225</v>
      </c>
      <c r="Y40" s="28" t="n">
        <v>1445</v>
      </c>
      <c r="Z40" s="39" t="n">
        <f aca="false">IFERROR(Y40/Y$16,0)</f>
        <v>0.0412868939112546</v>
      </c>
      <c r="AB40" s="28" t="n">
        <f aca="false">SUM(C40,E40,G40,I40,K40,M40,O40,Q40,S40,U40,W40,Y40)</f>
        <v>11483</v>
      </c>
      <c r="AC40" s="39" t="n">
        <f aca="false">IFERROR(AB40/AB$16,0)</f>
        <v>0.0326244761701825</v>
      </c>
    </row>
    <row r="41" customFormat="false" ht="15" hidden="false" customHeight="true" outlineLevel="0" collapsed="false">
      <c r="A41" s="27" t="s">
        <v>189</v>
      </c>
      <c r="C41" s="28" t="n">
        <v>827</v>
      </c>
      <c r="D41" s="39" t="n">
        <f aca="false">IFERROR(C41/C$16,0)</f>
        <v>0.0216957867674065</v>
      </c>
      <c r="E41" s="28" t="n">
        <v>1090</v>
      </c>
      <c r="F41" s="39" t="n">
        <f aca="false">IFERROR(E41/E$16,0)</f>
        <v>0.0653007428708363</v>
      </c>
      <c r="G41" s="28" t="n">
        <v>1821</v>
      </c>
      <c r="H41" s="39" t="n">
        <f aca="false">IFERROR(G41/G$16,0)</f>
        <v>0.045748021605326</v>
      </c>
      <c r="I41" s="28" t="n">
        <v>1386</v>
      </c>
      <c r="J41" s="39" t="n">
        <f aca="false">IFERROR(I41/I$16,0)</f>
        <v>0.110641015406721</v>
      </c>
      <c r="K41" s="28" t="n">
        <v>674</v>
      </c>
      <c r="L41" s="39" t="n">
        <f aca="false">IFERROR(K41/K$16,0)</f>
        <v>0.0164635188939642</v>
      </c>
      <c r="M41" s="28" t="n">
        <v>697</v>
      </c>
      <c r="N41" s="39" t="n">
        <f aca="false">IFERROR(M41/M$16,0)</f>
        <v>0.0152107020491893</v>
      </c>
      <c r="O41" s="28" t="n">
        <v>674</v>
      </c>
      <c r="P41" s="39" t="n">
        <f aca="false">IFERROR(O41/O$16,0)</f>
        <v>0.0203810099788328</v>
      </c>
      <c r="Q41" s="28" t="n">
        <v>674</v>
      </c>
      <c r="R41" s="39" t="n">
        <f aca="false">IFERROR(Q41/Q$16,0)</f>
        <v>0.0269589216431343</v>
      </c>
      <c r="S41" s="28" t="n">
        <v>674</v>
      </c>
      <c r="T41" s="39" t="n">
        <f aca="false">IFERROR(S41/S$16,0)</f>
        <v>0.0269589216431343</v>
      </c>
      <c r="U41" s="28" t="n">
        <v>674</v>
      </c>
      <c r="V41" s="39" t="n">
        <f aca="false">IFERROR(U41/U$16,0)</f>
        <v>0.0337</v>
      </c>
      <c r="W41" s="28" t="n">
        <v>674</v>
      </c>
      <c r="X41" s="39" t="n">
        <f aca="false">IFERROR(W41/W$16,0)</f>
        <v>0.0337</v>
      </c>
      <c r="Y41" s="28" t="n">
        <v>674</v>
      </c>
      <c r="Z41" s="39" t="n">
        <f aca="false">IFERROR(Y41/Y$16,0)</f>
        <v>0.0192576930769451</v>
      </c>
      <c r="AB41" s="28" t="n">
        <f aca="false">SUM(C41,E41,G41,I41,K41,M41,O41,Q41,S41,U41,W41,Y41)</f>
        <v>10539</v>
      </c>
      <c r="AC41" s="39" t="n">
        <f aca="false">IFERROR(AB41/AB$16,0)</f>
        <v>0.0299424675047944</v>
      </c>
    </row>
    <row r="42" customFormat="false" ht="15" hidden="false" customHeight="true" outlineLevel="0" collapsed="false">
      <c r="A42" s="27" t="s">
        <v>190</v>
      </c>
      <c r="C42" s="28" t="n">
        <v>3621</v>
      </c>
      <c r="D42" s="39" t="n">
        <f aca="false">IFERROR(C42/C$16,0)</f>
        <v>0.0949944907917519</v>
      </c>
      <c r="E42" s="28" t="n">
        <v>3804</v>
      </c>
      <c r="F42" s="39" t="n">
        <f aca="false">IFERROR(E42/E$16,0)</f>
        <v>0.227893601725377</v>
      </c>
      <c r="G42" s="28" t="n">
        <v>5208</v>
      </c>
      <c r="H42" s="39" t="n">
        <f aca="false">IFERROR(G42/G$16,0)</f>
        <v>0.130837834442909</v>
      </c>
      <c r="I42" s="28" t="n">
        <v>2705</v>
      </c>
      <c r="J42" s="39" t="n">
        <f aca="false">IFERROR(I42/I$16,0)</f>
        <v>0.215933583459727</v>
      </c>
      <c r="K42" s="28" t="n">
        <v>4709</v>
      </c>
      <c r="L42" s="39" t="n">
        <f aca="false">IFERROR(K42/K$16,0)</f>
        <v>0.115024792984685</v>
      </c>
      <c r="M42" s="28" t="n">
        <v>2584</v>
      </c>
      <c r="N42" s="39" t="n">
        <f aca="false">IFERROR(M42/M$16,0)</f>
        <v>0.0563908954018724</v>
      </c>
      <c r="O42" s="28" t="n">
        <v>3340</v>
      </c>
      <c r="P42" s="39" t="n">
        <f aca="false">IFERROR(O42/O$16,0)</f>
        <v>0.100997883277895</v>
      </c>
      <c r="Q42" s="28" t="n">
        <v>2979</v>
      </c>
      <c r="R42" s="39" t="n">
        <f aca="false">IFERROR(Q42/Q$16,0)</f>
        <v>0.119155233790648</v>
      </c>
      <c r="S42" s="28" t="n">
        <v>2857</v>
      </c>
      <c r="T42" s="39" t="n">
        <f aca="false">IFERROR(S42/S$16,0)</f>
        <v>0.114275428982841</v>
      </c>
      <c r="U42" s="28" t="n">
        <v>2748</v>
      </c>
      <c r="V42" s="39" t="n">
        <f aca="false">IFERROR(U42/U$16,0)</f>
        <v>0.1374</v>
      </c>
      <c r="W42" s="28" t="n">
        <v>2707</v>
      </c>
      <c r="X42" s="39" t="n">
        <f aca="false">IFERROR(W42/W$16,0)</f>
        <v>0.13535</v>
      </c>
      <c r="Y42" s="28" t="n">
        <v>2718</v>
      </c>
      <c r="Z42" s="39" t="n">
        <f aca="false">IFERROR(Y42/Y$16,0)</f>
        <v>0.0776593616960485</v>
      </c>
      <c r="AB42" s="28" t="n">
        <f aca="false">SUM(C42,E42,G42,I42,K42,M42,O42,Q42,S42,U42,W42,Y42)</f>
        <v>39980</v>
      </c>
      <c r="AC42" s="39" t="n">
        <f aca="false">IFERROR(AB42/AB$16,0)</f>
        <v>0.113587612756588</v>
      </c>
    </row>
    <row r="43" customFormat="false" ht="15" hidden="false" customHeight="true" outlineLevel="0" collapsed="false">
      <c r="A43" s="27" t="s">
        <v>191</v>
      </c>
      <c r="C43" s="28" t="n">
        <v>0</v>
      </c>
      <c r="D43" s="39" t="n">
        <f aca="false">IFERROR(C43/C$16,0)</f>
        <v>0</v>
      </c>
      <c r="E43" s="28" t="n">
        <v>0</v>
      </c>
      <c r="F43" s="39" t="n">
        <f aca="false">IFERROR(E43/E$16,0)</f>
        <v>0</v>
      </c>
      <c r="G43" s="28" t="n">
        <v>520</v>
      </c>
      <c r="H43" s="39" t="n">
        <f aca="false">IFERROR(G43/G$16,0)</f>
        <v>0.0130636854666499</v>
      </c>
      <c r="I43" s="28" t="n">
        <v>1875</v>
      </c>
      <c r="J43" s="39" t="n">
        <f aca="false">IFERROR(I43/I$16,0)</f>
        <v>0.149676698331604</v>
      </c>
      <c r="K43" s="28" t="n">
        <v>0</v>
      </c>
      <c r="L43" s="39" t="n">
        <f aca="false">IFERROR(K43/K$16,0)</f>
        <v>0</v>
      </c>
      <c r="M43" s="28" t="n">
        <v>0</v>
      </c>
      <c r="N43" s="39" t="n">
        <f aca="false">IFERROR(M43/M$16,0)</f>
        <v>0</v>
      </c>
      <c r="O43" s="28" t="n">
        <v>0</v>
      </c>
      <c r="P43" s="39" t="n">
        <f aca="false">IFERROR(O43/O$16,0)</f>
        <v>0</v>
      </c>
      <c r="Q43" s="28" t="n">
        <v>0</v>
      </c>
      <c r="R43" s="39" t="n">
        <f aca="false">IFERROR(Q43/Q$16,0)</f>
        <v>0</v>
      </c>
      <c r="S43" s="28" t="n">
        <v>0</v>
      </c>
      <c r="T43" s="39" t="n">
        <f aca="false">IFERROR(S43/S$16,0)</f>
        <v>0</v>
      </c>
      <c r="U43" s="28" t="n">
        <v>0</v>
      </c>
      <c r="V43" s="39" t="n">
        <f aca="false">IFERROR(U43/U$16,0)</f>
        <v>0</v>
      </c>
      <c r="W43" s="28" t="n">
        <v>0</v>
      </c>
      <c r="X43" s="39" t="n">
        <f aca="false">IFERROR(W43/W$16,0)</f>
        <v>0</v>
      </c>
      <c r="Y43" s="28" t="n">
        <v>0</v>
      </c>
      <c r="Z43" s="39" t="n">
        <f aca="false">IFERROR(Y43/Y$16,0)</f>
        <v>0</v>
      </c>
      <c r="AB43" s="28" t="n">
        <f aca="false">SUM(C43,E43,G43,I43,K43,M43,O43,Q43,S43,U43,W43,Y43)</f>
        <v>2395</v>
      </c>
      <c r="AC43" s="39" t="n">
        <f aca="false">IFERROR(AB43/AB$16,0)</f>
        <v>0.00680446054407273</v>
      </c>
    </row>
    <row r="44" customFormat="false" ht="15" hidden="false" customHeight="true" outlineLevel="0" collapsed="false">
      <c r="A44" s="31" t="s">
        <v>193</v>
      </c>
      <c r="C44" s="32" t="n">
        <f aca="false">SUM(C39:C43)</f>
        <v>6079</v>
      </c>
      <c r="D44" s="40" t="n">
        <f aca="false">IFERROR(C44/C$16,0)</f>
        <v>0.159478461619183</v>
      </c>
      <c r="E44" s="32" t="n">
        <f aca="false">SUM(E39:E43)</f>
        <v>7312</v>
      </c>
      <c r="F44" s="40" t="n">
        <f aca="false">IFERROR(E44/E$16,0)</f>
        <v>0.438054157680326</v>
      </c>
      <c r="G44" s="32" t="n">
        <f aca="false">SUM(G39:G43)</f>
        <v>11067</v>
      </c>
      <c r="H44" s="40" t="n">
        <f aca="false">IFERROR(G44/G$16,0)</f>
        <v>0.278030398191182</v>
      </c>
      <c r="I44" s="32" t="n">
        <f aca="false">SUM(I39:I43)</f>
        <v>6546</v>
      </c>
      <c r="J44" s="40" t="n">
        <f aca="false">IFERROR(I44/I$16,0)</f>
        <v>0.522551289215295</v>
      </c>
      <c r="K44" s="32" t="n">
        <f aca="false">SUM(K39:K43)</f>
        <v>7775</v>
      </c>
      <c r="L44" s="40" t="n">
        <f aca="false">IFERROR(K44/K$16,0)</f>
        <v>0.189916705342094</v>
      </c>
      <c r="M44" s="32" t="n">
        <f aca="false">SUM(M39:M43)</f>
        <v>4210</v>
      </c>
      <c r="N44" s="40" t="n">
        <f aca="false">IFERROR(M44/M$16,0)</f>
        <v>0.0918752591493355</v>
      </c>
      <c r="O44" s="32" t="n">
        <f aca="false">SUM(O39:O43)</f>
        <v>6721</v>
      </c>
      <c r="P44" s="40" t="n">
        <f aca="false">IFERROR(O44/O$16,0)</f>
        <v>0.203235560931358</v>
      </c>
      <c r="Q44" s="32" t="n">
        <f aca="false">SUM(Q39:Q43)</f>
        <v>6360</v>
      </c>
      <c r="R44" s="40" t="n">
        <f aca="false">IFERROR(Q44/Q$16,0)</f>
        <v>0.254389824407024</v>
      </c>
      <c r="S44" s="32" t="n">
        <f aca="false">SUM(S39:S43)</f>
        <v>6238</v>
      </c>
      <c r="T44" s="40" t="n">
        <f aca="false">IFERROR(S44/S$16,0)</f>
        <v>0.249510019599216</v>
      </c>
      <c r="U44" s="32" t="n">
        <f aca="false">SUM(U39:U43)</f>
        <v>6129</v>
      </c>
      <c r="V44" s="40" t="n">
        <f aca="false">IFERROR(U44/U$16,0)</f>
        <v>0.30645</v>
      </c>
      <c r="W44" s="32" t="n">
        <f aca="false">SUM(W39:W43)</f>
        <v>6088</v>
      </c>
      <c r="X44" s="40" t="n">
        <f aca="false">IFERROR(W44/W$16,0)</f>
        <v>0.3044</v>
      </c>
      <c r="Y44" s="32" t="n">
        <f aca="false">SUM(Y39:Y43)</f>
        <v>6099</v>
      </c>
      <c r="Z44" s="40" t="n">
        <f aca="false">IFERROR(Y44/Y$16,0)</f>
        <v>0.174262121774908</v>
      </c>
      <c r="AB44" s="32" t="n">
        <f aca="false">SUM(AB39:AB43)</f>
        <v>80624</v>
      </c>
      <c r="AC44" s="40" t="n">
        <f aca="false">IFERROR(AB44/AB$16,0)</f>
        <v>0.229061723133745</v>
      </c>
    </row>
    <row r="46" customFormat="false" ht="15" hidden="false" customHeight="true" outlineLevel="0" collapsed="false">
      <c r="A46" s="31" t="s">
        <v>194</v>
      </c>
    </row>
    <row r="47" customFormat="false" ht="15" hidden="false" customHeight="true" outlineLevel="0" collapsed="false">
      <c r="A47" s="27" t="s">
        <v>195</v>
      </c>
      <c r="C47" s="28" t="n">
        <v>479</v>
      </c>
      <c r="D47" s="39" t="n">
        <f aca="false">IFERROR(C47/C$16,0)</f>
        <v>0.0125662416706018</v>
      </c>
      <c r="E47" s="28" t="n">
        <v>433</v>
      </c>
      <c r="F47" s="39" t="n">
        <f aca="false">IFERROR(E47/E$16,0)</f>
        <v>0.0259405703330937</v>
      </c>
      <c r="G47" s="28" t="n">
        <v>479</v>
      </c>
      <c r="H47" s="39" t="n">
        <f aca="false">IFERROR(G47/G$16,0)</f>
        <v>0.0120336641125487</v>
      </c>
      <c r="I47" s="28" t="n">
        <v>464</v>
      </c>
      <c r="J47" s="39" t="n">
        <f aca="false">IFERROR(I47/I$16,0)</f>
        <v>0.0370399936137942</v>
      </c>
      <c r="K47" s="28" t="n">
        <v>479</v>
      </c>
      <c r="L47" s="39" t="n">
        <f aca="false">IFERROR(K47/K$16,0)</f>
        <v>0.0117003346442268</v>
      </c>
      <c r="M47" s="28" t="n">
        <v>479</v>
      </c>
      <c r="N47" s="39" t="n">
        <f aca="false">IFERROR(M47/M$16,0)</f>
        <v>0.0104532658272047</v>
      </c>
      <c r="O47" s="28" t="n">
        <v>479</v>
      </c>
      <c r="P47" s="39" t="n">
        <f aca="false">IFERROR(O47/O$16,0)</f>
        <v>0.0144844269730874</v>
      </c>
      <c r="Q47" s="28" t="n">
        <v>479</v>
      </c>
      <c r="R47" s="39" t="n">
        <f aca="false">IFERROR(Q47/Q$16,0)</f>
        <v>0.0191592336306548</v>
      </c>
      <c r="S47" s="28" t="n">
        <v>479</v>
      </c>
      <c r="T47" s="39" t="n">
        <f aca="false">IFERROR(S47/S$16,0)</f>
        <v>0.0191592336306548</v>
      </c>
      <c r="U47" s="28" t="n">
        <v>479</v>
      </c>
      <c r="V47" s="39" t="n">
        <f aca="false">IFERROR(U47/U$16,0)</f>
        <v>0.02395</v>
      </c>
      <c r="W47" s="28" t="n">
        <v>479</v>
      </c>
      <c r="X47" s="39" t="n">
        <f aca="false">IFERROR(W47/W$16,0)</f>
        <v>0.02395</v>
      </c>
      <c r="Y47" s="28" t="n">
        <v>479</v>
      </c>
      <c r="Z47" s="39" t="n">
        <f aca="false">IFERROR(Y47/Y$16,0)</f>
        <v>0.0136861053172948</v>
      </c>
      <c r="AB47" s="28" t="n">
        <f aca="false">SUM(C47,E47,G47,I47,K47,M47,O47,Q47,S47,U47,W47,Y47)</f>
        <v>5687</v>
      </c>
      <c r="AC47" s="39" t="n">
        <f aca="false">IFERROR(AB47/AB$16,0)</f>
        <v>0.0161573975424391</v>
      </c>
    </row>
    <row r="48" customFormat="false" ht="15" hidden="false" customHeight="true" outlineLevel="0" collapsed="false">
      <c r="A48" s="27" t="s">
        <v>196</v>
      </c>
      <c r="C48" s="28" t="n">
        <v>2509</v>
      </c>
      <c r="D48" s="39" t="n">
        <f aca="false">IFERROR(C48/C$16,0)</f>
        <v>0.0658219214019623</v>
      </c>
      <c r="E48" s="28" t="n">
        <v>1020</v>
      </c>
      <c r="F48" s="39" t="n">
        <f aca="false">IFERROR(E48/E$16,0)</f>
        <v>0.0611071171818835</v>
      </c>
      <c r="G48" s="28" t="n">
        <v>2388</v>
      </c>
      <c r="H48" s="39" t="n">
        <f aca="false">IFERROR(G48/G$16,0)</f>
        <v>0.0599924632583846</v>
      </c>
      <c r="I48" s="28" t="n">
        <v>735</v>
      </c>
      <c r="J48" s="39" t="n">
        <f aca="false">IFERROR(I48/I$16,0)</f>
        <v>0.0586732657459887</v>
      </c>
      <c r="K48" s="28" t="n">
        <v>2456</v>
      </c>
      <c r="L48" s="39" t="n">
        <f aca="false">IFERROR(K48/K$16,0)</f>
        <v>0.0599916949607953</v>
      </c>
      <c r="M48" s="28" t="n">
        <v>2749</v>
      </c>
      <c r="N48" s="39" t="n">
        <f aca="false">IFERROR(M48/M$16,0)</f>
        <v>0.0599917072212644</v>
      </c>
      <c r="O48" s="28" t="n">
        <v>1984</v>
      </c>
      <c r="P48" s="39" t="n">
        <f aca="false">IFERROR(O48/O$16,0)</f>
        <v>0.0599939522225582</v>
      </c>
      <c r="Q48" s="28" t="n">
        <v>1500</v>
      </c>
      <c r="R48" s="39" t="n">
        <f aca="false">IFERROR(Q48/Q$16,0)</f>
        <v>0.0599976000959962</v>
      </c>
      <c r="S48" s="28" t="n">
        <v>1500</v>
      </c>
      <c r="T48" s="39" t="n">
        <f aca="false">IFERROR(S48/S$16,0)</f>
        <v>0.0599976000959962</v>
      </c>
      <c r="U48" s="28" t="n">
        <v>1200</v>
      </c>
      <c r="V48" s="39" t="n">
        <f aca="false">IFERROR(U48/U$16,0)</f>
        <v>0.06</v>
      </c>
      <c r="W48" s="28" t="n">
        <v>1200</v>
      </c>
      <c r="X48" s="39" t="n">
        <f aca="false">IFERROR(W48/W$16,0)</f>
        <v>0.06</v>
      </c>
      <c r="Y48" s="28" t="n">
        <v>2100</v>
      </c>
      <c r="Z48" s="39" t="n">
        <f aca="false">IFERROR(Y48/Y$16,0)</f>
        <v>0.0600017143346953</v>
      </c>
      <c r="AB48" s="28" t="n">
        <f aca="false">SUM(C48,E48,G48,I48,K48,M48,O48,Q48,S48,U48,W48,Y48)</f>
        <v>21341</v>
      </c>
      <c r="AC48" s="39" t="n">
        <f aca="false">IFERROR(AB48/AB$16,0)</f>
        <v>0.0606321471695433</v>
      </c>
    </row>
    <row r="49" customFormat="false" ht="15" hidden="false" customHeight="true" outlineLevel="0" collapsed="false">
      <c r="A49" s="27" t="s">
        <v>197</v>
      </c>
      <c r="C49" s="28" t="n">
        <v>1669</v>
      </c>
      <c r="D49" s="39" t="n">
        <f aca="false">IFERROR(C49/C$16,0)</f>
        <v>0.0437850884096752</v>
      </c>
      <c r="E49" s="28" t="n">
        <v>223</v>
      </c>
      <c r="F49" s="39" t="n">
        <f aca="false">IFERROR(E49/E$16,0)</f>
        <v>0.0133596932662353</v>
      </c>
      <c r="G49" s="28" t="n">
        <v>627</v>
      </c>
      <c r="H49" s="39" t="n">
        <f aca="false">IFERROR(G49/G$16,0)</f>
        <v>0.0157517899761337</v>
      </c>
      <c r="I49" s="28" t="n">
        <v>-128</v>
      </c>
      <c r="J49" s="39" t="n">
        <f aca="false">IFERROR(I49/I$16,0)</f>
        <v>-0.0102179292727708</v>
      </c>
      <c r="K49" s="28" t="n">
        <v>0</v>
      </c>
      <c r="L49" s="39" t="n">
        <f aca="false">IFERROR(K49/K$16,0)</f>
        <v>0</v>
      </c>
      <c r="M49" s="28" t="n">
        <v>1306</v>
      </c>
      <c r="N49" s="39" t="n">
        <f aca="false">IFERROR(M49/M$16,0)</f>
        <v>0.0285009711280361</v>
      </c>
      <c r="O49" s="28" t="n">
        <v>661</v>
      </c>
      <c r="P49" s="39" t="n">
        <f aca="false">IFERROR(O49/O$16,0)</f>
        <v>0.0199879044451164</v>
      </c>
      <c r="Q49" s="28" t="n">
        <v>500</v>
      </c>
      <c r="R49" s="39" t="n">
        <f aca="false">IFERROR(Q49/Q$16,0)</f>
        <v>0.0199992000319987</v>
      </c>
      <c r="S49" s="28" t="n">
        <v>500</v>
      </c>
      <c r="T49" s="39" t="n">
        <f aca="false">IFERROR(S49/S$16,0)</f>
        <v>0.0199992000319987</v>
      </c>
      <c r="U49" s="28" t="n">
        <v>400</v>
      </c>
      <c r="V49" s="39" t="n">
        <f aca="false">IFERROR(U49/U$16,0)</f>
        <v>0.02</v>
      </c>
      <c r="W49" s="28" t="n">
        <v>400</v>
      </c>
      <c r="X49" s="39" t="n">
        <f aca="false">IFERROR(W49/W$16,0)</f>
        <v>0.02</v>
      </c>
      <c r="Y49" s="28" t="n">
        <v>700</v>
      </c>
      <c r="Z49" s="39" t="n">
        <f aca="false">IFERROR(Y49/Y$16,0)</f>
        <v>0.0200005714448984</v>
      </c>
      <c r="AB49" s="28" t="n">
        <f aca="false">SUM(C49,E49,G49,I49,K49,M49,O49,Q49,S49,U49,W49,Y49)</f>
        <v>6858</v>
      </c>
      <c r="AC49" s="39" t="n">
        <f aca="false">IFERROR(AB49/AB$16,0)</f>
        <v>0.0194843383763051</v>
      </c>
    </row>
    <row r="50" customFormat="false" ht="15" hidden="false" customHeight="true" outlineLevel="0" collapsed="false">
      <c r="A50" s="27" t="s">
        <v>133</v>
      </c>
      <c r="C50" s="28" t="n">
        <v>4000</v>
      </c>
      <c r="D50" s="39" t="n">
        <f aca="false">IFERROR(C50/C$16,0)</f>
        <v>0.104937299963272</v>
      </c>
      <c r="E50" s="28" t="n">
        <v>4000</v>
      </c>
      <c r="F50" s="39" t="n">
        <f aca="false">IFERROR(E50/E$16,0)</f>
        <v>0.239635753654445</v>
      </c>
      <c r="G50" s="28" t="n">
        <v>4000</v>
      </c>
      <c r="H50" s="39" t="n">
        <f aca="false">IFERROR(G50/G$16,0)</f>
        <v>0.100489888204999</v>
      </c>
      <c r="I50" s="28" t="n">
        <v>4000</v>
      </c>
      <c r="J50" s="39" t="n">
        <f aca="false">IFERROR(I50/I$16,0)</f>
        <v>0.319310289774088</v>
      </c>
      <c r="K50" s="28" t="n">
        <v>4000</v>
      </c>
      <c r="L50" s="39" t="n">
        <f aca="false">IFERROR(K50/K$16,0)</f>
        <v>0.0977063435843572</v>
      </c>
      <c r="M50" s="28" t="n">
        <v>4000</v>
      </c>
      <c r="N50" s="39" t="n">
        <f aca="false">IFERROR(M50/M$16,0)</f>
        <v>0.0872924077428366</v>
      </c>
      <c r="O50" s="28" t="n">
        <v>4000</v>
      </c>
      <c r="P50" s="39" t="n">
        <f aca="false">IFERROR(O50/O$16,0)</f>
        <v>0.120955548835803</v>
      </c>
      <c r="Q50" s="28" t="n">
        <v>4000</v>
      </c>
      <c r="R50" s="39" t="n">
        <f aca="false">IFERROR(Q50/Q$16,0)</f>
        <v>0.15999360025599</v>
      </c>
      <c r="S50" s="28" t="n">
        <v>4000</v>
      </c>
      <c r="T50" s="39" t="n">
        <f aca="false">IFERROR(S50/S$16,0)</f>
        <v>0.15999360025599</v>
      </c>
      <c r="U50" s="28" t="n">
        <v>4000</v>
      </c>
      <c r="V50" s="39" t="n">
        <f aca="false">IFERROR(U50/U$16,0)</f>
        <v>0.2</v>
      </c>
      <c r="W50" s="28" t="n">
        <v>4000</v>
      </c>
      <c r="X50" s="39" t="n">
        <f aca="false">IFERROR(W50/W$16,0)</f>
        <v>0.2</v>
      </c>
      <c r="Y50" s="28" t="n">
        <v>4000</v>
      </c>
      <c r="Z50" s="39" t="n">
        <f aca="false">IFERROR(Y50/Y$16,0)</f>
        <v>0.114288979685134</v>
      </c>
      <c r="AB50" s="28" t="n">
        <f aca="false">SUM(C50,E50,G50,I50,K50,M50,O50,Q50,S50,U50,W50,Y50)</f>
        <v>48000</v>
      </c>
      <c r="AC50" s="39" t="n">
        <f aca="false">IFERROR(AB50/AB$16,0)</f>
        <v>0.13637332196889</v>
      </c>
    </row>
    <row r="51" customFormat="false" ht="15" hidden="false" customHeight="true" outlineLevel="0" collapsed="false">
      <c r="A51" s="27" t="s">
        <v>199</v>
      </c>
      <c r="C51" s="28" t="n">
        <v>0</v>
      </c>
      <c r="D51" s="39" t="n">
        <f aca="false">IFERROR(C51/C$16,0)</f>
        <v>0</v>
      </c>
      <c r="E51" s="28" t="n">
        <v>0</v>
      </c>
      <c r="F51" s="39" t="n">
        <f aca="false">IFERROR(E51/E$16,0)</f>
        <v>0</v>
      </c>
      <c r="G51" s="28" t="n">
        <v>0</v>
      </c>
      <c r="H51" s="39" t="n">
        <f aca="false">IFERROR(G51/G$16,0)</f>
        <v>0</v>
      </c>
      <c r="I51" s="28" t="n">
        <v>0</v>
      </c>
      <c r="J51" s="39" t="n">
        <f aca="false">IFERROR(I51/I$16,0)</f>
        <v>0</v>
      </c>
      <c r="K51" s="28" t="n">
        <v>0</v>
      </c>
      <c r="L51" s="39" t="n">
        <f aca="false">IFERROR(K51/K$16,0)</f>
        <v>0</v>
      </c>
      <c r="M51" s="28" t="n">
        <v>0</v>
      </c>
      <c r="N51" s="39" t="n">
        <f aca="false">IFERROR(M51/M$16,0)</f>
        <v>0</v>
      </c>
      <c r="O51" s="28" t="n">
        <v>0</v>
      </c>
      <c r="P51" s="39" t="n">
        <f aca="false">IFERROR(O51/O$16,0)</f>
        <v>0</v>
      </c>
      <c r="Q51" s="28" t="n">
        <v>0</v>
      </c>
      <c r="R51" s="39" t="n">
        <f aca="false">IFERROR(Q51/Q$16,0)</f>
        <v>0</v>
      </c>
      <c r="S51" s="28" t="n">
        <v>0</v>
      </c>
      <c r="T51" s="39" t="n">
        <f aca="false">IFERROR(S51/S$16,0)</f>
        <v>0</v>
      </c>
      <c r="U51" s="28" t="n">
        <v>0</v>
      </c>
      <c r="V51" s="39" t="n">
        <f aca="false">IFERROR(U51/U$16,0)</f>
        <v>0</v>
      </c>
      <c r="W51" s="28" t="n">
        <v>0</v>
      </c>
      <c r="X51" s="39" t="n">
        <f aca="false">IFERROR(W51/W$16,0)</f>
        <v>0</v>
      </c>
      <c r="Y51" s="28" t="n">
        <v>0</v>
      </c>
      <c r="Z51" s="39" t="n">
        <f aca="false">IFERROR(Y51/Y$16,0)</f>
        <v>0</v>
      </c>
      <c r="AB51" s="28" t="n">
        <f aca="false">SUM(C51,E51,G51,I51,K51,M51,O51,Q51,S51,U51,W51,Y51)</f>
        <v>0</v>
      </c>
      <c r="AC51" s="39" t="n">
        <f aca="false">IFERROR(AB51/AB$16,0)</f>
        <v>0</v>
      </c>
    </row>
    <row r="52" customFormat="false" ht="15" hidden="false" customHeight="true" outlineLevel="0" collapsed="false">
      <c r="A52" s="27" t="s">
        <v>200</v>
      </c>
      <c r="C52" s="28" t="n">
        <v>0</v>
      </c>
      <c r="D52" s="39" t="n">
        <f aca="false">IFERROR(C52/C$16,0)</f>
        <v>0</v>
      </c>
      <c r="E52" s="28" t="n">
        <v>0</v>
      </c>
      <c r="F52" s="39" t="n">
        <f aca="false">IFERROR(E52/E$16,0)</f>
        <v>0</v>
      </c>
      <c r="G52" s="28" t="n">
        <v>0</v>
      </c>
      <c r="H52" s="39" t="n">
        <f aca="false">IFERROR(G52/G$16,0)</f>
        <v>0</v>
      </c>
      <c r="I52" s="28" t="n">
        <v>0</v>
      </c>
      <c r="J52" s="39" t="n">
        <f aca="false">IFERROR(I52/I$16,0)</f>
        <v>0</v>
      </c>
      <c r="K52" s="28" t="n">
        <v>0</v>
      </c>
      <c r="L52" s="39" t="n">
        <f aca="false">IFERROR(K52/K$16,0)</f>
        <v>0</v>
      </c>
      <c r="M52" s="28" t="n">
        <v>0</v>
      </c>
      <c r="N52" s="39" t="n">
        <f aca="false">IFERROR(M52/M$16,0)</f>
        <v>0</v>
      </c>
      <c r="O52" s="28" t="n">
        <v>0</v>
      </c>
      <c r="P52" s="39" t="n">
        <f aca="false">IFERROR(O52/O$16,0)</f>
        <v>0</v>
      </c>
      <c r="Q52" s="28" t="n">
        <v>0</v>
      </c>
      <c r="R52" s="39" t="n">
        <f aca="false">IFERROR(Q52/Q$16,0)</f>
        <v>0</v>
      </c>
      <c r="S52" s="28" t="n">
        <v>0</v>
      </c>
      <c r="T52" s="39" t="n">
        <f aca="false">IFERROR(S52/S$16,0)</f>
        <v>0</v>
      </c>
      <c r="U52" s="28" t="n">
        <v>0</v>
      </c>
      <c r="V52" s="39" t="n">
        <f aca="false">IFERROR(U52/U$16,0)</f>
        <v>0</v>
      </c>
      <c r="W52" s="28" t="n">
        <v>0</v>
      </c>
      <c r="X52" s="39" t="n">
        <f aca="false">IFERROR(W52/W$16,0)</f>
        <v>0</v>
      </c>
      <c r="Y52" s="28" t="n">
        <v>0</v>
      </c>
      <c r="Z52" s="39" t="n">
        <f aca="false">IFERROR(Y52/Y$16,0)</f>
        <v>0</v>
      </c>
      <c r="AB52" s="28" t="n">
        <f aca="false">SUM(C52,E52,G52,I52,K52,M52,O52,Q52,S52,U52,W52,Y52)</f>
        <v>0</v>
      </c>
      <c r="AC52" s="39" t="n">
        <f aca="false">IFERROR(AB52/AB$16,0)</f>
        <v>0</v>
      </c>
    </row>
    <row r="53" customFormat="false" ht="15" hidden="false" customHeight="true" outlineLevel="0" collapsed="false">
      <c r="A53" s="31" t="s">
        <v>201</v>
      </c>
      <c r="C53" s="32" t="n">
        <f aca="false">SUM(C47:C52)</f>
        <v>8657</v>
      </c>
      <c r="D53" s="40" t="n">
        <f aca="false">IFERROR(C53/C$16,0)</f>
        <v>0.227110551445511</v>
      </c>
      <c r="E53" s="32" t="n">
        <f aca="false">SUM(E47:E52)</f>
        <v>5676</v>
      </c>
      <c r="F53" s="40" t="n">
        <f aca="false">IFERROR(E53/E$16,0)</f>
        <v>0.340043134435658</v>
      </c>
      <c r="G53" s="32" t="n">
        <f aca="false">SUM(G47:G52)</f>
        <v>7494</v>
      </c>
      <c r="H53" s="40" t="n">
        <f aca="false">IFERROR(G53/G$16,0)</f>
        <v>0.188267805552066</v>
      </c>
      <c r="I53" s="32" t="n">
        <f aca="false">SUM(I47:I52)</f>
        <v>5071</v>
      </c>
      <c r="J53" s="40" t="n">
        <f aca="false">IFERROR(I53/I$16,0)</f>
        <v>0.4048056198611</v>
      </c>
      <c r="K53" s="32" t="n">
        <f aca="false">SUM(K47:K52)</f>
        <v>6935</v>
      </c>
      <c r="L53" s="40" t="n">
        <f aca="false">IFERROR(K53/K$16,0)</f>
        <v>0.169398373189379</v>
      </c>
      <c r="M53" s="32" t="n">
        <f aca="false">SUM(M47:M52)</f>
        <v>8534</v>
      </c>
      <c r="N53" s="40" t="n">
        <f aca="false">IFERROR(M53/M$16,0)</f>
        <v>0.186238351919342</v>
      </c>
      <c r="O53" s="32" t="n">
        <f aca="false">SUM(O47:O52)</f>
        <v>7124</v>
      </c>
      <c r="P53" s="40" t="n">
        <f aca="false">IFERROR(O53/O$16,0)</f>
        <v>0.215421832476565</v>
      </c>
      <c r="Q53" s="32" t="n">
        <f aca="false">SUM(Q47:Q52)</f>
        <v>6479</v>
      </c>
      <c r="R53" s="40" t="n">
        <f aca="false">IFERROR(Q53/Q$16,0)</f>
        <v>0.259149634014639</v>
      </c>
      <c r="S53" s="32" t="n">
        <f aca="false">SUM(S47:S52)</f>
        <v>6479</v>
      </c>
      <c r="T53" s="40" t="n">
        <f aca="false">IFERROR(S53/S$16,0)</f>
        <v>0.259149634014639</v>
      </c>
      <c r="U53" s="32" t="n">
        <f aca="false">SUM(U47:U52)</f>
        <v>6079</v>
      </c>
      <c r="V53" s="40" t="n">
        <f aca="false">IFERROR(U53/U$16,0)</f>
        <v>0.30395</v>
      </c>
      <c r="W53" s="32" t="n">
        <f aca="false">SUM(W47:W52)</f>
        <v>6079</v>
      </c>
      <c r="X53" s="40" t="n">
        <f aca="false">IFERROR(W53/W$16,0)</f>
        <v>0.30395</v>
      </c>
      <c r="Y53" s="32" t="n">
        <f aca="false">SUM(Y47:Y52)</f>
        <v>7279</v>
      </c>
      <c r="Z53" s="40" t="n">
        <f aca="false">IFERROR(Y53/Y$16,0)</f>
        <v>0.207977370782022</v>
      </c>
      <c r="AB53" s="32" t="n">
        <f aca="false">SUM(AB47:AB52)</f>
        <v>81886</v>
      </c>
      <c r="AC53" s="40" t="n">
        <f aca="false">IFERROR(AB53/AB$16,0)</f>
        <v>0.232647205057177</v>
      </c>
    </row>
    <row r="55" customFormat="false" ht="15" hidden="false" customHeight="true" outlineLevel="0" collapsed="false">
      <c r="A55" s="31" t="s">
        <v>202</v>
      </c>
      <c r="C55" s="32" t="n">
        <f aca="false">C36-C44-C53</f>
        <v>-1215</v>
      </c>
      <c r="D55" s="40" t="n">
        <f aca="false">IFERROR(C55/C$16,0)</f>
        <v>-0.0318747048638439</v>
      </c>
      <c r="E55" s="32" t="n">
        <f aca="false">E36-E44-E53</f>
        <v>-13865</v>
      </c>
      <c r="F55" s="40" t="n">
        <f aca="false">IFERROR(E55/E$16,0)</f>
        <v>-0.830637431104721</v>
      </c>
      <c r="G55" s="32" t="n">
        <f aca="false">G36-G44-G53</f>
        <v>-6756</v>
      </c>
      <c r="H55" s="40" t="n">
        <f aca="false">IFERROR(G55/G$16,0)</f>
        <v>-0.169727421178244</v>
      </c>
      <c r="I55" s="32" t="n">
        <f aca="false">I36-I44-I53</f>
        <v>-6197</v>
      </c>
      <c r="J55" s="40" t="n">
        <f aca="false">IFERROR(I55/I$16,0)</f>
        <v>-0.494691466432506</v>
      </c>
      <c r="K55" s="32" t="n">
        <f aca="false">K36-K44-K53</f>
        <v>492</v>
      </c>
      <c r="L55" s="40" t="n">
        <f aca="false">IFERROR(K55/K$16,0)</f>
        <v>0.0120178802608759</v>
      </c>
      <c r="M55" s="32" t="n">
        <f aca="false">M36-M44-M53</f>
        <v>1225</v>
      </c>
      <c r="N55" s="40" t="n">
        <f aca="false">IFERROR(M55/M$16,0)</f>
        <v>0.0267332998712437</v>
      </c>
      <c r="O55" s="32" t="n">
        <f aca="false">O36-O44-O53</f>
        <v>3838</v>
      </c>
      <c r="P55" s="40" t="n">
        <f aca="false">IFERROR(O55/O$16,0)</f>
        <v>0.116056849107953</v>
      </c>
      <c r="Q55" s="32" t="n">
        <f aca="false">Q36-Q44-Q53</f>
        <v>1619</v>
      </c>
      <c r="R55" s="40" t="n">
        <f aca="false">IFERROR(Q55/Q$16,0)</f>
        <v>0.0647574097036119</v>
      </c>
      <c r="S55" s="32" t="n">
        <f aca="false">S36-S44-S53</f>
        <v>1741</v>
      </c>
      <c r="T55" s="40" t="n">
        <f aca="false">IFERROR(S55/S$16,0)</f>
        <v>0.0696372145114196</v>
      </c>
      <c r="U55" s="32" t="n">
        <f aca="false">U36-U44-U53</f>
        <v>-1037</v>
      </c>
      <c r="V55" s="40" t="n">
        <f aca="false">IFERROR(U55/U$16,0)</f>
        <v>-0.05185</v>
      </c>
      <c r="W55" s="32" t="n">
        <f aca="false">W36-W44-W53</f>
        <v>-996</v>
      </c>
      <c r="X55" s="40" t="n">
        <f aca="false">IFERROR(W55/W$16,0)</f>
        <v>-0.0498</v>
      </c>
      <c r="Y55" s="32" t="n">
        <f aca="false">Y36-Y44-Y53</f>
        <v>7650</v>
      </c>
      <c r="Z55" s="40" t="n">
        <f aca="false">IFERROR(Y55/Y$16,0)</f>
        <v>0.218577673647819</v>
      </c>
      <c r="AB55" s="32" t="n">
        <f aca="false">AB36-AB44-AB53</f>
        <v>-13501</v>
      </c>
      <c r="AC55" s="40" t="n">
        <f aca="false">IFERROR(AB55/AB$16,0)</f>
        <v>-0.0383578379146246</v>
      </c>
    </row>
    <row r="57" customFormat="false" ht="15" hidden="false" customHeight="true" outlineLevel="0" collapsed="false">
      <c r="A57" s="27" t="s">
        <v>203</v>
      </c>
      <c r="C57" s="28" t="n">
        <v>0</v>
      </c>
      <c r="D57" s="39" t="n">
        <f aca="false">IFERROR(C57/C$16,0)</f>
        <v>0</v>
      </c>
      <c r="E57" s="28" t="n">
        <v>0</v>
      </c>
      <c r="F57" s="39" t="n">
        <f aca="false">IFERROR(E57/E$16,0)</f>
        <v>0</v>
      </c>
      <c r="G57" s="28" t="n">
        <v>0</v>
      </c>
      <c r="H57" s="39" t="n">
        <f aca="false">IFERROR(G57/G$16,0)</f>
        <v>0</v>
      </c>
      <c r="I57" s="28" t="n">
        <v>0</v>
      </c>
      <c r="J57" s="39" t="n">
        <f aca="false">IFERROR(I57/I$16,0)</f>
        <v>0</v>
      </c>
      <c r="K57" s="28" t="n">
        <v>0</v>
      </c>
      <c r="L57" s="39" t="n">
        <f aca="false">IFERROR(K57/K$16,0)</f>
        <v>0</v>
      </c>
      <c r="M57" s="28" t="n">
        <v>0</v>
      </c>
      <c r="N57" s="39" t="n">
        <f aca="false">IFERROR(M57/M$16,0)</f>
        <v>0</v>
      </c>
      <c r="O57" s="28" t="n">
        <v>0</v>
      </c>
      <c r="P57" s="39" t="n">
        <f aca="false">IFERROR(O57/O$16,0)</f>
        <v>0</v>
      </c>
      <c r="Q57" s="28" t="n">
        <v>0</v>
      </c>
      <c r="R57" s="39" t="n">
        <f aca="false">IFERROR(Q57/Q$16,0)</f>
        <v>0</v>
      </c>
      <c r="S57" s="28" t="n">
        <v>0</v>
      </c>
      <c r="T57" s="39" t="n">
        <f aca="false">IFERROR(S57/S$16,0)</f>
        <v>0</v>
      </c>
      <c r="U57" s="28" t="n">
        <v>0</v>
      </c>
      <c r="V57" s="39" t="n">
        <f aca="false">IFERROR(U57/U$16,0)</f>
        <v>0</v>
      </c>
      <c r="W57" s="28" t="n">
        <v>0</v>
      </c>
      <c r="X57" s="39" t="n">
        <f aca="false">IFERROR(W57/W$16,0)</f>
        <v>0</v>
      </c>
      <c r="Y57" s="28" t="n">
        <v>0</v>
      </c>
      <c r="Z57" s="39" t="n">
        <f aca="false">IFERROR(Y57/Y$16,0)</f>
        <v>0</v>
      </c>
      <c r="AB57" s="28" t="n">
        <f aca="false">SUM(C57,E57,G57,I57,K57,M57,O57,Q57,S57,U57,W57,Y57)</f>
        <v>0</v>
      </c>
      <c r="AC57" s="39" t="n">
        <f aca="false">IFERROR(AB57/AB$16,0)</f>
        <v>0</v>
      </c>
    </row>
    <row r="59" customFormat="false" ht="15" hidden="false" customHeight="true" outlineLevel="0" collapsed="false">
      <c r="A59" s="31" t="s">
        <v>204</v>
      </c>
      <c r="C59" s="41" t="n">
        <f aca="false">C55-C57</f>
        <v>-1215</v>
      </c>
      <c r="D59" s="42" t="n">
        <f aca="false">IFERROR(C59/C$16,0)</f>
        <v>-0.0318747048638439</v>
      </c>
      <c r="E59" s="41" t="n">
        <f aca="false">E55-E57</f>
        <v>-13865</v>
      </c>
      <c r="F59" s="42" t="n">
        <f aca="false">IFERROR(E59/E$16,0)</f>
        <v>-0.830637431104721</v>
      </c>
      <c r="G59" s="41" t="n">
        <f aca="false">G55-G57</f>
        <v>-6756</v>
      </c>
      <c r="H59" s="42" t="n">
        <f aca="false">IFERROR(G59/G$16,0)</f>
        <v>-0.169727421178244</v>
      </c>
      <c r="I59" s="41" t="n">
        <f aca="false">I55-I57</f>
        <v>-6197</v>
      </c>
      <c r="J59" s="42" t="n">
        <f aca="false">IFERROR(I59/I$16,0)</f>
        <v>-0.494691466432506</v>
      </c>
      <c r="K59" s="41" t="n">
        <f aca="false">K55-K57</f>
        <v>492</v>
      </c>
      <c r="L59" s="42" t="n">
        <f aca="false">IFERROR(K59/K$16,0)</f>
        <v>0.0120178802608759</v>
      </c>
      <c r="M59" s="41" t="n">
        <f aca="false">M55-M57</f>
        <v>1225</v>
      </c>
      <c r="N59" s="42" t="n">
        <f aca="false">IFERROR(M59/M$16,0)</f>
        <v>0.0267332998712437</v>
      </c>
      <c r="O59" s="41" t="n">
        <f aca="false">O55-O57</f>
        <v>3838</v>
      </c>
      <c r="P59" s="42" t="n">
        <f aca="false">IFERROR(O59/O$16,0)</f>
        <v>0.116056849107953</v>
      </c>
      <c r="Q59" s="41" t="n">
        <f aca="false">Q55-Q57</f>
        <v>1619</v>
      </c>
      <c r="R59" s="42" t="n">
        <f aca="false">IFERROR(Q59/Q$16,0)</f>
        <v>0.0647574097036119</v>
      </c>
      <c r="S59" s="41" t="n">
        <f aca="false">S55-S57</f>
        <v>1741</v>
      </c>
      <c r="T59" s="42" t="n">
        <f aca="false">IFERROR(S59/S$16,0)</f>
        <v>0.0696372145114196</v>
      </c>
      <c r="U59" s="41" t="n">
        <f aca="false">U55-U57</f>
        <v>-1037</v>
      </c>
      <c r="V59" s="42" t="n">
        <f aca="false">IFERROR(U59/U$16,0)</f>
        <v>-0.05185</v>
      </c>
      <c r="W59" s="41" t="n">
        <f aca="false">W55-W57</f>
        <v>-996</v>
      </c>
      <c r="X59" s="42" t="n">
        <f aca="false">IFERROR(W59/W$16,0)</f>
        <v>-0.0498</v>
      </c>
      <c r="Y59" s="41" t="n">
        <f aca="false">Y55-Y57</f>
        <v>7650</v>
      </c>
      <c r="Z59" s="42" t="n">
        <f aca="false">IFERROR(Y59/Y$16,0)</f>
        <v>0.218577673647819</v>
      </c>
      <c r="AB59" s="41" t="n">
        <f aca="false">AB55-AB57</f>
        <v>-13501</v>
      </c>
      <c r="AC59" s="42" t="n">
        <f aca="false">IFERROR(AB59/AB$16,0)</f>
        <v>-0.0383578379146246</v>
      </c>
    </row>
    <row r="61" customFormat="false" ht="15" hidden="false" customHeight="true" outlineLevel="0" collapsed="false">
      <c r="A61" s="27" t="s">
        <v>205</v>
      </c>
      <c r="C61" s="28" t="n">
        <v>0</v>
      </c>
      <c r="D61" s="39" t="n">
        <f aca="false">IFERROR(C61/C$16,0)</f>
        <v>0</v>
      </c>
      <c r="E61" s="28" t="n">
        <v>0</v>
      </c>
      <c r="F61" s="39" t="n">
        <f aca="false">IFERROR(E61/E$16,0)</f>
        <v>0</v>
      </c>
      <c r="G61" s="28" t="n">
        <v>0</v>
      </c>
      <c r="H61" s="39" t="n">
        <f aca="false">IFERROR(G61/G$16,0)</f>
        <v>0</v>
      </c>
      <c r="I61" s="28" t="n">
        <v>0</v>
      </c>
      <c r="J61" s="39" t="n">
        <f aca="false">IFERROR(I61/I$16,0)</f>
        <v>0</v>
      </c>
      <c r="K61" s="28" t="n">
        <v>0</v>
      </c>
      <c r="L61" s="39" t="n">
        <f aca="false">IFERROR(K61/K$16,0)</f>
        <v>0</v>
      </c>
      <c r="M61" s="28" t="n">
        <v>0</v>
      </c>
      <c r="N61" s="39" t="n">
        <f aca="false">IFERROR(M61/M$16,0)</f>
        <v>0</v>
      </c>
      <c r="O61" s="28" t="n">
        <v>0</v>
      </c>
      <c r="P61" s="39" t="n">
        <f aca="false">IFERROR(O61/O$16,0)</f>
        <v>0</v>
      </c>
      <c r="Q61" s="28" t="n">
        <v>0</v>
      </c>
      <c r="R61" s="39" t="n">
        <f aca="false">IFERROR(Q61/Q$16,0)</f>
        <v>0</v>
      </c>
      <c r="S61" s="28" t="n">
        <v>0</v>
      </c>
      <c r="T61" s="39" t="n">
        <f aca="false">IFERROR(S61/S$16,0)</f>
        <v>0</v>
      </c>
      <c r="U61" s="28" t="n">
        <v>0</v>
      </c>
      <c r="V61" s="39" t="n">
        <f aca="false">IFERROR(U61/U$16,0)</f>
        <v>0</v>
      </c>
      <c r="W61" s="28" t="n">
        <v>0</v>
      </c>
      <c r="X61" s="39" t="n">
        <f aca="false">IFERROR(W61/W$16,0)</f>
        <v>0</v>
      </c>
      <c r="Y61" s="28" t="n">
        <v>0</v>
      </c>
      <c r="Z61" s="39" t="n">
        <f aca="false">IFERROR(Y61/Y$16,0)</f>
        <v>0</v>
      </c>
      <c r="AB61" s="28" t="n">
        <f aca="false">SUM(C61,E61,G61,I61,K61,M61,O61,Q61,S61,U61,W61,Y61)</f>
        <v>0</v>
      </c>
      <c r="AC61" s="39" t="n">
        <f aca="false">IFERROR(AB61/AB$16,0)</f>
        <v>0</v>
      </c>
    </row>
    <row r="62" customFormat="false" ht="15" hidden="false" customHeight="true" outlineLevel="0" collapsed="false">
      <c r="A62" s="27" t="s">
        <v>206</v>
      </c>
      <c r="C62" s="28" t="n">
        <v>239</v>
      </c>
      <c r="D62" s="39" t="n">
        <f aca="false">IFERROR(C62/C$16,0)</f>
        <v>0.0062700036728055</v>
      </c>
      <c r="E62" s="28" t="n">
        <v>375</v>
      </c>
      <c r="F62" s="39" t="n">
        <f aca="false">IFERROR(E62/E$16,0)</f>
        <v>0.0224658519051042</v>
      </c>
      <c r="G62" s="28" t="n">
        <v>500</v>
      </c>
      <c r="H62" s="39" t="n">
        <f aca="false">IFERROR(G62/G$16,0)</f>
        <v>0.0125612360256249</v>
      </c>
      <c r="I62" s="28" t="n">
        <v>500</v>
      </c>
      <c r="J62" s="39" t="n">
        <f aca="false">IFERROR(I62/I$16,0)</f>
        <v>0.039913786221761</v>
      </c>
      <c r="K62" s="28" t="n">
        <v>409</v>
      </c>
      <c r="L62" s="39" t="n">
        <f aca="false">IFERROR(K62/K$16,0)</f>
        <v>0.00999047363150053</v>
      </c>
      <c r="M62" s="28" t="n">
        <v>458</v>
      </c>
      <c r="N62" s="39" t="n">
        <f aca="false">IFERROR(M62/M$16,0)</f>
        <v>0.00999498068655479</v>
      </c>
      <c r="O62" s="28" t="n">
        <v>409</v>
      </c>
      <c r="P62" s="39" t="n">
        <f aca="false">IFERROR(O62/O$16,0)</f>
        <v>0.0123677048684608</v>
      </c>
      <c r="Q62" s="28" t="n">
        <v>409</v>
      </c>
      <c r="R62" s="39" t="n">
        <f aca="false">IFERROR(Q62/Q$16,0)</f>
        <v>0.016359345626175</v>
      </c>
      <c r="S62" s="28" t="n">
        <v>409</v>
      </c>
      <c r="T62" s="39" t="n">
        <f aca="false">IFERROR(S62/S$16,0)</f>
        <v>0.016359345626175</v>
      </c>
      <c r="U62" s="28" t="n">
        <v>409</v>
      </c>
      <c r="V62" s="39" t="n">
        <f aca="false">IFERROR(U62/U$16,0)</f>
        <v>0.02045</v>
      </c>
      <c r="W62" s="28" t="n">
        <v>409</v>
      </c>
      <c r="X62" s="39" t="n">
        <f aca="false">IFERROR(W62/W$16,0)</f>
        <v>0.02045</v>
      </c>
      <c r="Y62" s="28" t="n">
        <v>409</v>
      </c>
      <c r="Z62" s="39" t="n">
        <f aca="false">IFERROR(Y62/Y$16,0)</f>
        <v>0.0116860481728049</v>
      </c>
      <c r="AB62" s="28" t="n">
        <f aca="false">SUM(C62,E62,G62,I62,K62,M62,O62,Q62,S62,U62,W62,Y62)</f>
        <v>4935</v>
      </c>
      <c r="AC62" s="39" t="n">
        <f aca="false">IFERROR(AB62/AB$16,0)</f>
        <v>0.0140208821649265</v>
      </c>
    </row>
    <row r="63" customFormat="false" ht="15" hidden="false" customHeight="true" outlineLevel="0" collapsed="false">
      <c r="A63" s="31" t="s">
        <v>207</v>
      </c>
      <c r="C63" s="43" t="n">
        <f aca="false">C59-C61-C62</f>
        <v>-1454</v>
      </c>
      <c r="D63" s="44" t="n">
        <f aca="false">IFERROR(C63/C$16,0)</f>
        <v>-0.0381447085366494</v>
      </c>
      <c r="E63" s="43" t="n">
        <f aca="false">E59-E61-E62</f>
        <v>-14240</v>
      </c>
      <c r="F63" s="44" t="n">
        <f aca="false">IFERROR(E63/E$16,0)</f>
        <v>-0.853103283009825</v>
      </c>
      <c r="G63" s="43" t="n">
        <f aca="false">G59-G61-G62</f>
        <v>-7256</v>
      </c>
      <c r="H63" s="44" t="n">
        <f aca="false">IFERROR(G63/G$16,0)</f>
        <v>-0.182288657203869</v>
      </c>
      <c r="I63" s="43" t="n">
        <f aca="false">I59-I61-I62</f>
        <v>-6697</v>
      </c>
      <c r="J63" s="44" t="n">
        <f aca="false">IFERROR(I63/I$16,0)</f>
        <v>-0.534605252654267</v>
      </c>
      <c r="K63" s="43" t="n">
        <f aca="false">K59-K61-K62</f>
        <v>83</v>
      </c>
      <c r="L63" s="44" t="n">
        <f aca="false">IFERROR(K63/K$16,0)</f>
        <v>0.00202740662937541</v>
      </c>
      <c r="M63" s="43" t="n">
        <f aca="false">M59-M61-M62</f>
        <v>767</v>
      </c>
      <c r="N63" s="44" t="n">
        <f aca="false">IFERROR(M63/M$16,0)</f>
        <v>0.0167383191846889</v>
      </c>
      <c r="O63" s="43" t="n">
        <f aca="false">O59-O61-O62</f>
        <v>3429</v>
      </c>
      <c r="P63" s="44" t="n">
        <f aca="false">IFERROR(O63/O$16,0)</f>
        <v>0.103689144239492</v>
      </c>
      <c r="Q63" s="43" t="n">
        <f aca="false">Q59-Q61-Q62</f>
        <v>1210</v>
      </c>
      <c r="R63" s="44" t="n">
        <f aca="false">IFERROR(Q63/Q$16,0)</f>
        <v>0.0483980640774369</v>
      </c>
      <c r="S63" s="43" t="n">
        <f aca="false">S59-S61-S62</f>
        <v>1332</v>
      </c>
      <c r="T63" s="44" t="n">
        <f aca="false">IFERROR(S63/S$16,0)</f>
        <v>0.0532778688852446</v>
      </c>
      <c r="U63" s="43" t="n">
        <f aca="false">U59-U61-U62</f>
        <v>-1446</v>
      </c>
      <c r="V63" s="44" t="n">
        <f aca="false">IFERROR(U63/U$16,0)</f>
        <v>-0.0723</v>
      </c>
      <c r="W63" s="43" t="n">
        <f aca="false">W59-W61-W62</f>
        <v>-1405</v>
      </c>
      <c r="X63" s="44" t="n">
        <f aca="false">IFERROR(W63/W$16,0)</f>
        <v>-0.07025</v>
      </c>
      <c r="Y63" s="43" t="n">
        <f aca="false">Y59-Y61-Y62</f>
        <v>7241</v>
      </c>
      <c r="Z63" s="44" t="n">
        <f aca="false">IFERROR(Y63/Y$16,0)</f>
        <v>0.206891625475014</v>
      </c>
      <c r="AB63" s="43" t="n">
        <f aca="false">AB59-AB61-AB62</f>
        <v>-18436</v>
      </c>
      <c r="AC63" s="44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330</v>
      </c>
    </row>
    <row r="2" customFormat="false" ht="15" hidden="false" customHeight="true" outlineLevel="0" collapsed="false">
      <c r="A2" s="19" t="s">
        <v>325</v>
      </c>
    </row>
    <row r="3" customFormat="false" ht="15" hidden="false" customHeight="true" outlineLevel="0" collapsed="false">
      <c r="A3" s="19" t="s">
        <v>326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326</v>
      </c>
      <c r="AC5" s="35"/>
    </row>
    <row r="6" customFormat="false" ht="15" hidden="false" customHeight="true" outlineLevel="0" collapsed="false">
      <c r="C6" s="37" t="s">
        <v>327</v>
      </c>
      <c r="D6" s="37"/>
      <c r="E6" s="37" t="s">
        <v>327</v>
      </c>
      <c r="F6" s="37"/>
      <c r="G6" s="37" t="s">
        <v>327</v>
      </c>
      <c r="H6" s="37"/>
      <c r="I6" s="37" t="s">
        <v>327</v>
      </c>
      <c r="J6" s="37"/>
      <c r="K6" s="37" t="s">
        <v>327</v>
      </c>
      <c r="L6" s="37"/>
      <c r="M6" s="37" t="s">
        <v>327</v>
      </c>
      <c r="N6" s="37"/>
      <c r="O6" s="37" t="s">
        <v>328</v>
      </c>
      <c r="P6" s="37"/>
      <c r="Q6" s="37" t="s">
        <v>328</v>
      </c>
      <c r="R6" s="37"/>
      <c r="S6" s="37" t="s">
        <v>328</v>
      </c>
      <c r="T6" s="37"/>
      <c r="U6" s="37" t="s">
        <v>328</v>
      </c>
      <c r="V6" s="37"/>
      <c r="W6" s="37" t="s">
        <v>328</v>
      </c>
      <c r="X6" s="37"/>
      <c r="Y6" s="37" t="s">
        <v>328</v>
      </c>
      <c r="Z6" s="37"/>
      <c r="AB6" s="37" t="s">
        <v>329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8" customFormat="false" ht="15" hidden="false" customHeight="true" outlineLevel="0" collapsed="false">
      <c r="A8" s="31" t="s">
        <v>162</v>
      </c>
    </row>
    <row r="9" customFormat="false" ht="15" hidden="false" customHeight="true" outlineLevel="0" collapsed="false">
      <c r="A9" s="27" t="s">
        <v>163</v>
      </c>
      <c r="C9" s="28" t="n">
        <v>7659</v>
      </c>
      <c r="D9" s="39" t="n">
        <f aca="false">IFERROR(C9/C$16,0)</f>
        <v>0.428547448522829</v>
      </c>
      <c r="E9" s="28" t="n">
        <v>9205</v>
      </c>
      <c r="F9" s="39" t="n">
        <f aca="false">IFERROR(E9/E$16,0)</f>
        <v>0.516062118069182</v>
      </c>
      <c r="G9" s="28" t="n">
        <v>12511</v>
      </c>
      <c r="H9" s="39" t="n">
        <f aca="false">IFERROR(G9/G$16,0)</f>
        <v>0.472969907757447</v>
      </c>
      <c r="I9" s="28" t="n">
        <v>9497</v>
      </c>
      <c r="J9" s="39" t="n">
        <f aca="false">IFERROR(I9/I$16,0)</f>
        <v>0.461445022107769</v>
      </c>
      <c r="K9" s="28" t="n">
        <v>10762</v>
      </c>
      <c r="L9" s="39" t="n">
        <f aca="false">IFERROR(K9/K$16,0)</f>
        <v>0.432608433492785</v>
      </c>
      <c r="M9" s="28" t="n">
        <v>10511</v>
      </c>
      <c r="N9" s="39" t="n">
        <f aca="false">IFERROR(M9/M$16,0)</f>
        <v>0.388447466646957</v>
      </c>
      <c r="O9" s="28" t="n">
        <v>11085</v>
      </c>
      <c r="P9" s="39" t="n">
        <f aca="false">IFERROR(O9/O$16,0)</f>
        <v>0.43184385835054</v>
      </c>
      <c r="Q9" s="28" t="n">
        <v>11085</v>
      </c>
      <c r="R9" s="39" t="n">
        <f aca="false">IFERROR(Q9/Q$16,0)</f>
        <v>0.43184385835054</v>
      </c>
      <c r="S9" s="28" t="n">
        <v>11085</v>
      </c>
      <c r="T9" s="39" t="n">
        <f aca="false">IFERROR(S9/S$16,0)</f>
        <v>0.43184385835054</v>
      </c>
      <c r="U9" s="28" t="n">
        <v>11085</v>
      </c>
      <c r="V9" s="39" t="n">
        <f aca="false">IFERROR(U9/U$16,0)</f>
        <v>0.43184385835054</v>
      </c>
      <c r="W9" s="28" t="n">
        <v>11085</v>
      </c>
      <c r="X9" s="39" t="n">
        <f aca="false">IFERROR(W9/W$16,0)</f>
        <v>0.43184385835054</v>
      </c>
      <c r="Y9" s="28" t="n">
        <v>11085</v>
      </c>
      <c r="Z9" s="39" t="n">
        <f aca="false">IFERROR(Y9/Y$16,0)</f>
        <v>0.43184385835054</v>
      </c>
      <c r="AB9" s="28" t="n">
        <f aca="false">SUM(C9,E9,G9,I9,K9,M9,O9,Q9,S9,U9,W9,Y9)</f>
        <v>126655</v>
      </c>
      <c r="AC9" s="39" t="n">
        <f aca="false">IFERROR(AB9/AB$16,0)</f>
        <v>0.438720158508029</v>
      </c>
    </row>
    <row r="10" customFormat="false" ht="15" hidden="false" customHeight="true" outlineLevel="0" collapsed="false">
      <c r="A10" s="27" t="s">
        <v>164</v>
      </c>
      <c r="C10" s="28" t="n">
        <v>9236</v>
      </c>
      <c r="D10" s="39" t="n">
        <f aca="false">IFERROR(C10/C$16,0)</f>
        <v>0.516786034019696</v>
      </c>
      <c r="E10" s="28" t="n">
        <v>9081</v>
      </c>
      <c r="F10" s="39" t="n">
        <f aca="false">IFERROR(E10/E$16,0)</f>
        <v>0.50911027639177</v>
      </c>
      <c r="G10" s="28" t="n">
        <v>13436</v>
      </c>
      <c r="H10" s="39" t="n">
        <f aca="false">IFERROR(G10/G$16,0)</f>
        <v>0.507938908211099</v>
      </c>
      <c r="I10" s="28" t="n">
        <v>10789</v>
      </c>
      <c r="J10" s="39" t="n">
        <f aca="false">IFERROR(I10/I$16,0)</f>
        <v>0.524221369224042</v>
      </c>
      <c r="K10" s="28" t="n">
        <v>13103</v>
      </c>
      <c r="L10" s="39" t="n">
        <f aca="false">IFERROR(K10/K$16,0)</f>
        <v>0.526711420187322</v>
      </c>
      <c r="M10" s="28" t="n">
        <v>14448</v>
      </c>
      <c r="N10" s="39" t="n">
        <f aca="false">IFERROR(M10/M$16,0)</f>
        <v>0.533944343841236</v>
      </c>
      <c r="O10" s="28" t="n">
        <v>13496</v>
      </c>
      <c r="P10" s="39" t="n">
        <f aca="false">IFERROR(O10/O$16,0)</f>
        <v>0.525770384510499</v>
      </c>
      <c r="Q10" s="28" t="n">
        <v>13496</v>
      </c>
      <c r="R10" s="39" t="n">
        <f aca="false">IFERROR(Q10/Q$16,0)</f>
        <v>0.525770384510499</v>
      </c>
      <c r="S10" s="28" t="n">
        <v>13496</v>
      </c>
      <c r="T10" s="39" t="n">
        <f aca="false">IFERROR(S10/S$16,0)</f>
        <v>0.525770384510499</v>
      </c>
      <c r="U10" s="28" t="n">
        <v>13496</v>
      </c>
      <c r="V10" s="39" t="n">
        <f aca="false">IFERROR(U10/U$16,0)</f>
        <v>0.525770384510499</v>
      </c>
      <c r="W10" s="28" t="n">
        <v>13496</v>
      </c>
      <c r="X10" s="39" t="n">
        <f aca="false">IFERROR(W10/W$16,0)</f>
        <v>0.525770384510499</v>
      </c>
      <c r="Y10" s="28" t="n">
        <v>13496</v>
      </c>
      <c r="Z10" s="39" t="n">
        <f aca="false">IFERROR(Y10/Y$16,0)</f>
        <v>0.525770384510499</v>
      </c>
      <c r="AB10" s="28" t="n">
        <f aca="false">SUM(C10,E10,G10,I10,K10,M10,O10,Q10,S10,U10,W10,Y10)</f>
        <v>151069</v>
      </c>
      <c r="AC10" s="39" t="n">
        <f aca="false">IFERROR(AB10/AB$16,0)</f>
        <v>0.523287794604631</v>
      </c>
    </row>
    <row r="11" customFormat="false" ht="15" hidden="false" customHeight="true" outlineLevel="0" collapsed="false">
      <c r="A11" s="27" t="s">
        <v>165</v>
      </c>
      <c r="C11" s="28" t="n">
        <v>800</v>
      </c>
      <c r="D11" s="39" t="n">
        <f aca="false">IFERROR(C11/C$16,0)</f>
        <v>0.044762757385855</v>
      </c>
      <c r="E11" s="28" t="n">
        <v>295</v>
      </c>
      <c r="F11" s="39" t="n">
        <f aca="false">IFERROR(E11/E$16,0)</f>
        <v>0.0165386556035208</v>
      </c>
      <c r="G11" s="28" t="n">
        <v>1354</v>
      </c>
      <c r="H11" s="39" t="n">
        <f aca="false">IFERROR(G11/G$16,0)</f>
        <v>0.0511870557991834</v>
      </c>
      <c r="I11" s="28" t="n">
        <v>1490</v>
      </c>
      <c r="J11" s="39" t="n">
        <f aca="false">IFERROR(I11/I$16,0)</f>
        <v>0.072396870900345</v>
      </c>
      <c r="K11" s="28" t="n">
        <v>591</v>
      </c>
      <c r="L11" s="39" t="n">
        <f aca="false">IFERROR(K11/K$16,0)</f>
        <v>0.0237568838686337</v>
      </c>
      <c r="M11" s="28" t="n">
        <v>984</v>
      </c>
      <c r="N11" s="39" t="n">
        <f aca="false">IFERROR(M11/M$16,0)</f>
        <v>0.0363649802283898</v>
      </c>
      <c r="O11" s="28" t="n">
        <v>609</v>
      </c>
      <c r="P11" s="39" t="n">
        <f aca="false">IFERROR(O11/O$16,0)</f>
        <v>0.0237251158985547</v>
      </c>
      <c r="Q11" s="28" t="n">
        <v>609</v>
      </c>
      <c r="R11" s="39" t="n">
        <f aca="false">IFERROR(Q11/Q$16,0)</f>
        <v>0.0237251158985547</v>
      </c>
      <c r="S11" s="28" t="n">
        <v>609</v>
      </c>
      <c r="T11" s="39" t="n">
        <f aca="false">IFERROR(S11/S$16,0)</f>
        <v>0.0237251158985547</v>
      </c>
      <c r="U11" s="28" t="n">
        <v>609</v>
      </c>
      <c r="V11" s="39" t="n">
        <f aca="false">IFERROR(U11/U$16,0)</f>
        <v>0.0237251158985547</v>
      </c>
      <c r="W11" s="28" t="n">
        <v>609</v>
      </c>
      <c r="X11" s="39" t="n">
        <f aca="false">IFERROR(W11/W$16,0)</f>
        <v>0.0237251158985547</v>
      </c>
      <c r="Y11" s="28" t="n">
        <v>609</v>
      </c>
      <c r="Z11" s="39" t="n">
        <f aca="false">IFERROR(Y11/Y$16,0)</f>
        <v>0.0237251158985547</v>
      </c>
      <c r="AB11" s="28" t="n">
        <f aca="false">SUM(C11,E11,G11,I11,K11,M11,O11,Q11,S11,U11,W11,Y11)</f>
        <v>9168</v>
      </c>
      <c r="AC11" s="39" t="n">
        <f aca="false">IFERROR(AB11/AB$16,0)</f>
        <v>0.0317570282515622</v>
      </c>
    </row>
    <row r="12" customFormat="false" ht="15" hidden="false" customHeight="true" outlineLevel="0" collapsed="false">
      <c r="A12" s="27" t="s">
        <v>166</v>
      </c>
      <c r="C12" s="28" t="n">
        <v>54</v>
      </c>
      <c r="D12" s="39" t="n">
        <f aca="false">IFERROR(C12/C$16,0)</f>
        <v>0.00302148612354521</v>
      </c>
      <c r="E12" s="28" t="n">
        <v>240</v>
      </c>
      <c r="F12" s="39" t="n">
        <f aca="false">IFERROR(E12/E$16,0)</f>
        <v>0.0134551774401525</v>
      </c>
      <c r="G12" s="28" t="n">
        <v>174</v>
      </c>
      <c r="H12" s="39" t="n">
        <f aca="false">IFERROR(G12/G$16,0)</f>
        <v>0.00657795251776803</v>
      </c>
      <c r="I12" s="28" t="n">
        <v>333</v>
      </c>
      <c r="J12" s="39" t="n">
        <f aca="false">IFERROR(I12/I$16,0)</f>
        <v>0.0161799718186677</v>
      </c>
      <c r="K12" s="28" t="n">
        <v>597</v>
      </c>
      <c r="L12" s="39" t="n">
        <f aca="false">IFERROR(K12/K$16,0)</f>
        <v>0.0239980705068939</v>
      </c>
      <c r="M12" s="28" t="n">
        <v>743</v>
      </c>
      <c r="N12" s="39" t="n">
        <f aca="false">IFERROR(M12/M$16,0)</f>
        <v>0.0274585165748919</v>
      </c>
      <c r="O12" s="28" t="n">
        <v>615</v>
      </c>
      <c r="P12" s="39" t="n">
        <f aca="false">IFERROR(O12/O$16,0)</f>
        <v>0.0239588608827769</v>
      </c>
      <c r="Q12" s="28" t="n">
        <v>615</v>
      </c>
      <c r="R12" s="39" t="n">
        <f aca="false">IFERROR(Q12/Q$16,0)</f>
        <v>0.0239588608827769</v>
      </c>
      <c r="S12" s="28" t="n">
        <v>615</v>
      </c>
      <c r="T12" s="39" t="n">
        <f aca="false">IFERROR(S12/S$16,0)</f>
        <v>0.0239588608827769</v>
      </c>
      <c r="U12" s="28" t="n">
        <v>615</v>
      </c>
      <c r="V12" s="39" t="n">
        <f aca="false">IFERROR(U12/U$16,0)</f>
        <v>0.0239588608827769</v>
      </c>
      <c r="W12" s="28" t="n">
        <v>615</v>
      </c>
      <c r="X12" s="39" t="n">
        <f aca="false">IFERROR(W12/W$16,0)</f>
        <v>0.0239588608827769</v>
      </c>
      <c r="Y12" s="28" t="n">
        <v>615</v>
      </c>
      <c r="Z12" s="39" t="n">
        <f aca="false">IFERROR(Y12/Y$16,0)</f>
        <v>0.0239588608827769</v>
      </c>
      <c r="AB12" s="28" t="n">
        <f aca="false">SUM(C12,E12,G12,I12,K12,M12,O12,Q12,S12,U12,W12,Y12)</f>
        <v>5831</v>
      </c>
      <c r="AC12" s="39" t="n">
        <f aca="false">IFERROR(AB12/AB$16,0)</f>
        <v>0.0201979964806784</v>
      </c>
    </row>
    <row r="13" customFormat="false" ht="15" hidden="false" customHeight="true" outlineLevel="0" collapsed="false">
      <c r="A13" s="27" t="s">
        <v>167</v>
      </c>
      <c r="C13" s="28" t="n">
        <v>0</v>
      </c>
      <c r="D13" s="39" t="n">
        <f aca="false">IFERROR(C13/C$16,0)</f>
        <v>0</v>
      </c>
      <c r="E13" s="28" t="n">
        <v>12</v>
      </c>
      <c r="F13" s="39" t="n">
        <f aca="false">IFERROR(E13/E$16,0)</f>
        <v>0.000672758872007625</v>
      </c>
      <c r="G13" s="28" t="n">
        <v>1</v>
      </c>
      <c r="H13" s="39" t="n">
        <f aca="false">IFERROR(G13/G$16,0)</f>
        <v>3.78043248147588E-005</v>
      </c>
      <c r="I13" s="28" t="n">
        <v>496</v>
      </c>
      <c r="J13" s="39" t="n">
        <f aca="false">IFERROR(I13/I$16,0)</f>
        <v>0.0240998979641417</v>
      </c>
      <c r="K13" s="28" t="n">
        <v>1015</v>
      </c>
      <c r="L13" s="39" t="n">
        <f aca="false">IFERROR(K13/K$16,0)</f>
        <v>0.040800739639024</v>
      </c>
      <c r="M13" s="28" t="n">
        <v>1101</v>
      </c>
      <c r="N13" s="39" t="n">
        <f aca="false">IFERROR(M13/M$16,0)</f>
        <v>0.0406888650726191</v>
      </c>
      <c r="O13" s="28" t="n">
        <v>1045</v>
      </c>
      <c r="P13" s="39" t="n">
        <f aca="false">IFERROR(O13/O$16,0)</f>
        <v>0.0407105847520355</v>
      </c>
      <c r="Q13" s="28" t="n">
        <v>1045</v>
      </c>
      <c r="R13" s="39" t="n">
        <f aca="false">IFERROR(Q13/Q$16,0)</f>
        <v>0.0407105847520355</v>
      </c>
      <c r="S13" s="28" t="n">
        <v>1045</v>
      </c>
      <c r="T13" s="39" t="n">
        <f aca="false">IFERROR(S13/S$16,0)</f>
        <v>0.0407105847520355</v>
      </c>
      <c r="U13" s="28" t="n">
        <v>1045</v>
      </c>
      <c r="V13" s="39" t="n">
        <f aca="false">IFERROR(U13/U$16,0)</f>
        <v>0.0407105847520355</v>
      </c>
      <c r="W13" s="28" t="n">
        <v>1045</v>
      </c>
      <c r="X13" s="39" t="n">
        <f aca="false">IFERROR(W13/W$16,0)</f>
        <v>0.0407105847520355</v>
      </c>
      <c r="Y13" s="28" t="n">
        <v>1045</v>
      </c>
      <c r="Z13" s="39" t="n">
        <f aca="false">IFERROR(Y13/Y$16,0)</f>
        <v>0.0407105847520355</v>
      </c>
      <c r="AB13" s="28" t="n">
        <f aca="false">SUM(C13,E13,G13,I13,K13,M13,O13,Q13,S13,U13,W13,Y13)</f>
        <v>8895</v>
      </c>
      <c r="AC13" s="39" t="n">
        <f aca="false">IFERROR(AB13/AB$16,0)</f>
        <v>0.0308113837584692</v>
      </c>
    </row>
    <row r="14" customFormat="false" ht="15" hidden="false" customHeight="true" outlineLevel="0" collapsed="false">
      <c r="A14" s="27" t="s">
        <v>169</v>
      </c>
      <c r="C14" s="28" t="n">
        <v>854</v>
      </c>
      <c r="D14" s="39" t="n">
        <f aca="false">IFERROR(C14/C$16,0)</f>
        <v>0.0477842435094002</v>
      </c>
      <c r="E14" s="28" t="n">
        <v>28</v>
      </c>
      <c r="F14" s="39" t="n">
        <f aca="false">IFERROR(E14/E$16,0)</f>
        <v>0.00156977070135112</v>
      </c>
      <c r="G14" s="28" t="n">
        <v>1473</v>
      </c>
      <c r="H14" s="39" t="n">
        <f aca="false">IFERROR(G14/G$16,0)</f>
        <v>0.0556857704521397</v>
      </c>
      <c r="I14" s="28" t="n">
        <v>664</v>
      </c>
      <c r="J14" s="39" t="n">
        <f aca="false">IFERROR(I14/I$16,0)</f>
        <v>0.0322627666294155</v>
      </c>
      <c r="K14" s="28" t="n">
        <v>330</v>
      </c>
      <c r="L14" s="39" t="n">
        <f aca="false">IFERROR(K14/K$16,0)</f>
        <v>0.0132652651043132</v>
      </c>
      <c r="M14" s="28" t="n">
        <v>259</v>
      </c>
      <c r="N14" s="39" t="n">
        <f aca="false">IFERROR(M14/M$16,0)</f>
        <v>0.00957167670645626</v>
      </c>
      <c r="O14" s="28" t="n">
        <v>340</v>
      </c>
      <c r="P14" s="39" t="n">
        <f aca="false">IFERROR(O14/O$16,0)</f>
        <v>0.0132455491059254</v>
      </c>
      <c r="Q14" s="28" t="n">
        <v>340</v>
      </c>
      <c r="R14" s="39" t="n">
        <f aca="false">IFERROR(Q14/Q$16,0)</f>
        <v>0.0132455491059254</v>
      </c>
      <c r="S14" s="28" t="n">
        <v>340</v>
      </c>
      <c r="T14" s="39" t="n">
        <f aca="false">IFERROR(S14/S$16,0)</f>
        <v>0.0132455491059254</v>
      </c>
      <c r="U14" s="28" t="n">
        <v>340</v>
      </c>
      <c r="V14" s="39" t="n">
        <f aca="false">IFERROR(U14/U$16,0)</f>
        <v>0.0132455491059254</v>
      </c>
      <c r="W14" s="28" t="n">
        <v>340</v>
      </c>
      <c r="X14" s="39" t="n">
        <f aca="false">IFERROR(W14/W$16,0)</f>
        <v>0.0132455491059254</v>
      </c>
      <c r="Y14" s="28" t="n">
        <v>340</v>
      </c>
      <c r="Z14" s="39" t="n">
        <f aca="false">IFERROR(Y14/Y$16,0)</f>
        <v>0.0132455491059254</v>
      </c>
      <c r="AB14" s="28" t="n">
        <f aca="false">SUM(C14,E14,G14,I14,K14,M14,O14,Q14,S14,U14,W14,Y14)</f>
        <v>5648</v>
      </c>
      <c r="AC14" s="39" t="n">
        <f aca="false">IFERROR(AB14/AB$16,0)</f>
        <v>0.0195641029193743</v>
      </c>
    </row>
    <row r="15" customFormat="false" ht="15" hidden="false" customHeight="true" outlineLevel="0" collapsed="false">
      <c r="A15" s="27" t="s">
        <v>170</v>
      </c>
      <c r="C15" s="28" t="n">
        <v>-731</v>
      </c>
      <c r="D15" s="39" t="n">
        <f aca="false">IFERROR(C15/C$16,0)</f>
        <v>-0.040901969561325</v>
      </c>
      <c r="E15" s="28" t="n">
        <v>-1024</v>
      </c>
      <c r="F15" s="39" t="n">
        <f aca="false">IFERROR(E15/E$16,0)</f>
        <v>-0.057408757077984</v>
      </c>
      <c r="G15" s="28" t="n">
        <v>-2497</v>
      </c>
      <c r="H15" s="39" t="n">
        <f aca="false">IFERROR(G15/G$16,0)</f>
        <v>-0.0943973990624527</v>
      </c>
      <c r="I15" s="28" t="n">
        <v>-2688</v>
      </c>
      <c r="J15" s="39" t="n">
        <f aca="false">IFERROR(I15/I$16,0)</f>
        <v>-0.130605898644381</v>
      </c>
      <c r="K15" s="28" t="n">
        <v>-1521</v>
      </c>
      <c r="L15" s="39" t="n">
        <f aca="false">IFERROR(K15/K$16,0)</f>
        <v>-0.0611408127989709</v>
      </c>
      <c r="M15" s="28" t="n">
        <v>-987</v>
      </c>
      <c r="N15" s="39" t="n">
        <f aca="false">IFERROR(M15/M$16,0)</f>
        <v>-0.0364758490705495</v>
      </c>
      <c r="O15" s="28" t="n">
        <v>-1521</v>
      </c>
      <c r="P15" s="39" t="n">
        <f aca="false">IFERROR(O15/O$16,0)</f>
        <v>-0.0592543535003311</v>
      </c>
      <c r="Q15" s="28" t="n">
        <v>-1521</v>
      </c>
      <c r="R15" s="39" t="n">
        <f aca="false">IFERROR(Q15/Q$16,0)</f>
        <v>-0.0592543535003311</v>
      </c>
      <c r="S15" s="28" t="n">
        <v>-1521</v>
      </c>
      <c r="T15" s="39" t="n">
        <f aca="false">IFERROR(S15/S$16,0)</f>
        <v>-0.0592543535003311</v>
      </c>
      <c r="U15" s="28" t="n">
        <v>-1521</v>
      </c>
      <c r="V15" s="39" t="n">
        <f aca="false">IFERROR(U15/U$16,0)</f>
        <v>-0.0592543535003311</v>
      </c>
      <c r="W15" s="28" t="n">
        <v>-1521</v>
      </c>
      <c r="X15" s="39" t="n">
        <f aca="false">IFERROR(W15/W$16,0)</f>
        <v>-0.0592543535003311</v>
      </c>
      <c r="Y15" s="28" t="n">
        <v>-1521</v>
      </c>
      <c r="Z15" s="39" t="n">
        <f aca="false">IFERROR(Y15/Y$16,0)</f>
        <v>-0.0592543535003311</v>
      </c>
      <c r="AB15" s="28" t="n">
        <f aca="false">SUM(C15,E15,G15,I15,K15,M15,O15,Q15,S15,U15,W15,Y15)</f>
        <v>-18574</v>
      </c>
      <c r="AC15" s="39" t="n">
        <f aca="false">IFERROR(AB15/AB$16,0)</f>
        <v>-0.064338464522744</v>
      </c>
    </row>
    <row r="16" customFormat="false" ht="15" hidden="false" customHeight="true" outlineLevel="0" collapsed="false">
      <c r="A16" s="31" t="s">
        <v>128</v>
      </c>
      <c r="C16" s="32" t="n">
        <f aca="false">SUM(C9:C15)</f>
        <v>17872</v>
      </c>
      <c r="D16" s="40" t="n">
        <f aca="false">IFERROR(C16/C$16,0)</f>
        <v>1</v>
      </c>
      <c r="E16" s="32" t="n">
        <f aca="false">SUM(E9:E15)</f>
        <v>17837</v>
      </c>
      <c r="F16" s="40" t="n">
        <f aca="false">IFERROR(E16/E$16,0)</f>
        <v>1</v>
      </c>
      <c r="G16" s="32" t="n">
        <f aca="false">SUM(G9:G15)</f>
        <v>26452</v>
      </c>
      <c r="H16" s="40" t="n">
        <f aca="false">IFERROR(G16/G$16,0)</f>
        <v>1</v>
      </c>
      <c r="I16" s="32" t="n">
        <f aca="false">SUM(I9:I15)</f>
        <v>20581</v>
      </c>
      <c r="J16" s="40" t="n">
        <f aca="false">IFERROR(I16/I$16,0)</f>
        <v>1</v>
      </c>
      <c r="K16" s="32" t="n">
        <f aca="false">SUM(K9:K15)</f>
        <v>24877</v>
      </c>
      <c r="L16" s="40" t="n">
        <f aca="false">IFERROR(K16/K$16,0)</f>
        <v>1</v>
      </c>
      <c r="M16" s="32" t="n">
        <f aca="false">SUM(M9:M15)</f>
        <v>27059</v>
      </c>
      <c r="N16" s="40" t="n">
        <f aca="false">IFERROR(M16/M$16,0)</f>
        <v>1</v>
      </c>
      <c r="O16" s="32" t="n">
        <f aca="false">SUM(O9:O15)</f>
        <v>25669</v>
      </c>
      <c r="P16" s="40" t="n">
        <f aca="false">IFERROR(O16/O$16,0)</f>
        <v>1</v>
      </c>
      <c r="Q16" s="32" t="n">
        <f aca="false">SUM(Q9:Q15)</f>
        <v>25669</v>
      </c>
      <c r="R16" s="40" t="n">
        <f aca="false">IFERROR(Q16/Q$16,0)</f>
        <v>1</v>
      </c>
      <c r="S16" s="32" t="n">
        <f aca="false">SUM(S9:S15)</f>
        <v>25669</v>
      </c>
      <c r="T16" s="40" t="n">
        <f aca="false">IFERROR(S16/S$16,0)</f>
        <v>1</v>
      </c>
      <c r="U16" s="32" t="n">
        <f aca="false">SUM(U9:U15)</f>
        <v>25669</v>
      </c>
      <c r="V16" s="40" t="n">
        <f aca="false">IFERROR(U16/U$16,0)</f>
        <v>1</v>
      </c>
      <c r="W16" s="32" t="n">
        <f aca="false">SUM(W9:W15)</f>
        <v>25669</v>
      </c>
      <c r="X16" s="40" t="n">
        <f aca="false">IFERROR(W16/W$16,0)</f>
        <v>1</v>
      </c>
      <c r="Y16" s="32" t="n">
        <f aca="false">SUM(Y9:Y15)</f>
        <v>25669</v>
      </c>
      <c r="Z16" s="40" t="n">
        <f aca="false">IFERROR(Y16/Y$16,0)</f>
        <v>1</v>
      </c>
      <c r="AB16" s="32" t="n">
        <f aca="false">SUM(AB9:AB15)</f>
        <v>288692</v>
      </c>
      <c r="AC16" s="40" t="n">
        <f aca="false">IFERROR(AB16/AB$16,0)</f>
        <v>1</v>
      </c>
    </row>
    <row r="18" customFormat="false" ht="15" hidden="false" customHeight="true" outlineLevel="0" collapsed="false">
      <c r="A18" s="31" t="s">
        <v>171</v>
      </c>
    </row>
    <row r="19" customFormat="false" ht="15" hidden="false" customHeight="true" outlineLevel="0" collapsed="false">
      <c r="A19" s="27" t="s">
        <v>172</v>
      </c>
      <c r="C19" s="28" t="n">
        <v>1608</v>
      </c>
      <c r="D19" s="39" t="n">
        <f aca="false">IFERROR(C19/C$9,0)</f>
        <v>0.209949079514297</v>
      </c>
      <c r="E19" s="28" t="n">
        <v>2865</v>
      </c>
      <c r="F19" s="39" t="n">
        <f aca="false">IFERROR(E19/E$9,0)</f>
        <v>0.311243889190657</v>
      </c>
      <c r="G19" s="28" t="n">
        <v>4719</v>
      </c>
      <c r="H19" s="39" t="n">
        <f aca="false">IFERROR(G19/G$9,0)</f>
        <v>0.377188074494445</v>
      </c>
      <c r="I19" s="28" t="n">
        <v>3179</v>
      </c>
      <c r="J19" s="39" t="n">
        <f aca="false">IFERROR(I19/I$9,0)</f>
        <v>0.334737285458566</v>
      </c>
      <c r="K19" s="28" t="n">
        <v>7902</v>
      </c>
      <c r="L19" s="39" t="n">
        <f aca="false">IFERROR(K19/K$9,0)</f>
        <v>0.734250139379298</v>
      </c>
      <c r="M19" s="28" t="n">
        <v>7534</v>
      </c>
      <c r="N19" s="39" t="n">
        <f aca="false">IFERROR(M19/M$9,0)</f>
        <v>0.716772904576158</v>
      </c>
      <c r="O19" s="28" t="n">
        <v>5809</v>
      </c>
      <c r="P19" s="39" t="n">
        <f aca="false">IFERROR(O19/O$9,0)</f>
        <v>0.52404149751917</v>
      </c>
      <c r="Q19" s="28" t="n">
        <v>6414</v>
      </c>
      <c r="R19" s="39" t="n">
        <f aca="false">IFERROR(Q19/Q$9,0)</f>
        <v>0.578619756427605</v>
      </c>
      <c r="S19" s="28" t="n">
        <v>5856</v>
      </c>
      <c r="T19" s="39" t="n">
        <f aca="false">IFERROR(S19/S$9,0)</f>
        <v>0.528281461434371</v>
      </c>
      <c r="U19" s="28" t="n">
        <v>6026</v>
      </c>
      <c r="V19" s="39" t="n">
        <f aca="false">IFERROR(U19/U$9,0)</f>
        <v>0.54361750112765</v>
      </c>
      <c r="W19" s="28" t="n">
        <v>6099</v>
      </c>
      <c r="X19" s="39" t="n">
        <f aca="false">IFERROR(W19/W$9,0)</f>
        <v>0.550202976995941</v>
      </c>
      <c r="Y19" s="28" t="n">
        <v>5994</v>
      </c>
      <c r="Z19" s="39" t="n">
        <f aca="false">IFERROR(Y19/Y$9,0)</f>
        <v>0.540730717185386</v>
      </c>
      <c r="AB19" s="28" t="n">
        <f aca="false">SUM(C19,E19,G19,I19,K19,M19,O19,Q19,S19,U19,W19,Y19)</f>
        <v>64005</v>
      </c>
      <c r="AC19" s="39" t="n">
        <f aca="false">IFERROR(AB19/AB$9,0)</f>
        <v>0.505349176897872</v>
      </c>
    </row>
    <row r="20" customFormat="false" ht="15" hidden="false" customHeight="true" outlineLevel="0" collapsed="false">
      <c r="A20" s="27" t="s">
        <v>173</v>
      </c>
      <c r="C20" s="28" t="n">
        <v>1549</v>
      </c>
      <c r="D20" s="39" t="n">
        <f aca="false">IFERROR(C20/C$10,0)</f>
        <v>0.167713295799047</v>
      </c>
      <c r="E20" s="28" t="n">
        <v>2446</v>
      </c>
      <c r="F20" s="39" t="n">
        <f aca="false">IFERROR(E20/E$10,0)</f>
        <v>0.269353595419007</v>
      </c>
      <c r="G20" s="28" t="n">
        <v>2186</v>
      </c>
      <c r="H20" s="39" t="n">
        <f aca="false">IFERROR(G20/G$10,0)</f>
        <v>0.162697231318845</v>
      </c>
      <c r="I20" s="28" t="n">
        <v>2267</v>
      </c>
      <c r="J20" s="39" t="n">
        <f aca="false">IFERROR(I20/I$10,0)</f>
        <v>0.210121419964779</v>
      </c>
      <c r="K20" s="28" t="n">
        <v>2981</v>
      </c>
      <c r="L20" s="39" t="n">
        <f aca="false">IFERROR(K20/K$10,0)</f>
        <v>0.227505151492025</v>
      </c>
      <c r="M20" s="28" t="n">
        <v>3628</v>
      </c>
      <c r="N20" s="39" t="n">
        <f aca="false">IFERROR(M20/M$10,0)</f>
        <v>0.251107419712071</v>
      </c>
      <c r="O20" s="28" t="n">
        <v>2865</v>
      </c>
      <c r="P20" s="39" t="n">
        <f aca="false">IFERROR(O20/O$10,0)</f>
        <v>0.212285121517487</v>
      </c>
      <c r="Q20" s="28" t="n">
        <v>2873</v>
      </c>
      <c r="R20" s="39" t="n">
        <f aca="false">IFERROR(Q20/Q$10,0)</f>
        <v>0.21287788974511</v>
      </c>
      <c r="S20" s="28" t="n">
        <v>2808</v>
      </c>
      <c r="T20" s="39" t="n">
        <f aca="false">IFERROR(S20/S$10,0)</f>
        <v>0.208061647895673</v>
      </c>
      <c r="U20" s="28" t="n">
        <v>2849</v>
      </c>
      <c r="V20" s="39" t="n">
        <f aca="false">IFERROR(U20/U$10,0)</f>
        <v>0.211099585062241</v>
      </c>
      <c r="W20" s="28" t="n">
        <v>2843</v>
      </c>
      <c r="X20" s="39" t="n">
        <f aca="false">IFERROR(W20/W$10,0)</f>
        <v>0.210655008891523</v>
      </c>
      <c r="Y20" s="28" t="n">
        <v>2833</v>
      </c>
      <c r="Z20" s="39" t="n">
        <f aca="false">IFERROR(Y20/Y$10,0)</f>
        <v>0.209914048606995</v>
      </c>
      <c r="AB20" s="28" t="n">
        <f aca="false">SUM(C20,E20,G20,I20,K20,M20,O20,Q20,S20,U20,W20,Y20)</f>
        <v>32128</v>
      </c>
      <c r="AC20" s="39" t="n">
        <f aca="false">IFERROR(AB20/AB$10,0)</f>
        <v>0.212671031118231</v>
      </c>
    </row>
    <row r="21" customFormat="false" ht="15" hidden="false" customHeight="true" outlineLevel="0" collapsed="false">
      <c r="A21" s="27" t="s">
        <v>174</v>
      </c>
      <c r="C21" s="28" t="n">
        <v>294</v>
      </c>
      <c r="D21" s="39" t="n">
        <f aca="false">IFERROR(C21/C$11,0)</f>
        <v>0.3675</v>
      </c>
      <c r="E21" s="28" t="n">
        <v>111</v>
      </c>
      <c r="F21" s="39" t="n">
        <f aca="false">IFERROR(E21/E$11,0)</f>
        <v>0.376271186440678</v>
      </c>
      <c r="G21" s="28" t="n">
        <v>235</v>
      </c>
      <c r="H21" s="39" t="n">
        <f aca="false">IFERROR(G21/G$11,0)</f>
        <v>0.173559822747415</v>
      </c>
      <c r="I21" s="28" t="n">
        <v>238</v>
      </c>
      <c r="J21" s="39" t="n">
        <f aca="false">IFERROR(I21/I$11,0)</f>
        <v>0.159731543624161</v>
      </c>
      <c r="K21" s="28" t="n">
        <v>22</v>
      </c>
      <c r="L21" s="39" t="n">
        <f aca="false">IFERROR(K21/K$11,0)</f>
        <v>0.0372250423011844</v>
      </c>
      <c r="M21" s="28" t="n">
        <v>1711</v>
      </c>
      <c r="N21" s="39" t="n">
        <f aca="false">IFERROR(M21/M$11,0)</f>
        <v>1.73882113821138</v>
      </c>
      <c r="O21" s="28" t="n">
        <v>91</v>
      </c>
      <c r="P21" s="39" t="n">
        <f aca="false">IFERROR(O21/O$11,0)</f>
        <v>0.149425287356322</v>
      </c>
      <c r="Q21" s="28" t="n">
        <v>67</v>
      </c>
      <c r="R21" s="39" t="n">
        <f aca="false">IFERROR(Q21/Q$11,0)</f>
        <v>0.110016420361248</v>
      </c>
      <c r="S21" s="28" t="n">
        <v>82</v>
      </c>
      <c r="T21" s="39" t="n">
        <f aca="false">IFERROR(S21/S$11,0)</f>
        <v>0.134646962233169</v>
      </c>
      <c r="U21" s="28" t="n">
        <v>80</v>
      </c>
      <c r="V21" s="39" t="n">
        <f aca="false">IFERROR(U21/U$11,0)</f>
        <v>0.13136288998358</v>
      </c>
      <c r="W21" s="28" t="n">
        <v>76</v>
      </c>
      <c r="X21" s="39" t="n">
        <f aca="false">IFERROR(W21/W$11,0)</f>
        <v>0.124794745484401</v>
      </c>
      <c r="Y21" s="28" t="n">
        <v>79</v>
      </c>
      <c r="Z21" s="39" t="n">
        <f aca="false">IFERROR(Y21/Y$11,0)</f>
        <v>0.129720853858785</v>
      </c>
      <c r="AB21" s="28" t="n">
        <f aca="false">SUM(C21,E21,G21,I21,K21,M21,O21,Q21,S21,U21,W21,Y21)</f>
        <v>3086</v>
      </c>
      <c r="AC21" s="39" t="n">
        <f aca="false">IFERROR(AB21/AB$11,0)</f>
        <v>0.336605584642234</v>
      </c>
    </row>
    <row r="22" customFormat="false" ht="15" hidden="false" customHeight="true" outlineLevel="0" collapsed="false">
      <c r="A22" s="27" t="s">
        <v>175</v>
      </c>
      <c r="C22" s="28" t="n">
        <v>82</v>
      </c>
      <c r="D22" s="39" t="n">
        <f aca="false">IFERROR(C22/C$12,0)</f>
        <v>1.51851851851852</v>
      </c>
      <c r="E22" s="28" t="n">
        <v>153</v>
      </c>
      <c r="F22" s="39" t="n">
        <f aca="false">IFERROR(E22/E$12,0)</f>
        <v>0.6375</v>
      </c>
      <c r="G22" s="28" t="n">
        <v>43</v>
      </c>
      <c r="H22" s="39" t="n">
        <f aca="false">IFERROR(G22/G$12,0)</f>
        <v>0.247126436781609</v>
      </c>
      <c r="I22" s="28" t="n">
        <v>86</v>
      </c>
      <c r="J22" s="39" t="n">
        <f aca="false">IFERROR(I22/I$12,0)</f>
        <v>0.258258258258258</v>
      </c>
      <c r="K22" s="28" t="n">
        <v>176</v>
      </c>
      <c r="L22" s="39" t="n">
        <f aca="false">IFERROR(K22/K$12,0)</f>
        <v>0.294807370184255</v>
      </c>
      <c r="M22" s="28" t="n">
        <v>146</v>
      </c>
      <c r="N22" s="39" t="n">
        <f aca="false">IFERROR(M22/M$12,0)</f>
        <v>0.19650067294751</v>
      </c>
      <c r="O22" s="28" t="n">
        <v>172</v>
      </c>
      <c r="P22" s="39" t="n">
        <f aca="false">IFERROR(O22/O$12,0)</f>
        <v>0.279674796747967</v>
      </c>
      <c r="Q22" s="28" t="n">
        <v>174</v>
      </c>
      <c r="R22" s="39" t="n">
        <f aca="false">IFERROR(Q22/Q$12,0)</f>
        <v>0.282926829268293</v>
      </c>
      <c r="S22" s="28" t="n">
        <v>172</v>
      </c>
      <c r="T22" s="39" t="n">
        <f aca="false">IFERROR(S22/S$12,0)</f>
        <v>0.279674796747967</v>
      </c>
      <c r="U22" s="28" t="n">
        <v>172</v>
      </c>
      <c r="V22" s="39" t="n">
        <f aca="false">IFERROR(U22/U$12,0)</f>
        <v>0.279674796747967</v>
      </c>
      <c r="W22" s="28" t="n">
        <v>173</v>
      </c>
      <c r="X22" s="39" t="n">
        <f aca="false">IFERROR(W22/W$12,0)</f>
        <v>0.28130081300813</v>
      </c>
      <c r="Y22" s="28" t="n">
        <v>172</v>
      </c>
      <c r="Z22" s="39" t="n">
        <f aca="false">IFERROR(Y22/Y$12,0)</f>
        <v>0.279674796747967</v>
      </c>
      <c r="AB22" s="28" t="n">
        <f aca="false">SUM(C22,E22,G22,I22,K22,M22,O22,Q22,S22,U22,W22,Y22)</f>
        <v>1721</v>
      </c>
      <c r="AC22" s="39" t="n">
        <f aca="false">IFERROR(AB22/AB$12,0)</f>
        <v>0.295146630080604</v>
      </c>
    </row>
    <row r="23" customFormat="false" ht="15" hidden="false" customHeight="true" outlineLevel="0" collapsed="false">
      <c r="A23" s="27" t="s">
        <v>176</v>
      </c>
      <c r="C23" s="28" t="n">
        <v>301</v>
      </c>
      <c r="D23" s="39" t="n">
        <f aca="false">IFERROR(C23/C$13,0)</f>
        <v>0</v>
      </c>
      <c r="E23" s="28" t="n">
        <v>0</v>
      </c>
      <c r="F23" s="39" t="n">
        <f aca="false">IFERROR(E23/E$13,0)</f>
        <v>0</v>
      </c>
      <c r="G23" s="28" t="n">
        <v>0</v>
      </c>
      <c r="H23" s="39" t="n">
        <f aca="false">IFERROR(G23/G$13,0)</f>
        <v>0</v>
      </c>
      <c r="I23" s="28" t="n">
        <v>268</v>
      </c>
      <c r="J23" s="39" t="n">
        <f aca="false">IFERROR(I23/I$13,0)</f>
        <v>0.540322580645161</v>
      </c>
      <c r="K23" s="28" t="n">
        <v>290</v>
      </c>
      <c r="L23" s="39" t="n">
        <f aca="false">IFERROR(K23/K$13,0)</f>
        <v>0.285714285714286</v>
      </c>
      <c r="M23" s="28" t="n">
        <v>595</v>
      </c>
      <c r="N23" s="39" t="n">
        <f aca="false">IFERROR(M23/M$13,0)</f>
        <v>0.540417801998184</v>
      </c>
      <c r="O23" s="28" t="n">
        <v>386</v>
      </c>
      <c r="P23" s="39" t="n">
        <f aca="false">IFERROR(O23/O$13,0)</f>
        <v>0.369377990430622</v>
      </c>
      <c r="Q23" s="28" t="n">
        <v>358</v>
      </c>
      <c r="R23" s="39" t="n">
        <f aca="false">IFERROR(Q23/Q$13,0)</f>
        <v>0.342583732057416</v>
      </c>
      <c r="S23" s="28" t="n">
        <v>377</v>
      </c>
      <c r="T23" s="39" t="n">
        <f aca="false">IFERROR(S23/S$13,0)</f>
        <v>0.360765550239234</v>
      </c>
      <c r="U23" s="28" t="n">
        <v>373</v>
      </c>
      <c r="V23" s="39" t="n">
        <f aca="false">IFERROR(U23/U$13,0)</f>
        <v>0.356937799043062</v>
      </c>
      <c r="W23" s="28" t="n">
        <v>369</v>
      </c>
      <c r="X23" s="39" t="n">
        <f aca="false">IFERROR(W23/W$13,0)</f>
        <v>0.35311004784689</v>
      </c>
      <c r="Y23" s="28" t="n">
        <v>373</v>
      </c>
      <c r="Z23" s="39" t="n">
        <f aca="false">IFERROR(Y23/Y$13,0)</f>
        <v>0.356937799043062</v>
      </c>
      <c r="AB23" s="28" t="n">
        <f aca="false">SUM(C23,E23,G23,I23,K23,M23,O23,Q23,S23,U23,W23,Y23)</f>
        <v>3690</v>
      </c>
      <c r="AC23" s="39" t="n">
        <f aca="false">IFERROR(AB23/AB$13,0)</f>
        <v>0.414839797639123</v>
      </c>
    </row>
    <row r="24" customFormat="false" ht="15" hidden="false" customHeight="true" outlineLevel="0" collapsed="false">
      <c r="A24" s="31" t="s">
        <v>129</v>
      </c>
      <c r="C24" s="32" t="n">
        <f aca="false">SUM(C19:C23)</f>
        <v>3834</v>
      </c>
      <c r="D24" s="40" t="n">
        <f aca="false">IFERROR(C24/C$16,0)</f>
        <v>0.21452551477171</v>
      </c>
      <c r="E24" s="32" t="n">
        <f aca="false">SUM(E19:E23)</f>
        <v>5575</v>
      </c>
      <c r="F24" s="40" t="n">
        <f aca="false">IFERROR(E24/E$16,0)</f>
        <v>0.312552559286876</v>
      </c>
      <c r="G24" s="32" t="n">
        <f aca="false">SUM(G19:G23)</f>
        <v>7183</v>
      </c>
      <c r="H24" s="40" t="n">
        <f aca="false">IFERROR(G24/G$16,0)</f>
        <v>0.271548465144413</v>
      </c>
      <c r="I24" s="32" t="n">
        <f aca="false">SUM(I19:I23)</f>
        <v>6038</v>
      </c>
      <c r="J24" s="40" t="n">
        <f aca="false">IFERROR(I24/I$16,0)</f>
        <v>0.293377386910257</v>
      </c>
      <c r="K24" s="32" t="n">
        <f aca="false">SUM(K19:K23)</f>
        <v>11371</v>
      </c>
      <c r="L24" s="40" t="n">
        <f aca="false">IFERROR(K24/K$16,0)</f>
        <v>0.457088877276199</v>
      </c>
      <c r="M24" s="32" t="n">
        <f aca="false">SUM(M19:M23)</f>
        <v>13614</v>
      </c>
      <c r="N24" s="40" t="n">
        <f aca="false">IFERROR(M24/M$16,0)</f>
        <v>0.503122805720832</v>
      </c>
      <c r="O24" s="32" t="n">
        <f aca="false">SUM(O19:O23)</f>
        <v>9323</v>
      </c>
      <c r="P24" s="40" t="n">
        <f aca="false">IFERROR(O24/O$16,0)</f>
        <v>0.36320074798395</v>
      </c>
      <c r="Q24" s="32" t="n">
        <f aca="false">SUM(Q19:Q23)</f>
        <v>9886</v>
      </c>
      <c r="R24" s="40" t="n">
        <f aca="false">IFERROR(Q24/Q$16,0)</f>
        <v>0.385133819003467</v>
      </c>
      <c r="S24" s="32" t="n">
        <f aca="false">SUM(S19:S23)</f>
        <v>9295</v>
      </c>
      <c r="T24" s="40" t="n">
        <f aca="false">IFERROR(S24/S$16,0)</f>
        <v>0.362109938057579</v>
      </c>
      <c r="U24" s="32" t="n">
        <f aca="false">SUM(U19:U23)</f>
        <v>9500</v>
      </c>
      <c r="V24" s="40" t="n">
        <f aca="false">IFERROR(U24/U$16,0)</f>
        <v>0.370096225018505</v>
      </c>
      <c r="W24" s="32" t="n">
        <f aca="false">SUM(W19:W23)</f>
        <v>9560</v>
      </c>
      <c r="X24" s="40" t="n">
        <f aca="false">IFERROR(W24/W$16,0)</f>
        <v>0.372433674860727</v>
      </c>
      <c r="Y24" s="32" t="n">
        <f aca="false">SUM(Y19:Y23)</f>
        <v>9451</v>
      </c>
      <c r="Z24" s="40" t="n">
        <f aca="false">IFERROR(Y24/Y$16,0)</f>
        <v>0.368187307647357</v>
      </c>
      <c r="AB24" s="32" t="n">
        <f aca="false">SUM(AB19:AB23)</f>
        <v>104630</v>
      </c>
      <c r="AC24" s="40" t="n">
        <f aca="false">IFERROR(AB24/AB$16,0)</f>
        <v>0.362427777700802</v>
      </c>
    </row>
    <row r="25" customFormat="false" ht="15" hidden="false" customHeight="true" outlineLevel="0" collapsed="false">
      <c r="A25" s="31" t="s">
        <v>130</v>
      </c>
      <c r="C25" s="41" t="n">
        <f aca="false">C16-C24</f>
        <v>14038</v>
      </c>
      <c r="D25" s="42" t="n">
        <f aca="false">IFERROR(C25/C$16,0)</f>
        <v>0.78547448522829</v>
      </c>
      <c r="E25" s="41" t="n">
        <f aca="false">E16-E24</f>
        <v>12262</v>
      </c>
      <c r="F25" s="42" t="n">
        <f aca="false">IFERROR(E25/E$16,0)</f>
        <v>0.687447440713124</v>
      </c>
      <c r="G25" s="41" t="n">
        <f aca="false">G16-G24</f>
        <v>19269</v>
      </c>
      <c r="H25" s="42" t="n">
        <f aca="false">IFERROR(G25/G$16,0)</f>
        <v>0.728451534855587</v>
      </c>
      <c r="I25" s="41" t="n">
        <f aca="false">I16-I24</f>
        <v>14543</v>
      </c>
      <c r="J25" s="42" t="n">
        <f aca="false">IFERROR(I25/I$16,0)</f>
        <v>0.706622613089743</v>
      </c>
      <c r="K25" s="41" t="n">
        <f aca="false">K16-K24</f>
        <v>13506</v>
      </c>
      <c r="L25" s="42" t="n">
        <f aca="false">IFERROR(K25/K$16,0)</f>
        <v>0.542911122723801</v>
      </c>
      <c r="M25" s="41" t="n">
        <f aca="false">M16-M24</f>
        <v>13445</v>
      </c>
      <c r="N25" s="42" t="n">
        <f aca="false">IFERROR(M25/M$16,0)</f>
        <v>0.496877194279168</v>
      </c>
      <c r="O25" s="41" t="n">
        <f aca="false">O16-O24</f>
        <v>16346</v>
      </c>
      <c r="P25" s="42" t="n">
        <f aca="false">IFERROR(O25/O$16,0)</f>
        <v>0.636799252016051</v>
      </c>
      <c r="Q25" s="41" t="n">
        <f aca="false">Q16-Q24</f>
        <v>15783</v>
      </c>
      <c r="R25" s="42" t="n">
        <f aca="false">IFERROR(Q25/Q$16,0)</f>
        <v>0.614866180996533</v>
      </c>
      <c r="S25" s="41" t="n">
        <f aca="false">S16-S24</f>
        <v>16374</v>
      </c>
      <c r="T25" s="42" t="n">
        <f aca="false">IFERROR(S25/S$16,0)</f>
        <v>0.637890061942421</v>
      </c>
      <c r="U25" s="41" t="n">
        <f aca="false">U16-U24</f>
        <v>16169</v>
      </c>
      <c r="V25" s="42" t="n">
        <f aca="false">IFERROR(U25/U$16,0)</f>
        <v>0.629903774981495</v>
      </c>
      <c r="W25" s="41" t="n">
        <f aca="false">W16-W24</f>
        <v>16109</v>
      </c>
      <c r="X25" s="42" t="n">
        <f aca="false">IFERROR(W25/W$16,0)</f>
        <v>0.627566325139273</v>
      </c>
      <c r="Y25" s="41" t="n">
        <f aca="false">Y16-Y24</f>
        <v>16218</v>
      </c>
      <c r="Z25" s="42" t="n">
        <f aca="false">IFERROR(Y25/Y$16,0)</f>
        <v>0.631812692352643</v>
      </c>
      <c r="AB25" s="41" t="n">
        <f aca="false">AB16-AB24</f>
        <v>184062</v>
      </c>
      <c r="AC25" s="42" t="n">
        <f aca="false">IFERROR(AB25/AB$16,0)</f>
        <v>0.637572222299198</v>
      </c>
    </row>
    <row r="27" customFormat="false" ht="15" hidden="false" customHeight="true" outlineLevel="0" collapsed="false">
      <c r="A27" s="31" t="s">
        <v>178</v>
      </c>
    </row>
    <row r="28" customFormat="false" ht="15" hidden="false" customHeight="true" outlineLevel="0" collapsed="false">
      <c r="A28" s="27" t="s">
        <v>179</v>
      </c>
      <c r="C28" s="28" t="n">
        <v>1230</v>
      </c>
      <c r="D28" s="39" t="n">
        <f aca="false">IFERROR(C28/C$16,0)</f>
        <v>0.068822739480752</v>
      </c>
      <c r="E28" s="28" t="n">
        <v>479</v>
      </c>
      <c r="F28" s="39" t="n">
        <f aca="false">IFERROR(E28/E$16,0)</f>
        <v>0.026854291640971</v>
      </c>
      <c r="G28" s="28" t="n">
        <v>868</v>
      </c>
      <c r="H28" s="39" t="n">
        <f aca="false">IFERROR(G28/G$16,0)</f>
        <v>0.0328141539392106</v>
      </c>
      <c r="I28" s="28" t="n">
        <v>1132</v>
      </c>
      <c r="J28" s="39" t="n">
        <f aca="false">IFERROR(I28/I$16,0)</f>
        <v>0.0550021864826782</v>
      </c>
      <c r="K28" s="28" t="n">
        <v>1657</v>
      </c>
      <c r="L28" s="39" t="n">
        <f aca="false">IFERROR(K28/K$16,0)</f>
        <v>0.0666077099328697</v>
      </c>
      <c r="M28" s="28" t="n">
        <v>1377</v>
      </c>
      <c r="N28" s="39" t="n">
        <f aca="false">IFERROR(M28/M$16,0)</f>
        <v>0.0508887985513138</v>
      </c>
      <c r="O28" s="28" t="n">
        <v>1657</v>
      </c>
      <c r="P28" s="39" t="n">
        <f aca="false">IFERROR(O28/O$16,0)</f>
        <v>0.0645525731427013</v>
      </c>
      <c r="Q28" s="28" t="n">
        <v>1657</v>
      </c>
      <c r="R28" s="39" t="n">
        <f aca="false">IFERROR(Q28/Q$16,0)</f>
        <v>0.0645525731427013</v>
      </c>
      <c r="S28" s="28" t="n">
        <v>1657</v>
      </c>
      <c r="T28" s="39" t="n">
        <f aca="false">IFERROR(S28/S$16,0)</f>
        <v>0.0645525731427013</v>
      </c>
      <c r="U28" s="28" t="n">
        <v>1657</v>
      </c>
      <c r="V28" s="39" t="n">
        <f aca="false">IFERROR(U28/U$16,0)</f>
        <v>0.0645525731427013</v>
      </c>
      <c r="W28" s="28" t="n">
        <v>1657</v>
      </c>
      <c r="X28" s="39" t="n">
        <f aca="false">IFERROR(W28/W$16,0)</f>
        <v>0.0645525731427013</v>
      </c>
      <c r="Y28" s="28" t="n">
        <v>1657</v>
      </c>
      <c r="Z28" s="39" t="n">
        <f aca="false">IFERROR(Y28/Y$16,0)</f>
        <v>0.0645525731427013</v>
      </c>
      <c r="AB28" s="28" t="n">
        <f aca="false">SUM(C28,E28,G28,I28,K28,M28,O28,Q28,S28,U28,W28,Y28)</f>
        <v>16685</v>
      </c>
      <c r="AC28" s="39" t="n">
        <f aca="false">IFERROR(AB28/AB$16,0)</f>
        <v>0.0577951588544192</v>
      </c>
    </row>
    <row r="29" customFormat="false" ht="15" hidden="false" customHeight="true" outlineLevel="0" collapsed="false">
      <c r="A29" s="27" t="s">
        <v>180</v>
      </c>
      <c r="C29" s="28" t="n">
        <v>2558</v>
      </c>
      <c r="D29" s="39" t="n">
        <f aca="false">IFERROR(C29/C$16,0)</f>
        <v>0.143128916741271</v>
      </c>
      <c r="E29" s="28" t="n">
        <v>2016</v>
      </c>
      <c r="F29" s="39" t="n">
        <f aca="false">IFERROR(E29/E$16,0)</f>
        <v>0.113023490497281</v>
      </c>
      <c r="G29" s="28" t="n">
        <v>2550</v>
      </c>
      <c r="H29" s="39" t="n">
        <f aca="false">IFERROR(G29/G$16,0)</f>
        <v>0.096401028277635</v>
      </c>
      <c r="I29" s="28" t="n">
        <v>3413</v>
      </c>
      <c r="J29" s="39" t="n">
        <f aca="false">IFERROR(I29/I$16,0)</f>
        <v>0.165832564015354</v>
      </c>
      <c r="K29" s="28" t="n">
        <v>2266</v>
      </c>
      <c r="L29" s="39" t="n">
        <f aca="false">IFERROR(K29/K$16,0)</f>
        <v>0.0910881537162841</v>
      </c>
      <c r="M29" s="28" t="n">
        <v>2637</v>
      </c>
      <c r="N29" s="39" t="n">
        <f aca="false">IFERROR(M29/M$16,0)</f>
        <v>0.0974537122583983</v>
      </c>
      <c r="O29" s="28" t="n">
        <v>2266</v>
      </c>
      <c r="P29" s="39" t="n">
        <f aca="false">IFERROR(O29/O$16,0)</f>
        <v>0.088277689041256</v>
      </c>
      <c r="Q29" s="28" t="n">
        <v>2266</v>
      </c>
      <c r="R29" s="39" t="n">
        <f aca="false">IFERROR(Q29/Q$16,0)</f>
        <v>0.088277689041256</v>
      </c>
      <c r="S29" s="28" t="n">
        <v>2266</v>
      </c>
      <c r="T29" s="39" t="n">
        <f aca="false">IFERROR(S29/S$16,0)</f>
        <v>0.088277689041256</v>
      </c>
      <c r="U29" s="28" t="n">
        <v>2266</v>
      </c>
      <c r="V29" s="39" t="n">
        <f aca="false">IFERROR(U29/U$16,0)</f>
        <v>0.088277689041256</v>
      </c>
      <c r="W29" s="28" t="n">
        <v>2266</v>
      </c>
      <c r="X29" s="39" t="n">
        <f aca="false">IFERROR(W29/W$16,0)</f>
        <v>0.088277689041256</v>
      </c>
      <c r="Y29" s="28" t="n">
        <v>2266</v>
      </c>
      <c r="Z29" s="39" t="n">
        <f aca="false">IFERROR(Y29/Y$16,0)</f>
        <v>0.088277689041256</v>
      </c>
      <c r="AB29" s="28" t="n">
        <f aca="false">SUM(C29,E29,G29,I29,K29,M29,O29,Q29,S29,U29,W29,Y29)</f>
        <v>29036</v>
      </c>
      <c r="AC29" s="39" t="n">
        <f aca="false">IFERROR(AB29/AB$16,0)</f>
        <v>0.100577778393582</v>
      </c>
    </row>
    <row r="30" customFormat="false" ht="15" hidden="false" customHeight="true" outlineLevel="0" collapsed="false">
      <c r="A30" s="27" t="s">
        <v>181</v>
      </c>
      <c r="C30" s="28" t="n">
        <v>10115</v>
      </c>
      <c r="D30" s="39" t="n">
        <f aca="false">IFERROR(C30/C$16,0)</f>
        <v>0.565969113697404</v>
      </c>
      <c r="E30" s="28" t="n">
        <v>8428</v>
      </c>
      <c r="F30" s="39" t="n">
        <f aca="false">IFERROR(E30/E$16,0)</f>
        <v>0.472500981106688</v>
      </c>
      <c r="G30" s="28" t="n">
        <v>7366</v>
      </c>
      <c r="H30" s="39" t="n">
        <f aca="false">IFERROR(G30/G$16,0)</f>
        <v>0.278466656585513</v>
      </c>
      <c r="I30" s="28" t="n">
        <v>6693</v>
      </c>
      <c r="J30" s="39" t="n">
        <f aca="false">IFERROR(I30/I$16,0)</f>
        <v>0.325202857004033</v>
      </c>
      <c r="K30" s="28" t="n">
        <v>8447</v>
      </c>
      <c r="L30" s="39" t="n">
        <f aca="false">IFERROR(K30/K$16,0)</f>
        <v>0.339550588897375</v>
      </c>
      <c r="M30" s="28" t="n">
        <v>9291</v>
      </c>
      <c r="N30" s="39" t="n">
        <f aca="false">IFERROR(M30/M$16,0)</f>
        <v>0.343360804168669</v>
      </c>
      <c r="O30" s="28" t="n">
        <v>8447</v>
      </c>
      <c r="P30" s="39" t="n">
        <f aca="false">IFERROR(O30/O$16,0)</f>
        <v>0.329073980287506</v>
      </c>
      <c r="Q30" s="28" t="n">
        <v>8447</v>
      </c>
      <c r="R30" s="39" t="n">
        <f aca="false">IFERROR(Q30/Q$16,0)</f>
        <v>0.329073980287506</v>
      </c>
      <c r="S30" s="28" t="n">
        <v>8447</v>
      </c>
      <c r="T30" s="39" t="n">
        <f aca="false">IFERROR(S30/S$16,0)</f>
        <v>0.329073980287506</v>
      </c>
      <c r="U30" s="28" t="n">
        <v>8447</v>
      </c>
      <c r="V30" s="39" t="n">
        <f aca="false">IFERROR(U30/U$16,0)</f>
        <v>0.329073980287506</v>
      </c>
      <c r="W30" s="28" t="n">
        <v>8447</v>
      </c>
      <c r="X30" s="39" t="n">
        <f aca="false">IFERROR(W30/W$16,0)</f>
        <v>0.329073980287506</v>
      </c>
      <c r="Y30" s="28" t="n">
        <v>8447</v>
      </c>
      <c r="Z30" s="39" t="n">
        <f aca="false">IFERROR(Y30/Y$16,0)</f>
        <v>0.329073980287506</v>
      </c>
      <c r="AB30" s="28" t="n">
        <f aca="false">SUM(C30,E30,G30,I30,K30,M30,O30,Q30,S30,U30,W30,Y30)</f>
        <v>101022</v>
      </c>
      <c r="AC30" s="39" t="n">
        <f aca="false">IFERROR(AB30/AB$16,0)</f>
        <v>0.34993002923531</v>
      </c>
    </row>
    <row r="31" customFormat="false" ht="15" hidden="false" customHeight="true" outlineLevel="0" collapsed="false">
      <c r="A31" s="27" t="s">
        <v>182</v>
      </c>
      <c r="C31" s="28" t="n">
        <v>3006</v>
      </c>
      <c r="D31" s="39" t="n">
        <f aca="false">IFERROR(C31/C$16,0)</f>
        <v>0.16819606087735</v>
      </c>
      <c r="E31" s="28" t="n">
        <v>650</v>
      </c>
      <c r="F31" s="39" t="n">
        <f aca="false">IFERROR(E31/E$16,0)</f>
        <v>0.0364411055670797</v>
      </c>
      <c r="G31" s="28" t="n">
        <v>2488</v>
      </c>
      <c r="H31" s="39" t="n">
        <f aca="false">IFERROR(G31/G$16,0)</f>
        <v>0.0940571601391199</v>
      </c>
      <c r="I31" s="28" t="n">
        <v>1488</v>
      </c>
      <c r="J31" s="39" t="n">
        <f aca="false">IFERROR(I31/I$16,0)</f>
        <v>0.0722996938924251</v>
      </c>
      <c r="K31" s="28" t="n">
        <v>1840</v>
      </c>
      <c r="L31" s="39" t="n">
        <f aca="false">IFERROR(K31/K$16,0)</f>
        <v>0.0739639023998071</v>
      </c>
      <c r="M31" s="28" t="n">
        <v>3015</v>
      </c>
      <c r="N31" s="39" t="n">
        <f aca="false">IFERROR(M31/M$16,0)</f>
        <v>0.111423186370524</v>
      </c>
      <c r="O31" s="28" t="n">
        <v>1840</v>
      </c>
      <c r="P31" s="39" t="n">
        <f aca="false">IFERROR(O31/O$16,0)</f>
        <v>0.0716817951614788</v>
      </c>
      <c r="Q31" s="28" t="n">
        <v>1840</v>
      </c>
      <c r="R31" s="39" t="n">
        <f aca="false">IFERROR(Q31/Q$16,0)</f>
        <v>0.0716817951614788</v>
      </c>
      <c r="S31" s="28" t="n">
        <v>1840</v>
      </c>
      <c r="T31" s="39" t="n">
        <f aca="false">IFERROR(S31/S$16,0)</f>
        <v>0.0716817951614788</v>
      </c>
      <c r="U31" s="28" t="n">
        <v>1840</v>
      </c>
      <c r="V31" s="39" t="n">
        <f aca="false">IFERROR(U31/U$16,0)</f>
        <v>0.0716817951614788</v>
      </c>
      <c r="W31" s="28" t="n">
        <v>1840</v>
      </c>
      <c r="X31" s="39" t="n">
        <f aca="false">IFERROR(W31/W$16,0)</f>
        <v>0.0716817951614788</v>
      </c>
      <c r="Y31" s="28" t="n">
        <v>1840</v>
      </c>
      <c r="Z31" s="39" t="n">
        <f aca="false">IFERROR(Y31/Y$16,0)</f>
        <v>0.0716817951614788</v>
      </c>
      <c r="AB31" s="28" t="n">
        <f aca="false">SUM(C31,E31,G31,I31,K31,M31,O31,Q31,S31,U31,W31,Y31)</f>
        <v>23527</v>
      </c>
      <c r="AC31" s="39" t="n">
        <f aca="false">IFERROR(AB31/AB$16,0)</f>
        <v>0.0814951574688596</v>
      </c>
    </row>
    <row r="32" customFormat="false" ht="15" hidden="false" customHeight="true" outlineLevel="0" collapsed="false">
      <c r="A32" s="27" t="s">
        <v>183</v>
      </c>
      <c r="C32" s="28" t="n">
        <v>0</v>
      </c>
      <c r="D32" s="39" t="n">
        <f aca="false">IFERROR(C32/C$16,0)</f>
        <v>0</v>
      </c>
      <c r="E32" s="28" t="n">
        <v>0</v>
      </c>
      <c r="F32" s="39" t="n">
        <f aca="false">IFERROR(E32/E$16,0)</f>
        <v>0</v>
      </c>
      <c r="G32" s="28" t="n">
        <v>0</v>
      </c>
      <c r="H32" s="39" t="n">
        <f aca="false">IFERROR(G32/G$16,0)</f>
        <v>0</v>
      </c>
      <c r="I32" s="28" t="n">
        <v>0</v>
      </c>
      <c r="J32" s="39" t="n">
        <f aca="false">IFERROR(I32/I$16,0)</f>
        <v>0</v>
      </c>
      <c r="K32" s="28" t="n">
        <v>0</v>
      </c>
      <c r="L32" s="39" t="n">
        <f aca="false">IFERROR(K32/K$16,0)</f>
        <v>0</v>
      </c>
      <c r="M32" s="28" t="n">
        <v>0</v>
      </c>
      <c r="N32" s="39" t="n">
        <f aca="false">IFERROR(M32/M$16,0)</f>
        <v>0</v>
      </c>
      <c r="O32" s="28" t="n">
        <v>0</v>
      </c>
      <c r="P32" s="39" t="n">
        <f aca="false">IFERROR(O32/O$16,0)</f>
        <v>0</v>
      </c>
      <c r="Q32" s="28" t="n">
        <v>0</v>
      </c>
      <c r="R32" s="39" t="n">
        <f aca="false">IFERROR(Q32/Q$16,0)</f>
        <v>0</v>
      </c>
      <c r="S32" s="28" t="n">
        <v>0</v>
      </c>
      <c r="T32" s="39" t="n">
        <f aca="false">IFERROR(S32/S$16,0)</f>
        <v>0</v>
      </c>
      <c r="U32" s="28" t="n">
        <v>0</v>
      </c>
      <c r="V32" s="39" t="n">
        <f aca="false">IFERROR(U32/U$16,0)</f>
        <v>0</v>
      </c>
      <c r="W32" s="28" t="n">
        <v>0</v>
      </c>
      <c r="X32" s="39" t="n">
        <f aca="false">IFERROR(W32/W$16,0)</f>
        <v>0</v>
      </c>
      <c r="Y32" s="28" t="n">
        <v>0</v>
      </c>
      <c r="Z32" s="39" t="n">
        <f aca="false">IFERROR(Y32/Y$16,0)</f>
        <v>0</v>
      </c>
      <c r="AB32" s="28" t="n">
        <f aca="false">SUM(C32,E32,G32,I32,K32,M32,O32,Q32,S32,U32,W32,Y32)</f>
        <v>0</v>
      </c>
      <c r="AC32" s="39" t="n">
        <f aca="false">IFERROR(AB32/AB$16,0)</f>
        <v>0</v>
      </c>
    </row>
    <row r="33" customFormat="false" ht="15" hidden="false" customHeight="true" outlineLevel="0" collapsed="false">
      <c r="A33" s="31" t="s">
        <v>131</v>
      </c>
      <c r="C33" s="32" t="n">
        <f aca="false">SUM(C28:C32)</f>
        <v>16909</v>
      </c>
      <c r="D33" s="40" t="n">
        <f aca="false">IFERROR(C33/C$16,0)</f>
        <v>0.946116830796777</v>
      </c>
      <c r="E33" s="32" t="n">
        <f aca="false">SUM(E28:E32)</f>
        <v>11573</v>
      </c>
      <c r="F33" s="40" t="n">
        <f aca="false">IFERROR(E33/E$16,0)</f>
        <v>0.64881986881202</v>
      </c>
      <c r="G33" s="32" t="n">
        <f aca="false">SUM(G28:G32)</f>
        <v>13272</v>
      </c>
      <c r="H33" s="40" t="n">
        <f aca="false">IFERROR(G33/G$16,0)</f>
        <v>0.501738998941479</v>
      </c>
      <c r="I33" s="32" t="n">
        <f aca="false">SUM(I28:I32)</f>
        <v>12726</v>
      </c>
      <c r="J33" s="40" t="n">
        <f aca="false">IFERROR(I33/I$16,0)</f>
        <v>0.61833730139449</v>
      </c>
      <c r="K33" s="32" t="n">
        <f aca="false">SUM(K28:K32)</f>
        <v>14210</v>
      </c>
      <c r="L33" s="40" t="n">
        <f aca="false">IFERROR(K33/K$16,0)</f>
        <v>0.571210354946336</v>
      </c>
      <c r="M33" s="32" t="n">
        <f aca="false">SUM(M28:M32)</f>
        <v>16320</v>
      </c>
      <c r="N33" s="40" t="n">
        <f aca="false">IFERROR(M33/M$16,0)</f>
        <v>0.603126501348904</v>
      </c>
      <c r="O33" s="32" t="n">
        <f aca="false">SUM(O28:O32)</f>
        <v>14210</v>
      </c>
      <c r="P33" s="40" t="n">
        <f aca="false">IFERROR(O33/O$16,0)</f>
        <v>0.553586037632943</v>
      </c>
      <c r="Q33" s="32" t="n">
        <f aca="false">SUM(Q28:Q32)</f>
        <v>14210</v>
      </c>
      <c r="R33" s="40" t="n">
        <f aca="false">IFERROR(Q33/Q$16,0)</f>
        <v>0.553586037632943</v>
      </c>
      <c r="S33" s="32" t="n">
        <f aca="false">SUM(S28:S32)</f>
        <v>14210</v>
      </c>
      <c r="T33" s="40" t="n">
        <f aca="false">IFERROR(S33/S$16,0)</f>
        <v>0.553586037632943</v>
      </c>
      <c r="U33" s="32" t="n">
        <f aca="false">SUM(U28:U32)</f>
        <v>14210</v>
      </c>
      <c r="V33" s="40" t="n">
        <f aca="false">IFERROR(U33/U$16,0)</f>
        <v>0.553586037632943</v>
      </c>
      <c r="W33" s="32" t="n">
        <f aca="false">SUM(W28:W32)</f>
        <v>14210</v>
      </c>
      <c r="X33" s="40" t="n">
        <f aca="false">IFERROR(W33/W$16,0)</f>
        <v>0.553586037632943</v>
      </c>
      <c r="Y33" s="32" t="n">
        <f aca="false">SUM(Y28:Y32)</f>
        <v>14210</v>
      </c>
      <c r="Z33" s="40" t="n">
        <f aca="false">IFERROR(Y33/Y$16,0)</f>
        <v>0.553586037632943</v>
      </c>
      <c r="AB33" s="32" t="n">
        <f aca="false">SUM(AB28:AB32)</f>
        <v>170270</v>
      </c>
      <c r="AC33" s="40" t="n">
        <f aca="false">IFERROR(AB33/AB$16,0)</f>
        <v>0.589798123952171</v>
      </c>
    </row>
    <row r="35" customFormat="false" ht="15" hidden="false" customHeight="true" outlineLevel="0" collapsed="false">
      <c r="A35" s="31" t="s">
        <v>184</v>
      </c>
      <c r="C35" s="41" t="n">
        <f aca="false">C24+C33</f>
        <v>20743</v>
      </c>
      <c r="D35" s="42" t="n">
        <f aca="false">IFERROR(C35/C$16,0)</f>
        <v>1.16064234556849</v>
      </c>
      <c r="E35" s="41" t="n">
        <f aca="false">E24+E33</f>
        <v>17148</v>
      </c>
      <c r="F35" s="42" t="n">
        <f aca="false">IFERROR(E35/E$16,0)</f>
        <v>0.961372428098896</v>
      </c>
      <c r="G35" s="41" t="n">
        <f aca="false">G24+G33</f>
        <v>20455</v>
      </c>
      <c r="H35" s="42" t="n">
        <f aca="false">IFERROR(G35/G$16,0)</f>
        <v>0.773287464085891</v>
      </c>
      <c r="I35" s="41" t="n">
        <f aca="false">I24+I33</f>
        <v>18764</v>
      </c>
      <c r="J35" s="42" t="n">
        <f aca="false">IFERROR(I35/I$16,0)</f>
        <v>0.911714688304747</v>
      </c>
      <c r="K35" s="41" t="n">
        <f aca="false">K24+K33</f>
        <v>25581</v>
      </c>
      <c r="L35" s="42" t="n">
        <f aca="false">IFERROR(K35/K$16,0)</f>
        <v>1.02829923222253</v>
      </c>
      <c r="M35" s="41" t="n">
        <f aca="false">M24+M33</f>
        <v>29934</v>
      </c>
      <c r="N35" s="42" t="n">
        <f aca="false">IFERROR(M35/M$16,0)</f>
        <v>1.10624930706974</v>
      </c>
      <c r="O35" s="41" t="n">
        <f aca="false">O24+O33</f>
        <v>23533</v>
      </c>
      <c r="P35" s="42" t="n">
        <f aca="false">IFERROR(O35/O$16,0)</f>
        <v>0.916786785616892</v>
      </c>
      <c r="Q35" s="41" t="n">
        <f aca="false">Q24+Q33</f>
        <v>24096</v>
      </c>
      <c r="R35" s="42" t="n">
        <f aca="false">IFERROR(Q35/Q$16,0)</f>
        <v>0.93871985663641</v>
      </c>
      <c r="S35" s="41" t="n">
        <f aca="false">S24+S33</f>
        <v>23505</v>
      </c>
      <c r="T35" s="42" t="n">
        <f aca="false">IFERROR(S35/S$16,0)</f>
        <v>0.915695975690522</v>
      </c>
      <c r="U35" s="41" t="n">
        <f aca="false">U24+U33</f>
        <v>23710</v>
      </c>
      <c r="V35" s="42" t="n">
        <f aca="false">IFERROR(U35/U$16,0)</f>
        <v>0.923682262651447</v>
      </c>
      <c r="W35" s="41" t="n">
        <f aca="false">W24+W33</f>
        <v>23770</v>
      </c>
      <c r="X35" s="42" t="n">
        <f aca="false">IFERROR(W35/W$16,0)</f>
        <v>0.926019712493669</v>
      </c>
      <c r="Y35" s="41" t="n">
        <f aca="false">Y24+Y33</f>
        <v>23661</v>
      </c>
      <c r="Z35" s="42" t="n">
        <f aca="false">IFERROR(Y35/Y$16,0)</f>
        <v>0.921773345280299</v>
      </c>
      <c r="AB35" s="41" t="n">
        <f aca="false">AB24+AB33</f>
        <v>274900</v>
      </c>
      <c r="AC35" s="42" t="n">
        <f aca="false">IFERROR(AB35/AB$16,0)</f>
        <v>0.952225901652973</v>
      </c>
    </row>
    <row r="36" customFormat="false" ht="15" hidden="false" customHeight="true" outlineLevel="0" collapsed="false">
      <c r="A36" s="31" t="s">
        <v>185</v>
      </c>
      <c r="C36" s="41" t="n">
        <f aca="false">C25-C33</f>
        <v>-2871</v>
      </c>
      <c r="D36" s="42" t="n">
        <f aca="false">IFERROR(C36/C$16,0)</f>
        <v>-0.160642345568487</v>
      </c>
      <c r="E36" s="41" t="n">
        <f aca="false">E25-E33</f>
        <v>689</v>
      </c>
      <c r="F36" s="42" t="n">
        <f aca="false">IFERROR(E36/E$16,0)</f>
        <v>0.0386275719011045</v>
      </c>
      <c r="G36" s="41" t="n">
        <f aca="false">G25-G33</f>
        <v>5997</v>
      </c>
      <c r="H36" s="42" t="n">
        <f aca="false">IFERROR(G36/G$16,0)</f>
        <v>0.226712535914109</v>
      </c>
      <c r="I36" s="41" t="n">
        <f aca="false">I25-I33</f>
        <v>1817</v>
      </c>
      <c r="J36" s="42" t="n">
        <f aca="false">IFERROR(I36/I$16,0)</f>
        <v>0.0882853116952529</v>
      </c>
      <c r="K36" s="41" t="n">
        <f aca="false">K25-K33</f>
        <v>-704</v>
      </c>
      <c r="L36" s="42" t="n">
        <f aca="false">IFERROR(K36/K$16,0)</f>
        <v>-0.0282992322225349</v>
      </c>
      <c r="M36" s="41" t="n">
        <f aca="false">M25-M33</f>
        <v>-2875</v>
      </c>
      <c r="N36" s="42" t="n">
        <f aca="false">IFERROR(M36/M$16,0)</f>
        <v>-0.106249307069737</v>
      </c>
      <c r="O36" s="41" t="n">
        <f aca="false">O25-O33</f>
        <v>2136</v>
      </c>
      <c r="P36" s="42" t="n">
        <f aca="false">IFERROR(O36/O$16,0)</f>
        <v>0.083213214383108</v>
      </c>
      <c r="Q36" s="41" t="n">
        <f aca="false">Q25-Q33</f>
        <v>1573</v>
      </c>
      <c r="R36" s="42" t="n">
        <f aca="false">IFERROR(Q36/Q$16,0)</f>
        <v>0.0612801433635903</v>
      </c>
      <c r="S36" s="41" t="n">
        <f aca="false">S25-S33</f>
        <v>2164</v>
      </c>
      <c r="T36" s="42" t="n">
        <f aca="false">IFERROR(S36/S$16,0)</f>
        <v>0.0843040243094784</v>
      </c>
      <c r="U36" s="41" t="n">
        <f aca="false">U25-U33</f>
        <v>1959</v>
      </c>
      <c r="V36" s="42" t="n">
        <f aca="false">IFERROR(U36/U$16,0)</f>
        <v>0.0763177373485527</v>
      </c>
      <c r="W36" s="41" t="n">
        <f aca="false">W25-W33</f>
        <v>1899</v>
      </c>
      <c r="X36" s="42" t="n">
        <f aca="false">IFERROR(W36/W$16,0)</f>
        <v>0.0739802875063306</v>
      </c>
      <c r="Y36" s="41" t="n">
        <f aca="false">Y25-Y33</f>
        <v>2008</v>
      </c>
      <c r="Z36" s="42" t="n">
        <f aca="false">IFERROR(Y36/Y$16,0)</f>
        <v>0.0782266547197008</v>
      </c>
      <c r="AB36" s="41" t="n">
        <f aca="false">AB25-AB33</f>
        <v>13792</v>
      </c>
      <c r="AC36" s="42" t="n">
        <f aca="false">IFERROR(AB36/AB$16,0)</f>
        <v>0.0477740983470273</v>
      </c>
    </row>
    <row r="38" customFormat="false" ht="15" hidden="false" customHeight="true" outlineLevel="0" collapsed="false">
      <c r="A38" s="31" t="s">
        <v>186</v>
      </c>
    </row>
    <row r="39" customFormat="false" ht="15" hidden="false" customHeight="true" outlineLevel="0" collapsed="false">
      <c r="A39" s="27" t="s">
        <v>187</v>
      </c>
      <c r="C39" s="28" t="n">
        <v>3310</v>
      </c>
      <c r="D39" s="39" t="n">
        <f aca="false">IFERROR(C39/C$16,0)</f>
        <v>0.185205908683975</v>
      </c>
      <c r="E39" s="28" t="n">
        <v>5119</v>
      </c>
      <c r="F39" s="39" t="n">
        <f aca="false">IFERROR(E39/E$16,0)</f>
        <v>0.286987722150586</v>
      </c>
      <c r="G39" s="28" t="n">
        <v>1987</v>
      </c>
      <c r="H39" s="39" t="n">
        <f aca="false">IFERROR(G39/G$16,0)</f>
        <v>0.0751171934069258</v>
      </c>
      <c r="I39" s="28" t="n">
        <v>4160</v>
      </c>
      <c r="J39" s="39" t="n">
        <f aca="false">IFERROR(I39/I$16,0)</f>
        <v>0.202128176473446</v>
      </c>
      <c r="K39" s="28" t="n">
        <v>3982</v>
      </c>
      <c r="L39" s="39" t="n">
        <f aca="false">IFERROR(K39/K$16,0)</f>
        <v>0.160067532258713</v>
      </c>
      <c r="M39" s="28" t="n">
        <v>3744</v>
      </c>
      <c r="N39" s="39" t="n">
        <f aca="false">IFERROR(M39/M$16,0)</f>
        <v>0.138364315015337</v>
      </c>
      <c r="O39" s="28" t="n">
        <v>3982</v>
      </c>
      <c r="P39" s="39" t="n">
        <f aca="false">IFERROR(O39/O$16,0)</f>
        <v>0.155128754528809</v>
      </c>
      <c r="Q39" s="28" t="n">
        <v>3982</v>
      </c>
      <c r="R39" s="39" t="n">
        <f aca="false">IFERROR(Q39/Q$16,0)</f>
        <v>0.155128754528809</v>
      </c>
      <c r="S39" s="28" t="n">
        <v>3982</v>
      </c>
      <c r="T39" s="39" t="n">
        <f aca="false">IFERROR(S39/S$16,0)</f>
        <v>0.155128754528809</v>
      </c>
      <c r="U39" s="28" t="n">
        <v>3982</v>
      </c>
      <c r="V39" s="39" t="n">
        <f aca="false">IFERROR(U39/U$16,0)</f>
        <v>0.155128754528809</v>
      </c>
      <c r="W39" s="28" t="n">
        <v>3982</v>
      </c>
      <c r="X39" s="39" t="n">
        <f aca="false">IFERROR(W39/W$16,0)</f>
        <v>0.155128754528809</v>
      </c>
      <c r="Y39" s="28" t="n">
        <v>3982</v>
      </c>
      <c r="Z39" s="39" t="n">
        <f aca="false">IFERROR(Y39/Y$16,0)</f>
        <v>0.155128754528809</v>
      </c>
      <c r="AB39" s="28" t="n">
        <f aca="false">SUM(C39,E39,G39,I39,K39,M39,O39,Q39,S39,U39,W39,Y39)</f>
        <v>46194</v>
      </c>
      <c r="AC39" s="39" t="n">
        <f aca="false">IFERROR(AB39/AB$16,0)</f>
        <v>0.160011361589514</v>
      </c>
    </row>
    <row r="40" customFormat="false" ht="15" hidden="false" customHeight="true" outlineLevel="0" collapsed="false">
      <c r="A40" s="27" t="s">
        <v>188</v>
      </c>
      <c r="C40" s="28" t="n">
        <v>25</v>
      </c>
      <c r="D40" s="39" t="n">
        <f aca="false">IFERROR(C40/C$16,0)</f>
        <v>0.00139883616830797</v>
      </c>
      <c r="E40" s="28" t="n">
        <v>0</v>
      </c>
      <c r="F40" s="39" t="n">
        <f aca="false">IFERROR(E40/E$16,0)</f>
        <v>0</v>
      </c>
      <c r="G40" s="28" t="n">
        <v>0</v>
      </c>
      <c r="H40" s="39" t="n">
        <f aca="false">IFERROR(G40/G$16,0)</f>
        <v>0</v>
      </c>
      <c r="I40" s="28" t="n">
        <v>0</v>
      </c>
      <c r="J40" s="39" t="n">
        <f aca="false">IFERROR(I40/I$16,0)</f>
        <v>0</v>
      </c>
      <c r="K40" s="28" t="n">
        <v>0</v>
      </c>
      <c r="L40" s="39" t="n">
        <f aca="false">IFERROR(K40/K$16,0)</f>
        <v>0</v>
      </c>
      <c r="M40" s="28" t="n">
        <v>0</v>
      </c>
      <c r="N40" s="39" t="n">
        <f aca="false">IFERROR(M40/M$16,0)</f>
        <v>0</v>
      </c>
      <c r="O40" s="28" t="n">
        <v>0</v>
      </c>
      <c r="P40" s="39" t="n">
        <f aca="false">IFERROR(O40/O$16,0)</f>
        <v>0</v>
      </c>
      <c r="Q40" s="28" t="n">
        <v>0</v>
      </c>
      <c r="R40" s="39" t="n">
        <f aca="false">IFERROR(Q40/Q$16,0)</f>
        <v>0</v>
      </c>
      <c r="S40" s="28" t="n">
        <v>0</v>
      </c>
      <c r="T40" s="39" t="n">
        <f aca="false">IFERROR(S40/S$16,0)</f>
        <v>0</v>
      </c>
      <c r="U40" s="28" t="n">
        <v>0</v>
      </c>
      <c r="V40" s="39" t="n">
        <f aca="false">IFERROR(U40/U$16,0)</f>
        <v>0</v>
      </c>
      <c r="W40" s="28" t="n">
        <v>0</v>
      </c>
      <c r="X40" s="39" t="n">
        <f aca="false">IFERROR(W40/W$16,0)</f>
        <v>0</v>
      </c>
      <c r="Y40" s="28" t="n">
        <v>0</v>
      </c>
      <c r="Z40" s="39" t="n">
        <f aca="false">IFERROR(Y40/Y$16,0)</f>
        <v>0</v>
      </c>
      <c r="AB40" s="28" t="n">
        <f aca="false">SUM(C40,E40,G40,I40,K40,M40,O40,Q40,S40,U40,W40,Y40)</f>
        <v>25</v>
      </c>
      <c r="AC40" s="39" t="n">
        <f aca="false">IFERROR(AB40/AB$16,0)</f>
        <v>8.65974810524711E-005</v>
      </c>
    </row>
    <row r="41" customFormat="false" ht="15" hidden="false" customHeight="true" outlineLevel="0" collapsed="false">
      <c r="A41" s="27" t="s">
        <v>189</v>
      </c>
      <c r="C41" s="28" t="n">
        <v>1883</v>
      </c>
      <c r="D41" s="39" t="n">
        <f aca="false">IFERROR(C41/C$16,0)</f>
        <v>0.105360340196956</v>
      </c>
      <c r="E41" s="28" t="n">
        <v>402</v>
      </c>
      <c r="F41" s="39" t="n">
        <f aca="false">IFERROR(E41/E$16,0)</f>
        <v>0.0225374222122554</v>
      </c>
      <c r="G41" s="28" t="n">
        <v>714</v>
      </c>
      <c r="H41" s="39" t="n">
        <f aca="false">IFERROR(G41/G$16,0)</f>
        <v>0.0269922879177378</v>
      </c>
      <c r="I41" s="28" t="n">
        <v>1340</v>
      </c>
      <c r="J41" s="39" t="n">
        <f aca="false">IFERROR(I41/I$16,0)</f>
        <v>0.0651085953063505</v>
      </c>
      <c r="K41" s="28" t="n">
        <v>628</v>
      </c>
      <c r="L41" s="39" t="n">
        <f aca="false">IFERROR(K41/K$16,0)</f>
        <v>0.0252442014712385</v>
      </c>
      <c r="M41" s="28" t="n">
        <v>1047</v>
      </c>
      <c r="N41" s="39" t="n">
        <f aca="false">IFERROR(M41/M$16,0)</f>
        <v>0.038693225913744</v>
      </c>
      <c r="O41" s="28" t="n">
        <v>628</v>
      </c>
      <c r="P41" s="39" t="n">
        <f aca="false">IFERROR(O41/O$16,0)</f>
        <v>0.0244653083485917</v>
      </c>
      <c r="Q41" s="28" t="n">
        <v>628</v>
      </c>
      <c r="R41" s="39" t="n">
        <f aca="false">IFERROR(Q41/Q$16,0)</f>
        <v>0.0244653083485917</v>
      </c>
      <c r="S41" s="28" t="n">
        <v>628</v>
      </c>
      <c r="T41" s="39" t="n">
        <f aca="false">IFERROR(S41/S$16,0)</f>
        <v>0.0244653083485917</v>
      </c>
      <c r="U41" s="28" t="n">
        <v>628</v>
      </c>
      <c r="V41" s="39" t="n">
        <f aca="false">IFERROR(U41/U$16,0)</f>
        <v>0.0244653083485917</v>
      </c>
      <c r="W41" s="28" t="n">
        <v>628</v>
      </c>
      <c r="X41" s="39" t="n">
        <f aca="false">IFERROR(W41/W$16,0)</f>
        <v>0.0244653083485917</v>
      </c>
      <c r="Y41" s="28" t="n">
        <v>628</v>
      </c>
      <c r="Z41" s="39" t="n">
        <f aca="false">IFERROR(Y41/Y$16,0)</f>
        <v>0.0244653083485917</v>
      </c>
      <c r="AB41" s="28" t="n">
        <f aca="false">SUM(C41,E41,G41,I41,K41,M41,O41,Q41,S41,U41,W41,Y41)</f>
        <v>9782</v>
      </c>
      <c r="AC41" s="39" t="n">
        <f aca="false">IFERROR(AB41/AB$16,0)</f>
        <v>0.0338838623862109</v>
      </c>
    </row>
    <row r="42" customFormat="false" ht="15" hidden="false" customHeight="true" outlineLevel="0" collapsed="false">
      <c r="A42" s="27" t="s">
        <v>190</v>
      </c>
      <c r="C42" s="28" t="n">
        <v>1662</v>
      </c>
      <c r="D42" s="39" t="n">
        <f aca="false">IFERROR(C42/C$16,0)</f>
        <v>0.0929946284691137</v>
      </c>
      <c r="E42" s="28" t="n">
        <v>1547</v>
      </c>
      <c r="F42" s="39" t="n">
        <f aca="false">IFERROR(E42/E$16,0)</f>
        <v>0.0867298312496496</v>
      </c>
      <c r="G42" s="28" t="n">
        <v>4317</v>
      </c>
      <c r="H42" s="39" t="n">
        <f aca="false">IFERROR(G42/G$16,0)</f>
        <v>0.163201270225314</v>
      </c>
      <c r="I42" s="28" t="n">
        <v>1832</v>
      </c>
      <c r="J42" s="39" t="n">
        <f aca="false">IFERROR(I42/I$16,0)</f>
        <v>0.0890141392546524</v>
      </c>
      <c r="K42" s="28" t="n">
        <v>2670</v>
      </c>
      <c r="L42" s="39" t="n">
        <f aca="false">IFERROR(K42/K$16,0)</f>
        <v>0.107328054025807</v>
      </c>
      <c r="M42" s="28" t="n">
        <v>3672</v>
      </c>
      <c r="N42" s="39" t="n">
        <f aca="false">IFERROR(M42/M$16,0)</f>
        <v>0.135703462803503</v>
      </c>
      <c r="O42" s="28" t="n">
        <v>3392</v>
      </c>
      <c r="P42" s="39" t="n">
        <f aca="false">IFERROR(O42/O$16,0)</f>
        <v>0.132143831080291</v>
      </c>
      <c r="Q42" s="28" t="n">
        <v>3392</v>
      </c>
      <c r="R42" s="39" t="n">
        <f aca="false">IFERROR(Q42/Q$16,0)</f>
        <v>0.132143831080291</v>
      </c>
      <c r="S42" s="28" t="n">
        <v>3392</v>
      </c>
      <c r="T42" s="39" t="n">
        <f aca="false">IFERROR(S42/S$16,0)</f>
        <v>0.132143831080291</v>
      </c>
      <c r="U42" s="28" t="n">
        <v>3392</v>
      </c>
      <c r="V42" s="39" t="n">
        <f aca="false">IFERROR(U42/U$16,0)</f>
        <v>0.132143831080291</v>
      </c>
      <c r="W42" s="28" t="n">
        <v>3392</v>
      </c>
      <c r="X42" s="39" t="n">
        <f aca="false">IFERROR(W42/W$16,0)</f>
        <v>0.132143831080291</v>
      </c>
      <c r="Y42" s="28" t="n">
        <v>3392</v>
      </c>
      <c r="Z42" s="39" t="n">
        <f aca="false">IFERROR(Y42/Y$16,0)</f>
        <v>0.132143831080291</v>
      </c>
      <c r="AB42" s="28" t="n">
        <f aca="false">SUM(C42,E42,G42,I42,K42,M42,O42,Q42,S42,U42,W42,Y42)</f>
        <v>36052</v>
      </c>
      <c r="AC42" s="39" t="n">
        <f aca="false">IFERROR(AB42/AB$16,0)</f>
        <v>0.124880495476148</v>
      </c>
    </row>
    <row r="43" customFormat="false" ht="15" hidden="false" customHeight="true" outlineLevel="0" collapsed="false">
      <c r="A43" s="27" t="s">
        <v>191</v>
      </c>
      <c r="C43" s="28" t="n">
        <v>0</v>
      </c>
      <c r="D43" s="39" t="n">
        <f aca="false">IFERROR(C43/C$16,0)</f>
        <v>0</v>
      </c>
      <c r="E43" s="28" t="n">
        <v>73</v>
      </c>
      <c r="F43" s="39" t="n">
        <f aca="false">IFERROR(E43/E$16,0)</f>
        <v>0.00409261647137972</v>
      </c>
      <c r="G43" s="28" t="n">
        <v>36</v>
      </c>
      <c r="H43" s="39" t="n">
        <f aca="false">IFERROR(G43/G$16,0)</f>
        <v>0.00136095569333132</v>
      </c>
      <c r="I43" s="28" t="n">
        <v>73</v>
      </c>
      <c r="J43" s="39" t="n">
        <f aca="false">IFERROR(I43/I$16,0)</f>
        <v>0.0035469607890773</v>
      </c>
      <c r="K43" s="28" t="n">
        <v>73</v>
      </c>
      <c r="L43" s="39" t="n">
        <f aca="false">IFERROR(K43/K$16,0)</f>
        <v>0.00293443743216626</v>
      </c>
      <c r="M43" s="28" t="n">
        <v>73</v>
      </c>
      <c r="N43" s="39" t="n">
        <f aca="false">IFERROR(M43/M$16,0)</f>
        <v>0.00269780849255331</v>
      </c>
      <c r="O43" s="28" t="n">
        <v>73</v>
      </c>
      <c r="P43" s="39" t="n">
        <f aca="false">IFERROR(O43/O$16,0)</f>
        <v>0.00284389730803693</v>
      </c>
      <c r="Q43" s="28" t="n">
        <v>73</v>
      </c>
      <c r="R43" s="39" t="n">
        <f aca="false">IFERROR(Q43/Q$16,0)</f>
        <v>0.00284389730803693</v>
      </c>
      <c r="S43" s="28" t="n">
        <v>73</v>
      </c>
      <c r="T43" s="39" t="n">
        <f aca="false">IFERROR(S43/S$16,0)</f>
        <v>0.00284389730803693</v>
      </c>
      <c r="U43" s="28" t="n">
        <v>73</v>
      </c>
      <c r="V43" s="39" t="n">
        <f aca="false">IFERROR(U43/U$16,0)</f>
        <v>0.00284389730803693</v>
      </c>
      <c r="W43" s="28" t="n">
        <v>73</v>
      </c>
      <c r="X43" s="39" t="n">
        <f aca="false">IFERROR(W43/W$16,0)</f>
        <v>0.00284389730803693</v>
      </c>
      <c r="Y43" s="28" t="n">
        <v>73</v>
      </c>
      <c r="Z43" s="39" t="n">
        <f aca="false">IFERROR(Y43/Y$16,0)</f>
        <v>0.00284389730803693</v>
      </c>
      <c r="AB43" s="28" t="n">
        <f aca="false">SUM(C43,E43,G43,I43,K43,M43,O43,Q43,S43,U43,W43,Y43)</f>
        <v>766</v>
      </c>
      <c r="AC43" s="39" t="n">
        <f aca="false">IFERROR(AB43/AB$16,0)</f>
        <v>0.00265334681944772</v>
      </c>
    </row>
    <row r="44" customFormat="false" ht="15" hidden="false" customHeight="true" outlineLevel="0" collapsed="false">
      <c r="A44" s="31" t="s">
        <v>193</v>
      </c>
      <c r="C44" s="32" t="n">
        <f aca="false">SUM(C39:C43)</f>
        <v>6880</v>
      </c>
      <c r="D44" s="40" t="n">
        <f aca="false">IFERROR(C44/C$16,0)</f>
        <v>0.384959713518353</v>
      </c>
      <c r="E44" s="32" t="n">
        <f aca="false">SUM(E39:E43)</f>
        <v>7141</v>
      </c>
      <c r="F44" s="40" t="n">
        <f aca="false">IFERROR(E44/E$16,0)</f>
        <v>0.400347592083871</v>
      </c>
      <c r="G44" s="32" t="n">
        <f aca="false">SUM(G39:G43)</f>
        <v>7054</v>
      </c>
      <c r="H44" s="40" t="n">
        <f aca="false">IFERROR(G44/G$16,0)</f>
        <v>0.266671707243309</v>
      </c>
      <c r="I44" s="32" t="n">
        <f aca="false">SUM(I39:I43)</f>
        <v>7405</v>
      </c>
      <c r="J44" s="40" t="n">
        <f aca="false">IFERROR(I44/I$16,0)</f>
        <v>0.359797871823527</v>
      </c>
      <c r="K44" s="32" t="n">
        <f aca="false">SUM(K39:K43)</f>
        <v>7353</v>
      </c>
      <c r="L44" s="40" t="n">
        <f aca="false">IFERROR(K44/K$16,0)</f>
        <v>0.295574225187925</v>
      </c>
      <c r="M44" s="32" t="n">
        <f aca="false">SUM(M39:M43)</f>
        <v>8536</v>
      </c>
      <c r="N44" s="40" t="n">
        <f aca="false">IFERROR(M44/M$16,0)</f>
        <v>0.315458812225138</v>
      </c>
      <c r="O44" s="32" t="n">
        <f aca="false">SUM(O39:O43)</f>
        <v>8075</v>
      </c>
      <c r="P44" s="40" t="n">
        <f aca="false">IFERROR(O44/O$16,0)</f>
        <v>0.314581791265729</v>
      </c>
      <c r="Q44" s="32" t="n">
        <f aca="false">SUM(Q39:Q43)</f>
        <v>8075</v>
      </c>
      <c r="R44" s="40" t="n">
        <f aca="false">IFERROR(Q44/Q$16,0)</f>
        <v>0.314581791265729</v>
      </c>
      <c r="S44" s="32" t="n">
        <f aca="false">SUM(S39:S43)</f>
        <v>8075</v>
      </c>
      <c r="T44" s="40" t="n">
        <f aca="false">IFERROR(S44/S$16,0)</f>
        <v>0.314581791265729</v>
      </c>
      <c r="U44" s="32" t="n">
        <f aca="false">SUM(U39:U43)</f>
        <v>8075</v>
      </c>
      <c r="V44" s="40" t="n">
        <f aca="false">IFERROR(U44/U$16,0)</f>
        <v>0.314581791265729</v>
      </c>
      <c r="W44" s="32" t="n">
        <f aca="false">SUM(W39:W43)</f>
        <v>8075</v>
      </c>
      <c r="X44" s="40" t="n">
        <f aca="false">IFERROR(W44/W$16,0)</f>
        <v>0.314581791265729</v>
      </c>
      <c r="Y44" s="32" t="n">
        <f aca="false">SUM(Y39:Y43)</f>
        <v>8075</v>
      </c>
      <c r="Z44" s="40" t="n">
        <f aca="false">IFERROR(Y44/Y$16,0)</f>
        <v>0.314581791265729</v>
      </c>
      <c r="AB44" s="32" t="n">
        <f aca="false">SUM(AB39:AB43)</f>
        <v>92819</v>
      </c>
      <c r="AC44" s="40" t="n">
        <f aca="false">IFERROR(AB44/AB$16,0)</f>
        <v>0.321515663752373</v>
      </c>
    </row>
    <row r="46" customFormat="false" ht="15" hidden="false" customHeight="true" outlineLevel="0" collapsed="false">
      <c r="A46" s="31" t="s">
        <v>194</v>
      </c>
    </row>
    <row r="47" customFormat="false" ht="15" hidden="false" customHeight="true" outlineLevel="0" collapsed="false">
      <c r="A47" s="27" t="s">
        <v>195</v>
      </c>
      <c r="C47" s="28" t="n">
        <v>249</v>
      </c>
      <c r="D47" s="39" t="n">
        <f aca="false">IFERROR(C47/C$16,0)</f>
        <v>0.0139324082363474</v>
      </c>
      <c r="E47" s="28" t="n">
        <v>225</v>
      </c>
      <c r="F47" s="39" t="n">
        <f aca="false">IFERROR(E47/E$16,0)</f>
        <v>0.012614228850143</v>
      </c>
      <c r="G47" s="28" t="n">
        <v>249</v>
      </c>
      <c r="H47" s="39" t="n">
        <f aca="false">IFERROR(G47/G$16,0)</f>
        <v>0.00941327687887494</v>
      </c>
      <c r="I47" s="28" t="n">
        <v>241</v>
      </c>
      <c r="J47" s="39" t="n">
        <f aca="false">IFERROR(I47/I$16,0)</f>
        <v>0.0117098294543511</v>
      </c>
      <c r="K47" s="28" t="n">
        <v>249</v>
      </c>
      <c r="L47" s="39" t="n">
        <f aca="false">IFERROR(K47/K$16,0)</f>
        <v>0.0100092454878</v>
      </c>
      <c r="M47" s="28" t="n">
        <v>241</v>
      </c>
      <c r="N47" s="39" t="n">
        <f aca="false">IFERROR(M47/M$16,0)</f>
        <v>0.00890646365349791</v>
      </c>
      <c r="O47" s="28" t="n">
        <v>249</v>
      </c>
      <c r="P47" s="39" t="n">
        <f aca="false">IFERROR(O47/O$16,0)</f>
        <v>0.00970041684522186</v>
      </c>
      <c r="Q47" s="28" t="n">
        <v>249</v>
      </c>
      <c r="R47" s="39" t="n">
        <f aca="false">IFERROR(Q47/Q$16,0)</f>
        <v>0.00970041684522186</v>
      </c>
      <c r="S47" s="28" t="n">
        <v>249</v>
      </c>
      <c r="T47" s="39" t="n">
        <f aca="false">IFERROR(S47/S$16,0)</f>
        <v>0.00970041684522186</v>
      </c>
      <c r="U47" s="28" t="n">
        <v>249</v>
      </c>
      <c r="V47" s="39" t="n">
        <f aca="false">IFERROR(U47/U$16,0)</f>
        <v>0.00970041684522186</v>
      </c>
      <c r="W47" s="28" t="n">
        <v>249</v>
      </c>
      <c r="X47" s="39" t="n">
        <f aca="false">IFERROR(W47/W$16,0)</f>
        <v>0.00970041684522186</v>
      </c>
      <c r="Y47" s="28" t="n">
        <v>249</v>
      </c>
      <c r="Z47" s="39" t="n">
        <f aca="false">IFERROR(Y47/Y$16,0)</f>
        <v>0.00970041684522186</v>
      </c>
      <c r="AB47" s="28" t="n">
        <f aca="false">SUM(C47,E47,G47,I47,K47,M47,O47,Q47,S47,U47,W47,Y47)</f>
        <v>2948</v>
      </c>
      <c r="AC47" s="39" t="n">
        <f aca="false">IFERROR(AB47/AB$16,0)</f>
        <v>0.0102115749657074</v>
      </c>
    </row>
    <row r="48" customFormat="false" ht="15" hidden="false" customHeight="true" outlineLevel="0" collapsed="false">
      <c r="A48" s="27" t="s">
        <v>196</v>
      </c>
      <c r="C48" s="28" t="n">
        <v>1116</v>
      </c>
      <c r="D48" s="39" t="n">
        <f aca="false">IFERROR(C48/C$16,0)</f>
        <v>0.0624440465532677</v>
      </c>
      <c r="E48" s="28" t="n">
        <v>1070</v>
      </c>
      <c r="F48" s="39" t="n">
        <f aca="false">IFERROR(E48/E$16,0)</f>
        <v>0.0599876660873465</v>
      </c>
      <c r="G48" s="28" t="n">
        <v>1587</v>
      </c>
      <c r="H48" s="39" t="n">
        <f aca="false">IFERROR(G48/G$16,0)</f>
        <v>0.0599954634810222</v>
      </c>
      <c r="I48" s="28" t="n">
        <v>1251</v>
      </c>
      <c r="J48" s="39" t="n">
        <f aca="false">IFERROR(I48/I$16,0)</f>
        <v>0.0607842184539138</v>
      </c>
      <c r="K48" s="28" t="n">
        <v>1493</v>
      </c>
      <c r="L48" s="39" t="n">
        <f aca="false">IFERROR(K48/K$16,0)</f>
        <v>0.0600152751537565</v>
      </c>
      <c r="M48" s="28" t="n">
        <v>1624</v>
      </c>
      <c r="N48" s="39" t="n">
        <f aca="false">IFERROR(M48/M$16,0)</f>
        <v>0.0600169998891312</v>
      </c>
      <c r="O48" s="28" t="n">
        <v>1540</v>
      </c>
      <c r="P48" s="39" t="n">
        <f aca="false">IFERROR(O48/O$16,0)</f>
        <v>0.0599945459503682</v>
      </c>
      <c r="Q48" s="28" t="n">
        <v>1540</v>
      </c>
      <c r="R48" s="39" t="n">
        <f aca="false">IFERROR(Q48/Q$16,0)</f>
        <v>0.0599945459503682</v>
      </c>
      <c r="S48" s="28" t="n">
        <v>1540</v>
      </c>
      <c r="T48" s="39" t="n">
        <f aca="false">IFERROR(S48/S$16,0)</f>
        <v>0.0599945459503682</v>
      </c>
      <c r="U48" s="28" t="n">
        <v>1540</v>
      </c>
      <c r="V48" s="39" t="n">
        <f aca="false">IFERROR(U48/U$16,0)</f>
        <v>0.0599945459503682</v>
      </c>
      <c r="W48" s="28" t="n">
        <v>1540</v>
      </c>
      <c r="X48" s="39" t="n">
        <f aca="false">IFERROR(W48/W$16,0)</f>
        <v>0.0599945459503682</v>
      </c>
      <c r="Y48" s="28" t="n">
        <v>1540</v>
      </c>
      <c r="Z48" s="39" t="n">
        <f aca="false">IFERROR(Y48/Y$16,0)</f>
        <v>0.0599945459503682</v>
      </c>
      <c r="AB48" s="28" t="n">
        <f aca="false">SUM(C48,E48,G48,I48,K48,M48,O48,Q48,S48,U48,W48,Y48)</f>
        <v>17381</v>
      </c>
      <c r="AC48" s="39" t="n">
        <f aca="false">IFERROR(AB48/AB$16,0)</f>
        <v>0.06020603272692</v>
      </c>
    </row>
    <row r="49" customFormat="false" ht="15" hidden="false" customHeight="true" outlineLevel="0" collapsed="false">
      <c r="A49" s="27" t="s">
        <v>197</v>
      </c>
      <c r="C49" s="28" t="n">
        <v>522</v>
      </c>
      <c r="D49" s="39" t="n">
        <f aca="false">IFERROR(C49/C$16,0)</f>
        <v>0.0292076991942704</v>
      </c>
      <c r="E49" s="28" t="n">
        <v>1062</v>
      </c>
      <c r="F49" s="39" t="n">
        <f aca="false">IFERROR(E49/E$16,0)</f>
        <v>0.0595391601726748</v>
      </c>
      <c r="G49" s="28" t="n">
        <v>1577</v>
      </c>
      <c r="H49" s="39" t="n">
        <f aca="false">IFERROR(G49/G$16,0)</f>
        <v>0.0596174202328746</v>
      </c>
      <c r="I49" s="28" t="n">
        <v>629</v>
      </c>
      <c r="J49" s="39" t="n">
        <f aca="false">IFERROR(I49/I$16,0)</f>
        <v>0.0305621689908168</v>
      </c>
      <c r="K49" s="28" t="n">
        <v>1784</v>
      </c>
      <c r="L49" s="39" t="n">
        <f aca="false">IFERROR(K49/K$16,0)</f>
        <v>0.0717128271093781</v>
      </c>
      <c r="M49" s="28" t="n">
        <v>1369</v>
      </c>
      <c r="N49" s="39" t="n">
        <f aca="false">IFERROR(M49/M$16,0)</f>
        <v>0.0505931483055545</v>
      </c>
      <c r="O49" s="28" t="n">
        <v>1618</v>
      </c>
      <c r="P49" s="39" t="n">
        <f aca="false">IFERROR(O49/O$16,0)</f>
        <v>0.0630332307452569</v>
      </c>
      <c r="Q49" s="28" t="n">
        <v>1618</v>
      </c>
      <c r="R49" s="39" t="n">
        <f aca="false">IFERROR(Q49/Q$16,0)</f>
        <v>0.0630332307452569</v>
      </c>
      <c r="S49" s="28" t="n">
        <v>1618</v>
      </c>
      <c r="T49" s="39" t="n">
        <f aca="false">IFERROR(S49/S$16,0)</f>
        <v>0.0630332307452569</v>
      </c>
      <c r="U49" s="28" t="n">
        <v>1618</v>
      </c>
      <c r="V49" s="39" t="n">
        <f aca="false">IFERROR(U49/U$16,0)</f>
        <v>0.0630332307452569</v>
      </c>
      <c r="W49" s="28" t="n">
        <v>1618</v>
      </c>
      <c r="X49" s="39" t="n">
        <f aca="false">IFERROR(W49/W$16,0)</f>
        <v>0.0630332307452569</v>
      </c>
      <c r="Y49" s="28" t="n">
        <v>1618</v>
      </c>
      <c r="Z49" s="39" t="n">
        <f aca="false">IFERROR(Y49/Y$16,0)</f>
        <v>0.0630332307452569</v>
      </c>
      <c r="AB49" s="28" t="n">
        <f aca="false">SUM(C49,E49,G49,I49,K49,M49,O49,Q49,S49,U49,W49,Y49)</f>
        <v>16651</v>
      </c>
      <c r="AC49" s="39" t="n">
        <f aca="false">IFERROR(AB49/AB$16,0)</f>
        <v>0.0576773862801879</v>
      </c>
    </row>
    <row r="50" customFormat="false" ht="15" hidden="false" customHeight="true" outlineLevel="0" collapsed="false">
      <c r="A50" s="27" t="s">
        <v>133</v>
      </c>
      <c r="C50" s="28" t="n">
        <v>4000</v>
      </c>
      <c r="D50" s="39" t="n">
        <f aca="false">IFERROR(C50/C$16,0)</f>
        <v>0.223813786929275</v>
      </c>
      <c r="E50" s="28" t="n">
        <v>4000</v>
      </c>
      <c r="F50" s="39" t="n">
        <f aca="false">IFERROR(E50/E$16,0)</f>
        <v>0.224252957335875</v>
      </c>
      <c r="G50" s="28" t="n">
        <v>4000</v>
      </c>
      <c r="H50" s="39" t="n">
        <f aca="false">IFERROR(G50/G$16,0)</f>
        <v>0.151217299259035</v>
      </c>
      <c r="I50" s="28" t="n">
        <v>4000</v>
      </c>
      <c r="J50" s="39" t="n">
        <f aca="false">IFERROR(I50/I$16,0)</f>
        <v>0.194354015839852</v>
      </c>
      <c r="K50" s="28" t="n">
        <v>4000</v>
      </c>
      <c r="L50" s="39" t="n">
        <f aca="false">IFERROR(K50/K$16,0)</f>
        <v>0.160791092173494</v>
      </c>
      <c r="M50" s="28" t="n">
        <v>4000</v>
      </c>
      <c r="N50" s="39" t="n">
        <f aca="false">IFERROR(M50/M$16,0)</f>
        <v>0.147825122879633</v>
      </c>
      <c r="O50" s="28" t="n">
        <v>4000</v>
      </c>
      <c r="P50" s="39" t="n">
        <f aca="false">IFERROR(O50/O$16,0)</f>
        <v>0.155829989481476</v>
      </c>
      <c r="Q50" s="28" t="n">
        <v>4000</v>
      </c>
      <c r="R50" s="39" t="n">
        <f aca="false">IFERROR(Q50/Q$16,0)</f>
        <v>0.155829989481476</v>
      </c>
      <c r="S50" s="28" t="n">
        <v>4000</v>
      </c>
      <c r="T50" s="39" t="n">
        <f aca="false">IFERROR(S50/S$16,0)</f>
        <v>0.155829989481476</v>
      </c>
      <c r="U50" s="28" t="n">
        <v>4000</v>
      </c>
      <c r="V50" s="39" t="n">
        <f aca="false">IFERROR(U50/U$16,0)</f>
        <v>0.155829989481476</v>
      </c>
      <c r="W50" s="28" t="n">
        <v>4000</v>
      </c>
      <c r="X50" s="39" t="n">
        <f aca="false">IFERROR(W50/W$16,0)</f>
        <v>0.155829989481476</v>
      </c>
      <c r="Y50" s="28" t="n">
        <v>4000</v>
      </c>
      <c r="Z50" s="39" t="n">
        <f aca="false">IFERROR(Y50/Y$16,0)</f>
        <v>0.155829989481476</v>
      </c>
      <c r="AB50" s="28" t="n">
        <f aca="false">SUM(C50,E50,G50,I50,K50,M50,O50,Q50,S50,U50,W50,Y50)</f>
        <v>48000</v>
      </c>
      <c r="AC50" s="39" t="n">
        <f aca="false">IFERROR(AB50/AB$16,0)</f>
        <v>0.166267163620745</v>
      </c>
    </row>
    <row r="51" customFormat="false" ht="15" hidden="false" customHeight="true" outlineLevel="0" collapsed="false">
      <c r="A51" s="27" t="s">
        <v>199</v>
      </c>
      <c r="C51" s="28" t="n">
        <v>0</v>
      </c>
      <c r="D51" s="39" t="n">
        <f aca="false">IFERROR(C51/C$16,0)</f>
        <v>0</v>
      </c>
      <c r="E51" s="28" t="n">
        <v>0</v>
      </c>
      <c r="F51" s="39" t="n">
        <f aca="false">IFERROR(E51/E$16,0)</f>
        <v>0</v>
      </c>
      <c r="G51" s="28" t="n">
        <v>0</v>
      </c>
      <c r="H51" s="39" t="n">
        <f aca="false">IFERROR(G51/G$16,0)</f>
        <v>0</v>
      </c>
      <c r="I51" s="28" t="n">
        <v>0</v>
      </c>
      <c r="J51" s="39" t="n">
        <f aca="false">IFERROR(I51/I$16,0)</f>
        <v>0</v>
      </c>
      <c r="K51" s="28" t="n">
        <v>0</v>
      </c>
      <c r="L51" s="39" t="n">
        <f aca="false">IFERROR(K51/K$16,0)</f>
        <v>0</v>
      </c>
      <c r="M51" s="28" t="n">
        <v>0</v>
      </c>
      <c r="N51" s="39" t="n">
        <f aca="false">IFERROR(M51/M$16,0)</f>
        <v>0</v>
      </c>
      <c r="O51" s="28" t="n">
        <v>0</v>
      </c>
      <c r="P51" s="39" t="n">
        <f aca="false">IFERROR(O51/O$16,0)</f>
        <v>0</v>
      </c>
      <c r="Q51" s="28" t="n">
        <v>0</v>
      </c>
      <c r="R51" s="39" t="n">
        <f aca="false">IFERROR(Q51/Q$16,0)</f>
        <v>0</v>
      </c>
      <c r="S51" s="28" t="n">
        <v>0</v>
      </c>
      <c r="T51" s="39" t="n">
        <f aca="false">IFERROR(S51/S$16,0)</f>
        <v>0</v>
      </c>
      <c r="U51" s="28" t="n">
        <v>0</v>
      </c>
      <c r="V51" s="39" t="n">
        <f aca="false">IFERROR(U51/U$16,0)</f>
        <v>0</v>
      </c>
      <c r="W51" s="28" t="n">
        <v>0</v>
      </c>
      <c r="X51" s="39" t="n">
        <f aca="false">IFERROR(W51/W$16,0)</f>
        <v>0</v>
      </c>
      <c r="Y51" s="28" t="n">
        <v>0</v>
      </c>
      <c r="Z51" s="39" t="n">
        <f aca="false">IFERROR(Y51/Y$16,0)</f>
        <v>0</v>
      </c>
      <c r="AB51" s="28" t="n">
        <f aca="false">SUM(C51,E51,G51,I51,K51,M51,O51,Q51,S51,U51,W51,Y51)</f>
        <v>0</v>
      </c>
      <c r="AC51" s="39" t="n">
        <f aca="false">IFERROR(AB51/AB$16,0)</f>
        <v>0</v>
      </c>
    </row>
    <row r="52" customFormat="false" ht="15" hidden="false" customHeight="true" outlineLevel="0" collapsed="false">
      <c r="A52" s="27" t="s">
        <v>200</v>
      </c>
      <c r="C52" s="28" t="n">
        <v>0</v>
      </c>
      <c r="D52" s="39" t="n">
        <f aca="false">IFERROR(C52/C$16,0)</f>
        <v>0</v>
      </c>
      <c r="E52" s="28" t="n">
        <v>0</v>
      </c>
      <c r="F52" s="39" t="n">
        <f aca="false">IFERROR(E52/E$16,0)</f>
        <v>0</v>
      </c>
      <c r="G52" s="28" t="n">
        <v>0</v>
      </c>
      <c r="H52" s="39" t="n">
        <f aca="false">IFERROR(G52/G$16,0)</f>
        <v>0</v>
      </c>
      <c r="I52" s="28" t="n">
        <v>0</v>
      </c>
      <c r="J52" s="39" t="n">
        <f aca="false">IFERROR(I52/I$16,0)</f>
        <v>0</v>
      </c>
      <c r="K52" s="28" t="n">
        <v>0</v>
      </c>
      <c r="L52" s="39" t="n">
        <f aca="false">IFERROR(K52/K$16,0)</f>
        <v>0</v>
      </c>
      <c r="M52" s="28" t="n">
        <v>0</v>
      </c>
      <c r="N52" s="39" t="n">
        <f aca="false">IFERROR(M52/M$16,0)</f>
        <v>0</v>
      </c>
      <c r="O52" s="28" t="n">
        <v>0</v>
      </c>
      <c r="P52" s="39" t="n">
        <f aca="false">IFERROR(O52/O$16,0)</f>
        <v>0</v>
      </c>
      <c r="Q52" s="28" t="n">
        <v>0</v>
      </c>
      <c r="R52" s="39" t="n">
        <f aca="false">IFERROR(Q52/Q$16,0)</f>
        <v>0</v>
      </c>
      <c r="S52" s="28" t="n">
        <v>0</v>
      </c>
      <c r="T52" s="39" t="n">
        <f aca="false">IFERROR(S52/S$16,0)</f>
        <v>0</v>
      </c>
      <c r="U52" s="28" t="n">
        <v>0</v>
      </c>
      <c r="V52" s="39" t="n">
        <f aca="false">IFERROR(U52/U$16,0)</f>
        <v>0</v>
      </c>
      <c r="W52" s="28" t="n">
        <v>0</v>
      </c>
      <c r="X52" s="39" t="n">
        <f aca="false">IFERROR(W52/W$16,0)</f>
        <v>0</v>
      </c>
      <c r="Y52" s="28" t="n">
        <v>0</v>
      </c>
      <c r="Z52" s="39" t="n">
        <f aca="false">IFERROR(Y52/Y$16,0)</f>
        <v>0</v>
      </c>
      <c r="AB52" s="28" t="n">
        <f aca="false">SUM(C52,E52,G52,I52,K52,M52,O52,Q52,S52,U52,W52,Y52)</f>
        <v>0</v>
      </c>
      <c r="AC52" s="39" t="n">
        <f aca="false">IFERROR(AB52/AB$16,0)</f>
        <v>0</v>
      </c>
    </row>
    <row r="53" customFormat="false" ht="15" hidden="false" customHeight="true" outlineLevel="0" collapsed="false">
      <c r="A53" s="31" t="s">
        <v>201</v>
      </c>
      <c r="C53" s="32" t="n">
        <f aca="false">SUM(C47:C52)</f>
        <v>5887</v>
      </c>
      <c r="D53" s="40" t="n">
        <f aca="false">IFERROR(C53/C$16,0)</f>
        <v>0.32939794091316</v>
      </c>
      <c r="E53" s="32" t="n">
        <f aca="false">SUM(E47:E52)</f>
        <v>6357</v>
      </c>
      <c r="F53" s="40" t="n">
        <f aca="false">IFERROR(E53/E$16,0)</f>
        <v>0.356394012446039</v>
      </c>
      <c r="G53" s="32" t="n">
        <f aca="false">SUM(G47:G52)</f>
        <v>7413</v>
      </c>
      <c r="H53" s="40" t="n">
        <f aca="false">IFERROR(G53/G$16,0)</f>
        <v>0.280243459851807</v>
      </c>
      <c r="I53" s="32" t="n">
        <f aca="false">SUM(I47:I52)</f>
        <v>6121</v>
      </c>
      <c r="J53" s="40" t="n">
        <f aca="false">IFERROR(I53/I$16,0)</f>
        <v>0.297410232738934</v>
      </c>
      <c r="K53" s="32" t="n">
        <f aca="false">SUM(K47:K52)</f>
        <v>7526</v>
      </c>
      <c r="L53" s="40" t="n">
        <f aca="false">IFERROR(K53/K$16,0)</f>
        <v>0.302528439924428</v>
      </c>
      <c r="M53" s="32" t="n">
        <f aca="false">SUM(M47:M52)</f>
        <v>7234</v>
      </c>
      <c r="N53" s="40" t="n">
        <f aca="false">IFERROR(M53/M$16,0)</f>
        <v>0.267341734727817</v>
      </c>
      <c r="O53" s="32" t="n">
        <f aca="false">SUM(O47:O52)</f>
        <v>7407</v>
      </c>
      <c r="P53" s="40" t="n">
        <f aca="false">IFERROR(O53/O$16,0)</f>
        <v>0.288558183022323</v>
      </c>
      <c r="Q53" s="32" t="n">
        <f aca="false">SUM(Q47:Q52)</f>
        <v>7407</v>
      </c>
      <c r="R53" s="40" t="n">
        <f aca="false">IFERROR(Q53/Q$16,0)</f>
        <v>0.288558183022323</v>
      </c>
      <c r="S53" s="32" t="n">
        <f aca="false">SUM(S47:S52)</f>
        <v>7407</v>
      </c>
      <c r="T53" s="40" t="n">
        <f aca="false">IFERROR(S53/S$16,0)</f>
        <v>0.288558183022323</v>
      </c>
      <c r="U53" s="32" t="n">
        <f aca="false">SUM(U47:U52)</f>
        <v>7407</v>
      </c>
      <c r="V53" s="40" t="n">
        <f aca="false">IFERROR(U53/U$16,0)</f>
        <v>0.288558183022323</v>
      </c>
      <c r="W53" s="32" t="n">
        <f aca="false">SUM(W47:W52)</f>
        <v>7407</v>
      </c>
      <c r="X53" s="40" t="n">
        <f aca="false">IFERROR(W53/W$16,0)</f>
        <v>0.288558183022323</v>
      </c>
      <c r="Y53" s="32" t="n">
        <f aca="false">SUM(Y47:Y52)</f>
        <v>7407</v>
      </c>
      <c r="Z53" s="40" t="n">
        <f aca="false">IFERROR(Y53/Y$16,0)</f>
        <v>0.288558183022323</v>
      </c>
      <c r="AB53" s="32" t="n">
        <f aca="false">SUM(AB47:AB52)</f>
        <v>84980</v>
      </c>
      <c r="AC53" s="40" t="n">
        <f aca="false">IFERROR(AB53/AB$16,0)</f>
        <v>0.29436215759356</v>
      </c>
    </row>
    <row r="55" customFormat="false" ht="15" hidden="false" customHeight="true" outlineLevel="0" collapsed="false">
      <c r="A55" s="31" t="s">
        <v>202</v>
      </c>
      <c r="C55" s="32" t="n">
        <f aca="false">C36-C44-C53</f>
        <v>-15638</v>
      </c>
      <c r="D55" s="40" t="n">
        <f aca="false">IFERROR(C55/C$16,0)</f>
        <v>-0.875</v>
      </c>
      <c r="E55" s="32" t="n">
        <f aca="false">E36-E44-E53</f>
        <v>-12809</v>
      </c>
      <c r="F55" s="40" t="n">
        <f aca="false">IFERROR(E55/E$16,0)</f>
        <v>-0.718114032628805</v>
      </c>
      <c r="G55" s="32" t="n">
        <f aca="false">G36-G44-G53</f>
        <v>-8470</v>
      </c>
      <c r="H55" s="40" t="n">
        <f aca="false">IFERROR(G55/G$16,0)</f>
        <v>-0.320202631181007</v>
      </c>
      <c r="I55" s="32" t="n">
        <f aca="false">I36-I44-I53</f>
        <v>-11709</v>
      </c>
      <c r="J55" s="40" t="n">
        <f aca="false">IFERROR(I55/I$16,0)</f>
        <v>-0.568922792867208</v>
      </c>
      <c r="K55" s="32" t="n">
        <f aca="false">K36-K44-K53</f>
        <v>-15583</v>
      </c>
      <c r="L55" s="40" t="n">
        <f aca="false">IFERROR(K55/K$16,0)</f>
        <v>-0.626401897334888</v>
      </c>
      <c r="M55" s="32" t="n">
        <f aca="false">M36-M44-M53</f>
        <v>-18645</v>
      </c>
      <c r="N55" s="40" t="n">
        <f aca="false">IFERROR(M55/M$16,0)</f>
        <v>-0.689049854022691</v>
      </c>
      <c r="O55" s="32" t="n">
        <f aca="false">O36-O44-O53</f>
        <v>-13346</v>
      </c>
      <c r="P55" s="40" t="n">
        <f aca="false">IFERROR(O55/O$16,0)</f>
        <v>-0.519926759904944</v>
      </c>
      <c r="Q55" s="32" t="n">
        <f aca="false">Q36-Q44-Q53</f>
        <v>-13909</v>
      </c>
      <c r="R55" s="40" t="n">
        <f aca="false">IFERROR(Q55/Q$16,0)</f>
        <v>-0.541859830924461</v>
      </c>
      <c r="S55" s="32" t="n">
        <f aca="false">S36-S44-S53</f>
        <v>-13318</v>
      </c>
      <c r="T55" s="40" t="n">
        <f aca="false">IFERROR(S55/S$16,0)</f>
        <v>-0.518835949978573</v>
      </c>
      <c r="U55" s="32" t="n">
        <f aca="false">U36-U44-U53</f>
        <v>-13523</v>
      </c>
      <c r="V55" s="40" t="n">
        <f aca="false">IFERROR(U55/U$16,0)</f>
        <v>-0.526822236939499</v>
      </c>
      <c r="W55" s="32" t="n">
        <f aca="false">W36-W44-W53</f>
        <v>-13583</v>
      </c>
      <c r="X55" s="40" t="n">
        <f aca="false">IFERROR(W55/W$16,0)</f>
        <v>-0.529159686781721</v>
      </c>
      <c r="Y55" s="32" t="n">
        <f aca="false">Y36-Y44-Y53</f>
        <v>-13474</v>
      </c>
      <c r="Z55" s="40" t="n">
        <f aca="false">IFERROR(Y55/Y$16,0)</f>
        <v>-0.524913319568351</v>
      </c>
      <c r="AB55" s="32" t="n">
        <f aca="false">AB36-AB44-AB53</f>
        <v>-164007</v>
      </c>
      <c r="AC55" s="40" t="n">
        <f aca="false">IFERROR(AB55/AB$16,0)</f>
        <v>-0.568103722998905</v>
      </c>
    </row>
    <row r="57" customFormat="false" ht="15" hidden="false" customHeight="true" outlineLevel="0" collapsed="false">
      <c r="A57" s="27" t="s">
        <v>203</v>
      </c>
      <c r="C57" s="28" t="n">
        <v>0</v>
      </c>
      <c r="D57" s="39" t="n">
        <f aca="false">IFERROR(C57/C$16,0)</f>
        <v>0</v>
      </c>
      <c r="E57" s="28" t="n">
        <v>0</v>
      </c>
      <c r="F57" s="39" t="n">
        <f aca="false">IFERROR(E57/E$16,0)</f>
        <v>0</v>
      </c>
      <c r="G57" s="28" t="n">
        <v>0</v>
      </c>
      <c r="H57" s="39" t="n">
        <f aca="false">IFERROR(G57/G$16,0)</f>
        <v>0</v>
      </c>
      <c r="I57" s="28" t="n">
        <v>0</v>
      </c>
      <c r="J57" s="39" t="n">
        <f aca="false">IFERROR(I57/I$16,0)</f>
        <v>0</v>
      </c>
      <c r="K57" s="28" t="n">
        <v>0</v>
      </c>
      <c r="L57" s="39" t="n">
        <f aca="false">IFERROR(K57/K$16,0)</f>
        <v>0</v>
      </c>
      <c r="M57" s="28" t="n">
        <v>0</v>
      </c>
      <c r="N57" s="39" t="n">
        <f aca="false">IFERROR(M57/M$16,0)</f>
        <v>0</v>
      </c>
      <c r="O57" s="28" t="n">
        <v>0</v>
      </c>
      <c r="P57" s="39" t="n">
        <f aca="false">IFERROR(O57/O$16,0)</f>
        <v>0</v>
      </c>
      <c r="Q57" s="28" t="n">
        <v>0</v>
      </c>
      <c r="R57" s="39" t="n">
        <f aca="false">IFERROR(Q57/Q$16,0)</f>
        <v>0</v>
      </c>
      <c r="S57" s="28" t="n">
        <v>0</v>
      </c>
      <c r="T57" s="39" t="n">
        <f aca="false">IFERROR(S57/S$16,0)</f>
        <v>0</v>
      </c>
      <c r="U57" s="28" t="n">
        <v>0</v>
      </c>
      <c r="V57" s="39" t="n">
        <f aca="false">IFERROR(U57/U$16,0)</f>
        <v>0</v>
      </c>
      <c r="W57" s="28" t="n">
        <v>0</v>
      </c>
      <c r="X57" s="39" t="n">
        <f aca="false">IFERROR(W57/W$16,0)</f>
        <v>0</v>
      </c>
      <c r="Y57" s="28" t="n">
        <v>0</v>
      </c>
      <c r="Z57" s="39" t="n">
        <f aca="false">IFERROR(Y57/Y$16,0)</f>
        <v>0</v>
      </c>
      <c r="AB57" s="28" t="n">
        <f aca="false">SUM(C57,E57,G57,I57,K57,M57,O57,Q57,S57,U57,W57,Y57)</f>
        <v>0</v>
      </c>
      <c r="AC57" s="39" t="n">
        <f aca="false">IFERROR(AB57/AB$16,0)</f>
        <v>0</v>
      </c>
    </row>
    <row r="59" customFormat="false" ht="15" hidden="false" customHeight="true" outlineLevel="0" collapsed="false">
      <c r="A59" s="31" t="s">
        <v>204</v>
      </c>
      <c r="C59" s="41" t="n">
        <f aca="false">C55-C57</f>
        <v>-15638</v>
      </c>
      <c r="D59" s="42" t="n">
        <f aca="false">IFERROR(C59/C$16,0)</f>
        <v>-0.875</v>
      </c>
      <c r="E59" s="41" t="n">
        <f aca="false">E55-E57</f>
        <v>-12809</v>
      </c>
      <c r="F59" s="42" t="n">
        <f aca="false">IFERROR(E59/E$16,0)</f>
        <v>-0.718114032628805</v>
      </c>
      <c r="G59" s="41" t="n">
        <f aca="false">G55-G57</f>
        <v>-8470</v>
      </c>
      <c r="H59" s="42" t="n">
        <f aca="false">IFERROR(G59/G$16,0)</f>
        <v>-0.320202631181007</v>
      </c>
      <c r="I59" s="41" t="n">
        <f aca="false">I55-I57</f>
        <v>-11709</v>
      </c>
      <c r="J59" s="42" t="n">
        <f aca="false">IFERROR(I59/I$16,0)</f>
        <v>-0.568922792867208</v>
      </c>
      <c r="K59" s="41" t="n">
        <f aca="false">K55-K57</f>
        <v>-15583</v>
      </c>
      <c r="L59" s="42" t="n">
        <f aca="false">IFERROR(K59/K$16,0)</f>
        <v>-0.626401897334888</v>
      </c>
      <c r="M59" s="41" t="n">
        <f aca="false">M55-M57</f>
        <v>-18645</v>
      </c>
      <c r="N59" s="42" t="n">
        <f aca="false">IFERROR(M59/M$16,0)</f>
        <v>-0.689049854022691</v>
      </c>
      <c r="O59" s="41" t="n">
        <f aca="false">O55-O57</f>
        <v>-13346</v>
      </c>
      <c r="P59" s="42" t="n">
        <f aca="false">IFERROR(O59/O$16,0)</f>
        <v>-0.519926759904944</v>
      </c>
      <c r="Q59" s="41" t="n">
        <f aca="false">Q55-Q57</f>
        <v>-13909</v>
      </c>
      <c r="R59" s="42" t="n">
        <f aca="false">IFERROR(Q59/Q$16,0)</f>
        <v>-0.541859830924461</v>
      </c>
      <c r="S59" s="41" t="n">
        <f aca="false">S55-S57</f>
        <v>-13318</v>
      </c>
      <c r="T59" s="42" t="n">
        <f aca="false">IFERROR(S59/S$16,0)</f>
        <v>-0.518835949978573</v>
      </c>
      <c r="U59" s="41" t="n">
        <f aca="false">U55-U57</f>
        <v>-13523</v>
      </c>
      <c r="V59" s="42" t="n">
        <f aca="false">IFERROR(U59/U$16,0)</f>
        <v>-0.526822236939499</v>
      </c>
      <c r="W59" s="41" t="n">
        <f aca="false">W55-W57</f>
        <v>-13583</v>
      </c>
      <c r="X59" s="42" t="n">
        <f aca="false">IFERROR(W59/W$16,0)</f>
        <v>-0.529159686781721</v>
      </c>
      <c r="Y59" s="41" t="n">
        <f aca="false">Y55-Y57</f>
        <v>-13474</v>
      </c>
      <c r="Z59" s="42" t="n">
        <f aca="false">IFERROR(Y59/Y$16,0)</f>
        <v>-0.524913319568351</v>
      </c>
      <c r="AB59" s="41" t="n">
        <f aca="false">AB55-AB57</f>
        <v>-164007</v>
      </c>
      <c r="AC59" s="42" t="n">
        <f aca="false">IFERROR(AB59/AB$16,0)</f>
        <v>-0.568103722998905</v>
      </c>
    </row>
    <row r="61" customFormat="false" ht="15" hidden="false" customHeight="true" outlineLevel="0" collapsed="false">
      <c r="A61" s="27" t="s">
        <v>205</v>
      </c>
      <c r="C61" s="28" t="n">
        <v>0</v>
      </c>
      <c r="D61" s="39" t="n">
        <f aca="false">IFERROR(C61/C$16,0)</f>
        <v>0</v>
      </c>
      <c r="E61" s="28" t="n">
        <v>0</v>
      </c>
      <c r="F61" s="39" t="n">
        <f aca="false">IFERROR(E61/E$16,0)</f>
        <v>0</v>
      </c>
      <c r="G61" s="28" t="n">
        <v>0</v>
      </c>
      <c r="H61" s="39" t="n">
        <f aca="false">IFERROR(G61/G$16,0)</f>
        <v>0</v>
      </c>
      <c r="I61" s="28" t="n">
        <v>0</v>
      </c>
      <c r="J61" s="39" t="n">
        <f aca="false">IFERROR(I61/I$16,0)</f>
        <v>0</v>
      </c>
      <c r="K61" s="28" t="n">
        <v>0</v>
      </c>
      <c r="L61" s="39" t="n">
        <f aca="false">IFERROR(K61/K$16,0)</f>
        <v>0</v>
      </c>
      <c r="M61" s="28" t="n">
        <v>0</v>
      </c>
      <c r="N61" s="39" t="n">
        <f aca="false">IFERROR(M61/M$16,0)</f>
        <v>0</v>
      </c>
      <c r="O61" s="28" t="n">
        <v>0</v>
      </c>
      <c r="P61" s="39" t="n">
        <f aca="false">IFERROR(O61/O$16,0)</f>
        <v>0</v>
      </c>
      <c r="Q61" s="28" t="n">
        <v>0</v>
      </c>
      <c r="R61" s="39" t="n">
        <f aca="false">IFERROR(Q61/Q$16,0)</f>
        <v>0</v>
      </c>
      <c r="S61" s="28" t="n">
        <v>0</v>
      </c>
      <c r="T61" s="39" t="n">
        <f aca="false">IFERROR(S61/S$16,0)</f>
        <v>0</v>
      </c>
      <c r="U61" s="28" t="n">
        <v>0</v>
      </c>
      <c r="V61" s="39" t="n">
        <f aca="false">IFERROR(U61/U$16,0)</f>
        <v>0</v>
      </c>
      <c r="W61" s="28" t="n">
        <v>0</v>
      </c>
      <c r="X61" s="39" t="n">
        <f aca="false">IFERROR(W61/W$16,0)</f>
        <v>0</v>
      </c>
      <c r="Y61" s="28" t="n">
        <v>0</v>
      </c>
      <c r="Z61" s="39" t="n">
        <f aca="false">IFERROR(Y61/Y$16,0)</f>
        <v>0</v>
      </c>
      <c r="AB61" s="28" t="n">
        <f aca="false">SUM(C61,E61,G61,I61,K61,M61,O61,Q61,S61,U61,W61,Y61)</f>
        <v>0</v>
      </c>
      <c r="AC61" s="39" t="n">
        <f aca="false">IFERROR(AB61/AB$16,0)</f>
        <v>0</v>
      </c>
    </row>
    <row r="62" customFormat="false" ht="15" hidden="false" customHeight="true" outlineLevel="0" collapsed="false">
      <c r="A62" s="27" t="s">
        <v>206</v>
      </c>
      <c r="C62" s="28" t="n">
        <v>239</v>
      </c>
      <c r="D62" s="39" t="n">
        <f aca="false">IFERROR(C62/C$16,0)</f>
        <v>0.0133728737690242</v>
      </c>
      <c r="E62" s="28" t="n">
        <v>217</v>
      </c>
      <c r="F62" s="39" t="n">
        <f aca="false">IFERROR(E62/E$16,0)</f>
        <v>0.0121657229354712</v>
      </c>
      <c r="G62" s="28" t="n">
        <v>239</v>
      </c>
      <c r="H62" s="39" t="n">
        <f aca="false">IFERROR(G62/G$16,0)</f>
        <v>0.00903523363072736</v>
      </c>
      <c r="I62" s="28" t="n">
        <v>331</v>
      </c>
      <c r="J62" s="39" t="n">
        <f aca="false">IFERROR(I62/I$16,0)</f>
        <v>0.0160827948107478</v>
      </c>
      <c r="K62" s="28" t="n">
        <v>249</v>
      </c>
      <c r="L62" s="39" t="n">
        <f aca="false">IFERROR(K62/K$16,0)</f>
        <v>0.0100092454878</v>
      </c>
      <c r="M62" s="28" t="n">
        <v>271</v>
      </c>
      <c r="N62" s="39" t="n">
        <f aca="false">IFERROR(M62/M$16,0)</f>
        <v>0.0100151520750952</v>
      </c>
      <c r="O62" s="28" t="n">
        <v>249</v>
      </c>
      <c r="P62" s="39" t="n">
        <f aca="false">IFERROR(O62/O$16,0)</f>
        <v>0.00970041684522186</v>
      </c>
      <c r="Q62" s="28" t="n">
        <v>249</v>
      </c>
      <c r="R62" s="39" t="n">
        <f aca="false">IFERROR(Q62/Q$16,0)</f>
        <v>0.00970041684522186</v>
      </c>
      <c r="S62" s="28" t="n">
        <v>249</v>
      </c>
      <c r="T62" s="39" t="n">
        <f aca="false">IFERROR(S62/S$16,0)</f>
        <v>0.00970041684522186</v>
      </c>
      <c r="U62" s="28" t="n">
        <v>249</v>
      </c>
      <c r="V62" s="39" t="n">
        <f aca="false">IFERROR(U62/U$16,0)</f>
        <v>0.00970041684522186</v>
      </c>
      <c r="W62" s="28" t="n">
        <v>249</v>
      </c>
      <c r="X62" s="39" t="n">
        <f aca="false">IFERROR(W62/W$16,0)</f>
        <v>0.00970041684522186</v>
      </c>
      <c r="Y62" s="28" t="n">
        <v>249</v>
      </c>
      <c r="Z62" s="39" t="n">
        <f aca="false">IFERROR(Y62/Y$16,0)</f>
        <v>0.00970041684522186</v>
      </c>
      <c r="AB62" s="28" t="n">
        <f aca="false">SUM(C62,E62,G62,I62,K62,M62,O62,Q62,S62,U62,W62,Y62)</f>
        <v>3040</v>
      </c>
      <c r="AC62" s="39" t="n">
        <f aca="false">IFERROR(AB62/AB$16,0)</f>
        <v>0.0105302536959805</v>
      </c>
    </row>
    <row r="63" customFormat="false" ht="15" hidden="false" customHeight="true" outlineLevel="0" collapsed="false">
      <c r="A63" s="31" t="s">
        <v>207</v>
      </c>
      <c r="C63" s="43" t="n">
        <f aca="false">C59-C61-C62</f>
        <v>-15877</v>
      </c>
      <c r="D63" s="44" t="n">
        <f aca="false">IFERROR(C63/C$16,0)</f>
        <v>-0.888372873769024</v>
      </c>
      <c r="E63" s="43" t="n">
        <f aca="false">E59-E61-E62</f>
        <v>-13026</v>
      </c>
      <c r="F63" s="44" t="n">
        <f aca="false">IFERROR(E63/E$16,0)</f>
        <v>-0.730279755564277</v>
      </c>
      <c r="G63" s="43" t="n">
        <f aca="false">G59-G61-G62</f>
        <v>-8709</v>
      </c>
      <c r="H63" s="44" t="n">
        <f aca="false">IFERROR(G63/G$16,0)</f>
        <v>-0.329237864811734</v>
      </c>
      <c r="I63" s="43" t="n">
        <f aca="false">I59-I61-I62</f>
        <v>-12040</v>
      </c>
      <c r="J63" s="44" t="n">
        <f aca="false">IFERROR(I63/I$16,0)</f>
        <v>-0.585005587677955</v>
      </c>
      <c r="K63" s="43" t="n">
        <f aca="false">K59-K61-K62</f>
        <v>-15832</v>
      </c>
      <c r="L63" s="44" t="n">
        <f aca="false">IFERROR(K63/K$16,0)</f>
        <v>-0.636411142822688</v>
      </c>
      <c r="M63" s="43" t="n">
        <f aca="false">M59-M61-M62</f>
        <v>-18916</v>
      </c>
      <c r="N63" s="44" t="n">
        <f aca="false">IFERROR(M63/M$16,0)</f>
        <v>-0.699065006097786</v>
      </c>
      <c r="O63" s="43" t="n">
        <f aca="false">O59-O61-O62</f>
        <v>-13595</v>
      </c>
      <c r="P63" s="44" t="n">
        <f aca="false">IFERROR(O63/O$16,0)</f>
        <v>-0.529627176750166</v>
      </c>
      <c r="Q63" s="43" t="n">
        <f aca="false">Q59-Q61-Q62</f>
        <v>-14158</v>
      </c>
      <c r="R63" s="44" t="n">
        <f aca="false">IFERROR(Q63/Q$16,0)</f>
        <v>-0.551560247769683</v>
      </c>
      <c r="S63" s="43" t="n">
        <f aca="false">S59-S61-S62</f>
        <v>-13567</v>
      </c>
      <c r="T63" s="44" t="n">
        <f aca="false">IFERROR(S63/S$16,0)</f>
        <v>-0.528536366823795</v>
      </c>
      <c r="U63" s="43" t="n">
        <f aca="false">U59-U61-U62</f>
        <v>-13772</v>
      </c>
      <c r="V63" s="44" t="n">
        <f aca="false">IFERROR(U63/U$16,0)</f>
        <v>-0.536522653784721</v>
      </c>
      <c r="W63" s="43" t="n">
        <f aca="false">W59-W61-W62</f>
        <v>-13832</v>
      </c>
      <c r="X63" s="44" t="n">
        <f aca="false">IFERROR(W63/W$16,0)</f>
        <v>-0.538860103626943</v>
      </c>
      <c r="Y63" s="43" t="n">
        <f aca="false">Y59-Y61-Y62</f>
        <v>-13723</v>
      </c>
      <c r="Z63" s="44" t="n">
        <f aca="false">IFERROR(Y63/Y$16,0)</f>
        <v>-0.534613736413573</v>
      </c>
      <c r="AB63" s="43" t="n">
        <f aca="false">AB59-AB61-AB62</f>
        <v>-167047</v>
      </c>
      <c r="AC63" s="44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6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330</v>
      </c>
    </row>
    <row r="2" customFormat="false" ht="15" hidden="false" customHeight="true" outlineLevel="0" collapsed="false">
      <c r="A2" s="19" t="s">
        <v>331</v>
      </c>
    </row>
    <row r="3" customFormat="false" ht="15" hidden="false" customHeight="true" outlineLevel="0" collapsed="false">
      <c r="A3" s="19" t="s">
        <v>332</v>
      </c>
    </row>
    <row r="4" customFormat="false" ht="15" hidden="false" customHeight="true" outlineLevel="0" collapsed="false">
      <c r="A4" s="31" t="s">
        <v>333</v>
      </c>
      <c r="C4" s="83" t="n">
        <v>46235</v>
      </c>
      <c r="D4" s="21" t="s">
        <v>334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326</v>
      </c>
      <c r="AC5" s="35"/>
    </row>
    <row r="6" customFormat="false" ht="15" hidden="false" customHeight="true" outlineLevel="0" collapsed="false">
      <c r="C6" s="37" t="s">
        <v>327</v>
      </c>
      <c r="D6" s="37"/>
      <c r="E6" s="37" t="s">
        <v>327</v>
      </c>
      <c r="F6" s="37"/>
      <c r="G6" s="37" t="s">
        <v>327</v>
      </c>
      <c r="H6" s="37"/>
      <c r="I6" s="37" t="s">
        <v>327</v>
      </c>
      <c r="J6" s="37"/>
      <c r="K6" s="37" t="s">
        <v>327</v>
      </c>
      <c r="L6" s="37"/>
      <c r="M6" s="37" t="s">
        <v>327</v>
      </c>
      <c r="N6" s="37"/>
      <c r="O6" s="37" t="s">
        <v>335</v>
      </c>
      <c r="P6" s="37"/>
      <c r="Q6" s="37" t="s">
        <v>335</v>
      </c>
      <c r="R6" s="37"/>
      <c r="S6" s="37" t="s">
        <v>335</v>
      </c>
      <c r="T6" s="37"/>
      <c r="U6" s="37" t="s">
        <v>335</v>
      </c>
      <c r="V6" s="37"/>
      <c r="W6" s="37" t="s">
        <v>335</v>
      </c>
      <c r="X6" s="37"/>
      <c r="Y6" s="37" t="s">
        <v>335</v>
      </c>
      <c r="Z6" s="37"/>
      <c r="AB6" s="37" t="s">
        <v>336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IF(1&gt;=MONTH($C$4),'LW 2026 P&amp;L'!C9+('LW Assumptions'!$C$43*'LW Assumptions'!$C$44/12)*IFERROR('LW Menu Pricing'!$C$34/'LW Menu Pricing'!$C$35,0),'LW 2026 P&amp;L'!C9)</f>
        <v>7659</v>
      </c>
      <c r="D12" s="39" t="n">
        <f aca="false">IFERROR(C12/C$20,0)</f>
        <v>0.428547448522829</v>
      </c>
      <c r="E12" s="28" t="n">
        <f aca="false">IF(2&gt;=MONTH($C$4),'LW 2026 P&amp;L'!E9+('LW Assumptions'!$C$43*'LW Assumptions'!$C$44/12)*IFERROR('LW Menu Pricing'!$C$34/'LW Menu Pricing'!$C$35,0),'LW 2026 P&amp;L'!E9)</f>
        <v>9205</v>
      </c>
      <c r="F12" s="39" t="n">
        <f aca="false">IFERROR(E12/E$20,0)</f>
        <v>0.516062118069182</v>
      </c>
      <c r="G12" s="28" t="n">
        <f aca="false">IF(3&gt;=MONTH($C$4),'LW 2026 P&amp;L'!G9+('LW Assumptions'!$C$43*'LW Assumptions'!$C$44/12)*IFERROR('LW Menu Pricing'!$C$34/'LW Menu Pricing'!$C$35,0),'LW 2026 P&amp;L'!G9)</f>
        <v>12511</v>
      </c>
      <c r="H12" s="39" t="n">
        <f aca="false">IFERROR(G12/G$20,0)</f>
        <v>0.472969907757447</v>
      </c>
      <c r="I12" s="28" t="n">
        <f aca="false">IF(4&gt;=MONTH($C$4),'LW 2026 P&amp;L'!I9+('LW Assumptions'!$C$43*'LW Assumptions'!$C$44/12)*IFERROR('LW Menu Pricing'!$C$34/'LW Menu Pricing'!$C$35,0),'LW 2026 P&amp;L'!I9)</f>
        <v>9497</v>
      </c>
      <c r="J12" s="39" t="n">
        <f aca="false">IFERROR(I12/I$20,0)</f>
        <v>0.461445022107769</v>
      </c>
      <c r="K12" s="28" t="n">
        <f aca="false">IF(5&gt;=MONTH($C$4),'LW 2026 P&amp;L'!K9+('LW Assumptions'!$C$43*'LW Assumptions'!$C$44/12)*IFERROR('LW Menu Pricing'!$C$34/'LW Menu Pricing'!$C$35,0),'LW 2026 P&amp;L'!K9)</f>
        <v>10762</v>
      </c>
      <c r="L12" s="39" t="n">
        <f aca="false">IFERROR(K12/K$20,0)</f>
        <v>0.432608433492785</v>
      </c>
      <c r="M12" s="28" t="n">
        <f aca="false">IF(6&gt;=MONTH($C$4),'LW 2026 P&amp;L'!M9+('LW Assumptions'!$C$43*'LW Assumptions'!$C$44/12)*IFERROR('LW Menu Pricing'!$C$34/'LW Menu Pricing'!$C$35,0),'LW 2026 P&amp;L'!M9)</f>
        <v>10511</v>
      </c>
      <c r="N12" s="39" t="n">
        <f aca="false">IFERROR(M12/M$20,0)</f>
        <v>0.388447466646957</v>
      </c>
      <c r="O12" s="28" t="n">
        <f aca="false">IF(7&gt;=MONTH($C$4),'LW 2026 P&amp;L'!O9+('LW Assumptions'!$C$43*'LW Assumptions'!$C$44/12)*IFERROR('LW Menu Pricing'!$C$34/'LW Menu Pricing'!$C$35,0),'LW 2026 P&amp;L'!O9)</f>
        <v>11085</v>
      </c>
      <c r="P12" s="39" t="n">
        <f aca="false">IFERROR(O12/O$20,0)</f>
        <v>0.43184385835054</v>
      </c>
      <c r="Q12" s="28" t="n">
        <f aca="false">IF(8&gt;=MONTH($C$4),'LW 2026 P&amp;L'!Q9+('LW Assumptions'!$C$43*'LW Assumptions'!$C$44/12)*IFERROR('LW Menu Pricing'!$C$34/'LW Menu Pricing'!$C$35,0),'LW 2026 P&amp;L'!Q9)</f>
        <v>11280.525</v>
      </c>
      <c r="R12" s="39" t="n">
        <f aca="false">IFERROR(Q12/Q$20,0)</f>
        <v>0.373823447116993</v>
      </c>
      <c r="S12" s="28" t="n">
        <f aca="false">IF(9&gt;=MONTH($C$4),'LW 2026 P&amp;L'!S9+('LW Assumptions'!$C$43*'LW Assumptions'!$C$44/12)*IFERROR('LW Menu Pricing'!$C$34/'LW Menu Pricing'!$C$35,0),'LW 2026 P&amp;L'!S9)</f>
        <v>11280.525</v>
      </c>
      <c r="T12" s="39" t="n">
        <f aca="false">IFERROR(S12/S$20,0)</f>
        <v>0.373823447116993</v>
      </c>
      <c r="U12" s="28" t="n">
        <f aca="false">IF(10&gt;=MONTH($C$4),'LW 2026 P&amp;L'!U9+('LW Assumptions'!$C$43*'LW Assumptions'!$C$44/12)*IFERROR('LW Menu Pricing'!$C$34/'LW Menu Pricing'!$C$35,0),'LW 2026 P&amp;L'!U9)</f>
        <v>11280.525</v>
      </c>
      <c r="V12" s="39" t="n">
        <f aca="false">IFERROR(U12/U$20,0)</f>
        <v>0.373823447116993</v>
      </c>
      <c r="W12" s="28" t="n">
        <f aca="false">IF(11&gt;=MONTH($C$4),'LW 2026 P&amp;L'!W9+('LW Assumptions'!$C$43*'LW Assumptions'!$C$44/12)*IFERROR('LW Menu Pricing'!$C$34/'LW Menu Pricing'!$C$35,0),'LW 2026 P&amp;L'!W9)</f>
        <v>11280.525</v>
      </c>
      <c r="X12" s="39" t="n">
        <f aca="false">IFERROR(W12/W$20,0)</f>
        <v>0.373823447116993</v>
      </c>
      <c r="Y12" s="28" t="n">
        <f aca="false">IF(12&gt;=MONTH($C$4),'LW 2026 P&amp;L'!Y9+('LW Assumptions'!$C$43*'LW Assumptions'!$C$44/12)*IFERROR('LW Menu Pricing'!$C$34/'LW Menu Pricing'!$C$35,0),'LW 2026 P&amp;L'!Y9)</f>
        <v>11280.525</v>
      </c>
      <c r="Z12" s="39" t="n">
        <f aca="false">IFERROR(Y12/Y$20,0)</f>
        <v>0.373823447116993</v>
      </c>
      <c r="AB12" s="28" t="n">
        <f aca="false">SUM(C12,E12,G12,I12,K12,M12,O12,Q12,S12,U12,W12,Y12)</f>
        <v>127632.625</v>
      </c>
      <c r="AC12" s="39" t="n">
        <f aca="false">IFERROR(AB12/AB$20,0)</f>
        <v>0.410094457733823</v>
      </c>
    </row>
    <row r="13" customFormat="false" ht="15" hidden="false" customHeight="true" outlineLevel="0" collapsed="false">
      <c r="A13" s="27" t="s">
        <v>164</v>
      </c>
      <c r="C13" s="28" t="n">
        <f aca="false">IF(1&gt;=MONTH($C$4),'LW 2026 P&amp;L'!C10+('LW Assumptions'!$C$43*'LW Assumptions'!$C$44/12)*IFERROR('LW Menu Pricing'!$C$33/'LW Menu Pricing'!$C$35,0),'LW 2026 P&amp;L'!C10)</f>
        <v>9236</v>
      </c>
      <c r="D13" s="39" t="n">
        <f aca="false">IFERROR(C13/C$20,0)</f>
        <v>0.516786034019696</v>
      </c>
      <c r="E13" s="28" t="n">
        <f aca="false">IF(2&gt;=MONTH($C$4),'LW 2026 P&amp;L'!E10+('LW Assumptions'!$C$43*'LW Assumptions'!$C$44/12)*IFERROR('LW Menu Pricing'!$C$33/'LW Menu Pricing'!$C$35,0),'LW 2026 P&amp;L'!E10)</f>
        <v>9081</v>
      </c>
      <c r="F13" s="39" t="n">
        <f aca="false">IFERROR(E13/E$20,0)</f>
        <v>0.50911027639177</v>
      </c>
      <c r="G13" s="28" t="n">
        <f aca="false">IF(3&gt;=MONTH($C$4),'LW 2026 P&amp;L'!G10+('LW Assumptions'!$C$43*'LW Assumptions'!$C$44/12)*IFERROR('LW Menu Pricing'!$C$33/'LW Menu Pricing'!$C$35,0),'LW 2026 P&amp;L'!G10)</f>
        <v>13436</v>
      </c>
      <c r="H13" s="39" t="n">
        <f aca="false">IFERROR(G13/G$20,0)</f>
        <v>0.507938908211099</v>
      </c>
      <c r="I13" s="28" t="n">
        <f aca="false">IF(4&gt;=MONTH($C$4),'LW 2026 P&amp;L'!I10+('LW Assumptions'!$C$43*'LW Assumptions'!$C$44/12)*IFERROR('LW Menu Pricing'!$C$33/'LW Menu Pricing'!$C$35,0),'LW 2026 P&amp;L'!I10)</f>
        <v>10789</v>
      </c>
      <c r="J13" s="39" t="n">
        <f aca="false">IFERROR(I13/I$20,0)</f>
        <v>0.524221369224042</v>
      </c>
      <c r="K13" s="28" t="n">
        <f aca="false">IF(5&gt;=MONTH($C$4),'LW 2026 P&amp;L'!K10+('LW Assumptions'!$C$43*'LW Assumptions'!$C$44/12)*IFERROR('LW Menu Pricing'!$C$33/'LW Menu Pricing'!$C$35,0),'LW 2026 P&amp;L'!K10)</f>
        <v>13103</v>
      </c>
      <c r="L13" s="39" t="n">
        <f aca="false">IFERROR(K13/K$20,0)</f>
        <v>0.526711420187322</v>
      </c>
      <c r="M13" s="28" t="n">
        <f aca="false">IF(6&gt;=MONTH($C$4),'LW 2026 P&amp;L'!M10+('LW Assumptions'!$C$43*'LW Assumptions'!$C$44/12)*IFERROR('LW Menu Pricing'!$C$33/'LW Menu Pricing'!$C$35,0),'LW 2026 P&amp;L'!M10)</f>
        <v>14448</v>
      </c>
      <c r="N13" s="39" t="n">
        <f aca="false">IFERROR(M13/M$20,0)</f>
        <v>0.533944343841236</v>
      </c>
      <c r="O13" s="28" t="n">
        <f aca="false">IF(7&gt;=MONTH($C$4),'LW 2026 P&amp;L'!O10+('LW Assumptions'!$C$43*'LW Assumptions'!$C$44/12)*IFERROR('LW Menu Pricing'!$C$33/'LW Menu Pricing'!$C$35,0),'LW 2026 P&amp;L'!O10)</f>
        <v>13496</v>
      </c>
      <c r="P13" s="39" t="n">
        <f aca="false">IFERROR(O13/O$20,0)</f>
        <v>0.525770384510499</v>
      </c>
      <c r="Q13" s="28" t="n">
        <f aca="false">IF(8&gt;=MONTH($C$4),'LW 2026 P&amp;L'!Q10+('LW Assumptions'!$C$43*'LW Assumptions'!$C$44/12)*IFERROR('LW Menu Pricing'!$C$33/'LW Menu Pricing'!$C$35,0),'LW 2026 P&amp;L'!Q10)</f>
        <v>14063.885</v>
      </c>
      <c r="R13" s="39" t="n">
        <f aca="false">IFERROR(Q13/Q$20,0)</f>
        <v>0.466060752540948</v>
      </c>
      <c r="S13" s="28" t="n">
        <f aca="false">IF(9&gt;=MONTH($C$4),'LW 2026 P&amp;L'!S10+('LW Assumptions'!$C$43*'LW Assumptions'!$C$44/12)*IFERROR('LW Menu Pricing'!$C$33/'LW Menu Pricing'!$C$35,0),'LW 2026 P&amp;L'!S10)</f>
        <v>14063.885</v>
      </c>
      <c r="T13" s="39" t="n">
        <f aca="false">IFERROR(S13/S$20,0)</f>
        <v>0.466060752540948</v>
      </c>
      <c r="U13" s="28" t="n">
        <f aca="false">IF(10&gt;=MONTH($C$4),'LW 2026 P&amp;L'!U10+('LW Assumptions'!$C$43*'LW Assumptions'!$C$44/12)*IFERROR('LW Menu Pricing'!$C$33/'LW Menu Pricing'!$C$35,0),'LW 2026 P&amp;L'!U10)</f>
        <v>14063.885</v>
      </c>
      <c r="V13" s="39" t="n">
        <f aca="false">IFERROR(U13/U$20,0)</f>
        <v>0.466060752540948</v>
      </c>
      <c r="W13" s="28" t="n">
        <f aca="false">IF(11&gt;=MONTH($C$4),'LW 2026 P&amp;L'!W10+('LW Assumptions'!$C$43*'LW Assumptions'!$C$44/12)*IFERROR('LW Menu Pricing'!$C$33/'LW Menu Pricing'!$C$35,0),'LW 2026 P&amp;L'!W10)</f>
        <v>14063.885</v>
      </c>
      <c r="X13" s="39" t="n">
        <f aca="false">IFERROR(W13/W$20,0)</f>
        <v>0.466060752540948</v>
      </c>
      <c r="Y13" s="28" t="n">
        <f aca="false">IF(12&gt;=MONTH($C$4),'LW 2026 P&amp;L'!Y10+('LW Assumptions'!$C$43*'LW Assumptions'!$C$44/12)*IFERROR('LW Menu Pricing'!$C$33/'LW Menu Pricing'!$C$35,0),'LW 2026 P&amp;L'!Y10)</f>
        <v>14063.885</v>
      </c>
      <c r="Z13" s="39" t="n">
        <f aca="false">IFERROR(Y13/Y$20,0)</f>
        <v>0.466060752540948</v>
      </c>
      <c r="AB13" s="28" t="n">
        <f aca="false">SUM(C13,E13,G13,I13,K13,M13,O13,Q13,S13,U13,W13,Y13)</f>
        <v>153908.425</v>
      </c>
      <c r="AC13" s="39" t="n">
        <f aca="false">IFERROR(AB13/AB$20,0)</f>
        <v>0.49452083345494</v>
      </c>
    </row>
    <row r="14" customFormat="false" ht="15" hidden="false" customHeight="true" outlineLevel="0" collapsed="false">
      <c r="A14" s="27" t="s">
        <v>165</v>
      </c>
      <c r="C14" s="28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9" t="n">
        <f aca="false">IFERROR(C14/C$20,0)</f>
        <v>0.044762757385855</v>
      </c>
      <c r="E14" s="28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9" t="n">
        <f aca="false">IFERROR(E14/E$20,0)</f>
        <v>0.0165386556035208</v>
      </c>
      <c r="G14" s="28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9" t="n">
        <f aca="false">IFERROR(G14/G$20,0)</f>
        <v>0.0511870557991834</v>
      </c>
      <c r="I14" s="28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9" t="n">
        <f aca="false">IFERROR(I14/I$20,0)</f>
        <v>0.072396870900345</v>
      </c>
      <c r="K14" s="28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9" t="n">
        <f aca="false">IFERROR(K14/K$20,0)</f>
        <v>0.0237568838686337</v>
      </c>
      <c r="M14" s="28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9" t="n">
        <f aca="false">IFERROR(M14/M$20,0)</f>
        <v>0.0363649802283898</v>
      </c>
      <c r="O14" s="28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9" t="n">
        <f aca="false">IFERROR(O14/O$20,0)</f>
        <v>0.0237251158985547</v>
      </c>
      <c r="Q14" s="28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9" t="n">
        <f aca="false">IFERROR(Q14/Q$20,0)</f>
        <v>0.0201815499982713</v>
      </c>
      <c r="S14" s="28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9" t="n">
        <f aca="false">IFERROR(S14/S$20,0)</f>
        <v>0.0201815499982713</v>
      </c>
      <c r="U14" s="28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9" t="n">
        <f aca="false">IFERROR(U14/U$20,0)</f>
        <v>0.0201815499982713</v>
      </c>
      <c r="W14" s="28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9" t="n">
        <f aca="false">IFERROR(W14/W$20,0)</f>
        <v>0.0201815499982713</v>
      </c>
      <c r="Y14" s="28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9" t="n">
        <f aca="false">IFERROR(Y14/Y$20,0)</f>
        <v>0.0201815499982713</v>
      </c>
      <c r="AB14" s="28" t="n">
        <f aca="false">SUM(C14,E14,G14,I14,K14,M14,O14,Q14,S14,U14,W14,Y14)</f>
        <v>9168</v>
      </c>
      <c r="AC14" s="39" t="n">
        <f aca="false">IFERROR(AB14/AB$20,0)</f>
        <v>0.0294575621907305</v>
      </c>
    </row>
    <row r="15" customFormat="false" ht="15" hidden="false" customHeight="true" outlineLevel="0" collapsed="false">
      <c r="A15" s="27" t="s">
        <v>166</v>
      </c>
      <c r="C15" s="28" t="n">
        <f aca="false">'LW 2026 P&amp;L'!C12</f>
        <v>54</v>
      </c>
      <c r="D15" s="39" t="n">
        <f aca="false">IFERROR(C15/C$20,0)</f>
        <v>0.00302148612354521</v>
      </c>
      <c r="E15" s="28" t="n">
        <f aca="false">'LW 2026 P&amp;L'!E12</f>
        <v>240</v>
      </c>
      <c r="F15" s="39" t="n">
        <f aca="false">IFERROR(E15/E$20,0)</f>
        <v>0.0134551774401525</v>
      </c>
      <c r="G15" s="28" t="n">
        <f aca="false">'LW 2026 P&amp;L'!G12</f>
        <v>174</v>
      </c>
      <c r="H15" s="39" t="n">
        <f aca="false">IFERROR(G15/G$20,0)</f>
        <v>0.00657795251776803</v>
      </c>
      <c r="I15" s="28" t="n">
        <f aca="false">'LW 2026 P&amp;L'!I12</f>
        <v>333</v>
      </c>
      <c r="J15" s="39" t="n">
        <f aca="false">IFERROR(I15/I$20,0)</f>
        <v>0.0161799718186677</v>
      </c>
      <c r="K15" s="28" t="n">
        <f aca="false">'LW 2026 P&amp;L'!K12</f>
        <v>597</v>
      </c>
      <c r="L15" s="39" t="n">
        <f aca="false">IFERROR(K15/K$20,0)</f>
        <v>0.0239980705068939</v>
      </c>
      <c r="M15" s="28" t="n">
        <f aca="false">'LW 2026 P&amp;L'!M12</f>
        <v>743</v>
      </c>
      <c r="N15" s="39" t="n">
        <f aca="false">IFERROR(M15/M$20,0)</f>
        <v>0.0274585165748919</v>
      </c>
      <c r="O15" s="28" t="n">
        <f aca="false">'LW 2026 P&amp;L'!O12</f>
        <v>615</v>
      </c>
      <c r="P15" s="39" t="n">
        <f aca="false">IFERROR(O15/O$20,0)</f>
        <v>0.0239588608827769</v>
      </c>
      <c r="Q15" s="28" t="n">
        <f aca="false">'LW 2026 P&amp;L'!Q12</f>
        <v>615</v>
      </c>
      <c r="R15" s="39" t="n">
        <f aca="false">IFERROR(Q15/Q$20,0)</f>
        <v>0.0203803830031803</v>
      </c>
      <c r="S15" s="28" t="n">
        <f aca="false">'LW 2026 P&amp;L'!S12</f>
        <v>615</v>
      </c>
      <c r="T15" s="39" t="n">
        <f aca="false">IFERROR(S15/S$20,0)</f>
        <v>0.0203803830031803</v>
      </c>
      <c r="U15" s="28" t="n">
        <f aca="false">'LW 2026 P&amp;L'!U12</f>
        <v>615</v>
      </c>
      <c r="V15" s="39" t="n">
        <f aca="false">IFERROR(U15/U$20,0)</f>
        <v>0.0203803830031803</v>
      </c>
      <c r="W15" s="28" t="n">
        <f aca="false">'LW 2026 P&amp;L'!W12</f>
        <v>615</v>
      </c>
      <c r="X15" s="39" t="n">
        <f aca="false">IFERROR(W15/W$20,0)</f>
        <v>0.0203803830031803</v>
      </c>
      <c r="Y15" s="28" t="n">
        <f aca="false">'LW 2026 P&amp;L'!Y12</f>
        <v>615</v>
      </c>
      <c r="Z15" s="39" t="n">
        <f aca="false">IFERROR(Y15/Y$20,0)</f>
        <v>0.0203803830031803</v>
      </c>
      <c r="AB15" s="28" t="n">
        <f aca="false">SUM(C15,E15,G15,I15,K15,M15,O15,Q15,S15,U15,W15,Y15)</f>
        <v>5831</v>
      </c>
      <c r="AC15" s="39" t="n">
        <f aca="false">IFERROR(AB15/AB$20,0)</f>
        <v>0.0187354979422066</v>
      </c>
    </row>
    <row r="16" customFormat="false" ht="15" hidden="false" customHeight="true" outlineLevel="0" collapsed="false">
      <c r="A16" s="27" t="s">
        <v>167</v>
      </c>
      <c r="C16" s="28" t="n">
        <f aca="false">'LW 2026 P&amp;L'!C13</f>
        <v>0</v>
      </c>
      <c r="D16" s="39" t="n">
        <f aca="false">IFERROR(C16/C$20,0)</f>
        <v>0</v>
      </c>
      <c r="E16" s="28" t="n">
        <f aca="false">'LW 2026 P&amp;L'!E13</f>
        <v>12</v>
      </c>
      <c r="F16" s="39" t="n">
        <f aca="false">IFERROR(E16/E$20,0)</f>
        <v>0.000672758872007625</v>
      </c>
      <c r="G16" s="28" t="n">
        <f aca="false">'LW 2026 P&amp;L'!G13</f>
        <v>1</v>
      </c>
      <c r="H16" s="39" t="n">
        <f aca="false">IFERROR(G16/G$20,0)</f>
        <v>3.78043248147588E-005</v>
      </c>
      <c r="I16" s="28" t="n">
        <f aca="false">'LW 2026 P&amp;L'!I13</f>
        <v>496</v>
      </c>
      <c r="J16" s="39" t="n">
        <f aca="false">IFERROR(I16/I$20,0)</f>
        <v>0.0240998979641417</v>
      </c>
      <c r="K16" s="28" t="n">
        <f aca="false">'LW 2026 P&amp;L'!K13</f>
        <v>1015</v>
      </c>
      <c r="L16" s="39" t="n">
        <f aca="false">IFERROR(K16/K$20,0)</f>
        <v>0.040800739639024</v>
      </c>
      <c r="M16" s="28" t="n">
        <f aca="false">'LW 2026 P&amp;L'!M13</f>
        <v>1101</v>
      </c>
      <c r="N16" s="39" t="n">
        <f aca="false">IFERROR(M16/M$20,0)</f>
        <v>0.0406888650726191</v>
      </c>
      <c r="O16" s="28" t="n">
        <f aca="false">'LW 2026 P&amp;L'!O13</f>
        <v>1045</v>
      </c>
      <c r="P16" s="39" t="n">
        <f aca="false">IFERROR(O16/O$20,0)</f>
        <v>0.0407105847520355</v>
      </c>
      <c r="Q16" s="28" t="n">
        <f aca="false">'LW 2026 P&amp;L'!Q13</f>
        <v>1045</v>
      </c>
      <c r="R16" s="39" t="n">
        <f aca="false">IFERROR(Q16/Q$20,0)</f>
        <v>0.0346300816883308</v>
      </c>
      <c r="S16" s="28" t="n">
        <f aca="false">'LW 2026 P&amp;L'!S13</f>
        <v>1045</v>
      </c>
      <c r="T16" s="39" t="n">
        <f aca="false">IFERROR(S16/S$20,0)</f>
        <v>0.0346300816883308</v>
      </c>
      <c r="U16" s="28" t="n">
        <f aca="false">'LW 2026 P&amp;L'!U13</f>
        <v>1045</v>
      </c>
      <c r="V16" s="39" t="n">
        <f aca="false">IFERROR(U16/U$20,0)</f>
        <v>0.0346300816883308</v>
      </c>
      <c r="W16" s="28" t="n">
        <f aca="false">'LW 2026 P&amp;L'!W13</f>
        <v>1045</v>
      </c>
      <c r="X16" s="39" t="n">
        <f aca="false">IFERROR(W16/W$20,0)</f>
        <v>0.0346300816883308</v>
      </c>
      <c r="Y16" s="28" t="n">
        <f aca="false">'LW 2026 P&amp;L'!Y13</f>
        <v>1045</v>
      </c>
      <c r="Z16" s="39" t="n">
        <f aca="false">IFERROR(Y16/Y$20,0)</f>
        <v>0.0346300816883308</v>
      </c>
      <c r="AB16" s="28" t="n">
        <f aca="false">SUM(C16,E16,G16,I16,K16,M16,O16,Q16,S16,U16,W16,Y16)</f>
        <v>8895</v>
      </c>
      <c r="AC16" s="39" t="n">
        <f aca="false">IFERROR(AB16/AB$20,0)</f>
        <v>0.0285803900181663</v>
      </c>
    </row>
    <row r="17" customFormat="false" ht="15" hidden="false" customHeight="true" outlineLevel="0" collapsed="false">
      <c r="A17" s="27" t="s">
        <v>337</v>
      </c>
      <c r="C17" s="28" t="n">
        <f aca="false">IF(1&gt;=MONTH($C$4),('LW Assumptions'!$C$47+'LW Assumptions'!$C$36)/12,0)</f>
        <v>0</v>
      </c>
      <c r="D17" s="39" t="n">
        <f aca="false">IFERROR(C17/C$20,0)</f>
        <v>0</v>
      </c>
      <c r="E17" s="28" t="n">
        <f aca="false">IF(2&gt;=MONTH($C$4),('LW Assumptions'!$C$47+'LW Assumptions'!$C$36)/12,0)</f>
        <v>0</v>
      </c>
      <c r="F17" s="39" t="n">
        <f aca="false">IFERROR(E17/E$20,0)</f>
        <v>0</v>
      </c>
      <c r="G17" s="28" t="n">
        <f aca="false">IF(3&gt;=MONTH($C$4),('LW Assumptions'!$C$47+'LW Assumptions'!$C$36)/12,0)</f>
        <v>0</v>
      </c>
      <c r="H17" s="39" t="n">
        <f aca="false">IFERROR(G17/G$20,0)</f>
        <v>0</v>
      </c>
      <c r="I17" s="28" t="n">
        <f aca="false">IF(4&gt;=MONTH($C$4),('LW Assumptions'!$C$47+'LW Assumptions'!$C$36)/12,0)</f>
        <v>0</v>
      </c>
      <c r="J17" s="39" t="n">
        <f aca="false">IFERROR(I17/I$20,0)</f>
        <v>0</v>
      </c>
      <c r="K17" s="28" t="n">
        <f aca="false">IF(5&gt;=MONTH($C$4),('LW Assumptions'!$C$47+'LW Assumptions'!$C$36)/12,0)</f>
        <v>0</v>
      </c>
      <c r="L17" s="39" t="n">
        <f aca="false">IFERROR(K17/K$20,0)</f>
        <v>0</v>
      </c>
      <c r="M17" s="28" t="n">
        <f aca="false">IF(6&gt;=MONTH($C$4),('LW Assumptions'!$C$47+'LW Assumptions'!$C$36)/12,0)</f>
        <v>0</v>
      </c>
      <c r="N17" s="39" t="n">
        <f aca="false">IFERROR(M17/M$20,0)</f>
        <v>0</v>
      </c>
      <c r="O17" s="28" t="n">
        <f aca="false">IF(7&gt;=MONTH($C$4),('LW Assumptions'!$C$47+'LW Assumptions'!$C$36)/12,0)</f>
        <v>0</v>
      </c>
      <c r="P17" s="39" t="n">
        <f aca="false">IFERROR(O17/O$20,0)</f>
        <v>0</v>
      </c>
      <c r="Q17" s="28" t="n">
        <f aca="false">IF(8&gt;=MONTH($C$4),('LW Assumptions'!$C$47+'LW Assumptions'!$C$36)/12,0)</f>
        <v>3743.66666666667</v>
      </c>
      <c r="R17" s="39" t="n">
        <f aca="false">IFERROR(Q17/Q$20,0)</f>
        <v>0.124060748785213</v>
      </c>
      <c r="S17" s="28" t="n">
        <f aca="false">IF(9&gt;=MONTH($C$4),('LW Assumptions'!$C$47+'LW Assumptions'!$C$36)/12,0)</f>
        <v>3743.66666666667</v>
      </c>
      <c r="T17" s="39" t="n">
        <f aca="false">IFERROR(S17/S$20,0)</f>
        <v>0.124060748785213</v>
      </c>
      <c r="U17" s="28" t="n">
        <f aca="false">IF(10&gt;=MONTH($C$4),('LW Assumptions'!$C$47+'LW Assumptions'!$C$36)/12,0)</f>
        <v>3743.66666666667</v>
      </c>
      <c r="V17" s="39" t="n">
        <f aca="false">IFERROR(U17/U$20,0)</f>
        <v>0.124060748785213</v>
      </c>
      <c r="W17" s="28" t="n">
        <f aca="false">IF(11&gt;=MONTH($C$4),('LW Assumptions'!$C$47+'LW Assumptions'!$C$36)/12,0)</f>
        <v>3743.66666666667</v>
      </c>
      <c r="X17" s="39" t="n">
        <f aca="false">IFERROR(W17/W$20,0)</f>
        <v>0.124060748785213</v>
      </c>
      <c r="Y17" s="28" t="n">
        <f aca="false">IF(12&gt;=MONTH($C$4),('LW Assumptions'!$C$47+'LW Assumptions'!$C$36)/12,0)</f>
        <v>3743.66666666667</v>
      </c>
      <c r="Z17" s="39" t="n">
        <f aca="false">IFERROR(Y17/Y$20,0)</f>
        <v>0.124060748785213</v>
      </c>
      <c r="AB17" s="28" t="n">
        <f aca="false">SUM(C17,E17,G17,I17,K17,M17,O17,Q17,S17,U17,W17,Y17)</f>
        <v>18718.3333333333</v>
      </c>
      <c r="AC17" s="39" t="n">
        <f aca="false">IFERROR(AB17/AB$20,0)</f>
        <v>0.0601435938343686</v>
      </c>
    </row>
    <row r="18" customFormat="false" ht="15" hidden="false" customHeight="true" outlineLevel="0" collapsed="false">
      <c r="A18" s="27" t="s">
        <v>169</v>
      </c>
      <c r="C18" s="28" t="n">
        <f aca="false">'LW 2026 P&amp;L'!C14</f>
        <v>854</v>
      </c>
      <c r="D18" s="39" t="n">
        <f aca="false">IFERROR(C18/C$20,0)</f>
        <v>0.0477842435094002</v>
      </c>
      <c r="E18" s="28" t="n">
        <f aca="false">'LW 2026 P&amp;L'!E14</f>
        <v>28</v>
      </c>
      <c r="F18" s="39" t="n">
        <f aca="false">IFERROR(E18/E$20,0)</f>
        <v>0.00156977070135112</v>
      </c>
      <c r="G18" s="28" t="n">
        <f aca="false">'LW 2026 P&amp;L'!G14</f>
        <v>1473</v>
      </c>
      <c r="H18" s="39" t="n">
        <f aca="false">IFERROR(G18/G$20,0)</f>
        <v>0.0556857704521397</v>
      </c>
      <c r="I18" s="28" t="n">
        <f aca="false">'LW 2026 P&amp;L'!I14</f>
        <v>664</v>
      </c>
      <c r="J18" s="39" t="n">
        <f aca="false">IFERROR(I18/I$20,0)</f>
        <v>0.0322627666294155</v>
      </c>
      <c r="K18" s="28" t="n">
        <f aca="false">'LW 2026 P&amp;L'!K14</f>
        <v>330</v>
      </c>
      <c r="L18" s="39" t="n">
        <f aca="false">IFERROR(K18/K$20,0)</f>
        <v>0.0132652651043132</v>
      </c>
      <c r="M18" s="28" t="n">
        <f aca="false">'LW 2026 P&amp;L'!M14</f>
        <v>259</v>
      </c>
      <c r="N18" s="39" t="n">
        <f aca="false">IFERROR(M18/M$20,0)</f>
        <v>0.00957167670645626</v>
      </c>
      <c r="O18" s="28" t="n">
        <f aca="false">'LW 2026 P&amp;L'!O14</f>
        <v>340</v>
      </c>
      <c r="P18" s="39" t="n">
        <f aca="false">IFERROR(O18/O$20,0)</f>
        <v>0.0132455491059254</v>
      </c>
      <c r="Q18" s="28" t="n">
        <f aca="false">'LW 2026 P&amp;L'!Q14</f>
        <v>340</v>
      </c>
      <c r="R18" s="39" t="n">
        <f aca="false">IFERROR(Q18/Q$20,0)</f>
        <v>0.0112672036115143</v>
      </c>
      <c r="S18" s="28" t="n">
        <f aca="false">'LW 2026 P&amp;L'!S14</f>
        <v>340</v>
      </c>
      <c r="T18" s="39" t="n">
        <f aca="false">IFERROR(S18/S$20,0)</f>
        <v>0.0112672036115143</v>
      </c>
      <c r="U18" s="28" t="n">
        <f aca="false">'LW 2026 P&amp;L'!U14</f>
        <v>340</v>
      </c>
      <c r="V18" s="39" t="n">
        <f aca="false">IFERROR(U18/U$20,0)</f>
        <v>0.0112672036115143</v>
      </c>
      <c r="W18" s="28" t="n">
        <f aca="false">'LW 2026 P&amp;L'!W14</f>
        <v>340</v>
      </c>
      <c r="X18" s="39" t="n">
        <f aca="false">IFERROR(W18/W$20,0)</f>
        <v>0.0112672036115143</v>
      </c>
      <c r="Y18" s="28" t="n">
        <f aca="false">'LW 2026 P&amp;L'!Y14</f>
        <v>340</v>
      </c>
      <c r="Z18" s="39" t="n">
        <f aca="false">IFERROR(Y18/Y$20,0)</f>
        <v>0.0112672036115143</v>
      </c>
      <c r="AB18" s="28" t="n">
        <f aca="false">SUM(C18,E18,G18,I18,K18,M18,O18,Q18,S18,U18,W18,Y18)</f>
        <v>5648</v>
      </c>
      <c r="AC18" s="39" t="n">
        <f aca="false">IFERROR(AB18/AB$20,0)</f>
        <v>0.0181475034089492</v>
      </c>
    </row>
    <row r="19" customFormat="false" ht="15" hidden="false" customHeight="true" outlineLevel="0" collapsed="false">
      <c r="A19" s="27" t="s">
        <v>170</v>
      </c>
      <c r="C19" s="28" t="n">
        <f aca="false">'LW 2026 P&amp;L'!C15</f>
        <v>-731</v>
      </c>
      <c r="D19" s="39" t="n">
        <f aca="false">IFERROR(C19/C$20,0)</f>
        <v>-0.040901969561325</v>
      </c>
      <c r="E19" s="28" t="n">
        <f aca="false">'LW 2026 P&amp;L'!E15</f>
        <v>-1024</v>
      </c>
      <c r="F19" s="39" t="n">
        <f aca="false">IFERROR(E19/E$20,0)</f>
        <v>-0.057408757077984</v>
      </c>
      <c r="G19" s="28" t="n">
        <f aca="false">'LW 2026 P&amp;L'!G15</f>
        <v>-2497</v>
      </c>
      <c r="H19" s="39" t="n">
        <f aca="false">IFERROR(G19/G$20,0)</f>
        <v>-0.0943973990624527</v>
      </c>
      <c r="I19" s="28" t="n">
        <f aca="false">'LW 2026 P&amp;L'!I15</f>
        <v>-2688</v>
      </c>
      <c r="J19" s="39" t="n">
        <f aca="false">IFERROR(I19/I$20,0)</f>
        <v>-0.130605898644381</v>
      </c>
      <c r="K19" s="28" t="n">
        <f aca="false">'LW 2026 P&amp;L'!K15</f>
        <v>-1521</v>
      </c>
      <c r="L19" s="39" t="n">
        <f aca="false">IFERROR(K19/K$20,0)</f>
        <v>-0.0611408127989709</v>
      </c>
      <c r="M19" s="28" t="n">
        <f aca="false">'LW 2026 P&amp;L'!M15</f>
        <v>-987</v>
      </c>
      <c r="N19" s="39" t="n">
        <f aca="false">IFERROR(M19/M$20,0)</f>
        <v>-0.0364758490705495</v>
      </c>
      <c r="O19" s="28" t="n">
        <f aca="false">'LW 2026 P&amp;L'!O15</f>
        <v>-1521</v>
      </c>
      <c r="P19" s="39" t="n">
        <f aca="false">IFERROR(O19/O$20,0)</f>
        <v>-0.0592543535003311</v>
      </c>
      <c r="Q19" s="28" t="n">
        <f aca="false">'LW 2026 P&amp;L'!Q15</f>
        <v>-1521</v>
      </c>
      <c r="R19" s="39" t="n">
        <f aca="false">IFERROR(Q19/Q$20,0)</f>
        <v>-0.0504041667444509</v>
      </c>
      <c r="S19" s="28" t="n">
        <f aca="false">'LW 2026 P&amp;L'!S15</f>
        <v>-1521</v>
      </c>
      <c r="T19" s="39" t="n">
        <f aca="false">IFERROR(S19/S$20,0)</f>
        <v>-0.0504041667444509</v>
      </c>
      <c r="U19" s="28" t="n">
        <f aca="false">'LW 2026 P&amp;L'!U15</f>
        <v>-1521</v>
      </c>
      <c r="V19" s="39" t="n">
        <f aca="false">IFERROR(U19/U$20,0)</f>
        <v>-0.0504041667444509</v>
      </c>
      <c r="W19" s="28" t="n">
        <f aca="false">'LW 2026 P&amp;L'!W15</f>
        <v>-1521</v>
      </c>
      <c r="X19" s="39" t="n">
        <f aca="false">IFERROR(W19/W$20,0)</f>
        <v>-0.0504041667444509</v>
      </c>
      <c r="Y19" s="28" t="n">
        <f aca="false">'LW 2026 P&amp;L'!Y15</f>
        <v>-1521</v>
      </c>
      <c r="Z19" s="39" t="n">
        <f aca="false">IFERROR(Y19/Y$20,0)</f>
        <v>-0.0504041667444509</v>
      </c>
      <c r="AB19" s="28" t="n">
        <f aca="false">SUM(C19,E19,G19,I19,K19,M19,O19,Q19,S19,U19,W19,Y19)</f>
        <v>-18574</v>
      </c>
      <c r="AC19" s="39" t="n">
        <f aca="false">IFERROR(AB19/AB$20,0)</f>
        <v>-0.0596798385831838</v>
      </c>
    </row>
    <row r="20" customFormat="false" ht="15" hidden="false" customHeight="true" outlineLevel="0" collapsed="false">
      <c r="A20" s="31" t="s">
        <v>128</v>
      </c>
      <c r="C20" s="32" t="n">
        <f aca="false">SUM(C12:C19)</f>
        <v>17872</v>
      </c>
      <c r="D20" s="40" t="n">
        <f aca="false">IFERROR(C20/C$20,0)</f>
        <v>1</v>
      </c>
      <c r="E20" s="32" t="n">
        <f aca="false">SUM(E12:E19)</f>
        <v>17837</v>
      </c>
      <c r="F20" s="40" t="n">
        <f aca="false">IFERROR(E20/E$20,0)</f>
        <v>1</v>
      </c>
      <c r="G20" s="32" t="n">
        <f aca="false">SUM(G12:G19)</f>
        <v>26452</v>
      </c>
      <c r="H20" s="40" t="n">
        <f aca="false">IFERROR(G20/G$20,0)</f>
        <v>1</v>
      </c>
      <c r="I20" s="32" t="n">
        <f aca="false">SUM(I12:I19)</f>
        <v>20581</v>
      </c>
      <c r="J20" s="40" t="n">
        <f aca="false">IFERROR(I20/I$20,0)</f>
        <v>1</v>
      </c>
      <c r="K20" s="32" t="n">
        <f aca="false">SUM(K12:K19)</f>
        <v>24877</v>
      </c>
      <c r="L20" s="40" t="n">
        <f aca="false">IFERROR(K20/K$20,0)</f>
        <v>1</v>
      </c>
      <c r="M20" s="32" t="n">
        <f aca="false">SUM(M12:M19)</f>
        <v>27059</v>
      </c>
      <c r="N20" s="40" t="n">
        <f aca="false">IFERROR(M20/M$20,0)</f>
        <v>1</v>
      </c>
      <c r="O20" s="32" t="n">
        <f aca="false">SUM(O12:O19)</f>
        <v>25669</v>
      </c>
      <c r="P20" s="40" t="n">
        <f aca="false">IFERROR(O20/O$20,0)</f>
        <v>1</v>
      </c>
      <c r="Q20" s="32" t="n">
        <f aca="false">SUM(Q12:Q19)</f>
        <v>30176.0766666667</v>
      </c>
      <c r="R20" s="40" t="n">
        <f aca="false">IFERROR(Q20/Q$20,0)</f>
        <v>1</v>
      </c>
      <c r="S20" s="32" t="n">
        <f aca="false">SUM(S12:S19)</f>
        <v>30176.0766666667</v>
      </c>
      <c r="T20" s="40" t="n">
        <f aca="false">IFERROR(S20/S$20,0)</f>
        <v>1</v>
      </c>
      <c r="U20" s="32" t="n">
        <f aca="false">SUM(U12:U19)</f>
        <v>30176.0766666667</v>
      </c>
      <c r="V20" s="40" t="n">
        <f aca="false">IFERROR(U20/U$20,0)</f>
        <v>1</v>
      </c>
      <c r="W20" s="32" t="n">
        <f aca="false">SUM(W12:W19)</f>
        <v>30176.0766666667</v>
      </c>
      <c r="X20" s="40" t="n">
        <f aca="false">IFERROR(W20/W$20,0)</f>
        <v>1</v>
      </c>
      <c r="Y20" s="32" t="n">
        <f aca="false">SUM(Y12:Y19)</f>
        <v>30176.0766666667</v>
      </c>
      <c r="Z20" s="40" t="n">
        <f aca="false">IFERROR(Y20/Y$20,0)</f>
        <v>1</v>
      </c>
      <c r="AB20" s="32" t="n">
        <f aca="false">SUM(AB12:AB19)</f>
        <v>311227.383333333</v>
      </c>
      <c r="AC20" s="40" t="n">
        <f aca="false">IFERROR(AB20/AB$20,0)</f>
        <v>1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'LW 2026 P&amp;L'!C19</f>
        <v>1608</v>
      </c>
      <c r="D23" s="39" t="n">
        <f aca="false">IFERROR(C23/C$12,0)</f>
        <v>0.209949079514297</v>
      </c>
      <c r="E23" s="28" t="n">
        <f aca="false">'LW 2026 P&amp;L'!E19</f>
        <v>2865</v>
      </c>
      <c r="F23" s="39" t="n">
        <f aca="false">IFERROR(E23/E$12,0)</f>
        <v>0.311243889190657</v>
      </c>
      <c r="G23" s="28" t="n">
        <f aca="false">'LW 2026 P&amp;L'!G19</f>
        <v>4719</v>
      </c>
      <c r="H23" s="39" t="n">
        <f aca="false">IFERROR(G23/G$12,0)</f>
        <v>0.377188074494445</v>
      </c>
      <c r="I23" s="28" t="n">
        <f aca="false">'LW 2026 P&amp;L'!I19</f>
        <v>3179</v>
      </c>
      <c r="J23" s="39" t="n">
        <f aca="false">IFERROR(I23/I$12,0)</f>
        <v>0.334737285458566</v>
      </c>
      <c r="K23" s="28" t="n">
        <f aca="false">'LW 2026 P&amp;L'!K19</f>
        <v>7902</v>
      </c>
      <c r="L23" s="39" t="n">
        <f aca="false">IFERROR(K23/K$12,0)</f>
        <v>0.734250139379298</v>
      </c>
      <c r="M23" s="28" t="n">
        <f aca="false">'LW 2026 P&amp;L'!M19</f>
        <v>7534</v>
      </c>
      <c r="N23" s="39" t="n">
        <f aca="false">IFERROR(M23/M$12,0)</f>
        <v>0.716772904576158</v>
      </c>
      <c r="O23" s="28" t="n">
        <f aca="false">'LW 2026 P&amp;L'!O19</f>
        <v>5809</v>
      </c>
      <c r="P23" s="39" t="n">
        <f aca="false">IFERROR(O23/O$12,0)</f>
        <v>0.52404149751917</v>
      </c>
      <c r="Q23" s="28" t="n">
        <f aca="false">'LW 2026 P&amp;L'!Q19</f>
        <v>6414</v>
      </c>
      <c r="R23" s="39" t="n">
        <f aca="false">IFERROR(Q23/Q$12,0)</f>
        <v>0.568590557620324</v>
      </c>
      <c r="S23" s="28" t="n">
        <f aca="false">'LW 2026 P&amp;L'!S19</f>
        <v>5856</v>
      </c>
      <c r="T23" s="39" t="n">
        <f aca="false">IFERROR(S23/S$12,0)</f>
        <v>0.51912477477777</v>
      </c>
      <c r="U23" s="28" t="n">
        <f aca="false">'LW 2026 P&amp;L'!U19</f>
        <v>6026</v>
      </c>
      <c r="V23" s="39" t="n">
        <f aca="false">IFERROR(U23/U$12,0)</f>
        <v>0.534194995357042</v>
      </c>
      <c r="W23" s="28" t="n">
        <f aca="false">'LW 2026 P&amp;L'!W19</f>
        <v>6099</v>
      </c>
      <c r="X23" s="39" t="n">
        <f aca="false">IFERROR(W23/W$12,0)</f>
        <v>0.540666325370495</v>
      </c>
      <c r="Y23" s="28" t="n">
        <f aca="false">'LW 2026 P&amp;L'!Y19</f>
        <v>5994</v>
      </c>
      <c r="Z23" s="39" t="n">
        <f aca="false">IFERROR(Y23/Y$12,0)</f>
        <v>0.531358247953885</v>
      </c>
      <c r="AB23" s="28" t="n">
        <f aca="false">SUM(C23,E23,G23,I23,K23,M23,O23,Q23,S23,U23,W23,Y23)</f>
        <v>64005</v>
      </c>
      <c r="AC23" s="39" t="n">
        <f aca="false">IFERROR(AB23/AB$12,0)</f>
        <v>0.50147836417217</v>
      </c>
    </row>
    <row r="24" customFormat="false" ht="15" hidden="false" customHeight="true" outlineLevel="0" collapsed="false">
      <c r="A24" s="27" t="s">
        <v>173</v>
      </c>
      <c r="C24" s="28" t="n">
        <f aca="false">'LW 2026 P&amp;L'!C20</f>
        <v>1549</v>
      </c>
      <c r="D24" s="39" t="n">
        <f aca="false">IFERROR(C24/C$13,0)</f>
        <v>0.167713295799047</v>
      </c>
      <c r="E24" s="28" t="n">
        <f aca="false">'LW 2026 P&amp;L'!E20</f>
        <v>2446</v>
      </c>
      <c r="F24" s="39" t="n">
        <f aca="false">IFERROR(E24/E$13,0)</f>
        <v>0.269353595419007</v>
      </c>
      <c r="G24" s="28" t="n">
        <f aca="false">'LW 2026 P&amp;L'!G20</f>
        <v>2186</v>
      </c>
      <c r="H24" s="39" t="n">
        <f aca="false">IFERROR(G24/G$13,0)</f>
        <v>0.162697231318845</v>
      </c>
      <c r="I24" s="28" t="n">
        <f aca="false">'LW 2026 P&amp;L'!I20</f>
        <v>2267</v>
      </c>
      <c r="J24" s="39" t="n">
        <f aca="false">IFERROR(I24/I$13,0)</f>
        <v>0.210121419964779</v>
      </c>
      <c r="K24" s="28" t="n">
        <f aca="false">'LW 2026 P&amp;L'!K20</f>
        <v>2981</v>
      </c>
      <c r="L24" s="39" t="n">
        <f aca="false">IFERROR(K24/K$13,0)</f>
        <v>0.227505151492025</v>
      </c>
      <c r="M24" s="28" t="n">
        <f aca="false">'LW 2026 P&amp;L'!M20</f>
        <v>3628</v>
      </c>
      <c r="N24" s="39" t="n">
        <f aca="false">IFERROR(M24/M$13,0)</f>
        <v>0.251107419712071</v>
      </c>
      <c r="O24" s="28" t="n">
        <f aca="false">'LW 2026 P&amp;L'!O20</f>
        <v>2865</v>
      </c>
      <c r="P24" s="39" t="n">
        <f aca="false">IFERROR(O24/O$13,0)</f>
        <v>0.212285121517487</v>
      </c>
      <c r="Q24" s="28" t="n">
        <f aca="false">'LW 2026 P&amp;L'!Q20</f>
        <v>2873</v>
      </c>
      <c r="R24" s="39" t="n">
        <f aca="false">IFERROR(Q24/Q$13,0)</f>
        <v>0.204282102704907</v>
      </c>
      <c r="S24" s="28" t="n">
        <f aca="false">'LW 2026 P&amp;L'!S20</f>
        <v>2808</v>
      </c>
      <c r="T24" s="39" t="n">
        <f aca="false">IFERROR(S24/S$13,0)</f>
        <v>0.199660335675384</v>
      </c>
      <c r="U24" s="28" t="n">
        <f aca="false">'LW 2026 P&amp;L'!U20</f>
        <v>2849</v>
      </c>
      <c r="V24" s="39" t="n">
        <f aca="false">IFERROR(U24/U$13,0)</f>
        <v>0.202575604109391</v>
      </c>
      <c r="W24" s="28" t="n">
        <f aca="false">'LW 2026 P&amp;L'!W20</f>
        <v>2843</v>
      </c>
      <c r="X24" s="39" t="n">
        <f aca="false">IFERROR(W24/W$13,0)</f>
        <v>0.202148979460512</v>
      </c>
      <c r="Y24" s="28" t="n">
        <f aca="false">'LW 2026 P&amp;L'!Y20</f>
        <v>2833</v>
      </c>
      <c r="Z24" s="39" t="n">
        <f aca="false">IFERROR(Y24/Y$13,0)</f>
        <v>0.201437938379047</v>
      </c>
      <c r="AB24" s="28" t="n">
        <f aca="false">SUM(C24,E24,G24,I24,K24,M24,O24,Q24,S24,U24,W24,Y24)</f>
        <v>32128</v>
      </c>
      <c r="AC24" s="39" t="n">
        <f aca="false">IFERROR(AB24/AB$13,0)</f>
        <v>0.208747506837264</v>
      </c>
    </row>
    <row r="25" customFormat="false" ht="15" hidden="false" customHeight="true" outlineLevel="0" collapsed="false">
      <c r="A25" s="27" t="s">
        <v>174</v>
      </c>
      <c r="C25" s="28" t="n">
        <f aca="false">'LW 2026 P&amp;L'!C21</f>
        <v>294</v>
      </c>
      <c r="D25" s="39" t="n">
        <f aca="false">IFERROR(C25/C$14,0)</f>
        <v>0.3675</v>
      </c>
      <c r="E25" s="28" t="n">
        <f aca="false">'LW 2026 P&amp;L'!E21</f>
        <v>111</v>
      </c>
      <c r="F25" s="39" t="n">
        <f aca="false">IFERROR(E25/E$14,0)</f>
        <v>0.376271186440678</v>
      </c>
      <c r="G25" s="28" t="n">
        <f aca="false">'LW 2026 P&amp;L'!G21</f>
        <v>235</v>
      </c>
      <c r="H25" s="39" t="n">
        <f aca="false">IFERROR(G25/G$14,0)</f>
        <v>0.173559822747415</v>
      </c>
      <c r="I25" s="28" t="n">
        <f aca="false">'LW 2026 P&amp;L'!I21</f>
        <v>238</v>
      </c>
      <c r="J25" s="39" t="n">
        <f aca="false">IFERROR(I25/I$14,0)</f>
        <v>0.159731543624161</v>
      </c>
      <c r="K25" s="28" t="n">
        <f aca="false">'LW 2026 P&amp;L'!K21</f>
        <v>22</v>
      </c>
      <c r="L25" s="39" t="n">
        <f aca="false">IFERROR(K25/K$14,0)</f>
        <v>0.0372250423011844</v>
      </c>
      <c r="M25" s="28" t="n">
        <f aca="false">'LW 2026 P&amp;L'!M21</f>
        <v>1711</v>
      </c>
      <c r="N25" s="39" t="n">
        <f aca="false">IFERROR(M25/M$14,0)</f>
        <v>1.73882113821138</v>
      </c>
      <c r="O25" s="28" t="n">
        <f aca="false">'LW 2026 P&amp;L'!O21</f>
        <v>91</v>
      </c>
      <c r="P25" s="39" t="n">
        <f aca="false">IFERROR(O25/O$14,0)</f>
        <v>0.149425287356322</v>
      </c>
      <c r="Q25" s="28" t="n">
        <f aca="false">'LW 2026 P&amp;L'!Q21</f>
        <v>67</v>
      </c>
      <c r="R25" s="39" t="n">
        <f aca="false">IFERROR(Q25/Q$14,0)</f>
        <v>0.110016420361248</v>
      </c>
      <c r="S25" s="28" t="n">
        <f aca="false">'LW 2026 P&amp;L'!S21</f>
        <v>82</v>
      </c>
      <c r="T25" s="39" t="n">
        <f aca="false">IFERROR(S25/S$14,0)</f>
        <v>0.134646962233169</v>
      </c>
      <c r="U25" s="28" t="n">
        <f aca="false">'LW 2026 P&amp;L'!U21</f>
        <v>80</v>
      </c>
      <c r="V25" s="39" t="n">
        <f aca="false">IFERROR(U25/U$14,0)</f>
        <v>0.13136288998358</v>
      </c>
      <c r="W25" s="28" t="n">
        <f aca="false">'LW 2026 P&amp;L'!W21</f>
        <v>76</v>
      </c>
      <c r="X25" s="39" t="n">
        <f aca="false">IFERROR(W25/W$14,0)</f>
        <v>0.124794745484401</v>
      </c>
      <c r="Y25" s="28" t="n">
        <f aca="false">'LW 2026 P&amp;L'!Y21</f>
        <v>79</v>
      </c>
      <c r="Z25" s="39" t="n">
        <f aca="false">IFERROR(Y25/Y$14,0)</f>
        <v>0.129720853858785</v>
      </c>
      <c r="AB25" s="28" t="n">
        <f aca="false">SUM(C25,E25,G25,I25,K25,M25,O25,Q25,S25,U25,W25,Y25)</f>
        <v>3086</v>
      </c>
      <c r="AC25" s="39" t="n">
        <f aca="false">IFERROR(AB25/AB$14,0)</f>
        <v>0.336605584642234</v>
      </c>
    </row>
    <row r="26" customFormat="false" ht="15" hidden="false" customHeight="true" outlineLevel="0" collapsed="false">
      <c r="A26" s="27" t="s">
        <v>175</v>
      </c>
      <c r="C26" s="28" t="n">
        <f aca="false">'LW 2026 P&amp;L'!C22</f>
        <v>82</v>
      </c>
      <c r="D26" s="39" t="n">
        <f aca="false">IFERROR(C26/C$15,0)</f>
        <v>1.51851851851852</v>
      </c>
      <c r="E26" s="28" t="n">
        <f aca="false">'LW 2026 P&amp;L'!E22</f>
        <v>153</v>
      </c>
      <c r="F26" s="39" t="n">
        <f aca="false">IFERROR(E26/E$15,0)</f>
        <v>0.6375</v>
      </c>
      <c r="G26" s="28" t="n">
        <f aca="false">'LW 2026 P&amp;L'!G22</f>
        <v>43</v>
      </c>
      <c r="H26" s="39" t="n">
        <f aca="false">IFERROR(G26/G$15,0)</f>
        <v>0.247126436781609</v>
      </c>
      <c r="I26" s="28" t="n">
        <f aca="false">'LW 2026 P&amp;L'!I22</f>
        <v>86</v>
      </c>
      <c r="J26" s="39" t="n">
        <f aca="false">IFERROR(I26/I$15,0)</f>
        <v>0.258258258258258</v>
      </c>
      <c r="K26" s="28" t="n">
        <f aca="false">'LW 2026 P&amp;L'!K22</f>
        <v>176</v>
      </c>
      <c r="L26" s="39" t="n">
        <f aca="false">IFERROR(K26/K$15,0)</f>
        <v>0.294807370184255</v>
      </c>
      <c r="M26" s="28" t="n">
        <f aca="false">'LW 2026 P&amp;L'!M22</f>
        <v>146</v>
      </c>
      <c r="N26" s="39" t="n">
        <f aca="false">IFERROR(M26/M$15,0)</f>
        <v>0.19650067294751</v>
      </c>
      <c r="O26" s="28" t="n">
        <f aca="false">'LW 2026 P&amp;L'!O22</f>
        <v>172</v>
      </c>
      <c r="P26" s="39" t="n">
        <f aca="false">IFERROR(O26/O$15,0)</f>
        <v>0.279674796747967</v>
      </c>
      <c r="Q26" s="28" t="n">
        <f aca="false">'LW 2026 P&amp;L'!Q22</f>
        <v>174</v>
      </c>
      <c r="R26" s="39" t="n">
        <f aca="false">IFERROR(Q26/Q$15,0)</f>
        <v>0.282926829268293</v>
      </c>
      <c r="S26" s="28" t="n">
        <f aca="false">'LW 2026 P&amp;L'!S22</f>
        <v>172</v>
      </c>
      <c r="T26" s="39" t="n">
        <f aca="false">IFERROR(S26/S$15,0)</f>
        <v>0.279674796747967</v>
      </c>
      <c r="U26" s="28" t="n">
        <f aca="false">'LW 2026 P&amp;L'!U22</f>
        <v>172</v>
      </c>
      <c r="V26" s="39" t="n">
        <f aca="false">IFERROR(U26/U$15,0)</f>
        <v>0.279674796747967</v>
      </c>
      <c r="W26" s="28" t="n">
        <f aca="false">'LW 2026 P&amp;L'!W22</f>
        <v>173</v>
      </c>
      <c r="X26" s="39" t="n">
        <f aca="false">IFERROR(W26/W$15,0)</f>
        <v>0.28130081300813</v>
      </c>
      <c r="Y26" s="28" t="n">
        <f aca="false">'LW 2026 P&amp;L'!Y22</f>
        <v>172</v>
      </c>
      <c r="Z26" s="39" t="n">
        <f aca="false">IFERROR(Y26/Y$15,0)</f>
        <v>0.279674796747967</v>
      </c>
      <c r="AB26" s="28" t="n">
        <f aca="false">SUM(C26,E26,G26,I26,K26,M26,O26,Q26,S26,U26,W26,Y26)</f>
        <v>1721</v>
      </c>
      <c r="AC26" s="39" t="n">
        <f aca="false">IFERROR(AB26/AB$15,0)</f>
        <v>0.295146630080604</v>
      </c>
    </row>
    <row r="27" customFormat="false" ht="15" hidden="false" customHeight="true" outlineLevel="0" collapsed="false">
      <c r="A27" s="27" t="s">
        <v>176</v>
      </c>
      <c r="C27" s="28" t="n">
        <f aca="false">'LW 2026 P&amp;L'!C23</f>
        <v>301</v>
      </c>
      <c r="D27" s="39" t="n">
        <f aca="false">IFERROR(C27/C$16,0)</f>
        <v>0</v>
      </c>
      <c r="E27" s="28" t="n">
        <f aca="false">'LW 2026 P&amp;L'!E23</f>
        <v>0</v>
      </c>
      <c r="F27" s="39" t="n">
        <f aca="false">IFERROR(E27/E$16,0)</f>
        <v>0</v>
      </c>
      <c r="G27" s="28" t="n">
        <f aca="false">'LW 2026 P&amp;L'!G23</f>
        <v>0</v>
      </c>
      <c r="H27" s="39" t="n">
        <f aca="false">IFERROR(G27/G$16,0)</f>
        <v>0</v>
      </c>
      <c r="I27" s="28" t="n">
        <f aca="false">'LW 2026 P&amp;L'!I23</f>
        <v>268</v>
      </c>
      <c r="J27" s="39" t="n">
        <f aca="false">IFERROR(I27/I$16,0)</f>
        <v>0.540322580645161</v>
      </c>
      <c r="K27" s="28" t="n">
        <f aca="false">'LW 2026 P&amp;L'!K23</f>
        <v>290</v>
      </c>
      <c r="L27" s="39" t="n">
        <f aca="false">IFERROR(K27/K$16,0)</f>
        <v>0.285714285714286</v>
      </c>
      <c r="M27" s="28" t="n">
        <f aca="false">'LW 2026 P&amp;L'!M23</f>
        <v>595</v>
      </c>
      <c r="N27" s="39" t="n">
        <f aca="false">IFERROR(M27/M$16,0)</f>
        <v>0.540417801998184</v>
      </c>
      <c r="O27" s="28" t="n">
        <f aca="false">'LW 2026 P&amp;L'!O23</f>
        <v>386</v>
      </c>
      <c r="P27" s="39" t="n">
        <f aca="false">IFERROR(O27/O$16,0)</f>
        <v>0.369377990430622</v>
      </c>
      <c r="Q27" s="28" t="n">
        <f aca="false">'LW 2026 P&amp;L'!Q23</f>
        <v>358</v>
      </c>
      <c r="R27" s="39" t="n">
        <f aca="false">IFERROR(Q27/Q$16,0)</f>
        <v>0.342583732057416</v>
      </c>
      <c r="S27" s="28" t="n">
        <f aca="false">'LW 2026 P&amp;L'!S23</f>
        <v>377</v>
      </c>
      <c r="T27" s="39" t="n">
        <f aca="false">IFERROR(S27/S$16,0)</f>
        <v>0.360765550239234</v>
      </c>
      <c r="U27" s="28" t="n">
        <f aca="false">'LW 2026 P&amp;L'!U23</f>
        <v>373</v>
      </c>
      <c r="V27" s="39" t="n">
        <f aca="false">IFERROR(U27/U$16,0)</f>
        <v>0.356937799043062</v>
      </c>
      <c r="W27" s="28" t="n">
        <f aca="false">'LW 2026 P&amp;L'!W23</f>
        <v>369</v>
      </c>
      <c r="X27" s="39" t="n">
        <f aca="false">IFERROR(W27/W$16,0)</f>
        <v>0.35311004784689</v>
      </c>
      <c r="Y27" s="28" t="n">
        <f aca="false">'LW 2026 P&amp;L'!Y23</f>
        <v>373</v>
      </c>
      <c r="Z27" s="39" t="n">
        <f aca="false">IFERROR(Y27/Y$16,0)</f>
        <v>0.356937799043062</v>
      </c>
      <c r="AB27" s="28" t="n">
        <f aca="false">SUM(C27,E27,G27,I27,K27,M27,O27,Q27,S27,U27,W27,Y27)</f>
        <v>3690</v>
      </c>
      <c r="AC27" s="39" t="n">
        <f aca="false">IFERROR(AB27/AB$16,0)</f>
        <v>0.414839797639123</v>
      </c>
    </row>
    <row r="28" customFormat="false" ht="15" hidden="false" customHeight="true" outlineLevel="0" collapsed="false">
      <c r="A28" s="27" t="s">
        <v>177</v>
      </c>
      <c r="C28" s="28" t="n">
        <f aca="false">IF(1&gt;=MONTH($C$4),'LW Assumptions'!$C$36*'LW Assumptions'!$C$37/12,0)</f>
        <v>0</v>
      </c>
      <c r="D28" s="39" t="n">
        <f aca="false">IFERROR(C28/C$17,0)</f>
        <v>0</v>
      </c>
      <c r="E28" s="28" t="n">
        <f aca="false">IF(2&gt;=MONTH($C$4),'LW Assumptions'!$C$36*'LW Assumptions'!$C$37/12,0)</f>
        <v>0</v>
      </c>
      <c r="F28" s="39" t="n">
        <f aca="false">IFERROR(E28/E$17,0)</f>
        <v>0</v>
      </c>
      <c r="G28" s="28" t="n">
        <f aca="false">IF(3&gt;=MONTH($C$4),'LW Assumptions'!$C$36*'LW Assumptions'!$C$37/12,0)</f>
        <v>0</v>
      </c>
      <c r="H28" s="39" t="n">
        <f aca="false">IFERROR(G28/G$17,0)</f>
        <v>0</v>
      </c>
      <c r="I28" s="28" t="n">
        <f aca="false">IF(4&gt;=MONTH($C$4),'LW Assumptions'!$C$36*'LW Assumptions'!$C$37/12,0)</f>
        <v>0</v>
      </c>
      <c r="J28" s="39" t="n">
        <f aca="false">IFERROR(I28/I$17,0)</f>
        <v>0</v>
      </c>
      <c r="K28" s="28" t="n">
        <f aca="false">IF(5&gt;=MONTH($C$4),'LW Assumptions'!$C$36*'LW Assumptions'!$C$37/12,0)</f>
        <v>0</v>
      </c>
      <c r="L28" s="39" t="n">
        <f aca="false">IFERROR(K28/K$17,0)</f>
        <v>0</v>
      </c>
      <c r="M28" s="28" t="n">
        <f aca="false">IF(6&gt;=MONTH($C$4),'LW Assumptions'!$C$36*'LW Assumptions'!$C$37/12,0)</f>
        <v>0</v>
      </c>
      <c r="N28" s="39" t="n">
        <f aca="false">IFERROR(M28/M$17,0)</f>
        <v>0</v>
      </c>
      <c r="O28" s="28" t="n">
        <f aca="false">IF(7&gt;=MONTH($C$4),'LW Assumptions'!$C$36*'LW Assumptions'!$C$37/12,0)</f>
        <v>0</v>
      </c>
      <c r="P28" s="39" t="n">
        <f aca="false">IFERROR(O28/O$17,0)</f>
        <v>0</v>
      </c>
      <c r="Q28" s="28" t="n">
        <f aca="false">IF(8&gt;=MONTH($C$4),'LW Assumptions'!$C$36*'LW Assumptions'!$C$37/12,0)</f>
        <v>1750.00916666667</v>
      </c>
      <c r="R28" s="39" t="n">
        <f aca="false">IFERROR(Q28/Q$17,0)</f>
        <v>0.467458596741163</v>
      </c>
      <c r="S28" s="28" t="n">
        <f aca="false">IF(9&gt;=MONTH($C$4),'LW Assumptions'!$C$36*'LW Assumptions'!$C$37/12,0)</f>
        <v>1750.00916666667</v>
      </c>
      <c r="T28" s="39" t="n">
        <f aca="false">IFERROR(S28/S$17,0)</f>
        <v>0.467458596741163</v>
      </c>
      <c r="U28" s="28" t="n">
        <f aca="false">IF(10&gt;=MONTH($C$4),'LW Assumptions'!$C$36*'LW Assumptions'!$C$37/12,0)</f>
        <v>1750.00916666667</v>
      </c>
      <c r="V28" s="39" t="n">
        <f aca="false">IFERROR(U28/U$17,0)</f>
        <v>0.467458596741163</v>
      </c>
      <c r="W28" s="28" t="n">
        <f aca="false">IF(11&gt;=MONTH($C$4),'LW Assumptions'!$C$36*'LW Assumptions'!$C$37/12,0)</f>
        <v>1750.00916666667</v>
      </c>
      <c r="X28" s="39" t="n">
        <f aca="false">IFERROR(W28/W$17,0)</f>
        <v>0.467458596741163</v>
      </c>
      <c r="Y28" s="28" t="n">
        <f aca="false">IF(12&gt;=MONTH($C$4),'LW Assumptions'!$C$36*'LW Assumptions'!$C$37/12,0)</f>
        <v>1750.00916666667</v>
      </c>
      <c r="Z28" s="39" t="n">
        <f aca="false">IFERROR(Y28/Y$17,0)</f>
        <v>0.467458596741163</v>
      </c>
      <c r="AB28" s="28" t="n">
        <f aca="false">SUM(C28,E28,G28,I28,K28,M28,O28,Q28,S28,U28,W28,Y28)</f>
        <v>8750.04583333333</v>
      </c>
      <c r="AC28" s="39" t="n">
        <f aca="false">IFERROR(AB28/AB$17,0)</f>
        <v>0.467458596741163</v>
      </c>
    </row>
    <row r="29" customFormat="false" ht="15" hidden="false" customHeight="true" outlineLevel="0" collapsed="false">
      <c r="A29" s="31" t="s">
        <v>129</v>
      </c>
      <c r="C29" s="32" t="n">
        <f aca="false">SUM(C23:C28)</f>
        <v>3834</v>
      </c>
      <c r="D29" s="40" t="n">
        <f aca="false">IFERROR(C29/C$20,0)</f>
        <v>0.21452551477171</v>
      </c>
      <c r="E29" s="32" t="n">
        <f aca="false">SUM(E23:E28)</f>
        <v>5575</v>
      </c>
      <c r="F29" s="40" t="n">
        <f aca="false">IFERROR(E29/E$20,0)</f>
        <v>0.312552559286876</v>
      </c>
      <c r="G29" s="32" t="n">
        <f aca="false">SUM(G23:G28)</f>
        <v>7183</v>
      </c>
      <c r="H29" s="40" t="n">
        <f aca="false">IFERROR(G29/G$20,0)</f>
        <v>0.271548465144413</v>
      </c>
      <c r="I29" s="32" t="n">
        <f aca="false">SUM(I23:I28)</f>
        <v>6038</v>
      </c>
      <c r="J29" s="40" t="n">
        <f aca="false">IFERROR(I29/I$20,0)</f>
        <v>0.293377386910257</v>
      </c>
      <c r="K29" s="32" t="n">
        <f aca="false">SUM(K23:K28)</f>
        <v>11371</v>
      </c>
      <c r="L29" s="40" t="n">
        <f aca="false">IFERROR(K29/K$20,0)</f>
        <v>0.457088877276199</v>
      </c>
      <c r="M29" s="32" t="n">
        <f aca="false">SUM(M23:M28)</f>
        <v>13614</v>
      </c>
      <c r="N29" s="40" t="n">
        <f aca="false">IFERROR(M29/M$20,0)</f>
        <v>0.503122805720832</v>
      </c>
      <c r="O29" s="32" t="n">
        <f aca="false">SUM(O23:O28)</f>
        <v>9323</v>
      </c>
      <c r="P29" s="40" t="n">
        <f aca="false">IFERROR(O29/O$20,0)</f>
        <v>0.36320074798395</v>
      </c>
      <c r="Q29" s="32" t="n">
        <f aca="false">SUM(Q23:Q28)</f>
        <v>11636.0091666667</v>
      </c>
      <c r="R29" s="40" t="n">
        <f aca="false">IFERROR(Q29/Q$20,0)</f>
        <v>0.385603777959649</v>
      </c>
      <c r="S29" s="32" t="n">
        <f aca="false">SUM(S23:S28)</f>
        <v>11045.0091666667</v>
      </c>
      <c r="T29" s="40" t="n">
        <f aca="false">IFERROR(S29/S$20,0)</f>
        <v>0.366018726976105</v>
      </c>
      <c r="U29" s="32" t="n">
        <f aca="false">SUM(U23:U28)</f>
        <v>11250.0091666667</v>
      </c>
      <c r="V29" s="40" t="n">
        <f aca="false">IFERROR(U29/U$20,0)</f>
        <v>0.372812187977165</v>
      </c>
      <c r="W29" s="32" t="n">
        <f aca="false">SUM(W23:W28)</f>
        <v>11310.0091666667</v>
      </c>
      <c r="X29" s="40" t="n">
        <f aca="false">IFERROR(W29/W$20,0)</f>
        <v>0.374800518026255</v>
      </c>
      <c r="Y29" s="32" t="n">
        <f aca="false">SUM(Y23:Y28)</f>
        <v>11201.0091666667</v>
      </c>
      <c r="Z29" s="40" t="n">
        <f aca="false">IFERROR(Y29/Y$20,0)</f>
        <v>0.371188385103741</v>
      </c>
      <c r="AB29" s="32" t="n">
        <f aca="false">SUM(AB23:AB28)</f>
        <v>113380.045833333</v>
      </c>
      <c r="AC29" s="40" t="n">
        <f aca="false">IFERROR(AB29/AB$20,0)</f>
        <v>0.364299711095473</v>
      </c>
    </row>
    <row r="30" customFormat="false" ht="15" hidden="false" customHeight="true" outlineLevel="0" collapsed="false">
      <c r="A30" s="31" t="s">
        <v>130</v>
      </c>
      <c r="C30" s="41" t="n">
        <f aca="false">C20-C29</f>
        <v>14038</v>
      </c>
      <c r="D30" s="42" t="n">
        <f aca="false">IFERROR(C30/C$20,0)</f>
        <v>0.78547448522829</v>
      </c>
      <c r="E30" s="41" t="n">
        <f aca="false">E20-E29</f>
        <v>12262</v>
      </c>
      <c r="F30" s="42" t="n">
        <f aca="false">IFERROR(E30/E$20,0)</f>
        <v>0.687447440713124</v>
      </c>
      <c r="G30" s="41" t="n">
        <f aca="false">G20-G29</f>
        <v>19269</v>
      </c>
      <c r="H30" s="42" t="n">
        <f aca="false">IFERROR(G30/G$20,0)</f>
        <v>0.728451534855587</v>
      </c>
      <c r="I30" s="41" t="n">
        <f aca="false">I20-I29</f>
        <v>14543</v>
      </c>
      <c r="J30" s="42" t="n">
        <f aca="false">IFERROR(I30/I$20,0)</f>
        <v>0.706622613089743</v>
      </c>
      <c r="K30" s="41" t="n">
        <f aca="false">K20-K29</f>
        <v>13506</v>
      </c>
      <c r="L30" s="42" t="n">
        <f aca="false">IFERROR(K30/K$20,0)</f>
        <v>0.542911122723801</v>
      </c>
      <c r="M30" s="41" t="n">
        <f aca="false">M20-M29</f>
        <v>13445</v>
      </c>
      <c r="N30" s="42" t="n">
        <f aca="false">IFERROR(M30/M$20,0)</f>
        <v>0.496877194279168</v>
      </c>
      <c r="O30" s="41" t="n">
        <f aca="false">O20-O29</f>
        <v>16346</v>
      </c>
      <c r="P30" s="42" t="n">
        <f aca="false">IFERROR(O30/O$20,0)</f>
        <v>0.636799252016051</v>
      </c>
      <c r="Q30" s="41" t="n">
        <f aca="false">Q20-Q29</f>
        <v>18540.0675</v>
      </c>
      <c r="R30" s="42" t="n">
        <f aca="false">IFERROR(Q30/Q$20,0)</f>
        <v>0.614396222040351</v>
      </c>
      <c r="S30" s="41" t="n">
        <f aca="false">S20-S29</f>
        <v>19131.0675</v>
      </c>
      <c r="T30" s="42" t="n">
        <f aca="false">IFERROR(S30/S$20,0)</f>
        <v>0.633981273023895</v>
      </c>
      <c r="U30" s="41" t="n">
        <f aca="false">U20-U29</f>
        <v>18926.0675</v>
      </c>
      <c r="V30" s="42" t="n">
        <f aca="false">IFERROR(U30/U$20,0)</f>
        <v>0.627187812022835</v>
      </c>
      <c r="W30" s="41" t="n">
        <f aca="false">W20-W29</f>
        <v>18866.0675</v>
      </c>
      <c r="X30" s="42" t="n">
        <f aca="false">IFERROR(W30/W$20,0)</f>
        <v>0.625199481973745</v>
      </c>
      <c r="Y30" s="41" t="n">
        <f aca="false">Y20-Y29</f>
        <v>18975.0675</v>
      </c>
      <c r="Z30" s="42" t="n">
        <f aca="false">IFERROR(Y30/Y$20,0)</f>
        <v>0.62881161489626</v>
      </c>
      <c r="AB30" s="41" t="n">
        <f aca="false">AB20-AB29</f>
        <v>197847.3375</v>
      </c>
      <c r="AC30" s="42" t="n">
        <f aca="false">IFERROR(AB30/AB$20,0)</f>
        <v>0.635700288904527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'LW 2026 P&amp;L'!C28</f>
        <v>1230</v>
      </c>
      <c r="D33" s="39" t="n">
        <f aca="false">IFERROR(C33/C$20,0)</f>
        <v>0.068822739480752</v>
      </c>
      <c r="E33" s="28" t="n">
        <f aca="false">'LW 2026 P&amp;L'!E28</f>
        <v>479</v>
      </c>
      <c r="F33" s="39" t="n">
        <f aca="false">IFERROR(E33/E$20,0)</f>
        <v>0.026854291640971</v>
      </c>
      <c r="G33" s="28" t="n">
        <f aca="false">'LW 2026 P&amp;L'!G28</f>
        <v>868</v>
      </c>
      <c r="H33" s="39" t="n">
        <f aca="false">IFERROR(G33/G$20,0)</f>
        <v>0.0328141539392106</v>
      </c>
      <c r="I33" s="28" t="n">
        <f aca="false">'LW 2026 P&amp;L'!I28</f>
        <v>1132</v>
      </c>
      <c r="J33" s="39" t="n">
        <f aca="false">IFERROR(I33/I$20,0)</f>
        <v>0.0550021864826782</v>
      </c>
      <c r="K33" s="28" t="n">
        <f aca="false">'LW 2026 P&amp;L'!K28</f>
        <v>1657</v>
      </c>
      <c r="L33" s="39" t="n">
        <f aca="false">IFERROR(K33/K$20,0)</f>
        <v>0.0666077099328697</v>
      </c>
      <c r="M33" s="28" t="n">
        <f aca="false">'LW 2026 P&amp;L'!M28</f>
        <v>1377</v>
      </c>
      <c r="N33" s="39" t="n">
        <f aca="false">IFERROR(M33/M$20,0)</f>
        <v>0.0508887985513138</v>
      </c>
      <c r="O33" s="28" t="n">
        <f aca="false">'LW 2026 P&amp;L'!O28</f>
        <v>1657</v>
      </c>
      <c r="P33" s="39" t="n">
        <f aca="false">IFERROR(O33/O$20,0)</f>
        <v>0.0645525731427013</v>
      </c>
      <c r="Q33" s="28" t="n">
        <f aca="false">'LW 2026 P&amp;L'!Q28</f>
        <v>1657</v>
      </c>
      <c r="R33" s="39" t="n">
        <f aca="false">IFERROR(Q33/Q$20,0)</f>
        <v>0.0549110481890566</v>
      </c>
      <c r="S33" s="28" t="n">
        <f aca="false">'LW 2026 P&amp;L'!S28</f>
        <v>1657</v>
      </c>
      <c r="T33" s="39" t="n">
        <f aca="false">IFERROR(S33/S$20,0)</f>
        <v>0.0549110481890566</v>
      </c>
      <c r="U33" s="28" t="n">
        <f aca="false">'LW 2026 P&amp;L'!U28</f>
        <v>1657</v>
      </c>
      <c r="V33" s="39" t="n">
        <f aca="false">IFERROR(U33/U$20,0)</f>
        <v>0.0549110481890566</v>
      </c>
      <c r="W33" s="28" t="n">
        <f aca="false">'LW 2026 P&amp;L'!W28</f>
        <v>1657</v>
      </c>
      <c r="X33" s="39" t="n">
        <f aca="false">IFERROR(W33/W$20,0)</f>
        <v>0.0549110481890566</v>
      </c>
      <c r="Y33" s="28" t="n">
        <f aca="false">'LW 2026 P&amp;L'!Y28</f>
        <v>1657</v>
      </c>
      <c r="Z33" s="39" t="n">
        <f aca="false">IFERROR(Y33/Y$20,0)</f>
        <v>0.0549110481890566</v>
      </c>
      <c r="AB33" s="28" t="n">
        <f aca="false">SUM(C33,E33,G33,I33,K33,M33,O33,Q33,S33,U33,W33,Y33)</f>
        <v>16685</v>
      </c>
      <c r="AC33" s="39" t="n">
        <f aca="false">IFERROR(AB33/AB$20,0)</f>
        <v>0.0536103212426199</v>
      </c>
    </row>
    <row r="34" customFormat="false" ht="15" hidden="false" customHeight="true" outlineLevel="0" collapsed="false">
      <c r="A34" s="27" t="s">
        <v>180</v>
      </c>
      <c r="C34" s="28" t="n">
        <f aca="false">IF(1&gt;=MONTH($C$4),'LW Assumptions'!$C$26*52/12,'LW 2026 P&amp;L'!C29)</f>
        <v>2558</v>
      </c>
      <c r="D34" s="39" t="n">
        <f aca="false">IFERROR(C34/C$20,0)</f>
        <v>0.143128916741271</v>
      </c>
      <c r="E34" s="28" t="n">
        <f aca="false">IF(2&gt;=MONTH($C$4),'LW Assumptions'!$C$26*52/12,'LW 2026 P&amp;L'!E29)</f>
        <v>2016</v>
      </c>
      <c r="F34" s="39" t="n">
        <f aca="false">IFERROR(E34/E$20,0)</f>
        <v>0.113023490497281</v>
      </c>
      <c r="G34" s="28" t="n">
        <f aca="false">IF(3&gt;=MONTH($C$4),'LW Assumptions'!$C$26*52/12,'LW 2026 P&amp;L'!G29)</f>
        <v>2550</v>
      </c>
      <c r="H34" s="39" t="n">
        <f aca="false">IFERROR(G34/G$20,0)</f>
        <v>0.096401028277635</v>
      </c>
      <c r="I34" s="28" t="n">
        <f aca="false">IF(4&gt;=MONTH($C$4),'LW Assumptions'!$C$26*52/12,'LW 2026 P&amp;L'!I29)</f>
        <v>3413</v>
      </c>
      <c r="J34" s="39" t="n">
        <f aca="false">IFERROR(I34/I$20,0)</f>
        <v>0.165832564015354</v>
      </c>
      <c r="K34" s="28" t="n">
        <f aca="false">IF(5&gt;=MONTH($C$4),'LW Assumptions'!$C$26*52/12,'LW 2026 P&amp;L'!K29)</f>
        <v>2266</v>
      </c>
      <c r="L34" s="39" t="n">
        <f aca="false">IFERROR(K34/K$20,0)</f>
        <v>0.0910881537162841</v>
      </c>
      <c r="M34" s="28" t="n">
        <f aca="false">IF(6&gt;=MONTH($C$4),'LW Assumptions'!$C$26*52/12,'LW 2026 P&amp;L'!M29)</f>
        <v>2637</v>
      </c>
      <c r="N34" s="39" t="n">
        <f aca="false">IFERROR(M34/M$20,0)</f>
        <v>0.0974537122583983</v>
      </c>
      <c r="O34" s="28" t="n">
        <f aca="false">IF(7&gt;=MONTH($C$4),'LW Assumptions'!$C$26*52/12,'LW 2026 P&amp;L'!O29)</f>
        <v>2266</v>
      </c>
      <c r="P34" s="39" t="n">
        <f aca="false">IFERROR(O34/O$20,0)</f>
        <v>0.088277689041256</v>
      </c>
      <c r="Q34" s="28" t="n">
        <f aca="false">IF(8&gt;=MONTH($C$4),'LW Assumptions'!$C$26*52/12,'LW 2026 P&amp;L'!Q29)</f>
        <v>1282.66666666667</v>
      </c>
      <c r="R34" s="39" t="n">
        <f aca="false">IFERROR(Q34/Q$20,0)</f>
        <v>0.0425060779383403</v>
      </c>
      <c r="S34" s="28" t="n">
        <f aca="false">IF(9&gt;=MONTH($C$4),'LW Assumptions'!$C$26*52/12,'LW 2026 P&amp;L'!S29)</f>
        <v>1282.66666666667</v>
      </c>
      <c r="T34" s="39" t="n">
        <f aca="false">IFERROR(S34/S$20,0)</f>
        <v>0.0425060779383403</v>
      </c>
      <c r="U34" s="28" t="n">
        <f aca="false">IF(10&gt;=MONTH($C$4),'LW Assumptions'!$C$26*52/12,'LW 2026 P&amp;L'!U29)</f>
        <v>1282.66666666667</v>
      </c>
      <c r="V34" s="39" t="n">
        <f aca="false">IFERROR(U34/U$20,0)</f>
        <v>0.0425060779383403</v>
      </c>
      <c r="W34" s="28" t="n">
        <f aca="false">IF(11&gt;=MONTH($C$4),'LW Assumptions'!$C$26*52/12,'LW 2026 P&amp;L'!W29)</f>
        <v>1282.66666666667</v>
      </c>
      <c r="X34" s="39" t="n">
        <f aca="false">IFERROR(W34/W$20,0)</f>
        <v>0.0425060779383403</v>
      </c>
      <c r="Y34" s="28" t="n">
        <f aca="false">IF(12&gt;=MONTH($C$4),'LW Assumptions'!$C$26*52/12,'LW 2026 P&amp;L'!Y29)</f>
        <v>1282.66666666667</v>
      </c>
      <c r="Z34" s="39" t="n">
        <f aca="false">IFERROR(Y34/Y$20,0)</f>
        <v>0.0425060779383403</v>
      </c>
      <c r="AB34" s="28" t="n">
        <f aca="false">SUM(C34,E34,G34,I34,K34,M34,O34,Q34,S34,U34,W34,Y34)</f>
        <v>24119.3333333333</v>
      </c>
      <c r="AC34" s="39" t="n">
        <f aca="false">IFERROR(AB34/AB$20,0)</f>
        <v>0.0774974652776644</v>
      </c>
    </row>
    <row r="35" customFormat="false" ht="15" hidden="false" customHeight="true" outlineLevel="0" collapsed="false">
      <c r="A35" s="27" t="s">
        <v>181</v>
      </c>
      <c r="C35" s="28" t="n">
        <f aca="false">IF(1&gt;=MONTH($C$4),('LW Assumptions'!$C$20+'LW Assumptions'!$C$21)*'LW Assumptions'!$C$22*52*'LW Assumptions'!$C$23/12,'LW 2026 P&amp;L'!C30)</f>
        <v>10115</v>
      </c>
      <c r="D35" s="39" t="n">
        <f aca="false">IFERROR(C35/C$20,0)</f>
        <v>0.565969113697404</v>
      </c>
      <c r="E35" s="28" t="n">
        <f aca="false">IF(2&gt;=MONTH($C$4),('LW Assumptions'!$C$20+'LW Assumptions'!$C$21)*'LW Assumptions'!$C$22*52*'LW Assumptions'!$C$23/12,'LW 2026 P&amp;L'!E30)</f>
        <v>8428</v>
      </c>
      <c r="F35" s="39" t="n">
        <f aca="false">IFERROR(E35/E$20,0)</f>
        <v>0.472500981106688</v>
      </c>
      <c r="G35" s="28" t="n">
        <f aca="false">IF(3&gt;=MONTH($C$4),('LW Assumptions'!$C$20+'LW Assumptions'!$C$21)*'LW Assumptions'!$C$22*52*'LW Assumptions'!$C$23/12,'LW 2026 P&amp;L'!G30)</f>
        <v>7366</v>
      </c>
      <c r="H35" s="39" t="n">
        <f aca="false">IFERROR(G35/G$20,0)</f>
        <v>0.278466656585513</v>
      </c>
      <c r="I35" s="28" t="n">
        <f aca="false">IF(4&gt;=MONTH($C$4),('LW Assumptions'!$C$20+'LW Assumptions'!$C$21)*'LW Assumptions'!$C$22*52*'LW Assumptions'!$C$23/12,'LW 2026 P&amp;L'!I30)</f>
        <v>6693</v>
      </c>
      <c r="J35" s="39" t="n">
        <f aca="false">IFERROR(I35/I$20,0)</f>
        <v>0.325202857004033</v>
      </c>
      <c r="K35" s="28" t="n">
        <f aca="false">IF(5&gt;=MONTH($C$4),('LW Assumptions'!$C$20+'LW Assumptions'!$C$21)*'LW Assumptions'!$C$22*52*'LW Assumptions'!$C$23/12,'LW 2026 P&amp;L'!K30)</f>
        <v>8447</v>
      </c>
      <c r="L35" s="39" t="n">
        <f aca="false">IFERROR(K35/K$20,0)</f>
        <v>0.339550588897375</v>
      </c>
      <c r="M35" s="28" t="n">
        <f aca="false">IF(6&gt;=MONTH($C$4),('LW Assumptions'!$C$20+'LW Assumptions'!$C$21)*'LW Assumptions'!$C$22*52*'LW Assumptions'!$C$23/12,'LW 2026 P&amp;L'!M30)</f>
        <v>9291</v>
      </c>
      <c r="N35" s="39" t="n">
        <f aca="false">IFERROR(M35/M$20,0)</f>
        <v>0.343360804168669</v>
      </c>
      <c r="O35" s="28" t="n">
        <f aca="false">IF(7&gt;=MONTH($C$4),('LW Assumptions'!$C$20+'LW Assumptions'!$C$21)*'LW Assumptions'!$C$22*52*'LW Assumptions'!$C$23/12,'LW 2026 P&amp;L'!O30)</f>
        <v>8447</v>
      </c>
      <c r="P35" s="39" t="n">
        <f aca="false">IFERROR(O35/O$20,0)</f>
        <v>0.329073980287506</v>
      </c>
      <c r="Q35" s="28" t="n">
        <f aca="false">IF(8&gt;=MONTH($C$4),('LW Assumptions'!$C$20+'LW Assumptions'!$C$21)*'LW Assumptions'!$C$22*52*'LW Assumptions'!$C$23/12,'LW 2026 P&amp;L'!Q30)</f>
        <v>6760</v>
      </c>
      <c r="R35" s="39" t="n">
        <f aca="false">IFERROR(Q35/Q$20,0)</f>
        <v>0.224018518864226</v>
      </c>
      <c r="S35" s="28" t="n">
        <f aca="false">IF(9&gt;=MONTH($C$4),('LW Assumptions'!$C$20+'LW Assumptions'!$C$21)*'LW Assumptions'!$C$22*52*'LW Assumptions'!$C$23/12,'LW 2026 P&amp;L'!S30)</f>
        <v>6760</v>
      </c>
      <c r="T35" s="39" t="n">
        <f aca="false">IFERROR(S35/S$20,0)</f>
        <v>0.224018518864226</v>
      </c>
      <c r="U35" s="28" t="n">
        <f aca="false">IF(10&gt;=MONTH($C$4),('LW Assumptions'!$C$20+'LW Assumptions'!$C$21)*'LW Assumptions'!$C$22*52*'LW Assumptions'!$C$23/12,'LW 2026 P&amp;L'!U30)</f>
        <v>6760</v>
      </c>
      <c r="V35" s="39" t="n">
        <f aca="false">IFERROR(U35/U$20,0)</f>
        <v>0.224018518864226</v>
      </c>
      <c r="W35" s="28" t="n">
        <f aca="false">IF(11&gt;=MONTH($C$4),('LW Assumptions'!$C$20+'LW Assumptions'!$C$21)*'LW Assumptions'!$C$22*52*'LW Assumptions'!$C$23/12,'LW 2026 P&amp;L'!W30)</f>
        <v>6760</v>
      </c>
      <c r="X35" s="39" t="n">
        <f aca="false">IFERROR(W35/W$20,0)</f>
        <v>0.224018518864226</v>
      </c>
      <c r="Y35" s="28" t="n">
        <f aca="false">IF(12&gt;=MONTH($C$4),('LW Assumptions'!$C$20+'LW Assumptions'!$C$21)*'LW Assumptions'!$C$22*52*'LW Assumptions'!$C$23/12,'LW 2026 P&amp;L'!Y30)</f>
        <v>6760</v>
      </c>
      <c r="Z35" s="39" t="n">
        <f aca="false">IFERROR(Y35/Y$20,0)</f>
        <v>0.224018518864226</v>
      </c>
      <c r="AB35" s="28" t="n">
        <f aca="false">SUM(C35,E35,G35,I35,K35,M35,O35,Q35,S35,U35,W35,Y35)</f>
        <v>92587</v>
      </c>
      <c r="AC35" s="39" t="n">
        <f aca="false">IFERROR(AB35/AB$20,0)</f>
        <v>0.297489889894543</v>
      </c>
    </row>
    <row r="36" customFormat="false" ht="15" hidden="false" customHeight="true" outlineLevel="0" collapsed="false">
      <c r="A36" s="27" t="s">
        <v>182</v>
      </c>
      <c r="C36" s="28" t="n">
        <f aca="false">IF(1&gt;=MONTH($C$4),(C33+C34+C35)*'LW Assumptions'!$C$24,'LW 2026 P&amp;L'!C31)</f>
        <v>3006</v>
      </c>
      <c r="D36" s="39" t="n">
        <f aca="false">IFERROR(C36/C$20,0)</f>
        <v>0.16819606087735</v>
      </c>
      <c r="E36" s="28" t="n">
        <f aca="false">IF(2&gt;=MONTH($C$4),(E33+E34+E35)*'LW Assumptions'!$C$24,'LW 2026 P&amp;L'!E31)</f>
        <v>650</v>
      </c>
      <c r="F36" s="39" t="n">
        <f aca="false">IFERROR(E36/E$20,0)</f>
        <v>0.0364411055670797</v>
      </c>
      <c r="G36" s="28" t="n">
        <f aca="false">IF(3&gt;=MONTH($C$4),(G33+G34+G35)*'LW Assumptions'!$C$24,'LW 2026 P&amp;L'!G31)</f>
        <v>2488</v>
      </c>
      <c r="H36" s="39" t="n">
        <f aca="false">IFERROR(G36/G$20,0)</f>
        <v>0.0940571601391199</v>
      </c>
      <c r="I36" s="28" t="n">
        <f aca="false">IF(4&gt;=MONTH($C$4),(I33+I34+I35)*'LW Assumptions'!$C$24,'LW 2026 P&amp;L'!I31)</f>
        <v>1488</v>
      </c>
      <c r="J36" s="39" t="n">
        <f aca="false">IFERROR(I36/I$20,0)</f>
        <v>0.0722996938924251</v>
      </c>
      <c r="K36" s="28" t="n">
        <f aca="false">IF(5&gt;=MONTH($C$4),(K33+K34+K35)*'LW Assumptions'!$C$24,'LW 2026 P&amp;L'!K31)</f>
        <v>1840</v>
      </c>
      <c r="L36" s="39" t="n">
        <f aca="false">IFERROR(K36/K$20,0)</f>
        <v>0.0739639023998071</v>
      </c>
      <c r="M36" s="28" t="n">
        <f aca="false">IF(6&gt;=MONTH($C$4),(M33+M34+M35)*'LW Assumptions'!$C$24,'LW 2026 P&amp;L'!M31)</f>
        <v>3015</v>
      </c>
      <c r="N36" s="39" t="n">
        <f aca="false">IFERROR(M36/M$20,0)</f>
        <v>0.111423186370524</v>
      </c>
      <c r="O36" s="28" t="n">
        <f aca="false">IF(7&gt;=MONTH($C$4),(O33+O34+O35)*'LW Assumptions'!$C$24,'LW 2026 P&amp;L'!O31)</f>
        <v>1840</v>
      </c>
      <c r="P36" s="39" t="n">
        <f aca="false">IFERROR(O36/O$20,0)</f>
        <v>0.0716817951614788</v>
      </c>
      <c r="Q36" s="28" t="n">
        <f aca="false">IF(8&gt;=MONTH($C$4),(Q33+Q34+Q35)*'LW Assumptions'!$C$24,'LW 2026 P&amp;L'!Q31)</f>
        <v>1551.94666666667</v>
      </c>
      <c r="R36" s="39" t="n">
        <f aca="false">IFERROR(Q36/Q$20,0)</f>
        <v>0.0514297031986597</v>
      </c>
      <c r="S36" s="28" t="n">
        <f aca="false">IF(9&gt;=MONTH($C$4),(S33+S34+S35)*'LW Assumptions'!$C$24,'LW 2026 P&amp;L'!S31)</f>
        <v>1551.94666666667</v>
      </c>
      <c r="T36" s="39" t="n">
        <f aca="false">IFERROR(S36/S$20,0)</f>
        <v>0.0514297031986597</v>
      </c>
      <c r="U36" s="28" t="n">
        <f aca="false">IF(10&gt;=MONTH($C$4),(U33+U34+U35)*'LW Assumptions'!$C$24,'LW 2026 P&amp;L'!U31)</f>
        <v>1551.94666666667</v>
      </c>
      <c r="V36" s="39" t="n">
        <f aca="false">IFERROR(U36/U$20,0)</f>
        <v>0.0514297031986597</v>
      </c>
      <c r="W36" s="28" t="n">
        <f aca="false">IF(11&gt;=MONTH($C$4),(W33+W34+W35)*'LW Assumptions'!$C$24,'LW 2026 P&amp;L'!W31)</f>
        <v>1551.94666666667</v>
      </c>
      <c r="X36" s="39" t="n">
        <f aca="false">IFERROR(W36/W$20,0)</f>
        <v>0.0514297031986597</v>
      </c>
      <c r="Y36" s="28" t="n">
        <f aca="false">IF(12&gt;=MONTH($C$4),(Y33+Y34+Y35)*'LW Assumptions'!$C$24,'LW 2026 P&amp;L'!Y31)</f>
        <v>1551.94666666667</v>
      </c>
      <c r="Z36" s="39" t="n">
        <f aca="false">IFERROR(Y36/Y$20,0)</f>
        <v>0.0514297031986597</v>
      </c>
      <c r="AB36" s="28" t="n">
        <f aca="false">SUM(C36,E36,G36,I36,K36,M36,O36,Q36,S36,U36,W36,Y36)</f>
        <v>22086.7333333333</v>
      </c>
      <c r="AC36" s="39" t="n">
        <f aca="false">IFERROR(AB36/AB$20,0)</f>
        <v>0.0709665489481619</v>
      </c>
    </row>
    <row r="37" customFormat="false" ht="15" hidden="false" customHeight="true" outlineLevel="0" collapsed="false">
      <c r="A37" s="27" t="s">
        <v>183</v>
      </c>
      <c r="C37" s="28" t="n">
        <f aca="false">'LW 2026 P&amp;L'!C32</f>
        <v>0</v>
      </c>
      <c r="D37" s="39" t="n">
        <f aca="false">IFERROR(C37/C$20,0)</f>
        <v>0</v>
      </c>
      <c r="E37" s="28" t="n">
        <f aca="false">'LW 2026 P&amp;L'!E32</f>
        <v>0</v>
      </c>
      <c r="F37" s="39" t="n">
        <f aca="false">IFERROR(E37/E$20,0)</f>
        <v>0</v>
      </c>
      <c r="G37" s="28" t="n">
        <f aca="false">'LW 2026 P&amp;L'!G32</f>
        <v>0</v>
      </c>
      <c r="H37" s="39" t="n">
        <f aca="false">IFERROR(G37/G$20,0)</f>
        <v>0</v>
      </c>
      <c r="I37" s="28" t="n">
        <f aca="false">'LW 2026 P&amp;L'!I32</f>
        <v>0</v>
      </c>
      <c r="J37" s="39" t="n">
        <f aca="false">IFERROR(I37/I$20,0)</f>
        <v>0</v>
      </c>
      <c r="K37" s="28" t="n">
        <f aca="false">'LW 2026 P&amp;L'!K32</f>
        <v>0</v>
      </c>
      <c r="L37" s="39" t="n">
        <f aca="false">IFERROR(K37/K$20,0)</f>
        <v>0</v>
      </c>
      <c r="M37" s="28" t="n">
        <f aca="false">'LW 2026 P&amp;L'!M32</f>
        <v>0</v>
      </c>
      <c r="N37" s="39" t="n">
        <f aca="false">IFERROR(M37/M$20,0)</f>
        <v>0</v>
      </c>
      <c r="O37" s="28" t="n">
        <f aca="false">'LW 2026 P&amp;L'!O32</f>
        <v>0</v>
      </c>
      <c r="P37" s="39" t="n">
        <f aca="false">IFERROR(O37/O$20,0)</f>
        <v>0</v>
      </c>
      <c r="Q37" s="28" t="n">
        <f aca="false">'LW 2026 P&amp;L'!Q32</f>
        <v>0</v>
      </c>
      <c r="R37" s="39" t="n">
        <f aca="false">IFERROR(Q37/Q$20,0)</f>
        <v>0</v>
      </c>
      <c r="S37" s="28" t="n">
        <f aca="false">'LW 2026 P&amp;L'!S32</f>
        <v>0</v>
      </c>
      <c r="T37" s="39" t="n">
        <f aca="false">IFERROR(S37/S$20,0)</f>
        <v>0</v>
      </c>
      <c r="U37" s="28" t="n">
        <f aca="false">'LW 2026 P&amp;L'!U32</f>
        <v>0</v>
      </c>
      <c r="V37" s="39" t="n">
        <f aca="false">IFERROR(U37/U$20,0)</f>
        <v>0</v>
      </c>
      <c r="W37" s="28" t="n">
        <f aca="false">'LW 2026 P&amp;L'!W32</f>
        <v>0</v>
      </c>
      <c r="X37" s="39" t="n">
        <f aca="false">IFERROR(W37/W$20,0)</f>
        <v>0</v>
      </c>
      <c r="Y37" s="28" t="n">
        <f aca="false">'LW 2026 P&amp;L'!Y32</f>
        <v>0</v>
      </c>
      <c r="Z37" s="39" t="n">
        <f aca="false">IFERROR(Y37/Y$20,0)</f>
        <v>0</v>
      </c>
      <c r="AB37" s="28" t="n">
        <f aca="false">SUM(C37,E37,G37,I37,K37,M37,O37,Q37,S37,U37,W37,Y37)</f>
        <v>0</v>
      </c>
      <c r="AC37" s="39" t="n">
        <f aca="false">IFERROR(AB37/AB$20,0)</f>
        <v>0</v>
      </c>
    </row>
    <row r="38" customFormat="false" ht="15" hidden="false" customHeight="true" outlineLevel="0" collapsed="false">
      <c r="A38" s="31" t="s">
        <v>131</v>
      </c>
      <c r="C38" s="32" t="n">
        <f aca="false">SUM(C33:C37)</f>
        <v>16909</v>
      </c>
      <c r="D38" s="40" t="n">
        <f aca="false">IFERROR(C38/C$20,0)</f>
        <v>0.946116830796777</v>
      </c>
      <c r="E38" s="32" t="n">
        <f aca="false">SUM(E33:E37)</f>
        <v>11573</v>
      </c>
      <c r="F38" s="40" t="n">
        <f aca="false">IFERROR(E38/E$20,0)</f>
        <v>0.64881986881202</v>
      </c>
      <c r="G38" s="32" t="n">
        <f aca="false">SUM(G33:G37)</f>
        <v>13272</v>
      </c>
      <c r="H38" s="40" t="n">
        <f aca="false">IFERROR(G38/G$20,0)</f>
        <v>0.501738998941479</v>
      </c>
      <c r="I38" s="32" t="n">
        <f aca="false">SUM(I33:I37)</f>
        <v>12726</v>
      </c>
      <c r="J38" s="40" t="n">
        <f aca="false">IFERROR(I38/I$20,0)</f>
        <v>0.61833730139449</v>
      </c>
      <c r="K38" s="32" t="n">
        <f aca="false">SUM(K33:K37)</f>
        <v>14210</v>
      </c>
      <c r="L38" s="40" t="n">
        <f aca="false">IFERROR(K38/K$20,0)</f>
        <v>0.571210354946336</v>
      </c>
      <c r="M38" s="32" t="n">
        <f aca="false">SUM(M33:M37)</f>
        <v>16320</v>
      </c>
      <c r="N38" s="40" t="n">
        <f aca="false">IFERROR(M38/M$20,0)</f>
        <v>0.603126501348904</v>
      </c>
      <c r="O38" s="32" t="n">
        <f aca="false">SUM(O33:O37)</f>
        <v>14210</v>
      </c>
      <c r="P38" s="40" t="n">
        <f aca="false">IFERROR(O38/O$20,0)</f>
        <v>0.553586037632943</v>
      </c>
      <c r="Q38" s="32" t="n">
        <f aca="false">SUM(Q33:Q37)</f>
        <v>11251.6133333333</v>
      </c>
      <c r="R38" s="40" t="n">
        <f aca="false">IFERROR(Q38/Q$20,0)</f>
        <v>0.372865348190283</v>
      </c>
      <c r="S38" s="32" t="n">
        <f aca="false">SUM(S33:S37)</f>
        <v>11251.6133333333</v>
      </c>
      <c r="T38" s="40" t="n">
        <f aca="false">IFERROR(S38/S$20,0)</f>
        <v>0.372865348190283</v>
      </c>
      <c r="U38" s="32" t="n">
        <f aca="false">SUM(U33:U37)</f>
        <v>11251.6133333333</v>
      </c>
      <c r="V38" s="40" t="n">
        <f aca="false">IFERROR(U38/U$20,0)</f>
        <v>0.372865348190283</v>
      </c>
      <c r="W38" s="32" t="n">
        <f aca="false">SUM(W33:W37)</f>
        <v>11251.6133333333</v>
      </c>
      <c r="X38" s="40" t="n">
        <f aca="false">IFERROR(W38/W$20,0)</f>
        <v>0.372865348190283</v>
      </c>
      <c r="Y38" s="32" t="n">
        <f aca="false">SUM(Y33:Y37)</f>
        <v>11251.6133333333</v>
      </c>
      <c r="Z38" s="40" t="n">
        <f aca="false">IFERROR(Y38/Y$20,0)</f>
        <v>0.372865348190283</v>
      </c>
      <c r="AB38" s="32" t="n">
        <f aca="false">SUM(AB33:AB37)</f>
        <v>155478.066666667</v>
      </c>
      <c r="AC38" s="40" t="n">
        <f aca="false">IFERROR(AB38/AB$20,0)</f>
        <v>0.499564225362989</v>
      </c>
    </row>
    <row r="40" customFormat="false" ht="15" hidden="false" customHeight="true" outlineLevel="0" collapsed="false">
      <c r="A40" s="31" t="s">
        <v>184</v>
      </c>
      <c r="C40" s="41" t="n">
        <f aca="false">C29+C38</f>
        <v>20743</v>
      </c>
      <c r="D40" s="42" t="n">
        <f aca="false">IFERROR(C40/C$20,0)</f>
        <v>1.16064234556849</v>
      </c>
      <c r="E40" s="41" t="n">
        <f aca="false">E29+E38</f>
        <v>17148</v>
      </c>
      <c r="F40" s="42" t="n">
        <f aca="false">IFERROR(E40/E$20,0)</f>
        <v>0.961372428098896</v>
      </c>
      <c r="G40" s="41" t="n">
        <f aca="false">G29+G38</f>
        <v>20455</v>
      </c>
      <c r="H40" s="42" t="n">
        <f aca="false">IFERROR(G40/G$20,0)</f>
        <v>0.773287464085891</v>
      </c>
      <c r="I40" s="41" t="n">
        <f aca="false">I29+I38</f>
        <v>18764</v>
      </c>
      <c r="J40" s="42" t="n">
        <f aca="false">IFERROR(I40/I$20,0)</f>
        <v>0.911714688304747</v>
      </c>
      <c r="K40" s="41" t="n">
        <f aca="false">K29+K38</f>
        <v>25581</v>
      </c>
      <c r="L40" s="42" t="n">
        <f aca="false">IFERROR(K40/K$20,0)</f>
        <v>1.02829923222253</v>
      </c>
      <c r="M40" s="41" t="n">
        <f aca="false">M29+M38</f>
        <v>29934</v>
      </c>
      <c r="N40" s="42" t="n">
        <f aca="false">IFERROR(M40/M$20,0)</f>
        <v>1.10624930706974</v>
      </c>
      <c r="O40" s="41" t="n">
        <f aca="false">O29+O38</f>
        <v>23533</v>
      </c>
      <c r="P40" s="42" t="n">
        <f aca="false">IFERROR(O40/O$20,0)</f>
        <v>0.916786785616892</v>
      </c>
      <c r="Q40" s="41" t="n">
        <f aca="false">Q29+Q38</f>
        <v>22887.6225</v>
      </c>
      <c r="R40" s="42" t="n">
        <f aca="false">IFERROR(Q40/Q$20,0)</f>
        <v>0.758469126149931</v>
      </c>
      <c r="S40" s="41" t="n">
        <f aca="false">S29+S38</f>
        <v>22296.6225</v>
      </c>
      <c r="T40" s="42" t="n">
        <f aca="false">IFERROR(S40/S$20,0)</f>
        <v>0.738884075166387</v>
      </c>
      <c r="U40" s="41" t="n">
        <f aca="false">U29+U38</f>
        <v>22501.6225</v>
      </c>
      <c r="V40" s="42" t="n">
        <f aca="false">IFERROR(U40/U$20,0)</f>
        <v>0.745677536167447</v>
      </c>
      <c r="W40" s="41" t="n">
        <f aca="false">W29+W38</f>
        <v>22561.6225</v>
      </c>
      <c r="X40" s="42" t="n">
        <f aca="false">IFERROR(W40/W$20,0)</f>
        <v>0.747665866216538</v>
      </c>
      <c r="Y40" s="41" t="n">
        <f aca="false">Y29+Y38</f>
        <v>22452.6225</v>
      </c>
      <c r="Z40" s="42" t="n">
        <f aca="false">IFERROR(Y40/Y$20,0)</f>
        <v>0.744053733294023</v>
      </c>
      <c r="AB40" s="41" t="n">
        <f aca="false">AB29+AB38</f>
        <v>268858.1125</v>
      </c>
      <c r="AC40" s="42" t="n">
        <f aca="false">IFERROR(AB40/AB$20,0)</f>
        <v>0.863863936458462</v>
      </c>
    </row>
    <row r="41" customFormat="false" ht="15" hidden="false" customHeight="true" outlineLevel="0" collapsed="false">
      <c r="A41" s="31" t="s">
        <v>185</v>
      </c>
      <c r="C41" s="41" t="n">
        <f aca="false">C30-C38</f>
        <v>-2871</v>
      </c>
      <c r="D41" s="42" t="n">
        <f aca="false">IFERROR(C41/C$20,0)</f>
        <v>-0.160642345568487</v>
      </c>
      <c r="E41" s="41" t="n">
        <f aca="false">E30-E38</f>
        <v>689</v>
      </c>
      <c r="F41" s="42" t="n">
        <f aca="false">IFERROR(E41/E$20,0)</f>
        <v>0.0386275719011045</v>
      </c>
      <c r="G41" s="41" t="n">
        <f aca="false">G30-G38</f>
        <v>5997</v>
      </c>
      <c r="H41" s="42" t="n">
        <f aca="false">IFERROR(G41/G$20,0)</f>
        <v>0.226712535914109</v>
      </c>
      <c r="I41" s="41" t="n">
        <f aca="false">I30-I38</f>
        <v>1817</v>
      </c>
      <c r="J41" s="42" t="n">
        <f aca="false">IFERROR(I41/I$20,0)</f>
        <v>0.0882853116952529</v>
      </c>
      <c r="K41" s="41" t="n">
        <f aca="false">K30-K38</f>
        <v>-704</v>
      </c>
      <c r="L41" s="42" t="n">
        <f aca="false">IFERROR(K41/K$20,0)</f>
        <v>-0.0282992322225349</v>
      </c>
      <c r="M41" s="41" t="n">
        <f aca="false">M30-M38</f>
        <v>-2875</v>
      </c>
      <c r="N41" s="42" t="n">
        <f aca="false">IFERROR(M41/M$20,0)</f>
        <v>-0.106249307069737</v>
      </c>
      <c r="O41" s="41" t="n">
        <f aca="false">O30-O38</f>
        <v>2136</v>
      </c>
      <c r="P41" s="42" t="n">
        <f aca="false">IFERROR(O41/O$20,0)</f>
        <v>0.083213214383108</v>
      </c>
      <c r="Q41" s="41" t="n">
        <f aca="false">Q30-Q38</f>
        <v>7288.45416666667</v>
      </c>
      <c r="R41" s="42" t="n">
        <f aca="false">IFERROR(Q41/Q$20,0)</f>
        <v>0.241530873850069</v>
      </c>
      <c r="S41" s="41" t="n">
        <f aca="false">S30-S38</f>
        <v>7879.45416666667</v>
      </c>
      <c r="T41" s="42" t="n">
        <f aca="false">IFERROR(S41/S$20,0)</f>
        <v>0.261115924833613</v>
      </c>
      <c r="U41" s="41" t="n">
        <f aca="false">U30-U38</f>
        <v>7674.45416666667</v>
      </c>
      <c r="V41" s="42" t="n">
        <f aca="false">IFERROR(U41/U$20,0)</f>
        <v>0.254322463832553</v>
      </c>
      <c r="W41" s="41" t="n">
        <f aca="false">W30-W38</f>
        <v>7614.45416666667</v>
      </c>
      <c r="X41" s="42" t="n">
        <f aca="false">IFERROR(W41/W$20,0)</f>
        <v>0.252334133783462</v>
      </c>
      <c r="Y41" s="41" t="n">
        <f aca="false">Y30-Y38</f>
        <v>7723.45416666667</v>
      </c>
      <c r="Z41" s="42" t="n">
        <f aca="false">IFERROR(Y41/Y$20,0)</f>
        <v>0.255946266705977</v>
      </c>
      <c r="AB41" s="41" t="n">
        <f aca="false">AB30-AB38</f>
        <v>42369.2708333333</v>
      </c>
      <c r="AC41" s="42" t="n">
        <f aca="false">IFERROR(AB41/AB$20,0)</f>
        <v>0.136136063541538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338</v>
      </c>
      <c r="C44" s="28" t="n">
        <f aca="false">IF(1&gt;=MONTH($C$4),'LW 2026 P&amp;L'!C39+'LW Assumptions'!$C$31*(('LW Assumptions'!$C$43*'LW Assumptions'!$C$44+'LW Assumptions'!$C$47+'LW Assumptions'!$C$36)/12),'LW 2026 P&amp;L'!C39)</f>
        <v>3310</v>
      </c>
      <c r="D44" s="39" t="n">
        <f aca="false">IFERROR(C44/C$20,0)</f>
        <v>0.185205908683975</v>
      </c>
      <c r="E44" s="28" t="n">
        <f aca="false">IF(2&gt;=MONTH($C$4),'LW 2026 P&amp;L'!E39+'LW Assumptions'!$C$31*(('LW Assumptions'!$C$43*'LW Assumptions'!$C$44+'LW Assumptions'!$C$47+'LW Assumptions'!$C$36)/12),'LW 2026 P&amp;L'!E39)</f>
        <v>5119</v>
      </c>
      <c r="F44" s="39" t="n">
        <f aca="false">IFERROR(E44/E$20,0)</f>
        <v>0.286987722150586</v>
      </c>
      <c r="G44" s="28" t="n">
        <f aca="false">IF(3&gt;=MONTH($C$4),'LW 2026 P&amp;L'!G39+'LW Assumptions'!$C$31*(('LW Assumptions'!$C$43*'LW Assumptions'!$C$44+'LW Assumptions'!$C$47+'LW Assumptions'!$C$36)/12),'LW 2026 P&amp;L'!G39)</f>
        <v>1987</v>
      </c>
      <c r="H44" s="39" t="n">
        <f aca="false">IFERROR(G44/G$20,0)</f>
        <v>0.0751171934069258</v>
      </c>
      <c r="I44" s="28" t="n">
        <f aca="false">IF(4&gt;=MONTH($C$4),'LW 2026 P&amp;L'!I39+'LW Assumptions'!$C$31*(('LW Assumptions'!$C$43*'LW Assumptions'!$C$44+'LW Assumptions'!$C$47+'LW Assumptions'!$C$36)/12),'LW 2026 P&amp;L'!I39)</f>
        <v>4160</v>
      </c>
      <c r="J44" s="39" t="n">
        <f aca="false">IFERROR(I44/I$20,0)</f>
        <v>0.202128176473446</v>
      </c>
      <c r="K44" s="28" t="n">
        <f aca="false">IF(5&gt;=MONTH($C$4),'LW 2026 P&amp;L'!K39+'LW Assumptions'!$C$31*(('LW Assumptions'!$C$43*'LW Assumptions'!$C$44+'LW Assumptions'!$C$47+'LW Assumptions'!$C$36)/12),'LW 2026 P&amp;L'!K39)</f>
        <v>3982</v>
      </c>
      <c r="L44" s="39" t="n">
        <f aca="false">IFERROR(K44/K$20,0)</f>
        <v>0.160067532258713</v>
      </c>
      <c r="M44" s="28" t="n">
        <f aca="false">IF(6&gt;=MONTH($C$4),'LW 2026 P&amp;L'!M39+'LW Assumptions'!$C$31*(('LW Assumptions'!$C$43*'LW Assumptions'!$C$44+'LW Assumptions'!$C$47+'LW Assumptions'!$C$36)/12),'LW 2026 P&amp;L'!M39)</f>
        <v>3744</v>
      </c>
      <c r="N44" s="39" t="n">
        <f aca="false">IFERROR(M44/M$20,0)</f>
        <v>0.138364315015337</v>
      </c>
      <c r="O44" s="28" t="n">
        <f aca="false">IF(7&gt;=MONTH($C$4),'LW 2026 P&amp;L'!O39+'LW Assumptions'!$C$31*(('LW Assumptions'!$C$43*'LW Assumptions'!$C$44+'LW Assumptions'!$C$47+'LW Assumptions'!$C$36)/12),'LW 2026 P&amp;L'!O39)</f>
        <v>3982</v>
      </c>
      <c r="P44" s="39" t="n">
        <f aca="false">IFERROR(O44/O$20,0)</f>
        <v>0.155128754528809</v>
      </c>
      <c r="Q44" s="28" t="n">
        <f aca="false">IF(8&gt;=MONTH($C$4),'LW 2026 P&amp;L'!Q39+'LW Assumptions'!$C$31*(('LW Assumptions'!$C$43*'LW Assumptions'!$C$44+'LW Assumptions'!$C$47+'LW Assumptions'!$C$36)/12),'LW 2026 P&amp;L'!Q39)</f>
        <v>4094.67691666667</v>
      </c>
      <c r="R44" s="39" t="n">
        <f aca="false">IFERROR(Q44/Q$20,0)</f>
        <v>0.135692819245444</v>
      </c>
      <c r="S44" s="28" t="n">
        <f aca="false">IF(9&gt;=MONTH($C$4),'LW 2026 P&amp;L'!S39+'LW Assumptions'!$C$31*(('LW Assumptions'!$C$43*'LW Assumptions'!$C$44+'LW Assumptions'!$C$47+'LW Assumptions'!$C$36)/12),'LW 2026 P&amp;L'!S39)</f>
        <v>4094.67691666667</v>
      </c>
      <c r="T44" s="39" t="n">
        <f aca="false">IFERROR(S44/S$20,0)</f>
        <v>0.135692819245444</v>
      </c>
      <c r="U44" s="28" t="n">
        <f aca="false">IF(10&gt;=MONTH($C$4),'LW 2026 P&amp;L'!U39+'LW Assumptions'!$C$31*(('LW Assumptions'!$C$43*'LW Assumptions'!$C$44+'LW Assumptions'!$C$47+'LW Assumptions'!$C$36)/12),'LW 2026 P&amp;L'!U39)</f>
        <v>4094.67691666667</v>
      </c>
      <c r="V44" s="39" t="n">
        <f aca="false">IFERROR(U44/U$20,0)</f>
        <v>0.135692819245444</v>
      </c>
      <c r="W44" s="28" t="n">
        <f aca="false">IF(11&gt;=MONTH($C$4),'LW 2026 P&amp;L'!W39+'LW Assumptions'!$C$31*(('LW Assumptions'!$C$43*'LW Assumptions'!$C$44+'LW Assumptions'!$C$47+'LW Assumptions'!$C$36)/12),'LW 2026 P&amp;L'!W39)</f>
        <v>4094.67691666667</v>
      </c>
      <c r="X44" s="39" t="n">
        <f aca="false">IFERROR(W44/W$20,0)</f>
        <v>0.135692819245444</v>
      </c>
      <c r="Y44" s="28" t="n">
        <f aca="false">IF(12&gt;=MONTH($C$4),'LW 2026 P&amp;L'!Y39+'LW Assumptions'!$C$31*(('LW Assumptions'!$C$43*'LW Assumptions'!$C$44+'LW Assumptions'!$C$47+'LW Assumptions'!$C$36)/12),'LW 2026 P&amp;L'!Y39)</f>
        <v>4094.67691666667</v>
      </c>
      <c r="Z44" s="39" t="n">
        <f aca="false">IFERROR(Y44/Y$20,0)</f>
        <v>0.135692819245444</v>
      </c>
      <c r="AB44" s="28" t="n">
        <f aca="false">SUM(C44,E44,G44,I44,K44,M44,O44,Q44,S44,U44,W44,Y44)</f>
        <v>46757.3845833333</v>
      </c>
      <c r="AC44" s="39" t="n">
        <f aca="false">IFERROR(AB44/AB$20,0)</f>
        <v>0.150235445488596</v>
      </c>
    </row>
    <row r="45" customFormat="false" ht="15" hidden="false" customHeight="true" outlineLevel="0" collapsed="false">
      <c r="A45" s="27" t="s">
        <v>188</v>
      </c>
      <c r="C45" s="28" t="n">
        <f aca="false">'LW 2026 P&amp;L'!C40</f>
        <v>25</v>
      </c>
      <c r="D45" s="39" t="n">
        <f aca="false">IFERROR(C45/C$20,0)</f>
        <v>0.00139883616830797</v>
      </c>
      <c r="E45" s="28" t="n">
        <f aca="false">'LW 2026 P&amp;L'!E40</f>
        <v>0</v>
      </c>
      <c r="F45" s="39" t="n">
        <f aca="false">IFERROR(E45/E$20,0)</f>
        <v>0</v>
      </c>
      <c r="G45" s="28" t="n">
        <f aca="false">'LW 2026 P&amp;L'!G40</f>
        <v>0</v>
      </c>
      <c r="H45" s="39" t="n">
        <f aca="false">IFERROR(G45/G$20,0)</f>
        <v>0</v>
      </c>
      <c r="I45" s="28" t="n">
        <f aca="false">'LW 2026 P&amp;L'!I40</f>
        <v>0</v>
      </c>
      <c r="J45" s="39" t="n">
        <f aca="false">IFERROR(I45/I$20,0)</f>
        <v>0</v>
      </c>
      <c r="K45" s="28" t="n">
        <f aca="false">'LW 2026 P&amp;L'!K40</f>
        <v>0</v>
      </c>
      <c r="L45" s="39" t="n">
        <f aca="false">IFERROR(K45/K$20,0)</f>
        <v>0</v>
      </c>
      <c r="M45" s="28" t="n">
        <f aca="false">'LW 2026 P&amp;L'!M40</f>
        <v>0</v>
      </c>
      <c r="N45" s="39" t="n">
        <f aca="false">IFERROR(M45/M$20,0)</f>
        <v>0</v>
      </c>
      <c r="O45" s="28" t="n">
        <f aca="false">'LW 2026 P&amp;L'!O40</f>
        <v>0</v>
      </c>
      <c r="P45" s="39" t="n">
        <f aca="false">IFERROR(O45/O$20,0)</f>
        <v>0</v>
      </c>
      <c r="Q45" s="28" t="n">
        <f aca="false">'LW 2026 P&amp;L'!Q40</f>
        <v>0</v>
      </c>
      <c r="R45" s="39" t="n">
        <f aca="false">IFERROR(Q45/Q$20,0)</f>
        <v>0</v>
      </c>
      <c r="S45" s="28" t="n">
        <f aca="false">'LW 2026 P&amp;L'!S40</f>
        <v>0</v>
      </c>
      <c r="T45" s="39" t="n">
        <f aca="false">IFERROR(S45/S$20,0)</f>
        <v>0</v>
      </c>
      <c r="U45" s="28" t="n">
        <f aca="false">'LW 2026 P&amp;L'!U40</f>
        <v>0</v>
      </c>
      <c r="V45" s="39" t="n">
        <f aca="false">IFERROR(U45/U$20,0)</f>
        <v>0</v>
      </c>
      <c r="W45" s="28" t="n">
        <f aca="false">'LW 2026 P&amp;L'!W40</f>
        <v>0</v>
      </c>
      <c r="X45" s="39" t="n">
        <f aca="false">IFERROR(W45/W$20,0)</f>
        <v>0</v>
      </c>
      <c r="Y45" s="28" t="n">
        <f aca="false">'LW 2026 P&amp;L'!Y40</f>
        <v>0</v>
      </c>
      <c r="Z45" s="39" t="n">
        <f aca="false">IFERROR(Y45/Y$20,0)</f>
        <v>0</v>
      </c>
      <c r="AB45" s="28" t="n">
        <f aca="false">SUM(C45,E45,G45,I45,K45,M45,O45,Q45,S45,U45,W45,Y45)</f>
        <v>25</v>
      </c>
      <c r="AC45" s="39" t="n">
        <f aca="false">IFERROR(AB45/AB$20,0)</f>
        <v>8.03271220296972E-005</v>
      </c>
    </row>
    <row r="46" customFormat="false" ht="15" hidden="false" customHeight="true" outlineLevel="0" collapsed="false">
      <c r="A46" s="27" t="s">
        <v>189</v>
      </c>
      <c r="C46" s="28" t="n">
        <f aca="false">'LW 2026 P&amp;L'!C41</f>
        <v>1883</v>
      </c>
      <c r="D46" s="39" t="n">
        <f aca="false">IFERROR(C46/C$20,0)</f>
        <v>0.105360340196956</v>
      </c>
      <c r="E46" s="28" t="n">
        <f aca="false">'LW 2026 P&amp;L'!E41</f>
        <v>402</v>
      </c>
      <c r="F46" s="39" t="n">
        <f aca="false">IFERROR(E46/E$20,0)</f>
        <v>0.0225374222122554</v>
      </c>
      <c r="G46" s="28" t="n">
        <f aca="false">'LW 2026 P&amp;L'!G41</f>
        <v>714</v>
      </c>
      <c r="H46" s="39" t="n">
        <f aca="false">IFERROR(G46/G$20,0)</f>
        <v>0.0269922879177378</v>
      </c>
      <c r="I46" s="28" t="n">
        <f aca="false">'LW 2026 P&amp;L'!I41</f>
        <v>1340</v>
      </c>
      <c r="J46" s="39" t="n">
        <f aca="false">IFERROR(I46/I$20,0)</f>
        <v>0.0651085953063505</v>
      </c>
      <c r="K46" s="28" t="n">
        <f aca="false">'LW 2026 P&amp;L'!K41</f>
        <v>628</v>
      </c>
      <c r="L46" s="39" t="n">
        <f aca="false">IFERROR(K46/K$20,0)</f>
        <v>0.0252442014712385</v>
      </c>
      <c r="M46" s="28" t="n">
        <f aca="false">'LW 2026 P&amp;L'!M41</f>
        <v>1047</v>
      </c>
      <c r="N46" s="39" t="n">
        <f aca="false">IFERROR(M46/M$20,0)</f>
        <v>0.038693225913744</v>
      </c>
      <c r="O46" s="28" t="n">
        <f aca="false">'LW 2026 P&amp;L'!O41</f>
        <v>628</v>
      </c>
      <c r="P46" s="39" t="n">
        <f aca="false">IFERROR(O46/O$20,0)</f>
        <v>0.0244653083485917</v>
      </c>
      <c r="Q46" s="28" t="n">
        <f aca="false">'LW 2026 P&amp;L'!Q41</f>
        <v>628</v>
      </c>
      <c r="R46" s="39" t="n">
        <f aca="false">IFERROR(Q46/Q$20,0)</f>
        <v>0.02081118784715</v>
      </c>
      <c r="S46" s="28" t="n">
        <f aca="false">'LW 2026 P&amp;L'!S41</f>
        <v>628</v>
      </c>
      <c r="T46" s="39" t="n">
        <f aca="false">IFERROR(S46/S$20,0)</f>
        <v>0.02081118784715</v>
      </c>
      <c r="U46" s="28" t="n">
        <f aca="false">'LW 2026 P&amp;L'!U41</f>
        <v>628</v>
      </c>
      <c r="V46" s="39" t="n">
        <f aca="false">IFERROR(U46/U$20,0)</f>
        <v>0.02081118784715</v>
      </c>
      <c r="W46" s="28" t="n">
        <f aca="false">'LW 2026 P&amp;L'!W41</f>
        <v>628</v>
      </c>
      <c r="X46" s="39" t="n">
        <f aca="false">IFERROR(W46/W$20,0)</f>
        <v>0.02081118784715</v>
      </c>
      <c r="Y46" s="28" t="n">
        <f aca="false">'LW 2026 P&amp;L'!Y41</f>
        <v>628</v>
      </c>
      <c r="Z46" s="39" t="n">
        <f aca="false">IFERROR(Y46/Y$20,0)</f>
        <v>0.02081118784715</v>
      </c>
      <c r="AB46" s="28" t="n">
        <f aca="false">SUM(C46,E46,G46,I46,K46,M46,O46,Q46,S46,U46,W46,Y46)</f>
        <v>9782</v>
      </c>
      <c r="AC46" s="39" t="n">
        <f aca="false">IFERROR(AB46/AB$20,0)</f>
        <v>0.0314303963077799</v>
      </c>
    </row>
    <row r="47" customFormat="false" ht="15" hidden="false" customHeight="true" outlineLevel="0" collapsed="false">
      <c r="A47" s="27" t="s">
        <v>190</v>
      </c>
      <c r="C47" s="28" t="n">
        <f aca="false">'LW 2026 P&amp;L'!C42</f>
        <v>1662</v>
      </c>
      <c r="D47" s="39" t="n">
        <f aca="false">IFERROR(C47/C$20,0)</f>
        <v>0.0929946284691137</v>
      </c>
      <c r="E47" s="28" t="n">
        <f aca="false">'LW 2026 P&amp;L'!E42</f>
        <v>1547</v>
      </c>
      <c r="F47" s="39" t="n">
        <f aca="false">IFERROR(E47/E$20,0)</f>
        <v>0.0867298312496496</v>
      </c>
      <c r="G47" s="28" t="n">
        <f aca="false">'LW 2026 P&amp;L'!G42</f>
        <v>4317</v>
      </c>
      <c r="H47" s="39" t="n">
        <f aca="false">IFERROR(G47/G$20,0)</f>
        <v>0.163201270225314</v>
      </c>
      <c r="I47" s="28" t="n">
        <f aca="false">'LW 2026 P&amp;L'!I42</f>
        <v>1832</v>
      </c>
      <c r="J47" s="39" t="n">
        <f aca="false">IFERROR(I47/I$20,0)</f>
        <v>0.0890141392546524</v>
      </c>
      <c r="K47" s="28" t="n">
        <f aca="false">'LW 2026 P&amp;L'!K42</f>
        <v>2670</v>
      </c>
      <c r="L47" s="39" t="n">
        <f aca="false">IFERROR(K47/K$20,0)</f>
        <v>0.107328054025807</v>
      </c>
      <c r="M47" s="28" t="n">
        <f aca="false">'LW 2026 P&amp;L'!M42</f>
        <v>3672</v>
      </c>
      <c r="N47" s="39" t="n">
        <f aca="false">IFERROR(M47/M$20,0)</f>
        <v>0.135703462803503</v>
      </c>
      <c r="O47" s="28" t="n">
        <f aca="false">'LW 2026 P&amp;L'!O42</f>
        <v>3392</v>
      </c>
      <c r="P47" s="39" t="n">
        <f aca="false">IFERROR(O47/O$20,0)</f>
        <v>0.132143831080291</v>
      </c>
      <c r="Q47" s="28" t="n">
        <f aca="false">'LW 2026 P&amp;L'!Q42</f>
        <v>3392</v>
      </c>
      <c r="R47" s="39" t="n">
        <f aca="false">IFERROR(Q47/Q$20,0)</f>
        <v>0.112406925441931</v>
      </c>
      <c r="S47" s="28" t="n">
        <f aca="false">'LW 2026 P&amp;L'!S42</f>
        <v>3392</v>
      </c>
      <c r="T47" s="39" t="n">
        <f aca="false">IFERROR(S47/S$20,0)</f>
        <v>0.112406925441931</v>
      </c>
      <c r="U47" s="28" t="n">
        <f aca="false">'LW 2026 P&amp;L'!U42</f>
        <v>3392</v>
      </c>
      <c r="V47" s="39" t="n">
        <f aca="false">IFERROR(U47/U$20,0)</f>
        <v>0.112406925441931</v>
      </c>
      <c r="W47" s="28" t="n">
        <f aca="false">'LW 2026 P&amp;L'!W42</f>
        <v>3392</v>
      </c>
      <c r="X47" s="39" t="n">
        <f aca="false">IFERROR(W47/W$20,0)</f>
        <v>0.112406925441931</v>
      </c>
      <c r="Y47" s="28" t="n">
        <f aca="false">'LW 2026 P&amp;L'!Y42</f>
        <v>3392</v>
      </c>
      <c r="Z47" s="39" t="n">
        <f aca="false">IFERROR(Y47/Y$20,0)</f>
        <v>0.112406925441931</v>
      </c>
      <c r="AB47" s="28" t="n">
        <f aca="false">SUM(C47,E47,G47,I47,K47,M47,O47,Q47,S47,U47,W47,Y47)</f>
        <v>36052</v>
      </c>
      <c r="AC47" s="39" t="n">
        <f aca="false">IFERROR(AB47/AB$20,0)</f>
        <v>0.115838136136586</v>
      </c>
    </row>
    <row r="48" customFormat="false" ht="15" hidden="false" customHeight="true" outlineLevel="0" collapsed="false">
      <c r="A48" s="27" t="s">
        <v>191</v>
      </c>
      <c r="C48" s="28" t="n">
        <f aca="false">'LW 2026 P&amp;L'!C43</f>
        <v>0</v>
      </c>
      <c r="D48" s="39" t="n">
        <f aca="false">IFERROR(C48/C$20,0)</f>
        <v>0</v>
      </c>
      <c r="E48" s="28" t="n">
        <f aca="false">'LW 2026 P&amp;L'!E43</f>
        <v>73</v>
      </c>
      <c r="F48" s="39" t="n">
        <f aca="false">IFERROR(E48/E$20,0)</f>
        <v>0.00409261647137972</v>
      </c>
      <c r="G48" s="28" t="n">
        <f aca="false">'LW 2026 P&amp;L'!G43</f>
        <v>36</v>
      </c>
      <c r="H48" s="39" t="n">
        <f aca="false">IFERROR(G48/G$20,0)</f>
        <v>0.00136095569333132</v>
      </c>
      <c r="I48" s="28" t="n">
        <f aca="false">'LW 2026 P&amp;L'!I43</f>
        <v>73</v>
      </c>
      <c r="J48" s="39" t="n">
        <f aca="false">IFERROR(I48/I$20,0)</f>
        <v>0.0035469607890773</v>
      </c>
      <c r="K48" s="28" t="n">
        <f aca="false">'LW 2026 P&amp;L'!K43</f>
        <v>73</v>
      </c>
      <c r="L48" s="39" t="n">
        <f aca="false">IFERROR(K48/K$20,0)</f>
        <v>0.00293443743216626</v>
      </c>
      <c r="M48" s="28" t="n">
        <f aca="false">'LW 2026 P&amp;L'!M43</f>
        <v>73</v>
      </c>
      <c r="N48" s="39" t="n">
        <f aca="false">IFERROR(M48/M$20,0)</f>
        <v>0.00269780849255331</v>
      </c>
      <c r="O48" s="28" t="n">
        <f aca="false">'LW 2026 P&amp;L'!O43</f>
        <v>73</v>
      </c>
      <c r="P48" s="39" t="n">
        <f aca="false">IFERROR(O48/O$20,0)</f>
        <v>0.00284389730803693</v>
      </c>
      <c r="Q48" s="28" t="n">
        <f aca="false">'LW 2026 P&amp;L'!Q43</f>
        <v>73</v>
      </c>
      <c r="R48" s="39" t="n">
        <f aca="false">IFERROR(Q48/Q$20,0)</f>
        <v>0.00241913489306043</v>
      </c>
      <c r="S48" s="28" t="n">
        <f aca="false">'LW 2026 P&amp;L'!S43</f>
        <v>73</v>
      </c>
      <c r="T48" s="39" t="n">
        <f aca="false">IFERROR(S48/S$20,0)</f>
        <v>0.00241913489306043</v>
      </c>
      <c r="U48" s="28" t="n">
        <f aca="false">'LW 2026 P&amp;L'!U43</f>
        <v>73</v>
      </c>
      <c r="V48" s="39" t="n">
        <f aca="false">IFERROR(U48/U$20,0)</f>
        <v>0.00241913489306043</v>
      </c>
      <c r="W48" s="28" t="n">
        <f aca="false">'LW 2026 P&amp;L'!W43</f>
        <v>73</v>
      </c>
      <c r="X48" s="39" t="n">
        <f aca="false">IFERROR(W48/W$20,0)</f>
        <v>0.00241913489306043</v>
      </c>
      <c r="Y48" s="28" t="n">
        <f aca="false">'LW 2026 P&amp;L'!Y43</f>
        <v>73</v>
      </c>
      <c r="Z48" s="39" t="n">
        <f aca="false">IFERROR(Y48/Y$20,0)</f>
        <v>0.00241913489306043</v>
      </c>
      <c r="AB48" s="28" t="n">
        <f aca="false">SUM(C48,E48,G48,I48,K48,M48,O48,Q48,S48,U48,W48,Y48)</f>
        <v>766</v>
      </c>
      <c r="AC48" s="39" t="n">
        <f aca="false">IFERROR(AB48/AB$20,0)</f>
        <v>0.00246122301898992</v>
      </c>
    </row>
    <row r="49" customFormat="false" ht="15" hidden="false" customHeight="true" outlineLevel="0" collapsed="false">
      <c r="A49" s="27" t="s">
        <v>192</v>
      </c>
      <c r="C49" s="28" t="n">
        <v>0</v>
      </c>
      <c r="D49" s="39" t="n">
        <f aca="false">IFERROR(C49/C$20,0)</f>
        <v>0</v>
      </c>
      <c r="E49" s="28" t="n">
        <v>0</v>
      </c>
      <c r="F49" s="39" t="n">
        <f aca="false">IFERROR(E49/E$20,0)</f>
        <v>0</v>
      </c>
      <c r="G49" s="28" t="n">
        <v>0</v>
      </c>
      <c r="H49" s="39" t="n">
        <f aca="false">IFERROR(G49/G$20,0)</f>
        <v>0</v>
      </c>
      <c r="I49" s="28" t="n">
        <v>0</v>
      </c>
      <c r="J49" s="39" t="n">
        <f aca="false">IFERROR(I49/I$20,0)</f>
        <v>0</v>
      </c>
      <c r="K49" s="28" t="n">
        <v>0</v>
      </c>
      <c r="L49" s="39" t="n">
        <f aca="false">IFERROR(K49/K$20,0)</f>
        <v>0</v>
      </c>
      <c r="M49" s="28" t="n">
        <v>0</v>
      </c>
      <c r="N49" s="39" t="n">
        <f aca="false">IFERROR(M49/M$20,0)</f>
        <v>0</v>
      </c>
      <c r="O49" s="28" t="n">
        <v>0</v>
      </c>
      <c r="P49" s="39" t="n">
        <f aca="false">IFERROR(O49/O$20,0)</f>
        <v>0</v>
      </c>
      <c r="Q49" s="28" t="n">
        <v>0</v>
      </c>
      <c r="R49" s="39" t="n">
        <f aca="false">IFERROR(Q49/Q$20,0)</f>
        <v>0</v>
      </c>
      <c r="S49" s="28" t="n">
        <v>0</v>
      </c>
      <c r="T49" s="39" t="n">
        <f aca="false">IFERROR(S49/S$20,0)</f>
        <v>0</v>
      </c>
      <c r="U49" s="28" t="n">
        <v>0</v>
      </c>
      <c r="V49" s="39" t="n">
        <f aca="false">IFERROR(U49/U$20,0)</f>
        <v>0</v>
      </c>
      <c r="W49" s="28" t="n">
        <v>0</v>
      </c>
      <c r="X49" s="39" t="n">
        <f aca="false">IFERROR(W49/W$20,0)</f>
        <v>0</v>
      </c>
      <c r="Y49" s="28" t="n">
        <v>0</v>
      </c>
      <c r="Z49" s="39" t="n">
        <f aca="false">IFERROR(Y49/Y$20,0)</f>
        <v>0</v>
      </c>
      <c r="AB49" s="28" t="n">
        <f aca="false">SUM(C49,E49,G49,I49,K49,M49,O49,Q49,S49,U49,W49,Y49)</f>
        <v>0</v>
      </c>
      <c r="AC49" s="39" t="n">
        <f aca="false">IFERROR(AB49/AB$20,0)</f>
        <v>0</v>
      </c>
    </row>
    <row r="50" customFormat="false" ht="15" hidden="false" customHeight="true" outlineLevel="0" collapsed="false">
      <c r="A50" s="31" t="s">
        <v>193</v>
      </c>
      <c r="C50" s="32" t="n">
        <f aca="false">SUM(C44:C49)</f>
        <v>6880</v>
      </c>
      <c r="D50" s="40" t="n">
        <f aca="false">IFERROR(C50/C$20,0)</f>
        <v>0.384959713518353</v>
      </c>
      <c r="E50" s="32" t="n">
        <f aca="false">SUM(E44:E49)</f>
        <v>7141</v>
      </c>
      <c r="F50" s="40" t="n">
        <f aca="false">IFERROR(E50/E$20,0)</f>
        <v>0.400347592083871</v>
      </c>
      <c r="G50" s="32" t="n">
        <f aca="false">SUM(G44:G49)</f>
        <v>7054</v>
      </c>
      <c r="H50" s="40" t="n">
        <f aca="false">IFERROR(G50/G$20,0)</f>
        <v>0.266671707243309</v>
      </c>
      <c r="I50" s="32" t="n">
        <f aca="false">SUM(I44:I49)</f>
        <v>7405</v>
      </c>
      <c r="J50" s="40" t="n">
        <f aca="false">IFERROR(I50/I$20,0)</f>
        <v>0.359797871823527</v>
      </c>
      <c r="K50" s="32" t="n">
        <f aca="false">SUM(K44:K49)</f>
        <v>7353</v>
      </c>
      <c r="L50" s="40" t="n">
        <f aca="false">IFERROR(K50/K$20,0)</f>
        <v>0.295574225187925</v>
      </c>
      <c r="M50" s="32" t="n">
        <f aca="false">SUM(M44:M49)</f>
        <v>8536</v>
      </c>
      <c r="N50" s="40" t="n">
        <f aca="false">IFERROR(M50/M$20,0)</f>
        <v>0.315458812225138</v>
      </c>
      <c r="O50" s="32" t="n">
        <f aca="false">SUM(O44:O49)</f>
        <v>8075</v>
      </c>
      <c r="P50" s="40" t="n">
        <f aca="false">IFERROR(O50/O$20,0)</f>
        <v>0.314581791265729</v>
      </c>
      <c r="Q50" s="32" t="n">
        <f aca="false">SUM(Q44:Q49)</f>
        <v>8187.67691666667</v>
      </c>
      <c r="R50" s="40" t="n">
        <f aca="false">IFERROR(Q50/Q$20,0)</f>
        <v>0.271330067427586</v>
      </c>
      <c r="S50" s="32" t="n">
        <f aca="false">SUM(S44:S49)</f>
        <v>8187.67691666667</v>
      </c>
      <c r="T50" s="40" t="n">
        <f aca="false">IFERROR(S50/S$20,0)</f>
        <v>0.271330067427586</v>
      </c>
      <c r="U50" s="32" t="n">
        <f aca="false">SUM(U44:U49)</f>
        <v>8187.67691666667</v>
      </c>
      <c r="V50" s="40" t="n">
        <f aca="false">IFERROR(U50/U$20,0)</f>
        <v>0.271330067427586</v>
      </c>
      <c r="W50" s="32" t="n">
        <f aca="false">SUM(W44:W49)</f>
        <v>8187.67691666667</v>
      </c>
      <c r="X50" s="40" t="n">
        <f aca="false">IFERROR(W50/W$20,0)</f>
        <v>0.271330067427586</v>
      </c>
      <c r="Y50" s="32" t="n">
        <f aca="false">SUM(Y44:Y49)</f>
        <v>8187.67691666667</v>
      </c>
      <c r="Z50" s="40" t="n">
        <f aca="false">IFERROR(Y50/Y$20,0)</f>
        <v>0.271330067427586</v>
      </c>
      <c r="AB50" s="32" t="n">
        <f aca="false">SUM(AB44:AB49)</f>
        <v>93382.3845833333</v>
      </c>
      <c r="AC50" s="40" t="n">
        <f aca="false">IFERROR(AB50/AB$20,0)</f>
        <v>0.300045528073981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f aca="false">'LW 2026 P&amp;L'!C47</f>
        <v>249</v>
      </c>
      <c r="D53" s="39" t="n">
        <f aca="false">IFERROR(C53/C$20,0)</f>
        <v>0.0139324082363474</v>
      </c>
      <c r="E53" s="28" t="n">
        <f aca="false">'LW 2026 P&amp;L'!E47</f>
        <v>225</v>
      </c>
      <c r="F53" s="39" t="n">
        <f aca="false">IFERROR(E53/E$20,0)</f>
        <v>0.012614228850143</v>
      </c>
      <c r="G53" s="28" t="n">
        <f aca="false">'LW 2026 P&amp;L'!G47</f>
        <v>249</v>
      </c>
      <c r="H53" s="39" t="n">
        <f aca="false">IFERROR(G53/G$20,0)</f>
        <v>0.00941327687887494</v>
      </c>
      <c r="I53" s="28" t="n">
        <f aca="false">'LW 2026 P&amp;L'!I47</f>
        <v>241</v>
      </c>
      <c r="J53" s="39" t="n">
        <f aca="false">IFERROR(I53/I$20,0)</f>
        <v>0.0117098294543511</v>
      </c>
      <c r="K53" s="28" t="n">
        <f aca="false">'LW 2026 P&amp;L'!K47</f>
        <v>249</v>
      </c>
      <c r="L53" s="39" t="n">
        <f aca="false">IFERROR(K53/K$20,0)</f>
        <v>0.0100092454878</v>
      </c>
      <c r="M53" s="28" t="n">
        <f aca="false">'LW 2026 P&amp;L'!M47</f>
        <v>241</v>
      </c>
      <c r="N53" s="39" t="n">
        <f aca="false">IFERROR(M53/M$20,0)</f>
        <v>0.00890646365349791</v>
      </c>
      <c r="O53" s="28" t="n">
        <f aca="false">'LW 2026 P&amp;L'!O47</f>
        <v>249</v>
      </c>
      <c r="P53" s="39" t="n">
        <f aca="false">IFERROR(O53/O$20,0)</f>
        <v>0.00970041684522186</v>
      </c>
      <c r="Q53" s="28" t="n">
        <f aca="false">'LW 2026 P&amp;L'!Q47</f>
        <v>249</v>
      </c>
      <c r="R53" s="39" t="n">
        <f aca="false">IFERROR(Q53/Q$20,0)</f>
        <v>0.00825156970372667</v>
      </c>
      <c r="S53" s="28" t="n">
        <f aca="false">'LW 2026 P&amp;L'!S47</f>
        <v>249</v>
      </c>
      <c r="T53" s="39" t="n">
        <f aca="false">IFERROR(S53/S$20,0)</f>
        <v>0.00825156970372667</v>
      </c>
      <c r="U53" s="28" t="n">
        <f aca="false">'LW 2026 P&amp;L'!U47</f>
        <v>249</v>
      </c>
      <c r="V53" s="39" t="n">
        <f aca="false">IFERROR(U53/U$20,0)</f>
        <v>0.00825156970372667</v>
      </c>
      <c r="W53" s="28" t="n">
        <f aca="false">'LW 2026 P&amp;L'!W47</f>
        <v>249</v>
      </c>
      <c r="X53" s="39" t="n">
        <f aca="false">IFERROR(W53/W$20,0)</f>
        <v>0.00825156970372667</v>
      </c>
      <c r="Y53" s="28" t="n">
        <f aca="false">'LW 2026 P&amp;L'!Y47</f>
        <v>249</v>
      </c>
      <c r="Z53" s="39" t="n">
        <f aca="false">IFERROR(Y53/Y$20,0)</f>
        <v>0.00825156970372667</v>
      </c>
      <c r="AB53" s="28" t="n">
        <f aca="false">SUM(C53,E53,G53,I53,K53,M53,O53,Q53,S53,U53,W53,Y53)</f>
        <v>2948</v>
      </c>
      <c r="AC53" s="39" t="n">
        <f aca="false">IFERROR(AB53/AB$20,0)</f>
        <v>0.00947217422974189</v>
      </c>
    </row>
    <row r="54" customFormat="false" ht="15" hidden="false" customHeight="true" outlineLevel="0" collapsed="false">
      <c r="A54" s="27" t="s">
        <v>196</v>
      </c>
      <c r="C54" s="28" t="n">
        <f aca="false">IF(1&gt;=MONTH($C$4),C20*'LW Assumptions'!$C$41,'LW 2026 P&amp;L'!C48)</f>
        <v>1116</v>
      </c>
      <c r="D54" s="39" t="n">
        <f aca="false">IFERROR(C54/C$20,0)</f>
        <v>0.0624440465532677</v>
      </c>
      <c r="E54" s="28" t="n">
        <f aca="false">IF(2&gt;=MONTH($C$4),E20*'LW Assumptions'!$C$41,'LW 2026 P&amp;L'!E48)</f>
        <v>1070</v>
      </c>
      <c r="F54" s="39" t="n">
        <f aca="false">IFERROR(E54/E$20,0)</f>
        <v>0.0599876660873465</v>
      </c>
      <c r="G54" s="28" t="n">
        <f aca="false">IF(3&gt;=MONTH($C$4),G20*'LW Assumptions'!$C$41,'LW 2026 P&amp;L'!G48)</f>
        <v>1587</v>
      </c>
      <c r="H54" s="39" t="n">
        <f aca="false">IFERROR(G54/G$20,0)</f>
        <v>0.0599954634810222</v>
      </c>
      <c r="I54" s="28" t="n">
        <f aca="false">IF(4&gt;=MONTH($C$4),I20*'LW Assumptions'!$C$41,'LW 2026 P&amp;L'!I48)</f>
        <v>1251</v>
      </c>
      <c r="J54" s="39" t="n">
        <f aca="false">IFERROR(I54/I$20,0)</f>
        <v>0.0607842184539138</v>
      </c>
      <c r="K54" s="28" t="n">
        <f aca="false">IF(5&gt;=MONTH($C$4),K20*'LW Assumptions'!$C$41,'LW 2026 P&amp;L'!K48)</f>
        <v>1493</v>
      </c>
      <c r="L54" s="39" t="n">
        <f aca="false">IFERROR(K54/K$20,0)</f>
        <v>0.0600152751537565</v>
      </c>
      <c r="M54" s="28" t="n">
        <f aca="false">IF(6&gt;=MONTH($C$4),M20*'LW Assumptions'!$C$41,'LW 2026 P&amp;L'!M48)</f>
        <v>1624</v>
      </c>
      <c r="N54" s="39" t="n">
        <f aca="false">IFERROR(M54/M$20,0)</f>
        <v>0.0600169998891312</v>
      </c>
      <c r="O54" s="28" t="n">
        <f aca="false">IF(7&gt;=MONTH($C$4),O20*'LW Assumptions'!$C$41,'LW 2026 P&amp;L'!O48)</f>
        <v>1540</v>
      </c>
      <c r="P54" s="39" t="n">
        <f aca="false">IFERROR(O54/O$20,0)</f>
        <v>0.0599945459503682</v>
      </c>
      <c r="Q54" s="28" t="n">
        <f aca="false">IF(8&gt;=MONTH($C$4),Q20*'LW Assumptions'!$C$41,'LW 2026 P&amp;L'!Q48)</f>
        <v>0</v>
      </c>
      <c r="R54" s="39" t="n">
        <f aca="false">IFERROR(Q54/Q$20,0)</f>
        <v>0</v>
      </c>
      <c r="S54" s="28" t="n">
        <f aca="false">IF(9&gt;=MONTH($C$4),S20*'LW Assumptions'!$C$41,'LW 2026 P&amp;L'!S48)</f>
        <v>0</v>
      </c>
      <c r="T54" s="39" t="n">
        <f aca="false">IFERROR(S54/S$20,0)</f>
        <v>0</v>
      </c>
      <c r="U54" s="28" t="n">
        <f aca="false">IF(10&gt;=MONTH($C$4),U20*'LW Assumptions'!$C$41,'LW 2026 P&amp;L'!U48)</f>
        <v>0</v>
      </c>
      <c r="V54" s="39" t="n">
        <f aca="false">IFERROR(U54/U$20,0)</f>
        <v>0</v>
      </c>
      <c r="W54" s="28" t="n">
        <f aca="false">IF(11&gt;=MONTH($C$4),W20*'LW Assumptions'!$C$41,'LW 2026 P&amp;L'!W48)</f>
        <v>0</v>
      </c>
      <c r="X54" s="39" t="n">
        <f aca="false">IFERROR(W54/W$20,0)</f>
        <v>0</v>
      </c>
      <c r="Y54" s="28" t="n">
        <f aca="false">IF(12&gt;=MONTH($C$4),Y20*'LW Assumptions'!$C$41,'LW 2026 P&amp;L'!Y48)</f>
        <v>0</v>
      </c>
      <c r="Z54" s="39" t="n">
        <f aca="false">IFERROR(Y54/Y$20,0)</f>
        <v>0</v>
      </c>
      <c r="AB54" s="28" t="n">
        <f aca="false">SUM(C54,E54,G54,I54,K54,M54,O54,Q54,S54,U54,W54,Y54)</f>
        <v>9681</v>
      </c>
      <c r="AC54" s="39" t="n">
        <f aca="false">IFERROR(AB54/AB$20,0)</f>
        <v>0.0311058747347799</v>
      </c>
    </row>
    <row r="55" customFormat="false" ht="15" hidden="false" customHeight="true" outlineLevel="0" collapsed="false">
      <c r="A55" s="27" t="s">
        <v>197</v>
      </c>
      <c r="C55" s="28" t="n">
        <f aca="false">'LW 2026 P&amp;L'!C49</f>
        <v>522</v>
      </c>
      <c r="D55" s="39" t="n">
        <f aca="false">IFERROR(C55/C$20,0)</f>
        <v>0.0292076991942704</v>
      </c>
      <c r="E55" s="28" t="n">
        <f aca="false">'LW 2026 P&amp;L'!E49</f>
        <v>1062</v>
      </c>
      <c r="F55" s="39" t="n">
        <f aca="false">IFERROR(E55/E$20,0)</f>
        <v>0.0595391601726748</v>
      </c>
      <c r="G55" s="28" t="n">
        <f aca="false">'LW 2026 P&amp;L'!G49</f>
        <v>1577</v>
      </c>
      <c r="H55" s="39" t="n">
        <f aca="false">IFERROR(G55/G$20,0)</f>
        <v>0.0596174202328746</v>
      </c>
      <c r="I55" s="28" t="n">
        <f aca="false">'LW 2026 P&amp;L'!I49</f>
        <v>629</v>
      </c>
      <c r="J55" s="39" t="n">
        <f aca="false">IFERROR(I55/I$20,0)</f>
        <v>0.0305621689908168</v>
      </c>
      <c r="K55" s="28" t="n">
        <f aca="false">'LW 2026 P&amp;L'!K49</f>
        <v>1784</v>
      </c>
      <c r="L55" s="39" t="n">
        <f aca="false">IFERROR(K55/K$20,0)</f>
        <v>0.0717128271093781</v>
      </c>
      <c r="M55" s="28" t="n">
        <f aca="false">'LW 2026 P&amp;L'!M49</f>
        <v>1369</v>
      </c>
      <c r="N55" s="39" t="n">
        <f aca="false">IFERROR(M55/M$20,0)</f>
        <v>0.0505931483055545</v>
      </c>
      <c r="O55" s="28" t="n">
        <f aca="false">'LW 2026 P&amp;L'!O49</f>
        <v>1618</v>
      </c>
      <c r="P55" s="39" t="n">
        <f aca="false">IFERROR(O55/O$20,0)</f>
        <v>0.0630332307452569</v>
      </c>
      <c r="Q55" s="28" t="n">
        <f aca="false">'LW 2026 P&amp;L'!Q49</f>
        <v>1618</v>
      </c>
      <c r="R55" s="39" t="n">
        <f aca="false">IFERROR(Q55/Q$20,0)</f>
        <v>0.0536186336571476</v>
      </c>
      <c r="S55" s="28" t="n">
        <f aca="false">'LW 2026 P&amp;L'!S49</f>
        <v>1618</v>
      </c>
      <c r="T55" s="39" t="n">
        <f aca="false">IFERROR(S55/S$20,0)</f>
        <v>0.0536186336571476</v>
      </c>
      <c r="U55" s="28" t="n">
        <f aca="false">'LW 2026 P&amp;L'!U49</f>
        <v>1618</v>
      </c>
      <c r="V55" s="39" t="n">
        <f aca="false">IFERROR(U55/U$20,0)</f>
        <v>0.0536186336571476</v>
      </c>
      <c r="W55" s="28" t="n">
        <f aca="false">'LW 2026 P&amp;L'!W49</f>
        <v>1618</v>
      </c>
      <c r="X55" s="39" t="n">
        <f aca="false">IFERROR(W55/W$20,0)</f>
        <v>0.0536186336571476</v>
      </c>
      <c r="Y55" s="28" t="n">
        <f aca="false">'LW 2026 P&amp;L'!Y49</f>
        <v>1618</v>
      </c>
      <c r="Z55" s="39" t="n">
        <f aca="false">IFERROR(Y55/Y$20,0)</f>
        <v>0.0536186336571476</v>
      </c>
      <c r="AB55" s="28" t="n">
        <f aca="false">SUM(C55,E55,G55,I55,K55,M55,O55,Q55,S55,U55,W55,Y55)</f>
        <v>16651</v>
      </c>
      <c r="AC55" s="39" t="n">
        <f aca="false">IFERROR(AB55/AB$20,0)</f>
        <v>0.0535010763566595</v>
      </c>
    </row>
    <row r="56" customFormat="false" ht="15" hidden="false" customHeight="true" outlineLevel="0" collapsed="false">
      <c r="A56" s="27" t="s">
        <v>133</v>
      </c>
      <c r="C56" s="28" t="n">
        <f aca="false">IF(1&gt;=MONTH($C$4),C20*'LW Assumptions'!$C$40,'LW 2026 P&amp;L'!C50)</f>
        <v>4000</v>
      </c>
      <c r="D56" s="39" t="n">
        <f aca="false">IFERROR(C56/C$20,0)</f>
        <v>0.223813786929275</v>
      </c>
      <c r="E56" s="28" t="n">
        <f aca="false">IF(2&gt;=MONTH($C$4),E20*'LW Assumptions'!$C$40,'LW 2026 P&amp;L'!E50)</f>
        <v>4000</v>
      </c>
      <c r="F56" s="39" t="n">
        <f aca="false">IFERROR(E56/E$20,0)</f>
        <v>0.224252957335875</v>
      </c>
      <c r="G56" s="28" t="n">
        <f aca="false">IF(3&gt;=MONTH($C$4),G20*'LW Assumptions'!$C$40,'LW 2026 P&amp;L'!G50)</f>
        <v>4000</v>
      </c>
      <c r="H56" s="39" t="n">
        <f aca="false">IFERROR(G56/G$20,0)</f>
        <v>0.151217299259035</v>
      </c>
      <c r="I56" s="28" t="n">
        <f aca="false">IF(4&gt;=MONTH($C$4),I20*'LW Assumptions'!$C$40,'LW 2026 P&amp;L'!I50)</f>
        <v>4000</v>
      </c>
      <c r="J56" s="39" t="n">
        <f aca="false">IFERROR(I56/I$20,0)</f>
        <v>0.194354015839852</v>
      </c>
      <c r="K56" s="28" t="n">
        <f aca="false">IF(5&gt;=MONTH($C$4),K20*'LW Assumptions'!$C$40,'LW 2026 P&amp;L'!K50)</f>
        <v>4000</v>
      </c>
      <c r="L56" s="39" t="n">
        <f aca="false">IFERROR(K56/K$20,0)</f>
        <v>0.160791092173494</v>
      </c>
      <c r="M56" s="28" t="n">
        <f aca="false">IF(6&gt;=MONTH($C$4),M20*'LW Assumptions'!$C$40,'LW 2026 P&amp;L'!M50)</f>
        <v>4000</v>
      </c>
      <c r="N56" s="39" t="n">
        <f aca="false">IFERROR(M56/M$20,0)</f>
        <v>0.147825122879633</v>
      </c>
      <c r="O56" s="28" t="n">
        <f aca="false">IF(7&gt;=MONTH($C$4),O20*'LW Assumptions'!$C$40,'LW 2026 P&amp;L'!O50)</f>
        <v>4000</v>
      </c>
      <c r="P56" s="39" t="n">
        <f aca="false">IFERROR(O56/O$20,0)</f>
        <v>0.155829989481476</v>
      </c>
      <c r="Q56" s="28" t="n">
        <f aca="false">IF(8&gt;=MONTH($C$4),Q20*'LW Assumptions'!$C$40,'LW 2026 P&amp;L'!Q50)</f>
        <v>1207.04306666667</v>
      </c>
      <c r="R56" s="39" t="n">
        <f aca="false">IFERROR(Q56/Q$20,0)</f>
        <v>0.04</v>
      </c>
      <c r="S56" s="28" t="n">
        <f aca="false">IF(9&gt;=MONTH($C$4),S20*'LW Assumptions'!$C$40,'LW 2026 P&amp;L'!S50)</f>
        <v>1207.04306666667</v>
      </c>
      <c r="T56" s="39" t="n">
        <f aca="false">IFERROR(S56/S$20,0)</f>
        <v>0.04</v>
      </c>
      <c r="U56" s="28" t="n">
        <f aca="false">IF(10&gt;=MONTH($C$4),U20*'LW Assumptions'!$C$40,'LW 2026 P&amp;L'!U50)</f>
        <v>1207.04306666667</v>
      </c>
      <c r="V56" s="39" t="n">
        <f aca="false">IFERROR(U56/U$20,0)</f>
        <v>0.04</v>
      </c>
      <c r="W56" s="28" t="n">
        <f aca="false">IF(11&gt;=MONTH($C$4),W20*'LW Assumptions'!$C$40,'LW 2026 P&amp;L'!W50)</f>
        <v>1207.04306666667</v>
      </c>
      <c r="X56" s="39" t="n">
        <f aca="false">IFERROR(W56/W$20,0)</f>
        <v>0.04</v>
      </c>
      <c r="Y56" s="28" t="n">
        <f aca="false">IF(12&gt;=MONTH($C$4),Y20*'LW Assumptions'!$C$40,'LW 2026 P&amp;L'!Y50)</f>
        <v>1207.04306666667</v>
      </c>
      <c r="Z56" s="39" t="n">
        <f aca="false">IFERROR(Y56/Y$20,0)</f>
        <v>0.04</v>
      </c>
      <c r="AB56" s="28" t="n">
        <f aca="false">SUM(C56,E56,G56,I56,K56,M56,O56,Q56,S56,U56,W56,Y56)</f>
        <v>34035.2153333333</v>
      </c>
      <c r="AC56" s="39" t="n">
        <f aca="false">IFERROR(AB56/AB$20,0)</f>
        <v>0.109358035815507</v>
      </c>
    </row>
    <row r="57" customFormat="false" ht="15" hidden="false" customHeight="true" outlineLevel="0" collapsed="false">
      <c r="A57" s="27" t="s">
        <v>198</v>
      </c>
      <c r="C57" s="28" t="n">
        <v>0</v>
      </c>
      <c r="D57" s="39" t="n">
        <f aca="false">IFERROR(C57/C$20,0)</f>
        <v>0</v>
      </c>
      <c r="E57" s="28" t="n">
        <v>0</v>
      </c>
      <c r="F57" s="39" t="n">
        <f aca="false">IFERROR(E57/E$20,0)</f>
        <v>0</v>
      </c>
      <c r="G57" s="28" t="n">
        <v>0</v>
      </c>
      <c r="H57" s="39" t="n">
        <f aca="false">IFERROR(G57/G$20,0)</f>
        <v>0</v>
      </c>
      <c r="I57" s="28" t="n">
        <v>0</v>
      </c>
      <c r="J57" s="39" t="n">
        <f aca="false">IFERROR(I57/I$20,0)</f>
        <v>0</v>
      </c>
      <c r="K57" s="28" t="n">
        <v>0</v>
      </c>
      <c r="L57" s="39" t="n">
        <f aca="false">IFERROR(K57/K$20,0)</f>
        <v>0</v>
      </c>
      <c r="M57" s="28" t="n">
        <v>0</v>
      </c>
      <c r="N57" s="39" t="n">
        <f aca="false">IFERROR(M57/M$20,0)</f>
        <v>0</v>
      </c>
      <c r="O57" s="28" t="n">
        <v>0</v>
      </c>
      <c r="P57" s="39" t="n">
        <f aca="false">IFERROR(O57/O$20,0)</f>
        <v>0</v>
      </c>
      <c r="Q57" s="28" t="n">
        <v>0</v>
      </c>
      <c r="R57" s="39" t="n">
        <f aca="false">IFERROR(Q57/Q$20,0)</f>
        <v>0</v>
      </c>
      <c r="S57" s="28" t="n">
        <v>0</v>
      </c>
      <c r="T57" s="39" t="n">
        <f aca="false">IFERROR(S57/S$20,0)</f>
        <v>0</v>
      </c>
      <c r="U57" s="28" t="n">
        <v>0</v>
      </c>
      <c r="V57" s="39" t="n">
        <f aca="false">IFERROR(U57/U$20,0)</f>
        <v>0</v>
      </c>
      <c r="W57" s="28" t="n">
        <v>0</v>
      </c>
      <c r="X57" s="39" t="n">
        <f aca="false">IFERROR(W57/W$20,0)</f>
        <v>0</v>
      </c>
      <c r="Y57" s="28" t="n">
        <v>0</v>
      </c>
      <c r="Z57" s="39" t="n">
        <f aca="false">IFERROR(Y57/Y$20,0)</f>
        <v>0</v>
      </c>
      <c r="AB57" s="28" t="n">
        <f aca="false">SUM(C57,E57,G57,I57,K57,M57,O57,Q57,S57,U57,W57,Y57)</f>
        <v>0</v>
      </c>
      <c r="AC57" s="39" t="n">
        <f aca="false">IFERROR(AB57/AB$20,0)</f>
        <v>0</v>
      </c>
    </row>
    <row r="58" customFormat="false" ht="15" hidden="false" customHeight="true" outlineLevel="0" collapsed="false">
      <c r="A58" s="27" t="s">
        <v>199</v>
      </c>
      <c r="C58" s="28" t="n">
        <f aca="false">'LW 2026 P&amp;L'!C51</f>
        <v>0</v>
      </c>
      <c r="D58" s="39" t="n">
        <f aca="false">IFERROR(C58/C$20,0)</f>
        <v>0</v>
      </c>
      <c r="E58" s="28" t="n">
        <f aca="false">'LW 2026 P&amp;L'!E51</f>
        <v>0</v>
      </c>
      <c r="F58" s="39" t="n">
        <f aca="false">IFERROR(E58/E$20,0)</f>
        <v>0</v>
      </c>
      <c r="G58" s="28" t="n">
        <f aca="false">'LW 2026 P&amp;L'!G51</f>
        <v>0</v>
      </c>
      <c r="H58" s="39" t="n">
        <f aca="false">IFERROR(G58/G$20,0)</f>
        <v>0</v>
      </c>
      <c r="I58" s="28" t="n">
        <f aca="false">'LW 2026 P&amp;L'!I51</f>
        <v>0</v>
      </c>
      <c r="J58" s="39" t="n">
        <f aca="false">IFERROR(I58/I$20,0)</f>
        <v>0</v>
      </c>
      <c r="K58" s="28" t="n">
        <f aca="false">'LW 2026 P&amp;L'!K51</f>
        <v>0</v>
      </c>
      <c r="L58" s="39" t="n">
        <f aca="false">IFERROR(K58/K$20,0)</f>
        <v>0</v>
      </c>
      <c r="M58" s="28" t="n">
        <f aca="false">'LW 2026 P&amp;L'!M51</f>
        <v>0</v>
      </c>
      <c r="N58" s="39" t="n">
        <f aca="false">IFERROR(M58/M$20,0)</f>
        <v>0</v>
      </c>
      <c r="O58" s="28" t="n">
        <f aca="false">'LW 2026 P&amp;L'!O51</f>
        <v>0</v>
      </c>
      <c r="P58" s="39" t="n">
        <f aca="false">IFERROR(O58/O$20,0)</f>
        <v>0</v>
      </c>
      <c r="Q58" s="28" t="n">
        <f aca="false">'LW 2026 P&amp;L'!Q51</f>
        <v>0</v>
      </c>
      <c r="R58" s="39" t="n">
        <f aca="false">IFERROR(Q58/Q$20,0)</f>
        <v>0</v>
      </c>
      <c r="S58" s="28" t="n">
        <f aca="false">'LW 2026 P&amp;L'!S51</f>
        <v>0</v>
      </c>
      <c r="T58" s="39" t="n">
        <f aca="false">IFERROR(S58/S$20,0)</f>
        <v>0</v>
      </c>
      <c r="U58" s="28" t="n">
        <f aca="false">'LW 2026 P&amp;L'!U51</f>
        <v>0</v>
      </c>
      <c r="V58" s="39" t="n">
        <f aca="false">IFERROR(U58/U$20,0)</f>
        <v>0</v>
      </c>
      <c r="W58" s="28" t="n">
        <f aca="false">'LW 2026 P&amp;L'!W51</f>
        <v>0</v>
      </c>
      <c r="X58" s="39" t="n">
        <f aca="false">IFERROR(W58/W$20,0)</f>
        <v>0</v>
      </c>
      <c r="Y58" s="28" t="n">
        <f aca="false">'LW 2026 P&amp;L'!Y51</f>
        <v>0</v>
      </c>
      <c r="Z58" s="39" t="n">
        <f aca="false">IFERROR(Y58/Y$20,0)</f>
        <v>0</v>
      </c>
      <c r="AB58" s="28" t="n">
        <f aca="false">SUM(C58,E58,G58,I58,K58,M58,O58,Q58,S58,U58,W58,Y58)</f>
        <v>0</v>
      </c>
      <c r="AC58" s="39" t="n">
        <f aca="false">IFERROR(AB58/AB$20,0)</f>
        <v>0</v>
      </c>
    </row>
    <row r="59" customFormat="false" ht="15" hidden="false" customHeight="true" outlineLevel="0" collapsed="false">
      <c r="A59" s="27" t="s">
        <v>200</v>
      </c>
      <c r="C59" s="28" t="n">
        <f aca="false">'LW 2026 P&amp;L'!C52</f>
        <v>0</v>
      </c>
      <c r="D59" s="39" t="n">
        <f aca="false">IFERROR(C59/C$20,0)</f>
        <v>0</v>
      </c>
      <c r="E59" s="28" t="n">
        <f aca="false">'LW 2026 P&amp;L'!E52</f>
        <v>0</v>
      </c>
      <c r="F59" s="39" t="n">
        <f aca="false">IFERROR(E59/E$20,0)</f>
        <v>0</v>
      </c>
      <c r="G59" s="28" t="n">
        <f aca="false">'LW 2026 P&amp;L'!G52</f>
        <v>0</v>
      </c>
      <c r="H59" s="39" t="n">
        <f aca="false">IFERROR(G59/G$20,0)</f>
        <v>0</v>
      </c>
      <c r="I59" s="28" t="n">
        <f aca="false">'LW 2026 P&amp;L'!I52</f>
        <v>0</v>
      </c>
      <c r="J59" s="39" t="n">
        <f aca="false">IFERROR(I59/I$20,0)</f>
        <v>0</v>
      </c>
      <c r="K59" s="28" t="n">
        <f aca="false">'LW 2026 P&amp;L'!K52</f>
        <v>0</v>
      </c>
      <c r="L59" s="39" t="n">
        <f aca="false">IFERROR(K59/K$20,0)</f>
        <v>0</v>
      </c>
      <c r="M59" s="28" t="n">
        <f aca="false">'LW 2026 P&amp;L'!M52</f>
        <v>0</v>
      </c>
      <c r="N59" s="39" t="n">
        <f aca="false">IFERROR(M59/M$20,0)</f>
        <v>0</v>
      </c>
      <c r="O59" s="28" t="n">
        <f aca="false">'LW 2026 P&amp;L'!O52</f>
        <v>0</v>
      </c>
      <c r="P59" s="39" t="n">
        <f aca="false">IFERROR(O59/O$20,0)</f>
        <v>0</v>
      </c>
      <c r="Q59" s="28" t="n">
        <f aca="false">'LW 2026 P&amp;L'!Q52</f>
        <v>0</v>
      </c>
      <c r="R59" s="39" t="n">
        <f aca="false">IFERROR(Q59/Q$20,0)</f>
        <v>0</v>
      </c>
      <c r="S59" s="28" t="n">
        <f aca="false">'LW 2026 P&amp;L'!S52</f>
        <v>0</v>
      </c>
      <c r="T59" s="39" t="n">
        <f aca="false">IFERROR(S59/S$20,0)</f>
        <v>0</v>
      </c>
      <c r="U59" s="28" t="n">
        <f aca="false">'LW 2026 P&amp;L'!U52</f>
        <v>0</v>
      </c>
      <c r="V59" s="39" t="n">
        <f aca="false">IFERROR(U59/U$20,0)</f>
        <v>0</v>
      </c>
      <c r="W59" s="28" t="n">
        <f aca="false">'LW 2026 P&amp;L'!W52</f>
        <v>0</v>
      </c>
      <c r="X59" s="39" t="n">
        <f aca="false">IFERROR(W59/W$20,0)</f>
        <v>0</v>
      </c>
      <c r="Y59" s="28" t="n">
        <f aca="false">'LW 2026 P&amp;L'!Y52</f>
        <v>0</v>
      </c>
      <c r="Z59" s="39" t="n">
        <f aca="false">IFERROR(Y59/Y$20,0)</f>
        <v>0</v>
      </c>
      <c r="AB59" s="28" t="n">
        <f aca="false">SUM(C59,E59,G59,I59,K59,M59,O59,Q59,S59,U59,W59,Y59)</f>
        <v>0</v>
      </c>
      <c r="AC59" s="39" t="n">
        <f aca="false">IFERROR(AB59/AB$20,0)</f>
        <v>0</v>
      </c>
    </row>
    <row r="60" customFormat="false" ht="15" hidden="false" customHeight="true" outlineLevel="0" collapsed="false">
      <c r="A60" s="31" t="s">
        <v>201</v>
      </c>
      <c r="C60" s="32" t="n">
        <f aca="false">SUM(C53:C59)</f>
        <v>5887</v>
      </c>
      <c r="D60" s="40" t="n">
        <f aca="false">IFERROR(C60/C$20,0)</f>
        <v>0.32939794091316</v>
      </c>
      <c r="E60" s="32" t="n">
        <f aca="false">SUM(E53:E59)</f>
        <v>6357</v>
      </c>
      <c r="F60" s="40" t="n">
        <f aca="false">IFERROR(E60/E$20,0)</f>
        <v>0.356394012446039</v>
      </c>
      <c r="G60" s="32" t="n">
        <f aca="false">SUM(G53:G59)</f>
        <v>7413</v>
      </c>
      <c r="H60" s="40" t="n">
        <f aca="false">IFERROR(G60/G$20,0)</f>
        <v>0.280243459851807</v>
      </c>
      <c r="I60" s="32" t="n">
        <f aca="false">SUM(I53:I59)</f>
        <v>6121</v>
      </c>
      <c r="J60" s="40" t="n">
        <f aca="false">IFERROR(I60/I$20,0)</f>
        <v>0.297410232738934</v>
      </c>
      <c r="K60" s="32" t="n">
        <f aca="false">SUM(K53:K59)</f>
        <v>7526</v>
      </c>
      <c r="L60" s="40" t="n">
        <f aca="false">IFERROR(K60/K$20,0)</f>
        <v>0.302528439924428</v>
      </c>
      <c r="M60" s="32" t="n">
        <f aca="false">SUM(M53:M59)</f>
        <v>7234</v>
      </c>
      <c r="N60" s="40" t="n">
        <f aca="false">IFERROR(M60/M$20,0)</f>
        <v>0.267341734727817</v>
      </c>
      <c r="O60" s="32" t="n">
        <f aca="false">SUM(O53:O59)</f>
        <v>7407</v>
      </c>
      <c r="P60" s="40" t="n">
        <f aca="false">IFERROR(O60/O$20,0)</f>
        <v>0.288558183022323</v>
      </c>
      <c r="Q60" s="32" t="n">
        <f aca="false">SUM(Q53:Q59)</f>
        <v>3074.04306666667</v>
      </c>
      <c r="R60" s="40" t="n">
        <f aca="false">IFERROR(Q60/Q$20,0)</f>
        <v>0.101870203360874</v>
      </c>
      <c r="S60" s="32" t="n">
        <f aca="false">SUM(S53:S59)</f>
        <v>3074.04306666667</v>
      </c>
      <c r="T60" s="40" t="n">
        <f aca="false">IFERROR(S60/S$20,0)</f>
        <v>0.101870203360874</v>
      </c>
      <c r="U60" s="32" t="n">
        <f aca="false">SUM(U53:U59)</f>
        <v>3074.04306666667</v>
      </c>
      <c r="V60" s="40" t="n">
        <f aca="false">IFERROR(U60/U$20,0)</f>
        <v>0.101870203360874</v>
      </c>
      <c r="W60" s="32" t="n">
        <f aca="false">SUM(W53:W59)</f>
        <v>3074.04306666667</v>
      </c>
      <c r="X60" s="40" t="n">
        <f aca="false">IFERROR(W60/W$20,0)</f>
        <v>0.101870203360874</v>
      </c>
      <c r="Y60" s="32" t="n">
        <f aca="false">SUM(Y53:Y59)</f>
        <v>3074.04306666667</v>
      </c>
      <c r="Z60" s="40" t="n">
        <f aca="false">IFERROR(Y60/Y$20,0)</f>
        <v>0.101870203360874</v>
      </c>
      <c r="AB60" s="32" t="n">
        <f aca="false">SUM(AB53:AB59)</f>
        <v>63315.2153333333</v>
      </c>
      <c r="AC60" s="40" t="n">
        <f aca="false">IFERROR(AB60/AB$20,0)</f>
        <v>0.203437161136689</v>
      </c>
    </row>
    <row r="62" customFormat="false" ht="15" hidden="false" customHeight="true" outlineLevel="0" collapsed="false">
      <c r="A62" s="31" t="s">
        <v>202</v>
      </c>
      <c r="C62" s="32" t="n">
        <f aca="false">C41-C50-C60</f>
        <v>-15638</v>
      </c>
      <c r="D62" s="40" t="n">
        <f aca="false">IFERROR(C62/C$20,0)</f>
        <v>-0.875</v>
      </c>
      <c r="E62" s="32" t="n">
        <f aca="false">E41-E50-E60</f>
        <v>-12809</v>
      </c>
      <c r="F62" s="40" t="n">
        <f aca="false">IFERROR(E62/E$20,0)</f>
        <v>-0.718114032628805</v>
      </c>
      <c r="G62" s="32" t="n">
        <f aca="false">G41-G50-G60</f>
        <v>-8470</v>
      </c>
      <c r="H62" s="40" t="n">
        <f aca="false">IFERROR(G62/G$20,0)</f>
        <v>-0.320202631181007</v>
      </c>
      <c r="I62" s="32" t="n">
        <f aca="false">I41-I50-I60</f>
        <v>-11709</v>
      </c>
      <c r="J62" s="40" t="n">
        <f aca="false">IFERROR(I62/I$20,0)</f>
        <v>-0.568922792867208</v>
      </c>
      <c r="K62" s="32" t="n">
        <f aca="false">K41-K50-K60</f>
        <v>-15583</v>
      </c>
      <c r="L62" s="40" t="n">
        <f aca="false">IFERROR(K62/K$20,0)</f>
        <v>-0.626401897334888</v>
      </c>
      <c r="M62" s="32" t="n">
        <f aca="false">M41-M50-M60</f>
        <v>-18645</v>
      </c>
      <c r="N62" s="40" t="n">
        <f aca="false">IFERROR(M62/M$20,0)</f>
        <v>-0.689049854022691</v>
      </c>
      <c r="O62" s="32" t="n">
        <f aca="false">O41-O50-O60</f>
        <v>-13346</v>
      </c>
      <c r="P62" s="40" t="n">
        <f aca="false">IFERROR(O62/O$20,0)</f>
        <v>-0.519926759904944</v>
      </c>
      <c r="Q62" s="32" t="n">
        <f aca="false">Q41-Q50-Q60</f>
        <v>-3973.26581666667</v>
      </c>
      <c r="R62" s="40" t="n">
        <f aca="false">IFERROR(Q62/Q$20,0)</f>
        <v>-0.131669396938391</v>
      </c>
      <c r="S62" s="32" t="n">
        <f aca="false">S41-S50-S60</f>
        <v>-3382.26581666667</v>
      </c>
      <c r="T62" s="40" t="n">
        <f aca="false">IFERROR(S62/S$20,0)</f>
        <v>-0.112084345954847</v>
      </c>
      <c r="U62" s="32" t="n">
        <f aca="false">U41-U50-U60</f>
        <v>-3587.26581666667</v>
      </c>
      <c r="V62" s="40" t="n">
        <f aca="false">IFERROR(U62/U$20,0)</f>
        <v>-0.118877806955908</v>
      </c>
      <c r="W62" s="32" t="n">
        <f aca="false">W41-W50-W60</f>
        <v>-3647.26581666667</v>
      </c>
      <c r="X62" s="40" t="n">
        <f aca="false">IFERROR(W62/W$20,0)</f>
        <v>-0.120866137004998</v>
      </c>
      <c r="Y62" s="32" t="n">
        <f aca="false">Y41-Y50-Y60</f>
        <v>-3538.26581666667</v>
      </c>
      <c r="Z62" s="40" t="n">
        <f aca="false">IFERROR(Y62/Y$20,0)</f>
        <v>-0.117254004082483</v>
      </c>
      <c r="AB62" s="32" t="n">
        <f aca="false">AB41-AB50-AB60</f>
        <v>-114328.329083333</v>
      </c>
      <c r="AC62" s="40" t="n">
        <f aca="false">IFERROR(AB62/AB$20,0)</f>
        <v>-0.367346625669132</v>
      </c>
    </row>
    <row r="64" customFormat="false" ht="15" hidden="false" customHeight="true" outlineLevel="0" collapsed="false">
      <c r="A64" s="27" t="s">
        <v>203</v>
      </c>
      <c r="C64" s="28" t="n">
        <f aca="false">'LW 2026 P&amp;L'!C57</f>
        <v>0</v>
      </c>
      <c r="D64" s="39" t="n">
        <f aca="false">IFERROR(C64/C$20,0)</f>
        <v>0</v>
      </c>
      <c r="E64" s="28" t="n">
        <f aca="false">'LW 2026 P&amp;L'!E57</f>
        <v>0</v>
      </c>
      <c r="F64" s="39" t="n">
        <f aca="false">IFERROR(E64/E$20,0)</f>
        <v>0</v>
      </c>
      <c r="G64" s="28" t="n">
        <f aca="false">'LW 2026 P&amp;L'!G57</f>
        <v>0</v>
      </c>
      <c r="H64" s="39" t="n">
        <f aca="false">IFERROR(G64/G$20,0)</f>
        <v>0</v>
      </c>
      <c r="I64" s="28" t="n">
        <f aca="false">'LW 2026 P&amp;L'!I57</f>
        <v>0</v>
      </c>
      <c r="J64" s="39" t="n">
        <f aca="false">IFERROR(I64/I$20,0)</f>
        <v>0</v>
      </c>
      <c r="K64" s="28" t="n">
        <f aca="false">'LW 2026 P&amp;L'!K57</f>
        <v>0</v>
      </c>
      <c r="L64" s="39" t="n">
        <f aca="false">IFERROR(K64/K$20,0)</f>
        <v>0</v>
      </c>
      <c r="M64" s="28" t="n">
        <f aca="false">'LW 2026 P&amp;L'!M57</f>
        <v>0</v>
      </c>
      <c r="N64" s="39" t="n">
        <f aca="false">IFERROR(M64/M$20,0)</f>
        <v>0</v>
      </c>
      <c r="O64" s="28" t="n">
        <f aca="false">'LW 2026 P&amp;L'!O57</f>
        <v>0</v>
      </c>
      <c r="P64" s="39" t="n">
        <f aca="false">IFERROR(O64/O$20,0)</f>
        <v>0</v>
      </c>
      <c r="Q64" s="28" t="n">
        <f aca="false">'LW 2026 P&amp;L'!Q57</f>
        <v>0</v>
      </c>
      <c r="R64" s="39" t="n">
        <f aca="false">IFERROR(Q64/Q$20,0)</f>
        <v>0</v>
      </c>
      <c r="S64" s="28" t="n">
        <f aca="false">'LW 2026 P&amp;L'!S57</f>
        <v>0</v>
      </c>
      <c r="T64" s="39" t="n">
        <f aca="false">IFERROR(S64/S$20,0)</f>
        <v>0</v>
      </c>
      <c r="U64" s="28" t="n">
        <f aca="false">'LW 2026 P&amp;L'!U57</f>
        <v>0</v>
      </c>
      <c r="V64" s="39" t="n">
        <f aca="false">IFERROR(U64/U$20,0)</f>
        <v>0</v>
      </c>
      <c r="W64" s="28" t="n">
        <f aca="false">'LW 2026 P&amp;L'!W57</f>
        <v>0</v>
      </c>
      <c r="X64" s="39" t="n">
        <f aca="false">IFERROR(W64/W$20,0)</f>
        <v>0</v>
      </c>
      <c r="Y64" s="28" t="n">
        <f aca="false">'LW 2026 P&amp;L'!Y57</f>
        <v>0</v>
      </c>
      <c r="Z64" s="39" t="n">
        <f aca="false">IFERROR(Y64/Y$20,0)</f>
        <v>0</v>
      </c>
      <c r="AB64" s="28" t="n">
        <f aca="false">SUM(C64,E64,G64,I64,K64,M64,O64,Q64,S64,U64,W64,Y64)</f>
        <v>0</v>
      </c>
      <c r="AC64" s="39" t="n">
        <f aca="false">IFERROR(AB64/AB$20,0)</f>
        <v>0</v>
      </c>
    </row>
    <row r="66" customFormat="false" ht="15" hidden="false" customHeight="true" outlineLevel="0" collapsed="false">
      <c r="A66" s="31" t="s">
        <v>204</v>
      </c>
      <c r="C66" s="41" t="n">
        <f aca="false">C62-C64</f>
        <v>-15638</v>
      </c>
      <c r="D66" s="42" t="n">
        <f aca="false">IFERROR(C66/C$20,0)</f>
        <v>-0.875</v>
      </c>
      <c r="E66" s="41" t="n">
        <f aca="false">E62-E64</f>
        <v>-12809</v>
      </c>
      <c r="F66" s="42" t="n">
        <f aca="false">IFERROR(E66/E$20,0)</f>
        <v>-0.718114032628805</v>
      </c>
      <c r="G66" s="41" t="n">
        <f aca="false">G62-G64</f>
        <v>-8470</v>
      </c>
      <c r="H66" s="42" t="n">
        <f aca="false">IFERROR(G66/G$20,0)</f>
        <v>-0.320202631181007</v>
      </c>
      <c r="I66" s="41" t="n">
        <f aca="false">I62-I64</f>
        <v>-11709</v>
      </c>
      <c r="J66" s="42" t="n">
        <f aca="false">IFERROR(I66/I$20,0)</f>
        <v>-0.568922792867208</v>
      </c>
      <c r="K66" s="41" t="n">
        <f aca="false">K62-K64</f>
        <v>-15583</v>
      </c>
      <c r="L66" s="42" t="n">
        <f aca="false">IFERROR(K66/K$20,0)</f>
        <v>-0.626401897334888</v>
      </c>
      <c r="M66" s="41" t="n">
        <f aca="false">M62-M64</f>
        <v>-18645</v>
      </c>
      <c r="N66" s="42" t="n">
        <f aca="false">IFERROR(M66/M$20,0)</f>
        <v>-0.689049854022691</v>
      </c>
      <c r="O66" s="41" t="n">
        <f aca="false">O62-O64</f>
        <v>-13346</v>
      </c>
      <c r="P66" s="42" t="n">
        <f aca="false">IFERROR(O66/O$20,0)</f>
        <v>-0.519926759904944</v>
      </c>
      <c r="Q66" s="41" t="n">
        <f aca="false">Q62-Q64</f>
        <v>-3973.26581666667</v>
      </c>
      <c r="R66" s="42" t="n">
        <f aca="false">IFERROR(Q66/Q$20,0)</f>
        <v>-0.131669396938391</v>
      </c>
      <c r="S66" s="41" t="n">
        <f aca="false">S62-S64</f>
        <v>-3382.26581666667</v>
      </c>
      <c r="T66" s="42" t="n">
        <f aca="false">IFERROR(S66/S$20,0)</f>
        <v>-0.112084345954847</v>
      </c>
      <c r="U66" s="41" t="n">
        <f aca="false">U62-U64</f>
        <v>-3587.26581666667</v>
      </c>
      <c r="V66" s="42" t="n">
        <f aca="false">IFERROR(U66/U$20,0)</f>
        <v>-0.118877806955908</v>
      </c>
      <c r="W66" s="41" t="n">
        <f aca="false">W62-W64</f>
        <v>-3647.26581666667</v>
      </c>
      <c r="X66" s="42" t="n">
        <f aca="false">IFERROR(W66/W$20,0)</f>
        <v>-0.120866137004998</v>
      </c>
      <c r="Y66" s="41" t="n">
        <f aca="false">Y62-Y64</f>
        <v>-3538.26581666667</v>
      </c>
      <c r="Z66" s="42" t="n">
        <f aca="false">IFERROR(Y66/Y$20,0)</f>
        <v>-0.117254004082483</v>
      </c>
      <c r="AB66" s="41" t="n">
        <f aca="false">AB62-AB64</f>
        <v>-114328.329083333</v>
      </c>
      <c r="AC66" s="42" t="n">
        <f aca="false">IFERROR(AB66/AB$20,0)</f>
        <v>-0.367346625669132</v>
      </c>
    </row>
    <row r="68" customFormat="false" ht="15" hidden="false" customHeight="true" outlineLevel="0" collapsed="false">
      <c r="A68" s="27" t="s">
        <v>205</v>
      </c>
      <c r="C68" s="28" t="n">
        <f aca="false">'LW 2026 P&amp;L'!C61</f>
        <v>0</v>
      </c>
      <c r="D68" s="39" t="n">
        <f aca="false">IFERROR(C68/C$20,0)</f>
        <v>0</v>
      </c>
      <c r="E68" s="28" t="n">
        <f aca="false">'LW 2026 P&amp;L'!E61</f>
        <v>0</v>
      </c>
      <c r="F68" s="39" t="n">
        <f aca="false">IFERROR(E68/E$20,0)</f>
        <v>0</v>
      </c>
      <c r="G68" s="28" t="n">
        <f aca="false">'LW 2026 P&amp;L'!G61</f>
        <v>0</v>
      </c>
      <c r="H68" s="39" t="n">
        <f aca="false">IFERROR(G68/G$20,0)</f>
        <v>0</v>
      </c>
      <c r="I68" s="28" t="n">
        <f aca="false">'LW 2026 P&amp;L'!I61</f>
        <v>0</v>
      </c>
      <c r="J68" s="39" t="n">
        <f aca="false">IFERROR(I68/I$20,0)</f>
        <v>0</v>
      </c>
      <c r="K68" s="28" t="n">
        <f aca="false">'LW 2026 P&amp;L'!K61</f>
        <v>0</v>
      </c>
      <c r="L68" s="39" t="n">
        <f aca="false">IFERROR(K68/K$20,0)</f>
        <v>0</v>
      </c>
      <c r="M68" s="28" t="n">
        <f aca="false">'LW 2026 P&amp;L'!M61</f>
        <v>0</v>
      </c>
      <c r="N68" s="39" t="n">
        <f aca="false">IFERROR(M68/M$20,0)</f>
        <v>0</v>
      </c>
      <c r="O68" s="28" t="n">
        <f aca="false">'LW 2026 P&amp;L'!O61</f>
        <v>0</v>
      </c>
      <c r="P68" s="39" t="n">
        <f aca="false">IFERROR(O68/O$20,0)</f>
        <v>0</v>
      </c>
      <c r="Q68" s="28" t="n">
        <f aca="false">'LW 2026 P&amp;L'!Q61</f>
        <v>0</v>
      </c>
      <c r="R68" s="39" t="n">
        <f aca="false">IFERROR(Q68/Q$20,0)</f>
        <v>0</v>
      </c>
      <c r="S68" s="28" t="n">
        <f aca="false">'LW 2026 P&amp;L'!S61</f>
        <v>0</v>
      </c>
      <c r="T68" s="39" t="n">
        <f aca="false">IFERROR(S68/S$20,0)</f>
        <v>0</v>
      </c>
      <c r="U68" s="28" t="n">
        <f aca="false">'LW 2026 P&amp;L'!U61</f>
        <v>0</v>
      </c>
      <c r="V68" s="39" t="n">
        <f aca="false">IFERROR(U68/U$20,0)</f>
        <v>0</v>
      </c>
      <c r="W68" s="28" t="n">
        <f aca="false">'LW 2026 P&amp;L'!W61</f>
        <v>0</v>
      </c>
      <c r="X68" s="39" t="n">
        <f aca="false">IFERROR(W68/W$20,0)</f>
        <v>0</v>
      </c>
      <c r="Y68" s="28" t="n">
        <f aca="false">'LW 2026 P&amp;L'!Y61</f>
        <v>0</v>
      </c>
      <c r="Z68" s="39" t="n">
        <f aca="false">IFERROR(Y68/Y$20,0)</f>
        <v>0</v>
      </c>
      <c r="AB68" s="28" t="n">
        <f aca="false">SUM(C68,E68,G68,I68,K68,M68,O68,Q68,S68,U68,W68,Y68)</f>
        <v>0</v>
      </c>
      <c r="AC68" s="39" t="n">
        <f aca="false">IFERROR(AB68/AB$20,0)</f>
        <v>0</v>
      </c>
    </row>
    <row r="69" customFormat="false" ht="15" hidden="false" customHeight="true" outlineLevel="0" collapsed="false">
      <c r="A69" s="27" t="s">
        <v>206</v>
      </c>
      <c r="C69" s="28" t="n">
        <f aca="false">'LW 2026 P&amp;L'!C62</f>
        <v>239</v>
      </c>
      <c r="D69" s="39" t="n">
        <f aca="false">IFERROR(C69/C$20,0)</f>
        <v>0.0133728737690242</v>
      </c>
      <c r="E69" s="28" t="n">
        <f aca="false">'LW 2026 P&amp;L'!E62</f>
        <v>217</v>
      </c>
      <c r="F69" s="39" t="n">
        <f aca="false">IFERROR(E69/E$20,0)</f>
        <v>0.0121657229354712</v>
      </c>
      <c r="G69" s="28" t="n">
        <f aca="false">'LW 2026 P&amp;L'!G62</f>
        <v>239</v>
      </c>
      <c r="H69" s="39" t="n">
        <f aca="false">IFERROR(G69/G$20,0)</f>
        <v>0.00903523363072736</v>
      </c>
      <c r="I69" s="28" t="n">
        <f aca="false">'LW 2026 P&amp;L'!I62</f>
        <v>331</v>
      </c>
      <c r="J69" s="39" t="n">
        <f aca="false">IFERROR(I69/I$20,0)</f>
        <v>0.0160827948107478</v>
      </c>
      <c r="K69" s="28" t="n">
        <f aca="false">'LW 2026 P&amp;L'!K62</f>
        <v>249</v>
      </c>
      <c r="L69" s="39" t="n">
        <f aca="false">IFERROR(K69/K$20,0)</f>
        <v>0.0100092454878</v>
      </c>
      <c r="M69" s="28" t="n">
        <f aca="false">'LW 2026 P&amp;L'!M62</f>
        <v>271</v>
      </c>
      <c r="N69" s="39" t="n">
        <f aca="false">IFERROR(M69/M$20,0)</f>
        <v>0.0100151520750952</v>
      </c>
      <c r="O69" s="28" t="n">
        <f aca="false">'LW 2026 P&amp;L'!O62</f>
        <v>249</v>
      </c>
      <c r="P69" s="39" t="n">
        <f aca="false">IFERROR(O69/O$20,0)</f>
        <v>0.00970041684522186</v>
      </c>
      <c r="Q69" s="28" t="n">
        <f aca="false">'LW 2026 P&amp;L'!Q62</f>
        <v>249</v>
      </c>
      <c r="R69" s="39" t="n">
        <f aca="false">IFERROR(Q69/Q$20,0)</f>
        <v>0.00825156970372667</v>
      </c>
      <c r="S69" s="28" t="n">
        <f aca="false">'LW 2026 P&amp;L'!S62</f>
        <v>249</v>
      </c>
      <c r="T69" s="39" t="n">
        <f aca="false">IFERROR(S69/S$20,0)</f>
        <v>0.00825156970372667</v>
      </c>
      <c r="U69" s="28" t="n">
        <f aca="false">'LW 2026 P&amp;L'!U62</f>
        <v>249</v>
      </c>
      <c r="V69" s="39" t="n">
        <f aca="false">IFERROR(U69/U$20,0)</f>
        <v>0.00825156970372667</v>
      </c>
      <c r="W69" s="28" t="n">
        <f aca="false">'LW 2026 P&amp;L'!W62</f>
        <v>249</v>
      </c>
      <c r="X69" s="39" t="n">
        <f aca="false">IFERROR(W69/W$20,0)</f>
        <v>0.00825156970372667</v>
      </c>
      <c r="Y69" s="28" t="n">
        <f aca="false">'LW 2026 P&amp;L'!Y62</f>
        <v>249</v>
      </c>
      <c r="Z69" s="39" t="n">
        <f aca="false">IFERROR(Y69/Y$20,0)</f>
        <v>0.00825156970372667</v>
      </c>
      <c r="AB69" s="28" t="n">
        <f aca="false">SUM(C69,E69,G69,I69,K69,M69,O69,Q69,S69,U69,W69,Y69)</f>
        <v>3040</v>
      </c>
      <c r="AC69" s="39" t="n">
        <f aca="false">IFERROR(AB69/AB$20,0)</f>
        <v>0.00976777803881117</v>
      </c>
    </row>
    <row r="70" customFormat="false" ht="15" hidden="false" customHeight="true" outlineLevel="0" collapsed="false">
      <c r="A70" s="31" t="s">
        <v>207</v>
      </c>
      <c r="C70" s="43" t="n">
        <f aca="false">C66-C68-C69</f>
        <v>-15877</v>
      </c>
      <c r="D70" s="44" t="n">
        <f aca="false">IFERROR(C70/C$20,0)</f>
        <v>-0.888372873769024</v>
      </c>
      <c r="E70" s="43" t="n">
        <f aca="false">E66-E68-E69</f>
        <v>-13026</v>
      </c>
      <c r="F70" s="44" t="n">
        <f aca="false">IFERROR(E70/E$20,0)</f>
        <v>-0.730279755564277</v>
      </c>
      <c r="G70" s="43" t="n">
        <f aca="false">G66-G68-G69</f>
        <v>-8709</v>
      </c>
      <c r="H70" s="44" t="n">
        <f aca="false">IFERROR(G70/G$20,0)</f>
        <v>-0.329237864811734</v>
      </c>
      <c r="I70" s="43" t="n">
        <f aca="false">I66-I68-I69</f>
        <v>-12040</v>
      </c>
      <c r="J70" s="44" t="n">
        <f aca="false">IFERROR(I70/I$20,0)</f>
        <v>-0.585005587677955</v>
      </c>
      <c r="K70" s="43" t="n">
        <f aca="false">K66-K68-K69</f>
        <v>-15832</v>
      </c>
      <c r="L70" s="44" t="n">
        <f aca="false">IFERROR(K70/K$20,0)</f>
        <v>-0.636411142822688</v>
      </c>
      <c r="M70" s="43" t="n">
        <f aca="false">M66-M68-M69</f>
        <v>-18916</v>
      </c>
      <c r="N70" s="44" t="n">
        <f aca="false">IFERROR(M70/M$20,0)</f>
        <v>-0.699065006097786</v>
      </c>
      <c r="O70" s="43" t="n">
        <f aca="false">O66-O68-O69</f>
        <v>-13595</v>
      </c>
      <c r="P70" s="44" t="n">
        <f aca="false">IFERROR(O70/O$20,0)</f>
        <v>-0.529627176750166</v>
      </c>
      <c r="Q70" s="43" t="n">
        <f aca="false">Q66-Q68-Q69</f>
        <v>-4222.26581666667</v>
      </c>
      <c r="R70" s="44" t="n">
        <f aca="false">IFERROR(Q70/Q$20,0)</f>
        <v>-0.139920966642118</v>
      </c>
      <c r="S70" s="43" t="n">
        <f aca="false">S66-S68-S69</f>
        <v>-3631.26581666667</v>
      </c>
      <c r="T70" s="44" t="n">
        <f aca="false">IFERROR(S70/S$20,0)</f>
        <v>-0.120335915658574</v>
      </c>
      <c r="U70" s="43" t="n">
        <f aca="false">U66-U68-U69</f>
        <v>-3836.26581666667</v>
      </c>
      <c r="V70" s="44" t="n">
        <f aca="false">IFERROR(U70/U$20,0)</f>
        <v>-0.127129376659634</v>
      </c>
      <c r="W70" s="43" t="n">
        <f aca="false">W66-W68-W69</f>
        <v>-3896.26581666667</v>
      </c>
      <c r="X70" s="44" t="n">
        <f aca="false">IFERROR(W70/W$20,0)</f>
        <v>-0.129117706708725</v>
      </c>
      <c r="Y70" s="43" t="n">
        <f aca="false">Y66-Y68-Y69</f>
        <v>-3787.26581666667</v>
      </c>
      <c r="Z70" s="44" t="n">
        <f aca="false">IFERROR(Y70/Y$20,0)</f>
        <v>-0.12550557378621</v>
      </c>
      <c r="AB70" s="43" t="n">
        <f aca="false">AB66-AB68-AB69</f>
        <v>-117368.329083333</v>
      </c>
      <c r="AC70" s="44" t="n">
        <f aca="false">IFERROR(AB70/AB$20,0)</f>
        <v>-0.377114403707943</v>
      </c>
    </row>
    <row r="72" customFormat="false" ht="15" hidden="false" customHeight="true" outlineLevel="0" collapsed="false">
      <c r="A72" s="21" t="s">
        <v>339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6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148</v>
      </c>
    </row>
    <row r="2" customFormat="false" ht="15" hidden="false" customHeight="true" outlineLevel="0" collapsed="false">
      <c r="A2" s="19" t="s">
        <v>340</v>
      </c>
    </row>
    <row r="3" customFormat="false" ht="15" hidden="false" customHeight="true" outlineLevel="0" collapsed="false">
      <c r="A3" s="19" t="s">
        <v>332</v>
      </c>
    </row>
    <row r="4" customFormat="false" ht="15" hidden="false" customHeight="true" outlineLevel="0" collapsed="false">
      <c r="A4" s="31" t="s">
        <v>333</v>
      </c>
      <c r="C4" s="83" t="n">
        <v>46235</v>
      </c>
      <c r="D4" s="21" t="s">
        <v>334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326</v>
      </c>
      <c r="AC5" s="35"/>
    </row>
    <row r="6" customFormat="false" ht="15" hidden="false" customHeight="true" outlineLevel="0" collapsed="false">
      <c r="C6" s="37" t="s">
        <v>327</v>
      </c>
      <c r="D6" s="37"/>
      <c r="E6" s="37" t="s">
        <v>327</v>
      </c>
      <c r="F6" s="37"/>
      <c r="G6" s="37" t="s">
        <v>327</v>
      </c>
      <c r="H6" s="37"/>
      <c r="I6" s="37" t="s">
        <v>327</v>
      </c>
      <c r="J6" s="37"/>
      <c r="K6" s="37" t="s">
        <v>327</v>
      </c>
      <c r="L6" s="37"/>
      <c r="M6" s="37" t="s">
        <v>327</v>
      </c>
      <c r="N6" s="37"/>
      <c r="O6" s="37" t="s">
        <v>335</v>
      </c>
      <c r="P6" s="37"/>
      <c r="Q6" s="37" t="s">
        <v>335</v>
      </c>
      <c r="R6" s="37"/>
      <c r="S6" s="37" t="s">
        <v>335</v>
      </c>
      <c r="T6" s="37"/>
      <c r="U6" s="37" t="s">
        <v>335</v>
      </c>
      <c r="V6" s="37"/>
      <c r="W6" s="37" t="s">
        <v>335</v>
      </c>
      <c r="X6" s="37"/>
      <c r="Y6" s="37" t="s">
        <v>335</v>
      </c>
      <c r="Z6" s="37"/>
      <c r="AB6" s="37" t="s">
        <v>336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'Vessel 2026 P&amp;L'!C9</f>
        <v>28343</v>
      </c>
      <c r="D12" s="39" t="n">
        <f aca="false">IFERROR(C12/C$20,0)</f>
        <v>0.743559473214754</v>
      </c>
      <c r="E12" s="28" t="n">
        <f aca="false">'Vessel 2026 P&amp;L'!E9</f>
        <v>9119</v>
      </c>
      <c r="F12" s="39" t="n">
        <f aca="false">IFERROR(E12/E$20,0)</f>
        <v>0.546309609393722</v>
      </c>
      <c r="G12" s="28" t="n">
        <f aca="false">'Vessel 2026 P&amp;L'!G9</f>
        <v>21950</v>
      </c>
      <c r="H12" s="39" t="n">
        <f aca="false">IFERROR(G12/G$20,0)</f>
        <v>0.551438261524934</v>
      </c>
      <c r="I12" s="28" t="n">
        <f aca="false">'Vessel 2026 P&amp;L'!I9</f>
        <v>4645</v>
      </c>
      <c r="J12" s="39" t="n">
        <f aca="false">IFERROR(I12/I$20,0)</f>
        <v>0.37079907400016</v>
      </c>
      <c r="K12" s="28" t="n">
        <f aca="false">'Vessel 2026 P&amp;L'!K9</f>
        <v>14241</v>
      </c>
      <c r="L12" s="39" t="n">
        <f aca="false">IFERROR(K12/K$20,0)</f>
        <v>0.347859009746208</v>
      </c>
      <c r="M12" s="28" t="n">
        <f aca="false">'Vessel 2026 P&amp;L'!M9</f>
        <v>15390</v>
      </c>
      <c r="N12" s="39" t="n">
        <f aca="false">IFERROR(M12/M$20,0)</f>
        <v>0.335857538790564</v>
      </c>
      <c r="O12" s="28" t="n">
        <f aca="false">'Vessel 2026 P&amp;L'!O9</f>
        <v>11504</v>
      </c>
      <c r="P12" s="39" t="n">
        <f aca="false">IFERROR(O12/O$20,0)</f>
        <v>0.347868158451769</v>
      </c>
      <c r="Q12" s="28" t="n">
        <f aca="false">'Vessel 2026 P&amp;L'!Q9</f>
        <v>8697</v>
      </c>
      <c r="R12" s="39" t="n">
        <f aca="false">IFERROR(Q12/Q$20,0)</f>
        <v>0.338421129432365</v>
      </c>
      <c r="S12" s="28" t="n">
        <f aca="false">'Vessel 2026 P&amp;L'!S9</f>
        <v>8697</v>
      </c>
      <c r="T12" s="39" t="n">
        <f aca="false">IFERROR(S12/S$20,0)</f>
        <v>0.338421129432365</v>
      </c>
      <c r="U12" s="28" t="n">
        <f aca="false">'Vessel 2026 P&amp;L'!U9</f>
        <v>6957</v>
      </c>
      <c r="V12" s="39" t="n">
        <f aca="false">IFERROR(U12/U$20,0)</f>
        <v>0.33840593633182</v>
      </c>
      <c r="W12" s="28" t="n">
        <f aca="false">'Vessel 2026 P&amp;L'!W9</f>
        <v>6957</v>
      </c>
      <c r="X12" s="39" t="n">
        <f aca="false">IFERROR(W12/W$20,0)</f>
        <v>0.33840593633182</v>
      </c>
      <c r="Y12" s="28" t="n">
        <f aca="false">'Vessel 2026 P&amp;L'!Y9</f>
        <v>12175</v>
      </c>
      <c r="Z12" s="39" t="n">
        <f aca="false">IFERROR(Y12/Y$20,0)</f>
        <v>0.338422409539759</v>
      </c>
      <c r="AB12" s="28" t="n">
        <f aca="false">SUM(C12,E12,G12,I12,K12,M12,O12,Q12,S12,U12,W12,Y12)</f>
        <v>148675</v>
      </c>
      <c r="AC12" s="39" t="n">
        <f aca="false">IFERROR(AB12/AB$20,0)</f>
        <v>0.418256667948092</v>
      </c>
    </row>
    <row r="13" customFormat="false" ht="15" hidden="false" customHeight="true" outlineLevel="0" collapsed="false">
      <c r="A13" s="27" t="s">
        <v>164</v>
      </c>
      <c r="C13" s="28" t="n">
        <f aca="false">'Vessel 2026 P&amp;L'!C10</f>
        <v>5992</v>
      </c>
      <c r="D13" s="39" t="n">
        <f aca="false">IFERROR(C13/C$20,0)</f>
        <v>0.157196075344981</v>
      </c>
      <c r="E13" s="28" t="n">
        <f aca="false">'Vessel 2026 P&amp;L'!E10</f>
        <v>4542</v>
      </c>
      <c r="F13" s="39" t="n">
        <f aca="false">IFERROR(E13/E$20,0)</f>
        <v>0.272106398274623</v>
      </c>
      <c r="G13" s="28" t="n">
        <f aca="false">'Vessel 2026 P&amp;L'!G10</f>
        <v>3907</v>
      </c>
      <c r="H13" s="39" t="n">
        <f aca="false">IFERROR(G13/G$20,0)</f>
        <v>0.0981534983042331</v>
      </c>
      <c r="I13" s="28" t="n">
        <f aca="false">'Vessel 2026 P&amp;L'!I10</f>
        <v>1012</v>
      </c>
      <c r="J13" s="39" t="n">
        <f aca="false">IFERROR(I13/I$20,0)</f>
        <v>0.0807855033128443</v>
      </c>
      <c r="K13" s="28" t="n">
        <f aca="false">'Vessel 2026 P&amp;L'!K10</f>
        <v>2090</v>
      </c>
      <c r="L13" s="39" t="n">
        <f aca="false">IFERROR(K13/K$20,0)</f>
        <v>0.0510515645228266</v>
      </c>
      <c r="M13" s="28" t="n">
        <f aca="false">'Vessel 2026 P&amp;L'!M10</f>
        <v>2193</v>
      </c>
      <c r="N13" s="39" t="n">
        <f aca="false">IFERROR(M13/M$20,0)</f>
        <v>0.0478580625450102</v>
      </c>
      <c r="O13" s="28" t="n">
        <f aca="false">'Vessel 2026 P&amp;L'!O10</f>
        <v>1688</v>
      </c>
      <c r="P13" s="39" t="n">
        <f aca="false">IFERROR(O13/O$20,0)</f>
        <v>0.0510432416087088</v>
      </c>
      <c r="Q13" s="28" t="n">
        <f aca="false">'Vessel 2026 P&amp;L'!Q10</f>
        <v>1276</v>
      </c>
      <c r="R13" s="39" t="n">
        <f aca="false">IFERROR(Q13/Q$20,0)</f>
        <v>0.0496522204387373</v>
      </c>
      <c r="S13" s="28" t="n">
        <f aca="false">'Vessel 2026 P&amp;L'!S10</f>
        <v>1276</v>
      </c>
      <c r="T13" s="39" t="n">
        <f aca="false">IFERROR(S13/S$20,0)</f>
        <v>0.0496522204387373</v>
      </c>
      <c r="U13" s="28" t="n">
        <f aca="false">'Vessel 2026 P&amp;L'!U10</f>
        <v>1021</v>
      </c>
      <c r="V13" s="39" t="n">
        <f aca="false">IFERROR(U13/U$20,0)</f>
        <v>0.0496640018678724</v>
      </c>
      <c r="W13" s="28" t="n">
        <f aca="false">'Vessel 2026 P&amp;L'!W10</f>
        <v>1021</v>
      </c>
      <c r="X13" s="39" t="n">
        <f aca="false">IFERROR(W13/W$20,0)</f>
        <v>0.0496640018678724</v>
      </c>
      <c r="Y13" s="28" t="n">
        <f aca="false">'Vessel 2026 P&amp;L'!Y10</f>
        <v>1786</v>
      </c>
      <c r="Z13" s="39" t="n">
        <f aca="false">IFERROR(Y13/Y$20,0)</f>
        <v>0.0496445522331015</v>
      </c>
      <c r="AB13" s="28" t="n">
        <f aca="false">SUM(C13,E13,G13,I13,K13,M13,O13,Q13,S13,U13,W13,Y13)</f>
        <v>27804</v>
      </c>
      <c r="AC13" s="39" t="n">
        <f aca="false">IFERROR(AB13/AB$20,0)</f>
        <v>0.0782189903859341</v>
      </c>
    </row>
    <row r="14" customFormat="false" ht="15" hidden="false" customHeight="true" outlineLevel="0" collapsed="false">
      <c r="A14" s="27" t="s">
        <v>165</v>
      </c>
      <c r="C14" s="28" t="n">
        <f aca="false">'Vessel 2026 P&amp;L'!C11</f>
        <v>1351</v>
      </c>
      <c r="D14" s="39" t="n">
        <f aca="false">IFERROR(C14/C$20,0)</f>
        <v>0.0354425730625951</v>
      </c>
      <c r="E14" s="28" t="n">
        <f aca="false">'Vessel 2026 P&amp;L'!E11</f>
        <v>2141</v>
      </c>
      <c r="F14" s="39" t="n">
        <f aca="false">IFERROR(E14/E$20,0)</f>
        <v>0.128265037143542</v>
      </c>
      <c r="G14" s="28" t="n">
        <f aca="false">'Vessel 2026 P&amp;L'!G11</f>
        <v>10278</v>
      </c>
      <c r="H14" s="39" t="n">
        <f aca="false">IFERROR(G14/G$20,0)</f>
        <v>0.258208767742746</v>
      </c>
      <c r="I14" s="28" t="n">
        <f aca="false">'Vessel 2026 P&amp;L'!I11</f>
        <v>1836</v>
      </c>
      <c r="J14" s="39" t="n">
        <f aca="false">IFERROR(I14/I$20,0)</f>
        <v>0.146563423006306</v>
      </c>
      <c r="K14" s="28" t="n">
        <f aca="false">'Vessel 2026 P&amp;L'!K11</f>
        <v>5557</v>
      </c>
      <c r="L14" s="39" t="n">
        <f aca="false">IFERROR(K14/K$20,0)</f>
        <v>0.135738537824568</v>
      </c>
      <c r="M14" s="28" t="n">
        <f aca="false">'Vessel 2026 P&amp;L'!M11</f>
        <v>4142</v>
      </c>
      <c r="N14" s="39" t="n">
        <f aca="false">IFERROR(M14/M$20,0)</f>
        <v>0.0903912882177073</v>
      </c>
      <c r="O14" s="28" t="n">
        <f aca="false">'Vessel 2026 P&amp;L'!O11</f>
        <v>4489</v>
      </c>
      <c r="P14" s="39" t="n">
        <f aca="false">IFERROR(O14/O$20,0)</f>
        <v>0.13574236468098</v>
      </c>
      <c r="Q14" s="28" t="n">
        <f aca="false">'Vessel 2026 P&amp;L'!Q11</f>
        <v>3394</v>
      </c>
      <c r="R14" s="39" t="n">
        <f aca="false">IFERROR(Q14/Q$20,0)</f>
        <v>0.132068680383287</v>
      </c>
      <c r="S14" s="28" t="n">
        <f aca="false">'Vessel 2026 P&amp;L'!S11</f>
        <v>3394</v>
      </c>
      <c r="T14" s="39" t="n">
        <f aca="false">IFERROR(S14/S$20,0)</f>
        <v>0.132068680383287</v>
      </c>
      <c r="U14" s="28" t="n">
        <f aca="false">'Vessel 2026 P&amp;L'!U11</f>
        <v>2715</v>
      </c>
      <c r="V14" s="39" t="n">
        <f aca="false">IFERROR(U14/U$20,0)</f>
        <v>0.13206441241065</v>
      </c>
      <c r="W14" s="28" t="n">
        <f aca="false">'Vessel 2026 P&amp;L'!W11</f>
        <v>2715</v>
      </c>
      <c r="X14" s="39" t="n">
        <f aca="false">IFERROR(W14/W$20,0)</f>
        <v>0.13206441241065</v>
      </c>
      <c r="Y14" s="28" t="n">
        <f aca="false">'Vessel 2026 P&amp;L'!Y11</f>
        <v>4751</v>
      </c>
      <c r="Z14" s="39" t="n">
        <f aca="false">IFERROR(Y14/Y$20,0)</f>
        <v>0.132061180100484</v>
      </c>
      <c r="AB14" s="28" t="n">
        <f aca="false">SUM(C14,E14,G14,I14,K14,M14,O14,Q14,S14,U14,W14,Y14)</f>
        <v>46763</v>
      </c>
      <c r="AC14" s="39" t="n">
        <f aca="false">IFERROR(AB14/AB$20,0)</f>
        <v>0.131554979406468</v>
      </c>
    </row>
    <row r="15" customFormat="false" ht="15" hidden="false" customHeight="true" outlineLevel="0" collapsed="false">
      <c r="A15" s="27" t="s">
        <v>166</v>
      </c>
      <c r="C15" s="28" t="n">
        <f aca="false">'Vessel 2026 P&amp;L'!C12</f>
        <v>40</v>
      </c>
      <c r="D15" s="39" t="n">
        <f aca="false">IFERROR(C15/C$20,0)</f>
        <v>0.00104937299963272</v>
      </c>
      <c r="E15" s="28" t="n">
        <f aca="false">'Vessel 2026 P&amp;L'!E12</f>
        <v>0</v>
      </c>
      <c r="F15" s="39" t="n">
        <f aca="false">IFERROR(E15/E$20,0)</f>
        <v>0</v>
      </c>
      <c r="G15" s="28" t="n">
        <f aca="false">'Vessel 2026 P&amp;L'!G12</f>
        <v>187</v>
      </c>
      <c r="H15" s="39" t="n">
        <f aca="false">IFERROR(G15/G$20,0)</f>
        <v>0.00469790227358372</v>
      </c>
      <c r="I15" s="28" t="n">
        <f aca="false">'Vessel 2026 P&amp;L'!I12</f>
        <v>34</v>
      </c>
      <c r="J15" s="39" t="n">
        <f aca="false">IFERROR(I15/I$20,0)</f>
        <v>0.00271413746307975</v>
      </c>
      <c r="K15" s="28" t="n">
        <f aca="false">'Vessel 2026 P&amp;L'!K12</f>
        <v>193</v>
      </c>
      <c r="L15" s="39" t="n">
        <f aca="false">IFERROR(K15/K$20,0)</f>
        <v>0.00471433107794524</v>
      </c>
      <c r="M15" s="28" t="n">
        <f aca="false">'Vessel 2026 P&amp;L'!M12</f>
        <v>525</v>
      </c>
      <c r="N15" s="39" t="n">
        <f aca="false">IFERROR(M15/M$20,0)</f>
        <v>0.0114571285162473</v>
      </c>
      <c r="O15" s="28" t="n">
        <f aca="false">'Vessel 2026 P&amp;L'!O12</f>
        <v>156</v>
      </c>
      <c r="P15" s="39" t="n">
        <f aca="false">IFERROR(O15/O$20,0)</f>
        <v>0.00471726640459631</v>
      </c>
      <c r="Q15" s="28" t="n">
        <f aca="false">'Vessel 2026 P&amp;L'!Q12</f>
        <v>118</v>
      </c>
      <c r="R15" s="39" t="n">
        <f aca="false">IFERROR(Q15/Q$20,0)</f>
        <v>0.00459166301862931</v>
      </c>
      <c r="S15" s="28" t="n">
        <f aca="false">'Vessel 2026 P&amp;L'!S12</f>
        <v>118</v>
      </c>
      <c r="T15" s="39" t="n">
        <f aca="false">IFERROR(S15/S$20,0)</f>
        <v>0.00459166301862931</v>
      </c>
      <c r="U15" s="28" t="n">
        <f aca="false">'Vessel 2026 P&amp;L'!U12</f>
        <v>94</v>
      </c>
      <c r="V15" s="39" t="n">
        <f aca="false">IFERROR(U15/U$20,0)</f>
        <v>0.00457239586246817</v>
      </c>
      <c r="W15" s="28" t="n">
        <f aca="false">'Vessel 2026 P&amp;L'!W12</f>
        <v>94</v>
      </c>
      <c r="X15" s="39" t="n">
        <f aca="false">IFERROR(W15/W$20,0)</f>
        <v>0.00457239586246817</v>
      </c>
      <c r="Y15" s="28" t="n">
        <f aca="false">'Vessel 2026 P&amp;L'!Y12</f>
        <v>165</v>
      </c>
      <c r="Z15" s="39" t="n">
        <f aca="false">IFERROR(Y15/Y$20,0)</f>
        <v>0.00458642279869079</v>
      </c>
      <c r="AB15" s="28" t="n">
        <f aca="false">SUM(C15,E15,G15,I15,K15,M15,O15,Q15,S15,U15,W15,Y15)</f>
        <v>1724</v>
      </c>
      <c r="AC15" s="39" t="n">
        <f aca="false">IFERROR(AB15/AB$20,0)</f>
        <v>0.00485000501457885</v>
      </c>
    </row>
    <row r="16" customFormat="false" ht="15" hidden="false" customHeight="true" outlineLevel="0" collapsed="false">
      <c r="A16" s="27" t="s">
        <v>167</v>
      </c>
      <c r="C16" s="28" t="n">
        <f aca="false">'Vessel 2026 P&amp;L'!C13</f>
        <v>758</v>
      </c>
      <c r="D16" s="39" t="n">
        <f aca="false">IFERROR(C16/C$20,0)</f>
        <v>0.01988561834304</v>
      </c>
      <c r="E16" s="28" t="n">
        <f aca="false">'Vessel 2026 P&amp;L'!E13</f>
        <v>471</v>
      </c>
      <c r="F16" s="39" t="n">
        <f aca="false">IFERROR(E16/E$20,0)</f>
        <v>0.0282171099928109</v>
      </c>
      <c r="G16" s="28" t="n">
        <f aca="false">'Vessel 2026 P&amp;L'!G13</f>
        <v>729</v>
      </c>
      <c r="H16" s="39" t="n">
        <f aca="false">IFERROR(G16/G$20,0)</f>
        <v>0.0183142821253611</v>
      </c>
      <c r="I16" s="28" t="n">
        <f aca="false">'Vessel 2026 P&amp;L'!I13</f>
        <v>426</v>
      </c>
      <c r="J16" s="39" t="n">
        <f aca="false">IFERROR(I16/I$20,0)</f>
        <v>0.0340065458609404</v>
      </c>
      <c r="K16" s="28" t="n">
        <f aca="false">'Vessel 2026 P&amp;L'!K13</f>
        <v>770</v>
      </c>
      <c r="L16" s="39" t="n">
        <f aca="false">IFERROR(K16/K$20,0)</f>
        <v>0.0188084711399888</v>
      </c>
      <c r="M16" s="28" t="n">
        <f aca="false">'Vessel 2026 P&amp;L'!M13</f>
        <v>434</v>
      </c>
      <c r="N16" s="39" t="n">
        <f aca="false">IFERROR(M16/M$20,0)</f>
        <v>0.00947122624009777</v>
      </c>
      <c r="O16" s="28" t="n">
        <f aca="false">'Vessel 2026 P&amp;L'!O13</f>
        <v>622</v>
      </c>
      <c r="P16" s="39" t="n">
        <f aca="false">IFERROR(O16/O$20,0)</f>
        <v>0.0188085878439673</v>
      </c>
      <c r="Q16" s="28" t="n">
        <f aca="false">'Vessel 2026 P&amp;L'!Q13</f>
        <v>470</v>
      </c>
      <c r="R16" s="39" t="n">
        <f aca="false">IFERROR(Q16/Q$20,0)</f>
        <v>0.0182888272775913</v>
      </c>
      <c r="S16" s="28" t="n">
        <f aca="false">'Vessel 2026 P&amp;L'!S13</f>
        <v>470</v>
      </c>
      <c r="T16" s="39" t="n">
        <f aca="false">IFERROR(S16/S$20,0)</f>
        <v>0.0182888272775913</v>
      </c>
      <c r="U16" s="28" t="n">
        <f aca="false">'Vessel 2026 P&amp;L'!U13</f>
        <v>376</v>
      </c>
      <c r="V16" s="39" t="n">
        <f aca="false">IFERROR(U16/U$20,0)</f>
        <v>0.0182895834498727</v>
      </c>
      <c r="W16" s="28" t="n">
        <f aca="false">'Vessel 2026 P&amp;L'!W13</f>
        <v>376</v>
      </c>
      <c r="X16" s="39" t="n">
        <f aca="false">IFERROR(W16/W$20,0)</f>
        <v>0.0182895834498727</v>
      </c>
      <c r="Y16" s="28" t="n">
        <f aca="false">'Vessel 2026 P&amp;L'!Y13</f>
        <v>658</v>
      </c>
      <c r="Z16" s="39" t="n">
        <f aca="false">IFERROR(Y16/Y$20,0)</f>
        <v>0.0182900981911426</v>
      </c>
      <c r="AB16" s="28" t="n">
        <f aca="false">SUM(C16,E16,G16,I16,K16,M16,O16,Q16,S16,U16,W16,Y16)</f>
        <v>6560</v>
      </c>
      <c r="AC16" s="39" t="n">
        <f aca="false">IFERROR(AB16/AB$20,0)</f>
        <v>0.0184547754615065</v>
      </c>
    </row>
    <row r="17" customFormat="false" ht="15" hidden="false" customHeight="true" outlineLevel="0" collapsed="false">
      <c r="A17" s="27" t="s">
        <v>337</v>
      </c>
      <c r="C17" s="28" t="n">
        <v>0</v>
      </c>
      <c r="D17" s="39" t="n">
        <f aca="false">IFERROR(C17/C$20,0)</f>
        <v>0</v>
      </c>
      <c r="E17" s="28" t="n">
        <v>0</v>
      </c>
      <c r="F17" s="39" t="n">
        <f aca="false">IFERROR(E17/E$20,0)</f>
        <v>0</v>
      </c>
      <c r="G17" s="28" t="n">
        <v>0</v>
      </c>
      <c r="H17" s="39" t="n">
        <f aca="false">IFERROR(G17/G$20,0)</f>
        <v>0</v>
      </c>
      <c r="I17" s="28" t="n">
        <v>0</v>
      </c>
      <c r="J17" s="39" t="n">
        <f aca="false">IFERROR(I17/I$20,0)</f>
        <v>0</v>
      </c>
      <c r="K17" s="28" t="n">
        <v>0</v>
      </c>
      <c r="L17" s="39" t="n">
        <f aca="false">IFERROR(K17/K$20,0)</f>
        <v>0</v>
      </c>
      <c r="M17" s="28" t="n">
        <v>0</v>
      </c>
      <c r="N17" s="39" t="n">
        <f aca="false">IFERROR(M17/M$20,0)</f>
        <v>0</v>
      </c>
      <c r="O17" s="28" t="n">
        <v>0</v>
      </c>
      <c r="P17" s="39" t="n">
        <f aca="false">IFERROR(O17/O$20,0)</f>
        <v>0</v>
      </c>
      <c r="Q17" s="28" t="n">
        <v>0</v>
      </c>
      <c r="R17" s="39" t="n">
        <f aca="false">IFERROR(Q17/Q$20,0)</f>
        <v>0</v>
      </c>
      <c r="S17" s="28" t="n">
        <v>0</v>
      </c>
      <c r="T17" s="39" t="n">
        <f aca="false">IFERROR(S17/S$20,0)</f>
        <v>0</v>
      </c>
      <c r="U17" s="28" t="n">
        <v>0</v>
      </c>
      <c r="V17" s="39" t="n">
        <f aca="false">IFERROR(U17/U$20,0)</f>
        <v>0</v>
      </c>
      <c r="W17" s="28" t="n">
        <v>0</v>
      </c>
      <c r="X17" s="39" t="n">
        <f aca="false">IFERROR(W17/W$20,0)</f>
        <v>0</v>
      </c>
      <c r="Y17" s="28" t="n">
        <v>0</v>
      </c>
      <c r="Z17" s="39" t="n">
        <f aca="false">IFERROR(Y17/Y$20,0)</f>
        <v>0</v>
      </c>
      <c r="AB17" s="28" t="n">
        <f aca="false">SUM(C17,E17,G17,I17,K17,M17,O17,Q17,S17,U17,W17,Y17)</f>
        <v>0</v>
      </c>
      <c r="AC17" s="39" t="n">
        <f aca="false">IFERROR(AB17/AB$20,0)</f>
        <v>0</v>
      </c>
    </row>
    <row r="18" customFormat="false" ht="15" hidden="false" customHeight="true" outlineLevel="0" collapsed="false">
      <c r="A18" s="27" t="s">
        <v>341</v>
      </c>
      <c r="C18" s="28" t="n">
        <f aca="false">IF(1&gt;=MONTH($C$4),'Vessel 2026 P&amp;L'!C14+SUM(C12:C16)*'Vessel Assumptions'!$C$32,'Vessel 2026 P&amp;L'!C14)</f>
        <v>3280</v>
      </c>
      <c r="D18" s="39" t="n">
        <f aca="false">IFERROR(C18/C$20,0)</f>
        <v>0.086048585969883</v>
      </c>
      <c r="E18" s="28" t="n">
        <f aca="false">IF(2&gt;=MONTH($C$4),'Vessel 2026 P&amp;L'!E14+SUM(E12:E16)*'Vessel Assumptions'!$C$32,'Vessel 2026 P&amp;L'!E14)</f>
        <v>419</v>
      </c>
      <c r="F18" s="39" t="n">
        <f aca="false">IFERROR(E18/E$20,0)</f>
        <v>0.0251018451953031</v>
      </c>
      <c r="G18" s="28" t="n">
        <f aca="false">IF(3&gt;=MONTH($C$4),'Vessel 2026 P&amp;L'!G14+SUM(G12:G16)*'Vessel Assumptions'!$C$32,'Vessel 2026 P&amp;L'!G14)</f>
        <v>2754</v>
      </c>
      <c r="H18" s="39" t="n">
        <f aca="false">IFERROR(G18/G$20,0)</f>
        <v>0.0691872880291421</v>
      </c>
      <c r="I18" s="28" t="n">
        <f aca="false">IF(4&gt;=MONTH($C$4),'Vessel 2026 P&amp;L'!I14+SUM(I12:I16)*'Vessel Assumptions'!$C$32,'Vessel 2026 P&amp;L'!I14)</f>
        <v>4574</v>
      </c>
      <c r="J18" s="39" t="n">
        <f aca="false">IFERROR(I18/I$20,0)</f>
        <v>0.36513131635667</v>
      </c>
      <c r="K18" s="28" t="n">
        <f aca="false">IF(5&gt;=MONTH($C$4),'Vessel 2026 P&amp;L'!K14+SUM(K12:K16)*'Vessel Assumptions'!$C$32,'Vessel 2026 P&amp;L'!K14)</f>
        <v>18088</v>
      </c>
      <c r="L18" s="39" t="n">
        <f aca="false">IFERROR(K18/K$20,0)</f>
        <v>0.441828085688463</v>
      </c>
      <c r="M18" s="28" t="n">
        <f aca="false">IF(6&gt;=MONTH($C$4),'Vessel 2026 P&amp;L'!M14+SUM(M12:M16)*'Vessel Assumptions'!$C$32,'Vessel 2026 P&amp;L'!M14)</f>
        <v>23139</v>
      </c>
      <c r="N18" s="39" t="n">
        <f aca="false">IFERROR(M18/M$20,0)</f>
        <v>0.504964755690374</v>
      </c>
      <c r="O18" s="28" t="n">
        <f aca="false">IF(7&gt;=MONTH($C$4),'Vessel 2026 P&amp;L'!O14+SUM(O12:O16)*'Vessel Assumptions'!$C$32,'Vessel 2026 P&amp;L'!O14)</f>
        <v>14611</v>
      </c>
      <c r="P18" s="39" t="n">
        <f aca="false">IFERROR(O18/O$20,0)</f>
        <v>0.441820381009979</v>
      </c>
      <c r="Q18" s="28" t="n">
        <f aca="false">IF(8&gt;=MONTH($C$4),'Vessel 2026 P&amp;L'!Q14+SUM(Q12:Q16)*'Vessel Assumptions'!$C$32,'Vessel 2026 P&amp;L'!Q14)</f>
        <v>11743.75</v>
      </c>
      <c r="R18" s="39" t="n">
        <f aca="false">IFERROR(Q18/Q$20,0)</f>
        <v>0.45697747944939</v>
      </c>
      <c r="S18" s="28" t="n">
        <f aca="false">IF(9&gt;=MONTH($C$4),'Vessel 2026 P&amp;L'!S14+SUM(S12:S16)*'Vessel Assumptions'!$C$32,'Vessel 2026 P&amp;L'!S14)</f>
        <v>11743.75</v>
      </c>
      <c r="T18" s="39" t="n">
        <f aca="false">IFERROR(S18/S$20,0)</f>
        <v>0.45697747944939</v>
      </c>
      <c r="U18" s="28" t="n">
        <f aca="false">IF(10&gt;=MONTH($C$4),'Vessel 2026 P&amp;L'!U14+SUM(U12:U16)*'Vessel Assumptions'!$C$32,'Vessel 2026 P&amp;L'!U14)</f>
        <v>9395.15</v>
      </c>
      <c r="V18" s="39" t="n">
        <f aca="false">IFERROR(U18/U$20,0)</f>
        <v>0.457003670077317</v>
      </c>
      <c r="W18" s="28" t="n">
        <f aca="false">IF(11&gt;=MONTH($C$4),'Vessel 2026 P&amp;L'!W14+SUM(W12:W16)*'Vessel Assumptions'!$C$32,'Vessel 2026 P&amp;L'!W14)</f>
        <v>9395.15</v>
      </c>
      <c r="X18" s="39" t="n">
        <f aca="false">IFERROR(W18/W$20,0)</f>
        <v>0.457003670077317</v>
      </c>
      <c r="Y18" s="28" t="n">
        <f aca="false">IF(12&gt;=MONTH($C$4),'Vessel 2026 P&amp;L'!Y14+SUM(Y12:Y16)*'Vessel Assumptions'!$C$32,'Vessel 2026 P&amp;L'!Y14)</f>
        <v>16440.75</v>
      </c>
      <c r="Z18" s="39" t="n">
        <f aca="false">IFERROR(Y18/Y$20,0)</f>
        <v>0.456995337136821</v>
      </c>
      <c r="AB18" s="28" t="n">
        <f aca="false">SUM(C18,E18,G18,I18,K18,M18,O18,Q18,S18,U18,W18,Y18)</f>
        <v>125583.55</v>
      </c>
      <c r="AC18" s="39" t="n">
        <f aca="false">IFERROR(AB18/AB$20,0)</f>
        <v>0.353295155016597</v>
      </c>
    </row>
    <row r="19" customFormat="false" ht="15" hidden="false" customHeight="true" outlineLevel="0" collapsed="false">
      <c r="A19" s="27" t="s">
        <v>170</v>
      </c>
      <c r="C19" s="28" t="n">
        <f aca="false">'Vessel 2026 P&amp;L'!C15</f>
        <v>-1646</v>
      </c>
      <c r="D19" s="39" t="n">
        <f aca="false">IFERROR(C19/C$20,0)</f>
        <v>-0.0431816989348864</v>
      </c>
      <c r="E19" s="28" t="n">
        <f aca="false">'Vessel 2026 P&amp;L'!E15</f>
        <v>0</v>
      </c>
      <c r="F19" s="39" t="n">
        <f aca="false">IFERROR(E19/E$20,0)</f>
        <v>0</v>
      </c>
      <c r="G19" s="28" t="n">
        <f aca="false">'Vessel 2026 P&amp;L'!G15</f>
        <v>0</v>
      </c>
      <c r="H19" s="39" t="n">
        <f aca="false">IFERROR(G19/G$20,0)</f>
        <v>0</v>
      </c>
      <c r="I19" s="28" t="n">
        <f aca="false">'Vessel 2026 P&amp;L'!I15</f>
        <v>0</v>
      </c>
      <c r="J19" s="39" t="n">
        <f aca="false">IFERROR(I19/I$20,0)</f>
        <v>0</v>
      </c>
      <c r="K19" s="28" t="n">
        <f aca="false">'Vessel 2026 P&amp;L'!K15</f>
        <v>0</v>
      </c>
      <c r="L19" s="39" t="n">
        <f aca="false">IFERROR(K19/K$20,0)</f>
        <v>0</v>
      </c>
      <c r="M19" s="28" t="n">
        <f aca="false">'Vessel 2026 P&amp;L'!M15</f>
        <v>0</v>
      </c>
      <c r="N19" s="39" t="n">
        <f aca="false">IFERROR(M19/M$20,0)</f>
        <v>0</v>
      </c>
      <c r="O19" s="28" t="n">
        <f aca="false">'Vessel 2026 P&amp;L'!O15</f>
        <v>0</v>
      </c>
      <c r="P19" s="39" t="n">
        <f aca="false">IFERROR(O19/O$20,0)</f>
        <v>0</v>
      </c>
      <c r="Q19" s="28" t="n">
        <f aca="false">'Vessel 2026 P&amp;L'!Q15</f>
        <v>0</v>
      </c>
      <c r="R19" s="39" t="n">
        <f aca="false">IFERROR(Q19/Q$20,0)</f>
        <v>0</v>
      </c>
      <c r="S19" s="28" t="n">
        <f aca="false">'Vessel 2026 P&amp;L'!S15</f>
        <v>0</v>
      </c>
      <c r="T19" s="39" t="n">
        <f aca="false">IFERROR(S19/S$20,0)</f>
        <v>0</v>
      </c>
      <c r="U19" s="28" t="n">
        <f aca="false">'Vessel 2026 P&amp;L'!U15</f>
        <v>0</v>
      </c>
      <c r="V19" s="39" t="n">
        <f aca="false">IFERROR(U19/U$20,0)</f>
        <v>0</v>
      </c>
      <c r="W19" s="28" t="n">
        <f aca="false">'Vessel 2026 P&amp;L'!W15</f>
        <v>0</v>
      </c>
      <c r="X19" s="39" t="n">
        <f aca="false">IFERROR(W19/W$20,0)</f>
        <v>0</v>
      </c>
      <c r="Y19" s="28" t="n">
        <f aca="false">'Vessel 2026 P&amp;L'!Y15</f>
        <v>0</v>
      </c>
      <c r="Z19" s="39" t="n">
        <f aca="false">IFERROR(Y19/Y$20,0)</f>
        <v>0</v>
      </c>
      <c r="AB19" s="28" t="n">
        <f aca="false">SUM(C19,E19,G19,I19,K19,M19,O19,Q19,S19,U19,W19,Y19)</f>
        <v>-1646</v>
      </c>
      <c r="AC19" s="39" t="n">
        <f aca="false">IFERROR(AB19/AB$20,0)</f>
        <v>-0.00463057323317679</v>
      </c>
    </row>
    <row r="20" customFormat="false" ht="15" hidden="false" customHeight="true" outlineLevel="0" collapsed="false">
      <c r="A20" s="31" t="s">
        <v>128</v>
      </c>
      <c r="C20" s="32" t="n">
        <f aca="false">SUM(C12:C19)</f>
        <v>38118</v>
      </c>
      <c r="D20" s="40" t="n">
        <f aca="false">IFERROR(C20/C$20,0)</f>
        <v>1</v>
      </c>
      <c r="E20" s="32" t="n">
        <f aca="false">SUM(E12:E19)</f>
        <v>16692</v>
      </c>
      <c r="F20" s="40" t="n">
        <f aca="false">IFERROR(E20/E$20,0)</f>
        <v>1</v>
      </c>
      <c r="G20" s="32" t="n">
        <f aca="false">SUM(G12:G19)</f>
        <v>39805</v>
      </c>
      <c r="H20" s="40" t="n">
        <f aca="false">IFERROR(G20/G$20,0)</f>
        <v>1</v>
      </c>
      <c r="I20" s="32" t="n">
        <f aca="false">SUM(I12:I19)</f>
        <v>12527</v>
      </c>
      <c r="J20" s="40" t="n">
        <f aca="false">IFERROR(I20/I$20,0)</f>
        <v>1</v>
      </c>
      <c r="K20" s="32" t="n">
        <f aca="false">SUM(K12:K19)</f>
        <v>40939</v>
      </c>
      <c r="L20" s="40" t="n">
        <f aca="false">IFERROR(K20/K$20,0)</f>
        <v>1</v>
      </c>
      <c r="M20" s="32" t="n">
        <f aca="false">SUM(M12:M19)</f>
        <v>45823</v>
      </c>
      <c r="N20" s="40" t="n">
        <f aca="false">IFERROR(M20/M$20,0)</f>
        <v>1</v>
      </c>
      <c r="O20" s="32" t="n">
        <f aca="false">SUM(O12:O19)</f>
        <v>33070</v>
      </c>
      <c r="P20" s="40" t="n">
        <f aca="false">IFERROR(O20/O$20,0)</f>
        <v>1</v>
      </c>
      <c r="Q20" s="32" t="n">
        <f aca="false">SUM(Q12:Q19)</f>
        <v>25698.75</v>
      </c>
      <c r="R20" s="40" t="n">
        <f aca="false">IFERROR(Q20/Q$20,0)</f>
        <v>1</v>
      </c>
      <c r="S20" s="32" t="n">
        <f aca="false">SUM(S12:S19)</f>
        <v>25698.75</v>
      </c>
      <c r="T20" s="40" t="n">
        <f aca="false">IFERROR(S20/S$20,0)</f>
        <v>1</v>
      </c>
      <c r="U20" s="32" t="n">
        <f aca="false">SUM(U12:U19)</f>
        <v>20558.15</v>
      </c>
      <c r="V20" s="40" t="n">
        <f aca="false">IFERROR(U20/U$20,0)</f>
        <v>1</v>
      </c>
      <c r="W20" s="32" t="n">
        <f aca="false">SUM(W12:W19)</f>
        <v>20558.15</v>
      </c>
      <c r="X20" s="40" t="n">
        <f aca="false">IFERROR(W20/W$20,0)</f>
        <v>1</v>
      </c>
      <c r="Y20" s="32" t="n">
        <f aca="false">SUM(Y12:Y19)</f>
        <v>35975.75</v>
      </c>
      <c r="Z20" s="40" t="n">
        <f aca="false">IFERROR(Y20/Y$20,0)</f>
        <v>1</v>
      </c>
      <c r="AB20" s="32" t="n">
        <f aca="false">SUM(AB12:AB19)</f>
        <v>355463.55</v>
      </c>
      <c r="AC20" s="40" t="n">
        <f aca="false">IFERROR(AB20/AB$20,0)</f>
        <v>1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'Vessel 2026 P&amp;L'!C19</f>
        <v>18631</v>
      </c>
      <c r="D23" s="39" t="n">
        <f aca="false">IFERROR(C23/C$12,0)</f>
        <v>0.657340436792153</v>
      </c>
      <c r="E23" s="28" t="n">
        <f aca="false">'Vessel 2026 P&amp;L'!E19</f>
        <v>8386</v>
      </c>
      <c r="F23" s="39" t="n">
        <f aca="false">IFERROR(E23/E$12,0)</f>
        <v>0.919618379208247</v>
      </c>
      <c r="G23" s="28" t="n">
        <f aca="false">'Vessel 2026 P&amp;L'!G19</f>
        <v>14740</v>
      </c>
      <c r="H23" s="39" t="n">
        <f aca="false">IFERROR(G23/G$12,0)</f>
        <v>0.671526195899772</v>
      </c>
      <c r="I23" s="28" t="n">
        <f aca="false">'Vessel 2026 P&amp;L'!I19</f>
        <v>4280</v>
      </c>
      <c r="J23" s="39" t="n">
        <f aca="false">IFERROR(I23/I$12,0)</f>
        <v>0.921420882669537</v>
      </c>
      <c r="K23" s="28" t="n">
        <f aca="false">'Vessel 2026 P&amp;L'!K19</f>
        <v>11232</v>
      </c>
      <c r="L23" s="39" t="n">
        <f aca="false">IFERROR(K23/K$12,0)</f>
        <v>0.788708658099853</v>
      </c>
      <c r="M23" s="28" t="n">
        <f aca="false">'Vessel 2026 P&amp;L'!M19</f>
        <v>10735</v>
      </c>
      <c r="N23" s="39" t="n">
        <f aca="false">IFERROR(M23/M$12,0)</f>
        <v>0.697530864197531</v>
      </c>
      <c r="O23" s="28" t="n">
        <f aca="false">'Vessel 2026 P&amp;L'!O19</f>
        <v>7478</v>
      </c>
      <c r="P23" s="39" t="n">
        <f aca="false">IFERROR(O23/O$12,0)</f>
        <v>0.650034770514604</v>
      </c>
      <c r="Q23" s="28" t="n">
        <f aca="false">'Vessel 2026 P&amp;L'!Q19</f>
        <v>5653</v>
      </c>
      <c r="R23" s="39" t="n">
        <f aca="false">IFERROR(Q23/Q$12,0)</f>
        <v>0.649994250891112</v>
      </c>
      <c r="S23" s="28" t="n">
        <f aca="false">'Vessel 2026 P&amp;L'!S19</f>
        <v>5653</v>
      </c>
      <c r="T23" s="39" t="n">
        <f aca="false">IFERROR(S23/S$12,0)</f>
        <v>0.649994250891112</v>
      </c>
      <c r="U23" s="28" t="n">
        <f aca="false">'Vessel 2026 P&amp;L'!U19</f>
        <v>4522</v>
      </c>
      <c r="V23" s="39" t="n">
        <f aca="false">IFERROR(U23/U$12,0)</f>
        <v>0.649992812994107</v>
      </c>
      <c r="W23" s="28" t="n">
        <f aca="false">'Vessel 2026 P&amp;L'!W19</f>
        <v>4522</v>
      </c>
      <c r="X23" s="39" t="n">
        <f aca="false">IFERROR(W23/W$12,0)</f>
        <v>0.649992812994107</v>
      </c>
      <c r="Y23" s="28" t="n">
        <f aca="false">'Vessel 2026 P&amp;L'!Y19</f>
        <v>7914</v>
      </c>
      <c r="Z23" s="39" t="n">
        <f aca="false">IFERROR(Y23/Y$12,0)</f>
        <v>0.650020533880904</v>
      </c>
      <c r="AB23" s="28" t="n">
        <f aca="false">SUM(C23,E23,G23,I23,K23,M23,O23,Q23,S23,U23,W23,Y23)</f>
        <v>103746</v>
      </c>
      <c r="AC23" s="39" t="n">
        <f aca="false">IFERROR(AB23/AB$12,0)</f>
        <v>0.69780393475702</v>
      </c>
    </row>
    <row r="24" customFormat="false" ht="15" hidden="false" customHeight="true" outlineLevel="0" collapsed="false">
      <c r="A24" s="27" t="s">
        <v>173</v>
      </c>
      <c r="C24" s="28" t="n">
        <f aca="false">'Vessel 2026 P&amp;L'!C20</f>
        <v>1198</v>
      </c>
      <c r="D24" s="39" t="n">
        <f aca="false">IFERROR(C24/C$13,0)</f>
        <v>0.199933244325768</v>
      </c>
      <c r="E24" s="28" t="n">
        <f aca="false">'Vessel 2026 P&amp;L'!E20</f>
        <v>895</v>
      </c>
      <c r="F24" s="39" t="n">
        <f aca="false">IFERROR(E24/E$13,0)</f>
        <v>0.19704975781594</v>
      </c>
      <c r="G24" s="28" t="n">
        <f aca="false">'Vessel 2026 P&amp;L'!G20</f>
        <v>1888</v>
      </c>
      <c r="H24" s="39" t="n">
        <f aca="false">IFERROR(G24/G$13,0)</f>
        <v>0.483235218837983</v>
      </c>
      <c r="I24" s="28" t="n">
        <f aca="false">'Vessel 2026 P&amp;L'!I20</f>
        <v>0</v>
      </c>
      <c r="J24" s="39" t="n">
        <f aca="false">IFERROR(I24/I$13,0)</f>
        <v>0</v>
      </c>
      <c r="K24" s="28" t="n">
        <f aca="false">'Vessel 2026 P&amp;L'!K20</f>
        <v>0</v>
      </c>
      <c r="L24" s="39" t="n">
        <f aca="false">IFERROR(K24/K$13,0)</f>
        <v>0</v>
      </c>
      <c r="M24" s="28" t="n">
        <f aca="false">'Vessel 2026 P&amp;L'!M20</f>
        <v>0</v>
      </c>
      <c r="N24" s="39" t="n">
        <f aca="false">IFERROR(M24/M$13,0)</f>
        <v>0</v>
      </c>
      <c r="O24" s="28" t="n">
        <f aca="false">'Vessel 2026 P&amp;L'!O20</f>
        <v>506</v>
      </c>
      <c r="P24" s="39" t="n">
        <f aca="false">IFERROR(O24/O$13,0)</f>
        <v>0.299763033175355</v>
      </c>
      <c r="Q24" s="28" t="n">
        <f aca="false">'Vessel 2026 P&amp;L'!Q20</f>
        <v>383</v>
      </c>
      <c r="R24" s="39" t="n">
        <f aca="false">IFERROR(Q24/Q$13,0)</f>
        <v>0.300156739811912</v>
      </c>
      <c r="S24" s="28" t="n">
        <f aca="false">'Vessel 2026 P&amp;L'!S20</f>
        <v>383</v>
      </c>
      <c r="T24" s="39" t="n">
        <f aca="false">IFERROR(S24/S$13,0)</f>
        <v>0.300156739811912</v>
      </c>
      <c r="U24" s="28" t="n">
        <f aca="false">'Vessel 2026 P&amp;L'!U20</f>
        <v>306</v>
      </c>
      <c r="V24" s="39" t="n">
        <f aca="false">IFERROR(U24/U$13,0)</f>
        <v>0.299706170421156</v>
      </c>
      <c r="W24" s="28" t="n">
        <f aca="false">'Vessel 2026 P&amp;L'!W20</f>
        <v>306</v>
      </c>
      <c r="X24" s="39" t="n">
        <f aca="false">IFERROR(W24/W$13,0)</f>
        <v>0.299706170421156</v>
      </c>
      <c r="Y24" s="28" t="n">
        <f aca="false">'Vessel 2026 P&amp;L'!Y20</f>
        <v>536</v>
      </c>
      <c r="Z24" s="39" t="n">
        <f aca="false">IFERROR(Y24/Y$13,0)</f>
        <v>0.300111982082867</v>
      </c>
      <c r="AB24" s="28" t="n">
        <f aca="false">SUM(C24,E24,G24,I24,K24,M24,O24,Q24,S24,U24,W24,Y24)</f>
        <v>6401</v>
      </c>
      <c r="AC24" s="39" t="n">
        <f aca="false">IFERROR(AB24/AB$13,0)</f>
        <v>0.230218673572148</v>
      </c>
    </row>
    <row r="25" customFormat="false" ht="15" hidden="false" customHeight="true" outlineLevel="0" collapsed="false">
      <c r="A25" s="27" t="s">
        <v>174</v>
      </c>
      <c r="C25" s="28" t="n">
        <f aca="false">'Vessel 2026 P&amp;L'!C21</f>
        <v>243</v>
      </c>
      <c r="D25" s="39" t="n">
        <f aca="false">IFERROR(C25/C$14,0)</f>
        <v>0.179866765358993</v>
      </c>
      <c r="E25" s="28" t="n">
        <f aca="false">'Vessel 2026 P&amp;L'!E21</f>
        <v>931</v>
      </c>
      <c r="F25" s="39" t="n">
        <f aca="false">IFERROR(E25/E$14,0)</f>
        <v>0.434843531060252</v>
      </c>
      <c r="G25" s="28" t="n">
        <f aca="false">'Vessel 2026 P&amp;L'!G21</f>
        <v>723</v>
      </c>
      <c r="H25" s="39" t="n">
        <f aca="false">IFERROR(G25/G$14,0)</f>
        <v>0.0703444249854057</v>
      </c>
      <c r="I25" s="28" t="n">
        <f aca="false">'Vessel 2026 P&amp;L'!I21</f>
        <v>0</v>
      </c>
      <c r="J25" s="39" t="n">
        <f aca="false">IFERROR(I25/I$14,0)</f>
        <v>0</v>
      </c>
      <c r="K25" s="28" t="n">
        <f aca="false">'Vessel 2026 P&amp;L'!K21</f>
        <v>1308</v>
      </c>
      <c r="L25" s="39" t="n">
        <f aca="false">IFERROR(K25/K$14,0)</f>
        <v>0.235378801511607</v>
      </c>
      <c r="M25" s="28" t="n">
        <f aca="false">'Vessel 2026 P&amp;L'!M21</f>
        <v>5238</v>
      </c>
      <c r="N25" s="39" t="n">
        <f aca="false">IFERROR(M25/M$14,0)</f>
        <v>1.2646064703042</v>
      </c>
      <c r="O25" s="28" t="n">
        <f aca="false">'Vessel 2026 P&amp;L'!O21</f>
        <v>0</v>
      </c>
      <c r="P25" s="39" t="n">
        <f aca="false">IFERROR(O25/O$14,0)</f>
        <v>0</v>
      </c>
      <c r="Q25" s="28" t="n">
        <f aca="false">'Vessel 2026 P&amp;L'!Q21</f>
        <v>0</v>
      </c>
      <c r="R25" s="39" t="n">
        <f aca="false">IFERROR(Q25/Q$14,0)</f>
        <v>0</v>
      </c>
      <c r="S25" s="28" t="n">
        <f aca="false">'Vessel 2026 P&amp;L'!S21</f>
        <v>0</v>
      </c>
      <c r="T25" s="39" t="n">
        <f aca="false">IFERROR(S25/S$14,0)</f>
        <v>0</v>
      </c>
      <c r="U25" s="28" t="n">
        <f aca="false">'Vessel 2026 P&amp;L'!U21</f>
        <v>0</v>
      </c>
      <c r="V25" s="39" t="n">
        <f aca="false">IFERROR(U25/U$14,0)</f>
        <v>0</v>
      </c>
      <c r="W25" s="28" t="n">
        <f aca="false">'Vessel 2026 P&amp;L'!W21</f>
        <v>0</v>
      </c>
      <c r="X25" s="39" t="n">
        <f aca="false">IFERROR(W25/W$14,0)</f>
        <v>0</v>
      </c>
      <c r="Y25" s="28" t="n">
        <f aca="false">'Vessel 2026 P&amp;L'!Y21</f>
        <v>0</v>
      </c>
      <c r="Z25" s="39" t="n">
        <f aca="false">IFERROR(Y25/Y$14,0)</f>
        <v>0</v>
      </c>
      <c r="AB25" s="28" t="n">
        <f aca="false">SUM(C25,E25,G25,I25,K25,M25,O25,Q25,S25,U25,W25,Y25)</f>
        <v>8443</v>
      </c>
      <c r="AC25" s="39" t="n">
        <f aca="false">IFERROR(AB25/AB$14,0)</f>
        <v>0.180548724418878</v>
      </c>
    </row>
    <row r="26" customFormat="false" ht="15" hidden="false" customHeight="true" outlineLevel="0" collapsed="false">
      <c r="A26" s="27" t="s">
        <v>175</v>
      </c>
      <c r="C26" s="28" t="n">
        <f aca="false">'Vessel 2026 P&amp;L'!C22</f>
        <v>8</v>
      </c>
      <c r="D26" s="39" t="n">
        <f aca="false">IFERROR(C26/C$15,0)</f>
        <v>0.2</v>
      </c>
      <c r="E26" s="28" t="n">
        <f aca="false">'Vessel 2026 P&amp;L'!E22</f>
        <v>707</v>
      </c>
      <c r="F26" s="39" t="n">
        <f aca="false">IFERROR(E26/E$15,0)</f>
        <v>0</v>
      </c>
      <c r="G26" s="28" t="n">
        <f aca="false">'Vessel 2026 P&amp;L'!G22</f>
        <v>239</v>
      </c>
      <c r="H26" s="39" t="n">
        <f aca="false">IFERROR(G26/G$15,0)</f>
        <v>1.27807486631016</v>
      </c>
      <c r="I26" s="28" t="n">
        <f aca="false">'Vessel 2026 P&amp;L'!I22</f>
        <v>0</v>
      </c>
      <c r="J26" s="39" t="n">
        <f aca="false">IFERROR(I26/I$15,0)</f>
        <v>0</v>
      </c>
      <c r="K26" s="28" t="n">
        <f aca="false">'Vessel 2026 P&amp;L'!K22</f>
        <v>0</v>
      </c>
      <c r="L26" s="39" t="n">
        <f aca="false">IFERROR(K26/K$15,0)</f>
        <v>0</v>
      </c>
      <c r="M26" s="28" t="n">
        <f aca="false">'Vessel 2026 P&amp;L'!M22</f>
        <v>180</v>
      </c>
      <c r="N26" s="39" t="n">
        <f aca="false">IFERROR(M26/M$15,0)</f>
        <v>0.342857142857143</v>
      </c>
      <c r="O26" s="28" t="n">
        <f aca="false">'Vessel 2026 P&amp;L'!O22</f>
        <v>47</v>
      </c>
      <c r="P26" s="39" t="n">
        <f aca="false">IFERROR(O26/O$15,0)</f>
        <v>0.301282051282051</v>
      </c>
      <c r="Q26" s="28" t="n">
        <f aca="false">'Vessel 2026 P&amp;L'!Q22</f>
        <v>35</v>
      </c>
      <c r="R26" s="39" t="n">
        <f aca="false">IFERROR(Q26/Q$15,0)</f>
        <v>0.296610169491525</v>
      </c>
      <c r="S26" s="28" t="n">
        <f aca="false">'Vessel 2026 P&amp;L'!S22</f>
        <v>35</v>
      </c>
      <c r="T26" s="39" t="n">
        <f aca="false">IFERROR(S26/S$15,0)</f>
        <v>0.296610169491525</v>
      </c>
      <c r="U26" s="28" t="n">
        <f aca="false">'Vessel 2026 P&amp;L'!U22</f>
        <v>29</v>
      </c>
      <c r="V26" s="39" t="n">
        <f aca="false">IFERROR(U26/U$15,0)</f>
        <v>0.308510638297872</v>
      </c>
      <c r="W26" s="28" t="n">
        <f aca="false">'Vessel 2026 P&amp;L'!W22</f>
        <v>29</v>
      </c>
      <c r="X26" s="39" t="n">
        <f aca="false">IFERROR(W26/W$15,0)</f>
        <v>0.308510638297872</v>
      </c>
      <c r="Y26" s="28" t="n">
        <f aca="false">'Vessel 2026 P&amp;L'!Y22</f>
        <v>49</v>
      </c>
      <c r="Z26" s="39" t="n">
        <f aca="false">IFERROR(Y26/Y$15,0)</f>
        <v>0.296969696969697</v>
      </c>
      <c r="AB26" s="28" t="n">
        <f aca="false">SUM(C26,E26,G26,I26,K26,M26,O26,Q26,S26,U26,W26,Y26)</f>
        <v>1358</v>
      </c>
      <c r="AC26" s="39" t="n">
        <f aca="false">IFERROR(AB26/AB$15,0)</f>
        <v>0.787703016241299</v>
      </c>
    </row>
    <row r="27" customFormat="false" ht="15" hidden="false" customHeight="true" outlineLevel="0" collapsed="false">
      <c r="A27" s="27" t="s">
        <v>176</v>
      </c>
      <c r="C27" s="28" t="n">
        <f aca="false">'Vessel 2026 P&amp;L'!C23</f>
        <v>190</v>
      </c>
      <c r="D27" s="39" t="n">
        <f aca="false">IFERROR(C27/C$16,0)</f>
        <v>0.25065963060686</v>
      </c>
      <c r="E27" s="28" t="n">
        <f aca="false">'Vessel 2026 P&amp;L'!E23</f>
        <v>888</v>
      </c>
      <c r="F27" s="39" t="n">
        <f aca="false">IFERROR(E27/E$16,0)</f>
        <v>1.88535031847134</v>
      </c>
      <c r="G27" s="28" t="n">
        <f aca="false">'Vessel 2026 P&amp;L'!G23</f>
        <v>699</v>
      </c>
      <c r="H27" s="39" t="n">
        <f aca="false">IFERROR(G27/G$16,0)</f>
        <v>0.958847736625514</v>
      </c>
      <c r="I27" s="28" t="n">
        <f aca="false">'Vessel 2026 P&amp;L'!I23</f>
        <v>252</v>
      </c>
      <c r="J27" s="39" t="n">
        <f aca="false">IFERROR(I27/I$16,0)</f>
        <v>0.591549295774648</v>
      </c>
      <c r="K27" s="28" t="n">
        <f aca="false">'Vessel 2026 P&amp;L'!K23</f>
        <v>404</v>
      </c>
      <c r="L27" s="39" t="n">
        <f aca="false">IFERROR(K27/K$16,0)</f>
        <v>0.524675324675325</v>
      </c>
      <c r="M27" s="28" t="n">
        <f aca="false">'Vessel 2026 P&amp;L'!M23</f>
        <v>551</v>
      </c>
      <c r="N27" s="39" t="n">
        <f aca="false">IFERROR(M27/M$16,0)</f>
        <v>1.26958525345622</v>
      </c>
      <c r="O27" s="28" t="n">
        <f aca="false">'Vessel 2026 P&amp;L'!O23</f>
        <v>0</v>
      </c>
      <c r="P27" s="39" t="n">
        <f aca="false">IFERROR(O27/O$16,0)</f>
        <v>0</v>
      </c>
      <c r="Q27" s="28" t="n">
        <f aca="false">'Vessel 2026 P&amp;L'!Q23</f>
        <v>0</v>
      </c>
      <c r="R27" s="39" t="n">
        <f aca="false">IFERROR(Q27/Q$16,0)</f>
        <v>0</v>
      </c>
      <c r="S27" s="28" t="n">
        <f aca="false">'Vessel 2026 P&amp;L'!S23</f>
        <v>0</v>
      </c>
      <c r="T27" s="39" t="n">
        <f aca="false">IFERROR(S27/S$16,0)</f>
        <v>0</v>
      </c>
      <c r="U27" s="28" t="n">
        <f aca="false">'Vessel 2026 P&amp;L'!U23</f>
        <v>0</v>
      </c>
      <c r="V27" s="39" t="n">
        <f aca="false">IFERROR(U27/U$16,0)</f>
        <v>0</v>
      </c>
      <c r="W27" s="28" t="n">
        <f aca="false">'Vessel 2026 P&amp;L'!W23</f>
        <v>0</v>
      </c>
      <c r="X27" s="39" t="n">
        <f aca="false">IFERROR(W27/W$16,0)</f>
        <v>0</v>
      </c>
      <c r="Y27" s="28" t="n">
        <f aca="false">'Vessel 2026 P&amp;L'!Y23</f>
        <v>0</v>
      </c>
      <c r="Z27" s="39" t="n">
        <f aca="false">IFERROR(Y27/Y$16,0)</f>
        <v>0</v>
      </c>
      <c r="AB27" s="28" t="n">
        <f aca="false">SUM(C27,E27,G27,I27,K27,M27,O27,Q27,S27,U27,W27,Y27)</f>
        <v>2984</v>
      </c>
      <c r="AC27" s="39" t="n">
        <f aca="false">IFERROR(AB27/AB$16,0)</f>
        <v>0.454878048780488</v>
      </c>
    </row>
    <row r="28" customFormat="false" ht="15" hidden="false" customHeight="true" outlineLevel="0" collapsed="false">
      <c r="A28" s="27" t="s">
        <v>177</v>
      </c>
      <c r="C28" s="28" t="n">
        <v>0</v>
      </c>
      <c r="D28" s="39" t="n">
        <f aca="false">IFERROR(C28/C$17,0)</f>
        <v>0</v>
      </c>
      <c r="E28" s="28" t="n">
        <v>0</v>
      </c>
      <c r="F28" s="39" t="n">
        <f aca="false">IFERROR(E28/E$17,0)</f>
        <v>0</v>
      </c>
      <c r="G28" s="28" t="n">
        <v>0</v>
      </c>
      <c r="H28" s="39" t="n">
        <f aca="false">IFERROR(G28/G$17,0)</f>
        <v>0</v>
      </c>
      <c r="I28" s="28" t="n">
        <v>0</v>
      </c>
      <c r="J28" s="39" t="n">
        <f aca="false">IFERROR(I28/I$17,0)</f>
        <v>0</v>
      </c>
      <c r="K28" s="28" t="n">
        <v>0</v>
      </c>
      <c r="L28" s="39" t="n">
        <f aca="false">IFERROR(K28/K$17,0)</f>
        <v>0</v>
      </c>
      <c r="M28" s="28" t="n">
        <v>0</v>
      </c>
      <c r="N28" s="39" t="n">
        <f aca="false">IFERROR(M28/M$17,0)</f>
        <v>0</v>
      </c>
      <c r="O28" s="28" t="n">
        <v>0</v>
      </c>
      <c r="P28" s="39" t="n">
        <f aca="false">IFERROR(O28/O$17,0)</f>
        <v>0</v>
      </c>
      <c r="Q28" s="28" t="n">
        <v>0</v>
      </c>
      <c r="R28" s="39" t="n">
        <f aca="false">IFERROR(Q28/Q$17,0)</f>
        <v>0</v>
      </c>
      <c r="S28" s="28" t="n">
        <v>0</v>
      </c>
      <c r="T28" s="39" t="n">
        <f aca="false">IFERROR(S28/S$17,0)</f>
        <v>0</v>
      </c>
      <c r="U28" s="28" t="n">
        <v>0</v>
      </c>
      <c r="V28" s="39" t="n">
        <f aca="false">IFERROR(U28/U$17,0)</f>
        <v>0</v>
      </c>
      <c r="W28" s="28" t="n">
        <v>0</v>
      </c>
      <c r="X28" s="39" t="n">
        <f aca="false">IFERROR(W28/W$17,0)</f>
        <v>0</v>
      </c>
      <c r="Y28" s="28" t="n">
        <v>0</v>
      </c>
      <c r="Z28" s="39" t="n">
        <f aca="false">IFERROR(Y28/Y$17,0)</f>
        <v>0</v>
      </c>
      <c r="AB28" s="28" t="n">
        <f aca="false">SUM(C28,E28,G28,I28,K28,M28,O28,Q28,S28,U28,W28,Y28)</f>
        <v>0</v>
      </c>
      <c r="AC28" s="39" t="n">
        <f aca="false">IFERROR(AB28/AB$17,0)</f>
        <v>0</v>
      </c>
    </row>
    <row r="29" customFormat="false" ht="15" hidden="false" customHeight="true" outlineLevel="0" collapsed="false">
      <c r="A29" s="31" t="s">
        <v>129</v>
      </c>
      <c r="C29" s="32" t="n">
        <f aca="false">SUM(C23:C28)</f>
        <v>20270</v>
      </c>
      <c r="D29" s="40" t="n">
        <f aca="false">IFERROR(C29/C$20,0)</f>
        <v>0.531769767563881</v>
      </c>
      <c r="E29" s="32" t="n">
        <f aca="false">SUM(E23:E28)</f>
        <v>11807</v>
      </c>
      <c r="F29" s="40" t="n">
        <f aca="false">IFERROR(E29/E$20,0)</f>
        <v>0.707344835849509</v>
      </c>
      <c r="G29" s="32" t="n">
        <f aca="false">SUM(G23:G28)</f>
        <v>18289</v>
      </c>
      <c r="H29" s="40" t="n">
        <f aca="false">IFERROR(G29/G$20,0)</f>
        <v>0.459464891345308</v>
      </c>
      <c r="I29" s="32" t="n">
        <f aca="false">SUM(I23:I28)</f>
        <v>4532</v>
      </c>
      <c r="J29" s="40" t="n">
        <f aca="false">IFERROR(I29/I$20,0)</f>
        <v>0.361778558314042</v>
      </c>
      <c r="K29" s="32" t="n">
        <f aca="false">SUM(K23:K28)</f>
        <v>12944</v>
      </c>
      <c r="L29" s="40" t="n">
        <f aca="false">IFERROR(K29/K$20,0)</f>
        <v>0.31617772783898</v>
      </c>
      <c r="M29" s="32" t="n">
        <f aca="false">SUM(M23:M28)</f>
        <v>16704</v>
      </c>
      <c r="N29" s="40" t="n">
        <f aca="false">IFERROR(M29/M$20,0)</f>
        <v>0.364533094734086</v>
      </c>
      <c r="O29" s="32" t="n">
        <f aca="false">SUM(O23:O28)</f>
        <v>8031</v>
      </c>
      <c r="P29" s="40" t="n">
        <f aca="false">IFERROR(O29/O$20,0)</f>
        <v>0.242848503175083</v>
      </c>
      <c r="Q29" s="32" t="n">
        <f aca="false">SUM(Q23:Q28)</f>
        <v>6071</v>
      </c>
      <c r="R29" s="40" t="n">
        <f aca="false">IFERROR(Q29/Q$20,0)</f>
        <v>0.236237171068632</v>
      </c>
      <c r="S29" s="32" t="n">
        <f aca="false">SUM(S23:S28)</f>
        <v>6071</v>
      </c>
      <c r="T29" s="40" t="n">
        <f aca="false">IFERROR(S29/S$20,0)</f>
        <v>0.236237171068632</v>
      </c>
      <c r="U29" s="32" t="n">
        <f aca="false">SUM(U23:U28)</f>
        <v>4857</v>
      </c>
      <c r="V29" s="40" t="n">
        <f aca="false">IFERROR(U29/U$20,0)</f>
        <v>0.236256667063914</v>
      </c>
      <c r="W29" s="32" t="n">
        <f aca="false">SUM(W23:W28)</f>
        <v>4857</v>
      </c>
      <c r="X29" s="40" t="n">
        <f aca="false">IFERROR(W29/W$20,0)</f>
        <v>0.236256667063914</v>
      </c>
      <c r="Y29" s="32" t="n">
        <f aca="false">SUM(Y23:Y28)</f>
        <v>8499</v>
      </c>
      <c r="Z29" s="40" t="n">
        <f aca="false">IFERROR(Y29/Y$20,0)</f>
        <v>0.236242468885291</v>
      </c>
      <c r="AB29" s="32" t="n">
        <f aca="false">SUM(AB23:AB28)</f>
        <v>122932</v>
      </c>
      <c r="AC29" s="40" t="n">
        <f aca="false">IFERROR(AB29/AB$20,0)</f>
        <v>0.345835740401512</v>
      </c>
    </row>
    <row r="30" customFormat="false" ht="15" hidden="false" customHeight="true" outlineLevel="0" collapsed="false">
      <c r="A30" s="31" t="s">
        <v>130</v>
      </c>
      <c r="C30" s="41" t="n">
        <f aca="false">C20-C29</f>
        <v>17848</v>
      </c>
      <c r="D30" s="42" t="n">
        <f aca="false">IFERROR(C30/C$20,0)</f>
        <v>0.468230232436119</v>
      </c>
      <c r="E30" s="41" t="n">
        <f aca="false">E20-E29</f>
        <v>4885</v>
      </c>
      <c r="F30" s="42" t="n">
        <f aca="false">IFERROR(E30/E$20,0)</f>
        <v>0.292655164150491</v>
      </c>
      <c r="G30" s="41" t="n">
        <f aca="false">G20-G29</f>
        <v>21516</v>
      </c>
      <c r="H30" s="42" t="n">
        <f aca="false">IFERROR(G30/G$20,0)</f>
        <v>0.540535108654692</v>
      </c>
      <c r="I30" s="41" t="n">
        <f aca="false">I20-I29</f>
        <v>7995</v>
      </c>
      <c r="J30" s="42" t="n">
        <f aca="false">IFERROR(I30/I$20,0)</f>
        <v>0.638221441685958</v>
      </c>
      <c r="K30" s="41" t="n">
        <f aca="false">K20-K29</f>
        <v>27995</v>
      </c>
      <c r="L30" s="42" t="n">
        <f aca="false">IFERROR(K30/K$20,0)</f>
        <v>0.68382227216102</v>
      </c>
      <c r="M30" s="41" t="n">
        <f aca="false">M20-M29</f>
        <v>29119</v>
      </c>
      <c r="N30" s="42" t="n">
        <f aca="false">IFERROR(M30/M$20,0)</f>
        <v>0.635466905265915</v>
      </c>
      <c r="O30" s="41" t="n">
        <f aca="false">O20-O29</f>
        <v>25039</v>
      </c>
      <c r="P30" s="42" t="n">
        <f aca="false">IFERROR(O30/O$20,0)</f>
        <v>0.757151496824917</v>
      </c>
      <c r="Q30" s="41" t="n">
        <f aca="false">Q20-Q29</f>
        <v>19627.75</v>
      </c>
      <c r="R30" s="42" t="n">
        <f aca="false">IFERROR(Q30/Q$20,0)</f>
        <v>0.763762828931368</v>
      </c>
      <c r="S30" s="41" t="n">
        <f aca="false">S20-S29</f>
        <v>19627.75</v>
      </c>
      <c r="T30" s="42" t="n">
        <f aca="false">IFERROR(S30/S$20,0)</f>
        <v>0.763762828931368</v>
      </c>
      <c r="U30" s="41" t="n">
        <f aca="false">U20-U29</f>
        <v>15701.15</v>
      </c>
      <c r="V30" s="42" t="n">
        <f aca="false">IFERROR(U30/U$20,0)</f>
        <v>0.763743332936086</v>
      </c>
      <c r="W30" s="41" t="n">
        <f aca="false">W20-W29</f>
        <v>15701.15</v>
      </c>
      <c r="X30" s="42" t="n">
        <f aca="false">IFERROR(W30/W$20,0)</f>
        <v>0.763743332936086</v>
      </c>
      <c r="Y30" s="41" t="n">
        <f aca="false">Y20-Y29</f>
        <v>27476.75</v>
      </c>
      <c r="Z30" s="42" t="n">
        <f aca="false">IFERROR(Y30/Y$20,0)</f>
        <v>0.763757531114709</v>
      </c>
      <c r="AB30" s="41" t="n">
        <f aca="false">AB20-AB29</f>
        <v>232531.55</v>
      </c>
      <c r="AC30" s="42" t="n">
        <f aca="false">IFERROR(AB30/AB$20,0)</f>
        <v>0.654164259598488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'Vessel 2026 P&amp;L'!C28</f>
        <v>1230</v>
      </c>
      <c r="D33" s="39" t="n">
        <f aca="false">IFERROR(C33/C$20,0)</f>
        <v>0.0322682197387061</v>
      </c>
      <c r="E33" s="28" t="n">
        <f aca="false">'Vessel 2026 P&amp;L'!E28</f>
        <v>615</v>
      </c>
      <c r="F33" s="39" t="n">
        <f aca="false">IFERROR(E33/E$20,0)</f>
        <v>0.036843997124371</v>
      </c>
      <c r="G33" s="28" t="n">
        <f aca="false">'Vessel 2026 P&amp;L'!G28</f>
        <v>1277</v>
      </c>
      <c r="H33" s="39" t="n">
        <f aca="false">IFERROR(G33/G$20,0)</f>
        <v>0.0320813968094461</v>
      </c>
      <c r="I33" s="28" t="n">
        <f aca="false">'Vessel 2026 P&amp;L'!I28</f>
        <v>1132</v>
      </c>
      <c r="J33" s="39" t="n">
        <f aca="false">IFERROR(I33/I$20,0)</f>
        <v>0.0903648120060669</v>
      </c>
      <c r="K33" s="28" t="n">
        <f aca="false">'Vessel 2026 P&amp;L'!K28</f>
        <v>1657</v>
      </c>
      <c r="L33" s="39" t="n">
        <f aca="false">IFERROR(K33/K$20,0)</f>
        <v>0.04047485282982</v>
      </c>
      <c r="M33" s="28" t="n">
        <f aca="false">'Vessel 2026 P&amp;L'!M28</f>
        <v>1377</v>
      </c>
      <c r="N33" s="39" t="n">
        <f aca="false">IFERROR(M33/M$20,0)</f>
        <v>0.0300504113654715</v>
      </c>
      <c r="O33" s="28" t="n">
        <f aca="false">'Vessel 2026 P&amp;L'!O28</f>
        <v>1657</v>
      </c>
      <c r="P33" s="39" t="n">
        <f aca="false">IFERROR(O33/O$20,0)</f>
        <v>0.0501058361052313</v>
      </c>
      <c r="Q33" s="28" t="n">
        <f aca="false">'Vessel 2026 P&amp;L'!Q28</f>
        <v>1657</v>
      </c>
      <c r="R33" s="39" t="n">
        <f aca="false">IFERROR(Q33/Q$20,0)</f>
        <v>0.0644778442531252</v>
      </c>
      <c r="S33" s="28" t="n">
        <f aca="false">'Vessel 2026 P&amp;L'!S28</f>
        <v>1657</v>
      </c>
      <c r="T33" s="39" t="n">
        <f aca="false">IFERROR(S33/S$20,0)</f>
        <v>0.0644778442531252</v>
      </c>
      <c r="U33" s="28" t="n">
        <f aca="false">'Vessel 2026 P&amp;L'!U28</f>
        <v>1657</v>
      </c>
      <c r="V33" s="39" t="n">
        <f aca="false">IFERROR(U33/U$20,0)</f>
        <v>0.0806006377032953</v>
      </c>
      <c r="W33" s="28" t="n">
        <f aca="false">'Vessel 2026 P&amp;L'!W28</f>
        <v>1657</v>
      </c>
      <c r="X33" s="39" t="n">
        <f aca="false">IFERROR(W33/W$20,0)</f>
        <v>0.0806006377032953</v>
      </c>
      <c r="Y33" s="28" t="n">
        <f aca="false">'Vessel 2026 P&amp;L'!Y28</f>
        <v>1657</v>
      </c>
      <c r="Z33" s="39" t="n">
        <f aca="false">IFERROR(Y33/Y$20,0)</f>
        <v>0.0460588034995796</v>
      </c>
      <c r="AB33" s="28" t="n">
        <f aca="false">SUM(C33,E33,G33,I33,K33,M33,O33,Q33,S33,U33,W33,Y33)</f>
        <v>17230</v>
      </c>
      <c r="AC33" s="39" t="n">
        <f aca="false">IFERROR(AB33/AB$20,0)</f>
        <v>0.0484719178661216</v>
      </c>
    </row>
    <row r="34" customFormat="false" ht="15" hidden="false" customHeight="true" outlineLevel="0" collapsed="false">
      <c r="A34" s="27" t="s">
        <v>180</v>
      </c>
      <c r="C34" s="28" t="n">
        <f aca="false">'Vessel 2026 P&amp;L'!C29</f>
        <v>1097</v>
      </c>
      <c r="D34" s="39" t="n">
        <f aca="false">IFERROR(C34/C$20,0)</f>
        <v>0.0287790545149273</v>
      </c>
      <c r="E34" s="28" t="n">
        <f aca="false">'Vessel 2026 P&amp;L'!E29</f>
        <v>2016</v>
      </c>
      <c r="F34" s="39" t="n">
        <f aca="false">IFERROR(E34/E$20,0)</f>
        <v>0.12077641984184</v>
      </c>
      <c r="G34" s="28" t="n">
        <f aca="false">'Vessel 2026 P&amp;L'!G29</f>
        <v>1928</v>
      </c>
      <c r="H34" s="39" t="n">
        <f aca="false">IFERROR(G34/G$20,0)</f>
        <v>0.0484361261148097</v>
      </c>
      <c r="I34" s="28" t="n">
        <f aca="false">'Vessel 2026 P&amp;L'!I29</f>
        <v>584</v>
      </c>
      <c r="J34" s="39" t="n">
        <f aca="false">IFERROR(I34/I$20,0)</f>
        <v>0.0466193023070168</v>
      </c>
      <c r="K34" s="28" t="n">
        <f aca="false">'Vessel 2026 P&amp;L'!K29</f>
        <v>0</v>
      </c>
      <c r="L34" s="39" t="n">
        <f aca="false">IFERROR(K34/K$20,0)</f>
        <v>0</v>
      </c>
      <c r="M34" s="28" t="n">
        <f aca="false">'Vessel 2026 P&amp;L'!M29</f>
        <v>-1</v>
      </c>
      <c r="N34" s="39" t="n">
        <f aca="false">IFERROR(M34/M$20,0)</f>
        <v>-2.18231019357091E-005</v>
      </c>
      <c r="O34" s="28" t="n">
        <f aca="false">'Vessel 2026 P&amp;L'!O29</f>
        <v>0</v>
      </c>
      <c r="P34" s="39" t="n">
        <f aca="false">IFERROR(O34/O$20,0)</f>
        <v>0</v>
      </c>
      <c r="Q34" s="28" t="n">
        <f aca="false">'Vessel 2026 P&amp;L'!Q29</f>
        <v>0</v>
      </c>
      <c r="R34" s="39" t="n">
        <f aca="false">IFERROR(Q34/Q$20,0)</f>
        <v>0</v>
      </c>
      <c r="S34" s="28" t="n">
        <f aca="false">'Vessel 2026 P&amp;L'!S29</f>
        <v>0</v>
      </c>
      <c r="T34" s="39" t="n">
        <f aca="false">IFERROR(S34/S$20,0)</f>
        <v>0</v>
      </c>
      <c r="U34" s="28" t="n">
        <f aca="false">'Vessel 2026 P&amp;L'!U29</f>
        <v>0</v>
      </c>
      <c r="V34" s="39" t="n">
        <f aca="false">IFERROR(U34/U$20,0)</f>
        <v>0</v>
      </c>
      <c r="W34" s="28" t="n">
        <f aca="false">'Vessel 2026 P&amp;L'!W29</f>
        <v>0</v>
      </c>
      <c r="X34" s="39" t="n">
        <f aca="false">IFERROR(W34/W$20,0)</f>
        <v>0</v>
      </c>
      <c r="Y34" s="28" t="n">
        <f aca="false">'Vessel 2026 P&amp;L'!Y29</f>
        <v>0</v>
      </c>
      <c r="Z34" s="39" t="n">
        <f aca="false">IFERROR(Y34/Y$20,0)</f>
        <v>0</v>
      </c>
      <c r="AB34" s="28" t="n">
        <f aca="false">SUM(C34,E34,G34,I34,K34,M34,O34,Q34,S34,U34,W34,Y34)</f>
        <v>5624</v>
      </c>
      <c r="AC34" s="39" t="n">
        <f aca="false">IFERROR(AB34/AB$20,0)</f>
        <v>0.0158215940846818</v>
      </c>
    </row>
    <row r="35" customFormat="false" ht="15" hidden="false" customHeight="true" outlineLevel="0" collapsed="false">
      <c r="A35" s="27" t="s">
        <v>181</v>
      </c>
      <c r="C35" s="28" t="n">
        <f aca="false">'Vessel 2026 P&amp;L'!C30</f>
        <v>1384</v>
      </c>
      <c r="D35" s="39" t="n">
        <f aca="false">IFERROR(C35/C$20,0)</f>
        <v>0.0363083057872921</v>
      </c>
      <c r="E35" s="28" t="n">
        <f aca="false">'Vessel 2026 P&amp;L'!E30</f>
        <v>1502</v>
      </c>
      <c r="F35" s="39" t="n">
        <f aca="false">IFERROR(E35/E$20,0)</f>
        <v>0.0899832254972442</v>
      </c>
      <c r="G35" s="28" t="n">
        <f aca="false">'Vessel 2026 P&amp;L'!G30</f>
        <v>5284</v>
      </c>
      <c r="H35" s="39" t="n">
        <f aca="false">IFERROR(G35/G$20,0)</f>
        <v>0.132747142318804</v>
      </c>
      <c r="I35" s="28" t="n">
        <f aca="false">'Vessel 2026 P&amp;L'!I30</f>
        <v>0</v>
      </c>
      <c r="J35" s="39" t="n">
        <f aca="false">IFERROR(I35/I$20,0)</f>
        <v>0</v>
      </c>
      <c r="K35" s="28" t="n">
        <f aca="false">'Vessel 2026 P&amp;L'!K30</f>
        <v>8918</v>
      </c>
      <c r="L35" s="39" t="n">
        <f aca="false">IFERROR(K35/K$20,0)</f>
        <v>0.217836293021324</v>
      </c>
      <c r="M35" s="28" t="n">
        <f aca="false">'Vessel 2026 P&amp;L'!M30</f>
        <v>10928</v>
      </c>
      <c r="N35" s="39" t="n">
        <f aca="false">IFERROR(M35/M$20,0)</f>
        <v>0.23848285795343</v>
      </c>
      <c r="O35" s="28" t="n">
        <f aca="false">'Vessel 2026 P&amp;L'!O30</f>
        <v>5384</v>
      </c>
      <c r="P35" s="39" t="n">
        <f aca="false">IFERROR(O35/O$20,0)</f>
        <v>0.162806168732991</v>
      </c>
      <c r="Q35" s="28" t="n">
        <f aca="false">'Vessel 2026 P&amp;L'!Q30</f>
        <v>2500</v>
      </c>
      <c r="R35" s="39" t="n">
        <f aca="false">IFERROR(Q35/Q$20,0)</f>
        <v>0.0972809961574007</v>
      </c>
      <c r="S35" s="28" t="n">
        <f aca="false">'Vessel 2026 P&amp;L'!S30</f>
        <v>2500</v>
      </c>
      <c r="T35" s="39" t="n">
        <f aca="false">IFERROR(S35/S$20,0)</f>
        <v>0.0972809961574007</v>
      </c>
      <c r="U35" s="28" t="n">
        <f aca="false">'Vessel 2026 P&amp;L'!U30</f>
        <v>2000</v>
      </c>
      <c r="V35" s="39" t="n">
        <f aca="false">IFERROR(U35/U$20,0)</f>
        <v>0.0972850183503866</v>
      </c>
      <c r="W35" s="28" t="n">
        <f aca="false">'Vessel 2026 P&amp;L'!W30</f>
        <v>2000</v>
      </c>
      <c r="X35" s="39" t="n">
        <f aca="false">IFERROR(W35/W$20,0)</f>
        <v>0.0972850183503866</v>
      </c>
      <c r="Y35" s="28" t="n">
        <f aca="false">'Vessel 2026 P&amp;L'!Y30</f>
        <v>3500</v>
      </c>
      <c r="Z35" s="39" t="n">
        <f aca="false">IFERROR(Y35/Y$20,0)</f>
        <v>0.0972877563358651</v>
      </c>
      <c r="AB35" s="28" t="n">
        <f aca="false">SUM(C35,E35,G35,I35,K35,M35,O35,Q35,S35,U35,W35,Y35)</f>
        <v>45900</v>
      </c>
      <c r="AC35" s="39" t="n">
        <f aca="false">IFERROR(AB35/AB$20,0)</f>
        <v>0.129127163671212</v>
      </c>
    </row>
    <row r="36" customFormat="false" ht="15" hidden="false" customHeight="true" outlineLevel="0" collapsed="false">
      <c r="A36" s="27" t="s">
        <v>182</v>
      </c>
      <c r="C36" s="28" t="n">
        <f aca="false">'Vessel 2026 P&amp;L'!C31</f>
        <v>303</v>
      </c>
      <c r="D36" s="39" t="n">
        <f aca="false">IFERROR(C36/C$20,0)</f>
        <v>0.00794900047221785</v>
      </c>
      <c r="E36" s="28" t="n">
        <f aca="false">'Vessel 2026 P&amp;L'!E31</f>
        <v>1318</v>
      </c>
      <c r="F36" s="39" t="n">
        <f aca="false">IFERROR(E36/E$20,0)</f>
        <v>0.0789599808291397</v>
      </c>
      <c r="G36" s="28" t="n">
        <f aca="false">'Vessel 2026 P&amp;L'!G31</f>
        <v>842</v>
      </c>
      <c r="H36" s="39" t="n">
        <f aca="false">IFERROR(G36/G$20,0)</f>
        <v>0.0211531214671524</v>
      </c>
      <c r="I36" s="28" t="n">
        <f aca="false">'Vessel 2026 P&amp;L'!I31</f>
        <v>479</v>
      </c>
      <c r="J36" s="39" t="n">
        <f aca="false">IFERROR(I36/I$20,0)</f>
        <v>0.038237407200447</v>
      </c>
      <c r="K36" s="28" t="n">
        <f aca="false">'Vessel 2026 P&amp;L'!K31</f>
        <v>1667</v>
      </c>
      <c r="L36" s="39" t="n">
        <f aca="false">IFERROR(K36/K$20,0)</f>
        <v>0.0407191186887809</v>
      </c>
      <c r="M36" s="28" t="n">
        <f aca="false">'Vessel 2026 P&amp;L'!M31</f>
        <v>1248</v>
      </c>
      <c r="N36" s="39" t="n">
        <f aca="false">IFERROR(M36/M$20,0)</f>
        <v>0.027235231215765</v>
      </c>
      <c r="O36" s="28" t="n">
        <f aca="false">'Vessel 2026 P&amp;L'!O31</f>
        <v>257</v>
      </c>
      <c r="P36" s="39" t="n">
        <f aca="false">IFERROR(O36/O$20,0)</f>
        <v>0.00777139401270033</v>
      </c>
      <c r="Q36" s="28" t="n">
        <f aca="false">'Vessel 2026 P&amp;L'!Q31</f>
        <v>257</v>
      </c>
      <c r="R36" s="39" t="n">
        <f aca="false">IFERROR(Q36/Q$20,0)</f>
        <v>0.0100004864049808</v>
      </c>
      <c r="S36" s="28" t="n">
        <f aca="false">'Vessel 2026 P&amp;L'!S31</f>
        <v>257</v>
      </c>
      <c r="T36" s="39" t="n">
        <f aca="false">IFERROR(S36/S$20,0)</f>
        <v>0.0100004864049808</v>
      </c>
      <c r="U36" s="28" t="n">
        <f aca="false">'Vessel 2026 P&amp;L'!U31</f>
        <v>257</v>
      </c>
      <c r="V36" s="39" t="n">
        <f aca="false">IFERROR(U36/U$20,0)</f>
        <v>0.0125011248580247</v>
      </c>
      <c r="W36" s="28" t="n">
        <f aca="false">'Vessel 2026 P&amp;L'!W31</f>
        <v>257</v>
      </c>
      <c r="X36" s="39" t="n">
        <f aca="false">IFERROR(W36/W$20,0)</f>
        <v>0.0125011248580247</v>
      </c>
      <c r="Y36" s="28" t="n">
        <f aca="false">'Vessel 2026 P&amp;L'!Y31</f>
        <v>257</v>
      </c>
      <c r="Z36" s="39" t="n">
        <f aca="false">IFERROR(Y36/Y$20,0)</f>
        <v>0.00714370096523353</v>
      </c>
      <c r="AB36" s="28" t="n">
        <f aca="false">SUM(C36,E36,G36,I36,K36,M36,O36,Q36,S36,U36,W36,Y36)</f>
        <v>7399</v>
      </c>
      <c r="AC36" s="39" t="n">
        <f aca="false">IFERROR(AB36/AB$20,0)</f>
        <v>0.020815073725562</v>
      </c>
    </row>
    <row r="37" customFormat="false" ht="15" hidden="false" customHeight="true" outlineLevel="0" collapsed="false">
      <c r="A37" s="27" t="s">
        <v>183</v>
      </c>
      <c r="C37" s="28" t="n">
        <f aca="false">'Vessel 2026 P&amp;L'!C32</f>
        <v>313</v>
      </c>
      <c r="D37" s="39" t="n">
        <f aca="false">IFERROR(C37/C$20,0)</f>
        <v>0.00821134372212603</v>
      </c>
      <c r="E37" s="28" t="n">
        <f aca="false">'Vessel 2026 P&amp;L'!E32</f>
        <v>311</v>
      </c>
      <c r="F37" s="39" t="n">
        <f aca="false">IFERROR(E37/E$20,0)</f>
        <v>0.0186316798466331</v>
      </c>
      <c r="G37" s="28" t="n">
        <f aca="false">'Vessel 2026 P&amp;L'!G32</f>
        <v>380</v>
      </c>
      <c r="H37" s="39" t="n">
        <f aca="false">IFERROR(G37/G$20,0)</f>
        <v>0.00954653937947494</v>
      </c>
      <c r="I37" s="28" t="n">
        <f aca="false">'Vessel 2026 P&amp;L'!I32</f>
        <v>380</v>
      </c>
      <c r="J37" s="39" t="n">
        <f aca="false">IFERROR(I37/I$20,0)</f>
        <v>0.0303344775285384</v>
      </c>
      <c r="K37" s="28" t="n">
        <f aca="false">'Vessel 2026 P&amp;L'!K32</f>
        <v>551</v>
      </c>
      <c r="L37" s="39" t="n">
        <f aca="false">IFERROR(K37/K$20,0)</f>
        <v>0.0134590488287452</v>
      </c>
      <c r="M37" s="28" t="n">
        <f aca="false">'Vessel 2026 P&amp;L'!M32</f>
        <v>1598</v>
      </c>
      <c r="N37" s="39" t="n">
        <f aca="false">IFERROR(M37/M$20,0)</f>
        <v>0.0348733168932632</v>
      </c>
      <c r="O37" s="28" t="n">
        <f aca="false">'Vessel 2026 P&amp;L'!O32</f>
        <v>58</v>
      </c>
      <c r="P37" s="39" t="n">
        <f aca="false">IFERROR(O37/O$20,0)</f>
        <v>0.00175385545811914</v>
      </c>
      <c r="Q37" s="28" t="n">
        <f aca="false">'Vessel 2026 P&amp;L'!Q32</f>
        <v>58</v>
      </c>
      <c r="R37" s="39" t="n">
        <f aca="false">IFERROR(Q37/Q$20,0)</f>
        <v>0.0022569191108517</v>
      </c>
      <c r="S37" s="28" t="n">
        <f aca="false">'Vessel 2026 P&amp;L'!S32</f>
        <v>58</v>
      </c>
      <c r="T37" s="39" t="n">
        <f aca="false">IFERROR(S37/S$20,0)</f>
        <v>0.0022569191108517</v>
      </c>
      <c r="U37" s="28" t="n">
        <f aca="false">'Vessel 2026 P&amp;L'!U32</f>
        <v>58</v>
      </c>
      <c r="V37" s="39" t="n">
        <f aca="false">IFERROR(U37/U$20,0)</f>
        <v>0.00282126553216121</v>
      </c>
      <c r="W37" s="28" t="n">
        <f aca="false">'Vessel 2026 P&amp;L'!W32</f>
        <v>58</v>
      </c>
      <c r="X37" s="39" t="n">
        <f aca="false">IFERROR(W37/W$20,0)</f>
        <v>0.00282126553216121</v>
      </c>
      <c r="Y37" s="28" t="n">
        <f aca="false">'Vessel 2026 P&amp;L'!Y32</f>
        <v>58</v>
      </c>
      <c r="Z37" s="39" t="n">
        <f aca="false">IFERROR(Y37/Y$20,0)</f>
        <v>0.00161219710499434</v>
      </c>
      <c r="AB37" s="28" t="n">
        <f aca="false">SUM(C37,E37,G37,I37,K37,M37,O37,Q37,S37,U37,W37,Y37)</f>
        <v>3881</v>
      </c>
      <c r="AC37" s="39" t="n">
        <f aca="false">IFERROR(AB37/AB$20,0)</f>
        <v>0.0109181377387358</v>
      </c>
    </row>
    <row r="38" customFormat="false" ht="15" hidden="false" customHeight="true" outlineLevel="0" collapsed="false">
      <c r="A38" s="31" t="s">
        <v>131</v>
      </c>
      <c r="C38" s="32" t="n">
        <f aca="false">SUM(C33:C37)</f>
        <v>4327</v>
      </c>
      <c r="D38" s="40" t="n">
        <f aca="false">IFERROR(C38/C$20,0)</f>
        <v>0.113515924235269</v>
      </c>
      <c r="E38" s="32" t="n">
        <f aca="false">SUM(E33:E37)</f>
        <v>5762</v>
      </c>
      <c r="F38" s="40" t="n">
        <f aca="false">IFERROR(E38/E$20,0)</f>
        <v>0.345195303139228</v>
      </c>
      <c r="G38" s="32" t="n">
        <f aca="false">SUM(G33:G37)</f>
        <v>9711</v>
      </c>
      <c r="H38" s="40" t="n">
        <f aca="false">IFERROR(G38/G$20,0)</f>
        <v>0.243964326089687</v>
      </c>
      <c r="I38" s="32" t="n">
        <f aca="false">SUM(I33:I37)</f>
        <v>2575</v>
      </c>
      <c r="J38" s="40" t="n">
        <f aca="false">IFERROR(I38/I$20,0)</f>
        <v>0.205555999042069</v>
      </c>
      <c r="K38" s="32" t="n">
        <f aca="false">SUM(K33:K37)</f>
        <v>12793</v>
      </c>
      <c r="L38" s="40" t="n">
        <f aca="false">IFERROR(K38/K$20,0)</f>
        <v>0.312489313368671</v>
      </c>
      <c r="M38" s="32" t="n">
        <f aca="false">SUM(M33:M37)</f>
        <v>15150</v>
      </c>
      <c r="N38" s="40" t="n">
        <f aca="false">IFERROR(M38/M$20,0)</f>
        <v>0.330619994325994</v>
      </c>
      <c r="O38" s="32" t="n">
        <f aca="false">SUM(O33:O37)</f>
        <v>7356</v>
      </c>
      <c r="P38" s="40" t="n">
        <f aca="false">IFERROR(O38/O$20,0)</f>
        <v>0.222437254309041</v>
      </c>
      <c r="Q38" s="32" t="n">
        <f aca="false">SUM(Q33:Q37)</f>
        <v>4472</v>
      </c>
      <c r="R38" s="40" t="n">
        <f aca="false">IFERROR(Q38/Q$20,0)</f>
        <v>0.174016245926358</v>
      </c>
      <c r="S38" s="32" t="n">
        <f aca="false">SUM(S33:S37)</f>
        <v>4472</v>
      </c>
      <c r="T38" s="40" t="n">
        <f aca="false">IFERROR(S38/S$20,0)</f>
        <v>0.174016245926358</v>
      </c>
      <c r="U38" s="32" t="n">
        <f aca="false">SUM(U33:U37)</f>
        <v>3972</v>
      </c>
      <c r="V38" s="40" t="n">
        <f aca="false">IFERROR(U38/U$20,0)</f>
        <v>0.193208046443868</v>
      </c>
      <c r="W38" s="32" t="n">
        <f aca="false">SUM(W33:W37)</f>
        <v>3972</v>
      </c>
      <c r="X38" s="40" t="n">
        <f aca="false">IFERROR(W38/W$20,0)</f>
        <v>0.193208046443868</v>
      </c>
      <c r="Y38" s="32" t="n">
        <f aca="false">SUM(Y33:Y37)</f>
        <v>5472</v>
      </c>
      <c r="Z38" s="40" t="n">
        <f aca="false">IFERROR(Y38/Y$20,0)</f>
        <v>0.152102457905673</v>
      </c>
      <c r="AB38" s="32" t="n">
        <f aca="false">SUM(AB33:AB37)</f>
        <v>80034</v>
      </c>
      <c r="AC38" s="40" t="n">
        <f aca="false">IFERROR(AB38/AB$20,0)</f>
        <v>0.225153887086313</v>
      </c>
    </row>
    <row r="40" customFormat="false" ht="15" hidden="false" customHeight="true" outlineLevel="0" collapsed="false">
      <c r="A40" s="31" t="s">
        <v>184</v>
      </c>
      <c r="C40" s="41" t="n">
        <f aca="false">C29+C38</f>
        <v>24597</v>
      </c>
      <c r="D40" s="42" t="n">
        <f aca="false">IFERROR(C40/C$20,0)</f>
        <v>0.64528569179915</v>
      </c>
      <c r="E40" s="41" t="n">
        <f aca="false">E29+E38</f>
        <v>17569</v>
      </c>
      <c r="F40" s="42" t="n">
        <f aca="false">IFERROR(E40/E$20,0)</f>
        <v>1.05254013898874</v>
      </c>
      <c r="G40" s="41" t="n">
        <f aca="false">G29+G38</f>
        <v>28000</v>
      </c>
      <c r="H40" s="42" t="n">
        <f aca="false">IFERROR(G40/G$20,0)</f>
        <v>0.703429217434996</v>
      </c>
      <c r="I40" s="41" t="n">
        <f aca="false">I29+I38</f>
        <v>7107</v>
      </c>
      <c r="J40" s="42" t="n">
        <f aca="false">IFERROR(I40/I$20,0)</f>
        <v>0.567334557356111</v>
      </c>
      <c r="K40" s="41" t="n">
        <f aca="false">K29+K38</f>
        <v>25737</v>
      </c>
      <c r="L40" s="42" t="n">
        <f aca="false">IFERROR(K40/K$20,0)</f>
        <v>0.62866704120765</v>
      </c>
      <c r="M40" s="41" t="n">
        <f aca="false">M29+M38</f>
        <v>31854</v>
      </c>
      <c r="N40" s="42" t="n">
        <f aca="false">IFERROR(M40/M$20,0)</f>
        <v>0.695153089060079</v>
      </c>
      <c r="O40" s="41" t="n">
        <f aca="false">O29+O38</f>
        <v>15387</v>
      </c>
      <c r="P40" s="42" t="n">
        <f aca="false">IFERROR(O40/O$20,0)</f>
        <v>0.465285757484125</v>
      </c>
      <c r="Q40" s="41" t="n">
        <f aca="false">Q29+Q38</f>
        <v>10543</v>
      </c>
      <c r="R40" s="42" t="n">
        <f aca="false">IFERROR(Q40/Q$20,0)</f>
        <v>0.41025341699499</v>
      </c>
      <c r="S40" s="41" t="n">
        <f aca="false">S29+S38</f>
        <v>10543</v>
      </c>
      <c r="T40" s="42" t="n">
        <f aca="false">IFERROR(S40/S$20,0)</f>
        <v>0.41025341699499</v>
      </c>
      <c r="U40" s="41" t="n">
        <f aca="false">U29+U38</f>
        <v>8829</v>
      </c>
      <c r="V40" s="42" t="n">
        <f aca="false">IFERROR(U40/U$20,0)</f>
        <v>0.429464713507782</v>
      </c>
      <c r="W40" s="41" t="n">
        <f aca="false">W29+W38</f>
        <v>8829</v>
      </c>
      <c r="X40" s="42" t="n">
        <f aca="false">IFERROR(W40/W$20,0)</f>
        <v>0.429464713507782</v>
      </c>
      <c r="Y40" s="41" t="n">
        <f aca="false">Y29+Y38</f>
        <v>13971</v>
      </c>
      <c r="Z40" s="42" t="n">
        <f aca="false">IFERROR(Y40/Y$20,0)</f>
        <v>0.388344926790963</v>
      </c>
      <c r="AB40" s="41" t="n">
        <f aca="false">AB29+AB38</f>
        <v>202966</v>
      </c>
      <c r="AC40" s="42" t="n">
        <f aca="false">IFERROR(AB40/AB$20,0)</f>
        <v>0.570989627487825</v>
      </c>
    </row>
    <row r="41" customFormat="false" ht="15" hidden="false" customHeight="true" outlineLevel="0" collapsed="false">
      <c r="A41" s="31" t="s">
        <v>185</v>
      </c>
      <c r="C41" s="41" t="n">
        <f aca="false">C30-C38</f>
        <v>13521</v>
      </c>
      <c r="D41" s="42" t="n">
        <f aca="false">IFERROR(C41/C$20,0)</f>
        <v>0.35471430820085</v>
      </c>
      <c r="E41" s="41" t="n">
        <f aca="false">E30-E38</f>
        <v>-877</v>
      </c>
      <c r="F41" s="42" t="n">
        <f aca="false">IFERROR(E41/E$20,0)</f>
        <v>-0.0525401389887371</v>
      </c>
      <c r="G41" s="41" t="n">
        <f aca="false">G30-G38</f>
        <v>11805</v>
      </c>
      <c r="H41" s="42" t="n">
        <f aca="false">IFERROR(G41/G$20,0)</f>
        <v>0.296570782565004</v>
      </c>
      <c r="I41" s="41" t="n">
        <f aca="false">I30-I38</f>
        <v>5420</v>
      </c>
      <c r="J41" s="42" t="n">
        <f aca="false">IFERROR(I41/I$20,0)</f>
        <v>0.432665442643889</v>
      </c>
      <c r="K41" s="41" t="n">
        <f aca="false">K30-K38</f>
        <v>15202</v>
      </c>
      <c r="L41" s="42" t="n">
        <f aca="false">IFERROR(K41/K$20,0)</f>
        <v>0.37133295879235</v>
      </c>
      <c r="M41" s="41" t="n">
        <f aca="false">M30-M38</f>
        <v>13969</v>
      </c>
      <c r="N41" s="42" t="n">
        <f aca="false">IFERROR(M41/M$20,0)</f>
        <v>0.304846910939921</v>
      </c>
      <c r="O41" s="41" t="n">
        <f aca="false">O30-O38</f>
        <v>17683</v>
      </c>
      <c r="P41" s="42" t="n">
        <f aca="false">IFERROR(O41/O$20,0)</f>
        <v>0.534714242515875</v>
      </c>
      <c r="Q41" s="41" t="n">
        <f aca="false">Q30-Q38</f>
        <v>15155.75</v>
      </c>
      <c r="R41" s="42" t="n">
        <f aca="false">IFERROR(Q41/Q$20,0)</f>
        <v>0.58974658300501</v>
      </c>
      <c r="S41" s="41" t="n">
        <f aca="false">S30-S38</f>
        <v>15155.75</v>
      </c>
      <c r="T41" s="42" t="n">
        <f aca="false">IFERROR(S41/S$20,0)</f>
        <v>0.58974658300501</v>
      </c>
      <c r="U41" s="41" t="n">
        <f aca="false">U30-U38</f>
        <v>11729.15</v>
      </c>
      <c r="V41" s="42" t="n">
        <f aca="false">IFERROR(U41/U$20,0)</f>
        <v>0.570535286492218</v>
      </c>
      <c r="W41" s="41" t="n">
        <f aca="false">W30-W38</f>
        <v>11729.15</v>
      </c>
      <c r="X41" s="42" t="n">
        <f aca="false">IFERROR(W41/W$20,0)</f>
        <v>0.570535286492218</v>
      </c>
      <c r="Y41" s="41" t="n">
        <f aca="false">Y30-Y38</f>
        <v>22004.75</v>
      </c>
      <c r="Z41" s="42" t="n">
        <f aca="false">IFERROR(Y41/Y$20,0)</f>
        <v>0.611655073209037</v>
      </c>
      <c r="AB41" s="41" t="n">
        <f aca="false">AB30-AB38</f>
        <v>152497.55</v>
      </c>
      <c r="AC41" s="42" t="n">
        <f aca="false">IFERROR(AB41/AB$20,0)</f>
        <v>0.429010372512175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338</v>
      </c>
      <c r="C44" s="28" t="n">
        <f aca="false">'Vessel 2026 P&amp;L'!C39</f>
        <v>1631</v>
      </c>
      <c r="D44" s="39" t="n">
        <f aca="false">IFERROR(C44/C$20,0)</f>
        <v>0.0427881840600241</v>
      </c>
      <c r="E44" s="28" t="n">
        <f aca="false">'Vessel 2026 P&amp;L'!E39</f>
        <v>1306</v>
      </c>
      <c r="F44" s="39" t="n">
        <f aca="false">IFERROR(E44/E$20,0)</f>
        <v>0.0782410735681764</v>
      </c>
      <c r="G44" s="28" t="n">
        <f aca="false">'Vessel 2026 P&amp;L'!G39</f>
        <v>3262</v>
      </c>
      <c r="H44" s="39" t="n">
        <f aca="false">IFERROR(G44/G$20,0)</f>
        <v>0.081949503831177</v>
      </c>
      <c r="I44" s="28" t="n">
        <f aca="false">'Vessel 2026 P&amp;L'!I39</f>
        <v>580</v>
      </c>
      <c r="J44" s="39" t="n">
        <f aca="false">IFERROR(I44/I$20,0)</f>
        <v>0.0462999920172428</v>
      </c>
      <c r="K44" s="28" t="n">
        <f aca="false">'Vessel 2026 P&amp;L'!K39</f>
        <v>947</v>
      </c>
      <c r="L44" s="39" t="n">
        <f aca="false">IFERROR(K44/K$20,0)</f>
        <v>0.0231319768435966</v>
      </c>
      <c r="M44" s="28" t="n">
        <f aca="false">'Vessel 2026 P&amp;L'!M39</f>
        <v>929</v>
      </c>
      <c r="N44" s="39" t="n">
        <f aca="false">IFERROR(M44/M$20,0)</f>
        <v>0.0202736616982738</v>
      </c>
      <c r="O44" s="28" t="n">
        <f aca="false">'Vessel 2026 P&amp;L'!O39</f>
        <v>1262</v>
      </c>
      <c r="P44" s="39" t="n">
        <f aca="false">IFERROR(O44/O$20,0)</f>
        <v>0.0381614756576958</v>
      </c>
      <c r="Q44" s="28" t="n">
        <f aca="false">'Vessel 2026 P&amp;L'!Q39</f>
        <v>1262</v>
      </c>
      <c r="R44" s="39" t="n">
        <f aca="false">IFERROR(Q44/Q$20,0)</f>
        <v>0.0491074468602559</v>
      </c>
      <c r="S44" s="28" t="n">
        <f aca="false">'Vessel 2026 P&amp;L'!S39</f>
        <v>1262</v>
      </c>
      <c r="T44" s="39" t="n">
        <f aca="false">IFERROR(S44/S$20,0)</f>
        <v>0.0491074468602559</v>
      </c>
      <c r="U44" s="28" t="n">
        <f aca="false">'Vessel 2026 P&amp;L'!U39</f>
        <v>1262</v>
      </c>
      <c r="V44" s="39" t="n">
        <f aca="false">IFERROR(U44/U$20,0)</f>
        <v>0.0613868465790939</v>
      </c>
      <c r="W44" s="28" t="n">
        <f aca="false">'Vessel 2026 P&amp;L'!W39</f>
        <v>1262</v>
      </c>
      <c r="X44" s="39" t="n">
        <f aca="false">IFERROR(W44/W$20,0)</f>
        <v>0.0613868465790939</v>
      </c>
      <c r="Y44" s="28" t="n">
        <f aca="false">'Vessel 2026 P&amp;L'!Y39</f>
        <v>1262</v>
      </c>
      <c r="Z44" s="39" t="n">
        <f aca="false">IFERROR(Y44/Y$20,0)</f>
        <v>0.0350791852845319</v>
      </c>
      <c r="AB44" s="28" t="n">
        <f aca="false">SUM(C44,E44,G44,I44,K44,M44,O44,Q44,S44,U44,W44,Y44)</f>
        <v>16227</v>
      </c>
      <c r="AC44" s="39" t="n">
        <f aca="false">IFERROR(AB44/AB$20,0)</f>
        <v>0.0456502502155284</v>
      </c>
    </row>
    <row r="45" customFormat="false" ht="15" hidden="false" customHeight="true" outlineLevel="0" collapsed="false">
      <c r="A45" s="27" t="s">
        <v>188</v>
      </c>
      <c r="C45" s="28" t="n">
        <f aca="false">'Vessel 2026 P&amp;L'!C40</f>
        <v>0</v>
      </c>
      <c r="D45" s="39" t="n">
        <f aca="false">IFERROR(C45/C$20,0)</f>
        <v>0</v>
      </c>
      <c r="E45" s="28" t="n">
        <f aca="false">'Vessel 2026 P&amp;L'!E40</f>
        <v>1112</v>
      </c>
      <c r="F45" s="39" t="n">
        <f aca="false">IFERROR(E45/E$20,0)</f>
        <v>0.0666187395159358</v>
      </c>
      <c r="G45" s="28" t="n">
        <f aca="false">'Vessel 2026 P&amp;L'!G40</f>
        <v>256</v>
      </c>
      <c r="H45" s="39" t="n">
        <f aca="false">IFERROR(G45/G$20,0)</f>
        <v>0.00643135284511996</v>
      </c>
      <c r="I45" s="28" t="n">
        <f aca="false">'Vessel 2026 P&amp;L'!I40</f>
        <v>0</v>
      </c>
      <c r="J45" s="39" t="n">
        <f aca="false">IFERROR(I45/I$20,0)</f>
        <v>0</v>
      </c>
      <c r="K45" s="28" t="n">
        <f aca="false">'Vessel 2026 P&amp;L'!K40</f>
        <v>1445</v>
      </c>
      <c r="L45" s="39" t="n">
        <f aca="false">IFERROR(K45/K$20,0)</f>
        <v>0.035296416619849</v>
      </c>
      <c r="M45" s="28" t="n">
        <f aca="false">'Vessel 2026 P&amp;L'!M40</f>
        <v>0</v>
      </c>
      <c r="N45" s="39" t="n">
        <f aca="false">IFERROR(M45/M$20,0)</f>
        <v>0</v>
      </c>
      <c r="O45" s="28" t="n">
        <f aca="false">'Vessel 2026 P&amp;L'!O40</f>
        <v>1445</v>
      </c>
      <c r="P45" s="39" t="n">
        <f aca="false">IFERROR(O45/O$20,0)</f>
        <v>0.0436951920169338</v>
      </c>
      <c r="Q45" s="28" t="n">
        <f aca="false">'Vessel 2026 P&amp;L'!Q40</f>
        <v>1445</v>
      </c>
      <c r="R45" s="39" t="n">
        <f aca="false">IFERROR(Q45/Q$20,0)</f>
        <v>0.0562284157789776</v>
      </c>
      <c r="S45" s="28" t="n">
        <f aca="false">'Vessel 2026 P&amp;L'!S40</f>
        <v>1445</v>
      </c>
      <c r="T45" s="39" t="n">
        <f aca="false">IFERROR(S45/S$20,0)</f>
        <v>0.0562284157789776</v>
      </c>
      <c r="U45" s="28" t="n">
        <f aca="false">'Vessel 2026 P&amp;L'!U40</f>
        <v>1445</v>
      </c>
      <c r="V45" s="39" t="n">
        <f aca="false">IFERROR(U45/U$20,0)</f>
        <v>0.0702884257581543</v>
      </c>
      <c r="W45" s="28" t="n">
        <f aca="false">'Vessel 2026 P&amp;L'!W40</f>
        <v>1445</v>
      </c>
      <c r="X45" s="39" t="n">
        <f aca="false">IFERROR(W45/W$20,0)</f>
        <v>0.0702884257581543</v>
      </c>
      <c r="Y45" s="28" t="n">
        <f aca="false">'Vessel 2026 P&amp;L'!Y40</f>
        <v>1445</v>
      </c>
      <c r="Z45" s="39" t="n">
        <f aca="false">IFERROR(Y45/Y$20,0)</f>
        <v>0.0401659451158072</v>
      </c>
      <c r="AB45" s="28" t="n">
        <f aca="false">SUM(C45,E45,G45,I45,K45,M45,O45,Q45,S45,U45,W45,Y45)</f>
        <v>11483</v>
      </c>
      <c r="AC45" s="39" t="n">
        <f aca="false">IFERROR(AB45/AB$20,0)</f>
        <v>0.0323042967415365</v>
      </c>
    </row>
    <row r="46" customFormat="false" ht="15" hidden="false" customHeight="true" outlineLevel="0" collapsed="false">
      <c r="A46" s="27" t="s">
        <v>189</v>
      </c>
      <c r="C46" s="28" t="n">
        <f aca="false">'Vessel 2026 P&amp;L'!C41</f>
        <v>827</v>
      </c>
      <c r="D46" s="39" t="n">
        <f aca="false">IFERROR(C46/C$20,0)</f>
        <v>0.0216957867674065</v>
      </c>
      <c r="E46" s="28" t="n">
        <f aca="false">'Vessel 2026 P&amp;L'!E41</f>
        <v>1090</v>
      </c>
      <c r="F46" s="39" t="n">
        <f aca="false">IFERROR(E46/E$20,0)</f>
        <v>0.0653007428708363</v>
      </c>
      <c r="G46" s="28" t="n">
        <f aca="false">'Vessel 2026 P&amp;L'!G41</f>
        <v>1821</v>
      </c>
      <c r="H46" s="39" t="n">
        <f aca="false">IFERROR(G46/G$20,0)</f>
        <v>0.045748021605326</v>
      </c>
      <c r="I46" s="28" t="n">
        <f aca="false">'Vessel 2026 P&amp;L'!I41</f>
        <v>1386</v>
      </c>
      <c r="J46" s="39" t="n">
        <f aca="false">IFERROR(I46/I$20,0)</f>
        <v>0.110641015406721</v>
      </c>
      <c r="K46" s="28" t="n">
        <f aca="false">'Vessel 2026 P&amp;L'!K41</f>
        <v>674</v>
      </c>
      <c r="L46" s="39" t="n">
        <f aca="false">IFERROR(K46/K$20,0)</f>
        <v>0.0164635188939642</v>
      </c>
      <c r="M46" s="28" t="n">
        <f aca="false">'Vessel 2026 P&amp;L'!M41</f>
        <v>697</v>
      </c>
      <c r="N46" s="39" t="n">
        <f aca="false">IFERROR(M46/M$20,0)</f>
        <v>0.0152107020491893</v>
      </c>
      <c r="O46" s="28" t="n">
        <f aca="false">'Vessel 2026 P&amp;L'!O41</f>
        <v>674</v>
      </c>
      <c r="P46" s="39" t="n">
        <f aca="false">IFERROR(O46/O$20,0)</f>
        <v>0.0203810099788328</v>
      </c>
      <c r="Q46" s="28" t="n">
        <f aca="false">'Vessel 2026 P&amp;L'!Q41</f>
        <v>674</v>
      </c>
      <c r="R46" s="39" t="n">
        <f aca="false">IFERROR(Q46/Q$20,0)</f>
        <v>0.0262269565640352</v>
      </c>
      <c r="S46" s="28" t="n">
        <f aca="false">'Vessel 2026 P&amp;L'!S41</f>
        <v>674</v>
      </c>
      <c r="T46" s="39" t="n">
        <f aca="false">IFERROR(S46/S$20,0)</f>
        <v>0.0262269565640352</v>
      </c>
      <c r="U46" s="28" t="n">
        <f aca="false">'Vessel 2026 P&amp;L'!U41</f>
        <v>674</v>
      </c>
      <c r="V46" s="39" t="n">
        <f aca="false">IFERROR(U46/U$20,0)</f>
        <v>0.0327850511840803</v>
      </c>
      <c r="W46" s="28" t="n">
        <f aca="false">'Vessel 2026 P&amp;L'!W41</f>
        <v>674</v>
      </c>
      <c r="X46" s="39" t="n">
        <f aca="false">IFERROR(W46/W$20,0)</f>
        <v>0.0327850511840803</v>
      </c>
      <c r="Y46" s="28" t="n">
        <f aca="false">'Vessel 2026 P&amp;L'!Y41</f>
        <v>674</v>
      </c>
      <c r="Z46" s="39" t="n">
        <f aca="false">IFERROR(Y46/Y$20,0)</f>
        <v>0.0187348422201066</v>
      </c>
      <c r="AB46" s="28" t="n">
        <f aca="false">SUM(C46,E46,G46,I46,K46,M46,O46,Q46,S46,U46,W46,Y46)</f>
        <v>10539</v>
      </c>
      <c r="AC46" s="39" t="n">
        <f aca="false">IFERROR(AB46/AB$20,0)</f>
        <v>0.0296486095409783</v>
      </c>
    </row>
    <row r="47" customFormat="false" ht="15" hidden="false" customHeight="true" outlineLevel="0" collapsed="false">
      <c r="A47" s="27" t="s">
        <v>190</v>
      </c>
      <c r="C47" s="28" t="n">
        <f aca="false">'Vessel 2026 P&amp;L'!C42</f>
        <v>3621</v>
      </c>
      <c r="D47" s="39" t="n">
        <f aca="false">IFERROR(C47/C$20,0)</f>
        <v>0.0949944907917519</v>
      </c>
      <c r="E47" s="28" t="n">
        <f aca="false">'Vessel 2026 P&amp;L'!E42</f>
        <v>3804</v>
      </c>
      <c r="F47" s="39" t="n">
        <f aca="false">IFERROR(E47/E$20,0)</f>
        <v>0.227893601725377</v>
      </c>
      <c r="G47" s="28" t="n">
        <f aca="false">'Vessel 2026 P&amp;L'!G42</f>
        <v>5208</v>
      </c>
      <c r="H47" s="39" t="n">
        <f aca="false">IFERROR(G47/G$20,0)</f>
        <v>0.130837834442909</v>
      </c>
      <c r="I47" s="28" t="n">
        <f aca="false">'Vessel 2026 P&amp;L'!I42</f>
        <v>2705</v>
      </c>
      <c r="J47" s="39" t="n">
        <f aca="false">IFERROR(I47/I$20,0)</f>
        <v>0.215933583459727</v>
      </c>
      <c r="K47" s="28" t="n">
        <f aca="false">'Vessel 2026 P&amp;L'!K42</f>
        <v>4709</v>
      </c>
      <c r="L47" s="39" t="n">
        <f aca="false">IFERROR(K47/K$20,0)</f>
        <v>0.115024792984685</v>
      </c>
      <c r="M47" s="28" t="n">
        <f aca="false">'Vessel 2026 P&amp;L'!M42</f>
        <v>2584</v>
      </c>
      <c r="N47" s="39" t="n">
        <f aca="false">IFERROR(M47/M$20,0)</f>
        <v>0.0563908954018724</v>
      </c>
      <c r="O47" s="28" t="n">
        <f aca="false">'Vessel 2026 P&amp;L'!O42</f>
        <v>3340</v>
      </c>
      <c r="P47" s="39" t="n">
        <f aca="false">IFERROR(O47/O$20,0)</f>
        <v>0.100997883277895</v>
      </c>
      <c r="Q47" s="28" t="n">
        <f aca="false">'Vessel 2026 P&amp;L'!Q42</f>
        <v>2979</v>
      </c>
      <c r="R47" s="39" t="n">
        <f aca="false">IFERROR(Q47/Q$20,0)</f>
        <v>0.115920035021159</v>
      </c>
      <c r="S47" s="28" t="n">
        <f aca="false">'Vessel 2026 P&amp;L'!S42</f>
        <v>2857</v>
      </c>
      <c r="T47" s="39" t="n">
        <f aca="false">IFERROR(S47/S$20,0)</f>
        <v>0.111172722408677</v>
      </c>
      <c r="U47" s="28" t="n">
        <f aca="false">'Vessel 2026 P&amp;L'!U42</f>
        <v>2748</v>
      </c>
      <c r="V47" s="39" t="n">
        <f aca="false">IFERROR(U47/U$20,0)</f>
        <v>0.133669615213431</v>
      </c>
      <c r="W47" s="28" t="n">
        <f aca="false">'Vessel 2026 P&amp;L'!W42</f>
        <v>2707</v>
      </c>
      <c r="X47" s="39" t="n">
        <f aca="false">IFERROR(W47/W$20,0)</f>
        <v>0.131675272337248</v>
      </c>
      <c r="Y47" s="28" t="n">
        <f aca="false">'Vessel 2026 P&amp;L'!Y42</f>
        <v>2718</v>
      </c>
      <c r="Z47" s="39" t="n">
        <f aca="false">IFERROR(Y47/Y$20,0)</f>
        <v>0.0755508919202518</v>
      </c>
      <c r="AB47" s="28" t="n">
        <f aca="false">SUM(C47,E47,G47,I47,K47,M47,O47,Q47,S47,U47,W47,Y47)</f>
        <v>39980</v>
      </c>
      <c r="AC47" s="39" t="n">
        <f aca="false">IFERROR(AB47/AB$20,0)</f>
        <v>0.112472854108389</v>
      </c>
    </row>
    <row r="48" customFormat="false" ht="15" hidden="false" customHeight="true" outlineLevel="0" collapsed="false">
      <c r="A48" s="27" t="s">
        <v>191</v>
      </c>
      <c r="C48" s="28" t="n">
        <f aca="false">'Vessel 2026 P&amp;L'!C43</f>
        <v>0</v>
      </c>
      <c r="D48" s="39" t="n">
        <f aca="false">IFERROR(C48/C$20,0)</f>
        <v>0</v>
      </c>
      <c r="E48" s="28" t="n">
        <f aca="false">'Vessel 2026 P&amp;L'!E43</f>
        <v>0</v>
      </c>
      <c r="F48" s="39" t="n">
        <f aca="false">IFERROR(E48/E$20,0)</f>
        <v>0</v>
      </c>
      <c r="G48" s="28" t="n">
        <f aca="false">'Vessel 2026 P&amp;L'!G43</f>
        <v>520</v>
      </c>
      <c r="H48" s="39" t="n">
        <f aca="false">IFERROR(G48/G$20,0)</f>
        <v>0.0130636854666499</v>
      </c>
      <c r="I48" s="28" t="n">
        <f aca="false">'Vessel 2026 P&amp;L'!I43</f>
        <v>1875</v>
      </c>
      <c r="J48" s="39" t="n">
        <f aca="false">IFERROR(I48/I$20,0)</f>
        <v>0.149676698331604</v>
      </c>
      <c r="K48" s="28" t="n">
        <f aca="false">'Vessel 2026 P&amp;L'!K43</f>
        <v>0</v>
      </c>
      <c r="L48" s="39" t="n">
        <f aca="false">IFERROR(K48/K$20,0)</f>
        <v>0</v>
      </c>
      <c r="M48" s="28" t="n">
        <f aca="false">'Vessel 2026 P&amp;L'!M43</f>
        <v>0</v>
      </c>
      <c r="N48" s="39" t="n">
        <f aca="false">IFERROR(M48/M$20,0)</f>
        <v>0</v>
      </c>
      <c r="O48" s="28" t="n">
        <f aca="false">'Vessel 2026 P&amp;L'!O43</f>
        <v>0</v>
      </c>
      <c r="P48" s="39" t="n">
        <f aca="false">IFERROR(O48/O$20,0)</f>
        <v>0</v>
      </c>
      <c r="Q48" s="28" t="n">
        <f aca="false">'Vessel 2026 P&amp;L'!Q43</f>
        <v>0</v>
      </c>
      <c r="R48" s="39" t="n">
        <f aca="false">IFERROR(Q48/Q$20,0)</f>
        <v>0</v>
      </c>
      <c r="S48" s="28" t="n">
        <f aca="false">'Vessel 2026 P&amp;L'!S43</f>
        <v>0</v>
      </c>
      <c r="T48" s="39" t="n">
        <f aca="false">IFERROR(S48/S$20,0)</f>
        <v>0</v>
      </c>
      <c r="U48" s="28" t="n">
        <f aca="false">'Vessel 2026 P&amp;L'!U43</f>
        <v>0</v>
      </c>
      <c r="V48" s="39" t="n">
        <f aca="false">IFERROR(U48/U$20,0)</f>
        <v>0</v>
      </c>
      <c r="W48" s="28" t="n">
        <f aca="false">'Vessel 2026 P&amp;L'!W43</f>
        <v>0</v>
      </c>
      <c r="X48" s="39" t="n">
        <f aca="false">IFERROR(W48/W$20,0)</f>
        <v>0</v>
      </c>
      <c r="Y48" s="28" t="n">
        <f aca="false">'Vessel 2026 P&amp;L'!Y43</f>
        <v>0</v>
      </c>
      <c r="Z48" s="39" t="n">
        <f aca="false">IFERROR(Y48/Y$20,0)</f>
        <v>0</v>
      </c>
      <c r="AB48" s="28" t="n">
        <f aca="false">SUM(C48,E48,G48,I48,K48,M48,O48,Q48,S48,U48,W48,Y48)</f>
        <v>2395</v>
      </c>
      <c r="AC48" s="39" t="n">
        <f aca="false">IFERROR(AB48/AB$20,0)</f>
        <v>0.0067376809802299</v>
      </c>
    </row>
    <row r="49" customFormat="false" ht="15" hidden="false" customHeight="true" outlineLevel="0" collapsed="false">
      <c r="A49" s="27" t="s">
        <v>192</v>
      </c>
      <c r="C49" s="28" t="n">
        <v>0</v>
      </c>
      <c r="D49" s="39" t="n">
        <f aca="false">IFERROR(C49/C$20,0)</f>
        <v>0</v>
      </c>
      <c r="E49" s="28" t="n">
        <v>0</v>
      </c>
      <c r="F49" s="39" t="n">
        <f aca="false">IFERROR(E49/E$20,0)</f>
        <v>0</v>
      </c>
      <c r="G49" s="28" t="n">
        <v>0</v>
      </c>
      <c r="H49" s="39" t="n">
        <f aca="false">IFERROR(G49/G$20,0)</f>
        <v>0</v>
      </c>
      <c r="I49" s="28" t="n">
        <v>0</v>
      </c>
      <c r="J49" s="39" t="n">
        <f aca="false">IFERROR(I49/I$20,0)</f>
        <v>0</v>
      </c>
      <c r="K49" s="28" t="n">
        <v>0</v>
      </c>
      <c r="L49" s="39" t="n">
        <f aca="false">IFERROR(K49/K$20,0)</f>
        <v>0</v>
      </c>
      <c r="M49" s="28" t="n">
        <v>0</v>
      </c>
      <c r="N49" s="39" t="n">
        <f aca="false">IFERROR(M49/M$20,0)</f>
        <v>0</v>
      </c>
      <c r="O49" s="28" t="n">
        <v>0</v>
      </c>
      <c r="P49" s="39" t="n">
        <f aca="false">IFERROR(O49/O$20,0)</f>
        <v>0</v>
      </c>
      <c r="Q49" s="28" t="n">
        <v>0</v>
      </c>
      <c r="R49" s="39" t="n">
        <f aca="false">IFERROR(Q49/Q$20,0)</f>
        <v>0</v>
      </c>
      <c r="S49" s="28" t="n">
        <v>0</v>
      </c>
      <c r="T49" s="39" t="n">
        <f aca="false">IFERROR(S49/S$20,0)</f>
        <v>0</v>
      </c>
      <c r="U49" s="28" t="n">
        <v>0</v>
      </c>
      <c r="V49" s="39" t="n">
        <f aca="false">IFERROR(U49/U$20,0)</f>
        <v>0</v>
      </c>
      <c r="W49" s="28" t="n">
        <v>0</v>
      </c>
      <c r="X49" s="39" t="n">
        <f aca="false">IFERROR(W49/W$20,0)</f>
        <v>0</v>
      </c>
      <c r="Y49" s="28" t="n">
        <v>0</v>
      </c>
      <c r="Z49" s="39" t="n">
        <f aca="false">IFERROR(Y49/Y$20,0)</f>
        <v>0</v>
      </c>
      <c r="AB49" s="28" t="n">
        <f aca="false">SUM(C49,E49,G49,I49,K49,M49,O49,Q49,S49,U49,W49,Y49)</f>
        <v>0</v>
      </c>
      <c r="AC49" s="39" t="n">
        <f aca="false">IFERROR(AB49/AB$20,0)</f>
        <v>0</v>
      </c>
    </row>
    <row r="50" customFormat="false" ht="15" hidden="false" customHeight="true" outlineLevel="0" collapsed="false">
      <c r="A50" s="31" t="s">
        <v>193</v>
      </c>
      <c r="C50" s="32" t="n">
        <f aca="false">SUM(C44:C49)</f>
        <v>6079</v>
      </c>
      <c r="D50" s="40" t="n">
        <f aca="false">IFERROR(C50/C$20,0)</f>
        <v>0.159478461619183</v>
      </c>
      <c r="E50" s="32" t="n">
        <f aca="false">SUM(E44:E49)</f>
        <v>7312</v>
      </c>
      <c r="F50" s="40" t="n">
        <f aca="false">IFERROR(E50/E$20,0)</f>
        <v>0.438054157680326</v>
      </c>
      <c r="G50" s="32" t="n">
        <f aca="false">SUM(G44:G49)</f>
        <v>11067</v>
      </c>
      <c r="H50" s="40" t="n">
        <f aca="false">IFERROR(G50/G$20,0)</f>
        <v>0.278030398191182</v>
      </c>
      <c r="I50" s="32" t="n">
        <f aca="false">SUM(I44:I49)</f>
        <v>6546</v>
      </c>
      <c r="J50" s="40" t="n">
        <f aca="false">IFERROR(I50/I$20,0)</f>
        <v>0.522551289215295</v>
      </c>
      <c r="K50" s="32" t="n">
        <f aca="false">SUM(K44:K49)</f>
        <v>7775</v>
      </c>
      <c r="L50" s="40" t="n">
        <f aca="false">IFERROR(K50/K$20,0)</f>
        <v>0.189916705342094</v>
      </c>
      <c r="M50" s="32" t="n">
        <f aca="false">SUM(M44:M49)</f>
        <v>4210</v>
      </c>
      <c r="N50" s="40" t="n">
        <f aca="false">IFERROR(M50/M$20,0)</f>
        <v>0.0918752591493355</v>
      </c>
      <c r="O50" s="32" t="n">
        <f aca="false">SUM(O44:O49)</f>
        <v>6721</v>
      </c>
      <c r="P50" s="40" t="n">
        <f aca="false">IFERROR(O50/O$20,0)</f>
        <v>0.203235560931358</v>
      </c>
      <c r="Q50" s="32" t="n">
        <f aca="false">SUM(Q44:Q49)</f>
        <v>6360</v>
      </c>
      <c r="R50" s="40" t="n">
        <f aca="false">IFERROR(Q50/Q$20,0)</f>
        <v>0.247482854224427</v>
      </c>
      <c r="S50" s="32" t="n">
        <f aca="false">SUM(S44:S49)</f>
        <v>6238</v>
      </c>
      <c r="T50" s="40" t="n">
        <f aca="false">IFERROR(S50/S$20,0)</f>
        <v>0.242735541611946</v>
      </c>
      <c r="U50" s="32" t="n">
        <f aca="false">SUM(U44:U49)</f>
        <v>6129</v>
      </c>
      <c r="V50" s="40" t="n">
        <f aca="false">IFERROR(U50/U$20,0)</f>
        <v>0.29812993873476</v>
      </c>
      <c r="W50" s="32" t="n">
        <f aca="false">SUM(W44:W49)</f>
        <v>6088</v>
      </c>
      <c r="X50" s="40" t="n">
        <f aca="false">IFERROR(W50/W$20,0)</f>
        <v>0.296135595858577</v>
      </c>
      <c r="Y50" s="32" t="n">
        <f aca="false">SUM(Y44:Y49)</f>
        <v>6099</v>
      </c>
      <c r="Z50" s="40" t="n">
        <f aca="false">IFERROR(Y50/Y$20,0)</f>
        <v>0.169530864540698</v>
      </c>
      <c r="AB50" s="32" t="n">
        <f aca="false">SUM(AB44:AB49)</f>
        <v>80624</v>
      </c>
      <c r="AC50" s="40" t="n">
        <f aca="false">IFERROR(AB50/AB$20,0)</f>
        <v>0.226813691586662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f aca="false">'Vessel 2026 P&amp;L'!C47</f>
        <v>479</v>
      </c>
      <c r="D53" s="39" t="n">
        <f aca="false">IFERROR(C53/C$20,0)</f>
        <v>0.0125662416706018</v>
      </c>
      <c r="E53" s="28" t="n">
        <f aca="false">'Vessel 2026 P&amp;L'!E47</f>
        <v>433</v>
      </c>
      <c r="F53" s="39" t="n">
        <f aca="false">IFERROR(E53/E$20,0)</f>
        <v>0.0259405703330937</v>
      </c>
      <c r="G53" s="28" t="n">
        <f aca="false">'Vessel 2026 P&amp;L'!G47</f>
        <v>479</v>
      </c>
      <c r="H53" s="39" t="n">
        <f aca="false">IFERROR(G53/G$20,0)</f>
        <v>0.0120336641125487</v>
      </c>
      <c r="I53" s="28" t="n">
        <f aca="false">'Vessel 2026 P&amp;L'!I47</f>
        <v>464</v>
      </c>
      <c r="J53" s="39" t="n">
        <f aca="false">IFERROR(I53/I$20,0)</f>
        <v>0.0370399936137942</v>
      </c>
      <c r="K53" s="28" t="n">
        <f aca="false">'Vessel 2026 P&amp;L'!K47</f>
        <v>479</v>
      </c>
      <c r="L53" s="39" t="n">
        <f aca="false">IFERROR(K53/K$20,0)</f>
        <v>0.0117003346442268</v>
      </c>
      <c r="M53" s="28" t="n">
        <f aca="false">'Vessel 2026 P&amp;L'!M47</f>
        <v>479</v>
      </c>
      <c r="N53" s="39" t="n">
        <f aca="false">IFERROR(M53/M$20,0)</f>
        <v>0.0104532658272047</v>
      </c>
      <c r="O53" s="28" t="n">
        <f aca="false">'Vessel 2026 P&amp;L'!O47</f>
        <v>479</v>
      </c>
      <c r="P53" s="39" t="n">
        <f aca="false">IFERROR(O53/O$20,0)</f>
        <v>0.0144844269730874</v>
      </c>
      <c r="Q53" s="28" t="n">
        <f aca="false">'Vessel 2026 P&amp;L'!Q47</f>
        <v>479</v>
      </c>
      <c r="R53" s="39" t="n">
        <f aca="false">IFERROR(Q53/Q$20,0)</f>
        <v>0.018639038863758</v>
      </c>
      <c r="S53" s="28" t="n">
        <f aca="false">'Vessel 2026 P&amp;L'!S47</f>
        <v>479</v>
      </c>
      <c r="T53" s="39" t="n">
        <f aca="false">IFERROR(S53/S$20,0)</f>
        <v>0.018639038863758</v>
      </c>
      <c r="U53" s="28" t="n">
        <f aca="false">'Vessel 2026 P&amp;L'!U47</f>
        <v>479</v>
      </c>
      <c r="V53" s="39" t="n">
        <f aca="false">IFERROR(U53/U$20,0)</f>
        <v>0.0232997618949176</v>
      </c>
      <c r="W53" s="28" t="n">
        <f aca="false">'Vessel 2026 P&amp;L'!W47</f>
        <v>479</v>
      </c>
      <c r="X53" s="39" t="n">
        <f aca="false">IFERROR(W53/W$20,0)</f>
        <v>0.0232997618949176</v>
      </c>
      <c r="Y53" s="28" t="n">
        <f aca="false">'Vessel 2026 P&amp;L'!Y47</f>
        <v>479</v>
      </c>
      <c r="Z53" s="39" t="n">
        <f aca="false">IFERROR(Y53/Y$20,0)</f>
        <v>0.0133145243671084</v>
      </c>
      <c r="AB53" s="28" t="n">
        <f aca="false">SUM(C53,E53,G53,I53,K53,M53,O53,Q53,S53,U53,W53,Y53)</f>
        <v>5687</v>
      </c>
      <c r="AC53" s="39" t="n">
        <f aca="false">IFERROR(AB53/AB$20,0)</f>
        <v>0.0159988274465835</v>
      </c>
    </row>
    <row r="54" customFormat="false" ht="15" hidden="false" customHeight="true" outlineLevel="0" collapsed="false">
      <c r="A54" s="27" t="s">
        <v>196</v>
      </c>
      <c r="C54" s="28" t="n">
        <f aca="false">IF(1&gt;=MONTH($C$4),C20*'Vessel Assumptions'!$C$31,'Vessel 2026 P&amp;L'!C48)</f>
        <v>2509</v>
      </c>
      <c r="D54" s="39" t="n">
        <f aca="false">IFERROR(C54/C$20,0)</f>
        <v>0.0658219214019623</v>
      </c>
      <c r="E54" s="28" t="n">
        <f aca="false">IF(2&gt;=MONTH($C$4),E20*'Vessel Assumptions'!$C$31,'Vessel 2026 P&amp;L'!E48)</f>
        <v>1020</v>
      </c>
      <c r="F54" s="39" t="n">
        <f aca="false">IFERROR(E54/E$20,0)</f>
        <v>0.0611071171818835</v>
      </c>
      <c r="G54" s="28" t="n">
        <f aca="false">IF(3&gt;=MONTH($C$4),G20*'Vessel Assumptions'!$C$31,'Vessel 2026 P&amp;L'!G48)</f>
        <v>2388</v>
      </c>
      <c r="H54" s="39" t="n">
        <f aca="false">IFERROR(G54/G$20,0)</f>
        <v>0.0599924632583846</v>
      </c>
      <c r="I54" s="28" t="n">
        <f aca="false">IF(4&gt;=MONTH($C$4),I20*'Vessel Assumptions'!$C$31,'Vessel 2026 P&amp;L'!I48)</f>
        <v>735</v>
      </c>
      <c r="J54" s="39" t="n">
        <f aca="false">IFERROR(I54/I$20,0)</f>
        <v>0.0586732657459887</v>
      </c>
      <c r="K54" s="28" t="n">
        <f aca="false">IF(5&gt;=MONTH($C$4),K20*'Vessel Assumptions'!$C$31,'Vessel 2026 P&amp;L'!K48)</f>
        <v>2456</v>
      </c>
      <c r="L54" s="39" t="n">
        <f aca="false">IFERROR(K54/K$20,0)</f>
        <v>0.0599916949607953</v>
      </c>
      <c r="M54" s="28" t="n">
        <f aca="false">IF(6&gt;=MONTH($C$4),M20*'Vessel Assumptions'!$C$31,'Vessel 2026 P&amp;L'!M48)</f>
        <v>2749</v>
      </c>
      <c r="N54" s="39" t="n">
        <f aca="false">IFERROR(M54/M$20,0)</f>
        <v>0.0599917072212644</v>
      </c>
      <c r="O54" s="28" t="n">
        <f aca="false">IF(7&gt;=MONTH($C$4),O20*'Vessel Assumptions'!$C$31,'Vessel 2026 P&amp;L'!O48)</f>
        <v>1984</v>
      </c>
      <c r="P54" s="39" t="n">
        <f aca="false">IFERROR(O54/O$20,0)</f>
        <v>0.0599939522225582</v>
      </c>
      <c r="Q54" s="28" t="n">
        <f aca="false">IF(8&gt;=MONTH($C$4),Q20*'Vessel Assumptions'!$C$31,'Vessel 2026 P&amp;L'!Q48)</f>
        <v>0</v>
      </c>
      <c r="R54" s="39" t="n">
        <f aca="false">IFERROR(Q54/Q$20,0)</f>
        <v>0</v>
      </c>
      <c r="S54" s="28" t="n">
        <f aca="false">IF(9&gt;=MONTH($C$4),S20*'Vessel Assumptions'!$C$31,'Vessel 2026 P&amp;L'!S48)</f>
        <v>0</v>
      </c>
      <c r="T54" s="39" t="n">
        <f aca="false">IFERROR(S54/S$20,0)</f>
        <v>0</v>
      </c>
      <c r="U54" s="28" t="n">
        <f aca="false">IF(10&gt;=MONTH($C$4),U20*'Vessel Assumptions'!$C$31,'Vessel 2026 P&amp;L'!U48)</f>
        <v>0</v>
      </c>
      <c r="V54" s="39" t="n">
        <f aca="false">IFERROR(U54/U$20,0)</f>
        <v>0</v>
      </c>
      <c r="W54" s="28" t="n">
        <f aca="false">IF(11&gt;=MONTH($C$4),W20*'Vessel Assumptions'!$C$31,'Vessel 2026 P&amp;L'!W48)</f>
        <v>0</v>
      </c>
      <c r="X54" s="39" t="n">
        <f aca="false">IFERROR(W54/W$20,0)</f>
        <v>0</v>
      </c>
      <c r="Y54" s="28" t="n">
        <f aca="false">IF(12&gt;=MONTH($C$4),Y20*'Vessel Assumptions'!$C$31,'Vessel 2026 P&amp;L'!Y48)</f>
        <v>0</v>
      </c>
      <c r="Z54" s="39" t="n">
        <f aca="false">IFERROR(Y54/Y$20,0)</f>
        <v>0</v>
      </c>
      <c r="AB54" s="28" t="n">
        <f aca="false">SUM(C54,E54,G54,I54,K54,M54,O54,Q54,S54,U54,W54,Y54)</f>
        <v>13841</v>
      </c>
      <c r="AC54" s="39" t="n">
        <f aca="false">IFERROR(AB54/AB$20,0)</f>
        <v>0.0389378882869988</v>
      </c>
    </row>
    <row r="55" customFormat="false" ht="15" hidden="false" customHeight="true" outlineLevel="0" collapsed="false">
      <c r="A55" s="27" t="s">
        <v>197</v>
      </c>
      <c r="C55" s="28" t="n">
        <f aca="false">'Vessel 2026 P&amp;L'!C49</f>
        <v>1669</v>
      </c>
      <c r="D55" s="39" t="n">
        <f aca="false">IFERROR(C55/C$20,0)</f>
        <v>0.0437850884096752</v>
      </c>
      <c r="E55" s="28" t="n">
        <f aca="false">'Vessel 2026 P&amp;L'!E49</f>
        <v>223</v>
      </c>
      <c r="F55" s="39" t="n">
        <f aca="false">IFERROR(E55/E$20,0)</f>
        <v>0.0133596932662353</v>
      </c>
      <c r="G55" s="28" t="n">
        <f aca="false">'Vessel 2026 P&amp;L'!G49</f>
        <v>627</v>
      </c>
      <c r="H55" s="39" t="n">
        <f aca="false">IFERROR(G55/G$20,0)</f>
        <v>0.0157517899761337</v>
      </c>
      <c r="I55" s="28" t="n">
        <f aca="false">'Vessel 2026 P&amp;L'!I49</f>
        <v>-128</v>
      </c>
      <c r="J55" s="39" t="n">
        <f aca="false">IFERROR(I55/I$20,0)</f>
        <v>-0.0102179292727708</v>
      </c>
      <c r="K55" s="28" t="n">
        <f aca="false">'Vessel 2026 P&amp;L'!K49</f>
        <v>0</v>
      </c>
      <c r="L55" s="39" t="n">
        <f aca="false">IFERROR(K55/K$20,0)</f>
        <v>0</v>
      </c>
      <c r="M55" s="28" t="n">
        <f aca="false">'Vessel 2026 P&amp;L'!M49</f>
        <v>1306</v>
      </c>
      <c r="N55" s="39" t="n">
        <f aca="false">IFERROR(M55/M$20,0)</f>
        <v>0.0285009711280361</v>
      </c>
      <c r="O55" s="28" t="n">
        <f aca="false">'Vessel 2026 P&amp;L'!O49</f>
        <v>661</v>
      </c>
      <c r="P55" s="39" t="n">
        <f aca="false">IFERROR(O55/O$20,0)</f>
        <v>0.0199879044451164</v>
      </c>
      <c r="Q55" s="28" t="n">
        <f aca="false">'Vessel 2026 P&amp;L'!Q49</f>
        <v>500</v>
      </c>
      <c r="R55" s="39" t="n">
        <f aca="false">IFERROR(Q55/Q$20,0)</f>
        <v>0.0194561992314801</v>
      </c>
      <c r="S55" s="28" t="n">
        <f aca="false">'Vessel 2026 P&amp;L'!S49</f>
        <v>500</v>
      </c>
      <c r="T55" s="39" t="n">
        <f aca="false">IFERROR(S55/S$20,0)</f>
        <v>0.0194561992314801</v>
      </c>
      <c r="U55" s="28" t="n">
        <f aca="false">'Vessel 2026 P&amp;L'!U49</f>
        <v>400</v>
      </c>
      <c r="V55" s="39" t="n">
        <f aca="false">IFERROR(U55/U$20,0)</f>
        <v>0.0194570036700773</v>
      </c>
      <c r="W55" s="28" t="n">
        <f aca="false">'Vessel 2026 P&amp;L'!W49</f>
        <v>400</v>
      </c>
      <c r="X55" s="39" t="n">
        <f aca="false">IFERROR(W55/W$20,0)</f>
        <v>0.0194570036700773</v>
      </c>
      <c r="Y55" s="28" t="n">
        <f aca="false">'Vessel 2026 P&amp;L'!Y49</f>
        <v>700</v>
      </c>
      <c r="Z55" s="39" t="n">
        <f aca="false">IFERROR(Y55/Y$20,0)</f>
        <v>0.019457551267173</v>
      </c>
      <c r="AB55" s="28" t="n">
        <f aca="false">SUM(C55,E55,G55,I55,K55,M55,O55,Q55,S55,U55,W55,Y55)</f>
        <v>6858</v>
      </c>
      <c r="AC55" s="39" t="n">
        <f aca="false">IFERROR(AB55/AB$20,0)</f>
        <v>0.0192931173955811</v>
      </c>
    </row>
    <row r="56" customFormat="false" ht="15" hidden="false" customHeight="true" outlineLevel="0" collapsed="false">
      <c r="A56" s="27" t="s">
        <v>133</v>
      </c>
      <c r="C56" s="28" t="n">
        <f aca="false">IF(1&gt;=MONTH($C$4),C20*'Vessel Assumptions'!$C$30,'Vessel 2026 P&amp;L'!C50)</f>
        <v>4000</v>
      </c>
      <c r="D56" s="39" t="n">
        <f aca="false">IFERROR(C56/C$20,0)</f>
        <v>0.104937299963272</v>
      </c>
      <c r="E56" s="28" t="n">
        <f aca="false">IF(2&gt;=MONTH($C$4),E20*'Vessel Assumptions'!$C$30,'Vessel 2026 P&amp;L'!E50)</f>
        <v>4000</v>
      </c>
      <c r="F56" s="39" t="n">
        <f aca="false">IFERROR(E56/E$20,0)</f>
        <v>0.239635753654445</v>
      </c>
      <c r="G56" s="28" t="n">
        <f aca="false">IF(3&gt;=MONTH($C$4),G20*'Vessel Assumptions'!$C$30,'Vessel 2026 P&amp;L'!G50)</f>
        <v>4000</v>
      </c>
      <c r="H56" s="39" t="n">
        <f aca="false">IFERROR(G56/G$20,0)</f>
        <v>0.100489888204999</v>
      </c>
      <c r="I56" s="28" t="n">
        <f aca="false">IF(4&gt;=MONTH($C$4),I20*'Vessel Assumptions'!$C$30,'Vessel 2026 P&amp;L'!I50)</f>
        <v>4000</v>
      </c>
      <c r="J56" s="39" t="n">
        <f aca="false">IFERROR(I56/I$20,0)</f>
        <v>0.319310289774088</v>
      </c>
      <c r="K56" s="28" t="n">
        <f aca="false">IF(5&gt;=MONTH($C$4),K20*'Vessel Assumptions'!$C$30,'Vessel 2026 P&amp;L'!K50)</f>
        <v>4000</v>
      </c>
      <c r="L56" s="39" t="n">
        <f aca="false">IFERROR(K56/K$20,0)</f>
        <v>0.0977063435843572</v>
      </c>
      <c r="M56" s="28" t="n">
        <f aca="false">IF(6&gt;=MONTH($C$4),M20*'Vessel Assumptions'!$C$30,'Vessel 2026 P&amp;L'!M50)</f>
        <v>4000</v>
      </c>
      <c r="N56" s="39" t="n">
        <f aca="false">IFERROR(M56/M$20,0)</f>
        <v>0.0872924077428366</v>
      </c>
      <c r="O56" s="28" t="n">
        <f aca="false">IF(7&gt;=MONTH($C$4),O20*'Vessel Assumptions'!$C$30,'Vessel 2026 P&amp;L'!O50)</f>
        <v>4000</v>
      </c>
      <c r="P56" s="39" t="n">
        <f aca="false">IFERROR(O56/O$20,0)</f>
        <v>0.120955548835803</v>
      </c>
      <c r="Q56" s="28" t="n">
        <f aca="false">IF(8&gt;=MONTH($C$4),Q20*'Vessel Assumptions'!$C$30,'Vessel 2026 P&amp;L'!Q50)</f>
        <v>1027.95</v>
      </c>
      <c r="R56" s="39" t="n">
        <f aca="false">IFERROR(Q56/Q$20,0)</f>
        <v>0.04</v>
      </c>
      <c r="S56" s="28" t="n">
        <f aca="false">IF(9&gt;=MONTH($C$4),S20*'Vessel Assumptions'!$C$30,'Vessel 2026 P&amp;L'!S50)</f>
        <v>1027.95</v>
      </c>
      <c r="T56" s="39" t="n">
        <f aca="false">IFERROR(S56/S$20,0)</f>
        <v>0.04</v>
      </c>
      <c r="U56" s="28" t="n">
        <f aca="false">IF(10&gt;=MONTH($C$4),U20*'Vessel Assumptions'!$C$30,'Vessel 2026 P&amp;L'!U50)</f>
        <v>822.326</v>
      </c>
      <c r="V56" s="39" t="n">
        <f aca="false">IFERROR(U56/U$20,0)</f>
        <v>0.04</v>
      </c>
      <c r="W56" s="28" t="n">
        <f aca="false">IF(11&gt;=MONTH($C$4),W20*'Vessel Assumptions'!$C$30,'Vessel 2026 P&amp;L'!W50)</f>
        <v>822.326</v>
      </c>
      <c r="X56" s="39" t="n">
        <f aca="false">IFERROR(W56/W$20,0)</f>
        <v>0.04</v>
      </c>
      <c r="Y56" s="28" t="n">
        <f aca="false">IF(12&gt;=MONTH($C$4),Y20*'Vessel Assumptions'!$C$30,'Vessel 2026 P&amp;L'!Y50)</f>
        <v>1439.03</v>
      </c>
      <c r="Z56" s="39" t="n">
        <f aca="false">IFERROR(Y56/Y$20,0)</f>
        <v>0.04</v>
      </c>
      <c r="AB56" s="28" t="n">
        <f aca="false">SUM(C56,E56,G56,I56,K56,M56,O56,Q56,S56,U56,W56,Y56)</f>
        <v>33139.582</v>
      </c>
      <c r="AC56" s="39" t="n">
        <f aca="false">IFERROR(AB56/AB$20,0)</f>
        <v>0.0932291988869182</v>
      </c>
    </row>
    <row r="57" customFormat="false" ht="15" hidden="false" customHeight="true" outlineLevel="0" collapsed="false">
      <c r="A57" s="27" t="s">
        <v>299</v>
      </c>
      <c r="C57" s="28" t="n">
        <v>0</v>
      </c>
      <c r="D57" s="39" t="n">
        <f aca="false">IFERROR(C57/C$20,0)</f>
        <v>0</v>
      </c>
      <c r="E57" s="28" t="n">
        <v>0</v>
      </c>
      <c r="F57" s="39" t="n">
        <f aca="false">IFERROR(E57/E$20,0)</f>
        <v>0</v>
      </c>
      <c r="G57" s="28" t="n">
        <v>0</v>
      </c>
      <c r="H57" s="39" t="n">
        <f aca="false">IFERROR(G57/G$20,0)</f>
        <v>0</v>
      </c>
      <c r="I57" s="28" t="n">
        <v>0</v>
      </c>
      <c r="J57" s="39" t="n">
        <f aca="false">IFERROR(I57/I$20,0)</f>
        <v>0</v>
      </c>
      <c r="K57" s="28" t="n">
        <v>0</v>
      </c>
      <c r="L57" s="39" t="n">
        <f aca="false">IFERROR(K57/K$20,0)</f>
        <v>0</v>
      </c>
      <c r="M57" s="28" t="n">
        <v>0</v>
      </c>
      <c r="N57" s="39" t="n">
        <f aca="false">IFERROR(M57/M$20,0)</f>
        <v>0</v>
      </c>
      <c r="O57" s="28" t="n">
        <v>0</v>
      </c>
      <c r="P57" s="39" t="n">
        <f aca="false">IFERROR(O57/O$20,0)</f>
        <v>0</v>
      </c>
      <c r="Q57" s="28" t="n">
        <v>0</v>
      </c>
      <c r="R57" s="39" t="n">
        <f aca="false">IFERROR(Q57/Q$20,0)</f>
        <v>0</v>
      </c>
      <c r="S57" s="28" t="n">
        <v>0</v>
      </c>
      <c r="T57" s="39" t="n">
        <f aca="false">IFERROR(S57/S$20,0)</f>
        <v>0</v>
      </c>
      <c r="U57" s="28" t="n">
        <v>0</v>
      </c>
      <c r="V57" s="39" t="n">
        <f aca="false">IFERROR(U57/U$20,0)</f>
        <v>0</v>
      </c>
      <c r="W57" s="28" t="n">
        <v>0</v>
      </c>
      <c r="X57" s="39" t="n">
        <f aca="false">IFERROR(W57/W$20,0)</f>
        <v>0</v>
      </c>
      <c r="Y57" s="28" t="n">
        <v>0</v>
      </c>
      <c r="Z57" s="39" t="n">
        <f aca="false">IFERROR(Y57/Y$20,0)</f>
        <v>0</v>
      </c>
      <c r="AB57" s="28" t="n">
        <f aca="false">SUM(C57,E57,G57,I57,K57,M57,O57,Q57,S57,U57,W57,Y57)</f>
        <v>0</v>
      </c>
      <c r="AC57" s="39" t="n">
        <f aca="false">IFERROR(AB57/AB$20,0)</f>
        <v>0</v>
      </c>
    </row>
    <row r="58" customFormat="false" ht="15" hidden="false" customHeight="true" outlineLevel="0" collapsed="false">
      <c r="A58" s="27" t="s">
        <v>199</v>
      </c>
      <c r="C58" s="28" t="n">
        <f aca="false">'Vessel 2026 P&amp;L'!C51</f>
        <v>0</v>
      </c>
      <c r="D58" s="39" t="n">
        <f aca="false">IFERROR(C58/C$20,0)</f>
        <v>0</v>
      </c>
      <c r="E58" s="28" t="n">
        <f aca="false">'Vessel 2026 P&amp;L'!E51</f>
        <v>0</v>
      </c>
      <c r="F58" s="39" t="n">
        <f aca="false">IFERROR(E58/E$20,0)</f>
        <v>0</v>
      </c>
      <c r="G58" s="28" t="n">
        <f aca="false">'Vessel 2026 P&amp;L'!G51</f>
        <v>0</v>
      </c>
      <c r="H58" s="39" t="n">
        <f aca="false">IFERROR(G58/G$20,0)</f>
        <v>0</v>
      </c>
      <c r="I58" s="28" t="n">
        <f aca="false">'Vessel 2026 P&amp;L'!I51</f>
        <v>0</v>
      </c>
      <c r="J58" s="39" t="n">
        <f aca="false">IFERROR(I58/I$20,0)</f>
        <v>0</v>
      </c>
      <c r="K58" s="28" t="n">
        <f aca="false">'Vessel 2026 P&amp;L'!K51</f>
        <v>0</v>
      </c>
      <c r="L58" s="39" t="n">
        <f aca="false">IFERROR(K58/K$20,0)</f>
        <v>0</v>
      </c>
      <c r="M58" s="28" t="n">
        <f aca="false">'Vessel 2026 P&amp;L'!M51</f>
        <v>0</v>
      </c>
      <c r="N58" s="39" t="n">
        <f aca="false">IFERROR(M58/M$20,0)</f>
        <v>0</v>
      </c>
      <c r="O58" s="28" t="n">
        <f aca="false">'Vessel 2026 P&amp;L'!O51</f>
        <v>0</v>
      </c>
      <c r="P58" s="39" t="n">
        <f aca="false">IFERROR(O58/O$20,0)</f>
        <v>0</v>
      </c>
      <c r="Q58" s="28" t="n">
        <f aca="false">'Vessel 2026 P&amp;L'!Q51</f>
        <v>0</v>
      </c>
      <c r="R58" s="39" t="n">
        <f aca="false">IFERROR(Q58/Q$20,0)</f>
        <v>0</v>
      </c>
      <c r="S58" s="28" t="n">
        <f aca="false">'Vessel 2026 P&amp;L'!S51</f>
        <v>0</v>
      </c>
      <c r="T58" s="39" t="n">
        <f aca="false">IFERROR(S58/S$20,0)</f>
        <v>0</v>
      </c>
      <c r="U58" s="28" t="n">
        <f aca="false">'Vessel 2026 P&amp;L'!U51</f>
        <v>0</v>
      </c>
      <c r="V58" s="39" t="n">
        <f aca="false">IFERROR(U58/U$20,0)</f>
        <v>0</v>
      </c>
      <c r="W58" s="28" t="n">
        <f aca="false">'Vessel 2026 P&amp;L'!W51</f>
        <v>0</v>
      </c>
      <c r="X58" s="39" t="n">
        <f aca="false">IFERROR(W58/W$20,0)</f>
        <v>0</v>
      </c>
      <c r="Y58" s="28" t="n">
        <f aca="false">'Vessel 2026 P&amp;L'!Y51</f>
        <v>0</v>
      </c>
      <c r="Z58" s="39" t="n">
        <f aca="false">IFERROR(Y58/Y$20,0)</f>
        <v>0</v>
      </c>
      <c r="AB58" s="28" t="n">
        <f aca="false">SUM(C58,E58,G58,I58,K58,M58,O58,Q58,S58,U58,W58,Y58)</f>
        <v>0</v>
      </c>
      <c r="AC58" s="39" t="n">
        <f aca="false">IFERROR(AB58/AB$20,0)</f>
        <v>0</v>
      </c>
    </row>
    <row r="59" customFormat="false" ht="15" hidden="false" customHeight="true" outlineLevel="0" collapsed="false">
      <c r="A59" s="27" t="s">
        <v>200</v>
      </c>
      <c r="C59" s="28" t="n">
        <f aca="false">'Vessel 2026 P&amp;L'!C52</f>
        <v>0</v>
      </c>
      <c r="D59" s="39" t="n">
        <f aca="false">IFERROR(C59/C$20,0)</f>
        <v>0</v>
      </c>
      <c r="E59" s="28" t="n">
        <f aca="false">'Vessel 2026 P&amp;L'!E52</f>
        <v>0</v>
      </c>
      <c r="F59" s="39" t="n">
        <f aca="false">IFERROR(E59/E$20,0)</f>
        <v>0</v>
      </c>
      <c r="G59" s="28" t="n">
        <f aca="false">'Vessel 2026 P&amp;L'!G52</f>
        <v>0</v>
      </c>
      <c r="H59" s="39" t="n">
        <f aca="false">IFERROR(G59/G$20,0)</f>
        <v>0</v>
      </c>
      <c r="I59" s="28" t="n">
        <f aca="false">'Vessel 2026 P&amp;L'!I52</f>
        <v>0</v>
      </c>
      <c r="J59" s="39" t="n">
        <f aca="false">IFERROR(I59/I$20,0)</f>
        <v>0</v>
      </c>
      <c r="K59" s="28" t="n">
        <f aca="false">'Vessel 2026 P&amp;L'!K52</f>
        <v>0</v>
      </c>
      <c r="L59" s="39" t="n">
        <f aca="false">IFERROR(K59/K$20,0)</f>
        <v>0</v>
      </c>
      <c r="M59" s="28" t="n">
        <f aca="false">'Vessel 2026 P&amp;L'!M52</f>
        <v>0</v>
      </c>
      <c r="N59" s="39" t="n">
        <f aca="false">IFERROR(M59/M$20,0)</f>
        <v>0</v>
      </c>
      <c r="O59" s="28" t="n">
        <f aca="false">'Vessel 2026 P&amp;L'!O52</f>
        <v>0</v>
      </c>
      <c r="P59" s="39" t="n">
        <f aca="false">IFERROR(O59/O$20,0)</f>
        <v>0</v>
      </c>
      <c r="Q59" s="28" t="n">
        <f aca="false">'Vessel 2026 P&amp;L'!Q52</f>
        <v>0</v>
      </c>
      <c r="R59" s="39" t="n">
        <f aca="false">IFERROR(Q59/Q$20,0)</f>
        <v>0</v>
      </c>
      <c r="S59" s="28" t="n">
        <f aca="false">'Vessel 2026 P&amp;L'!S52</f>
        <v>0</v>
      </c>
      <c r="T59" s="39" t="n">
        <f aca="false">IFERROR(S59/S$20,0)</f>
        <v>0</v>
      </c>
      <c r="U59" s="28" t="n">
        <f aca="false">'Vessel 2026 P&amp;L'!U52</f>
        <v>0</v>
      </c>
      <c r="V59" s="39" t="n">
        <f aca="false">IFERROR(U59/U$20,0)</f>
        <v>0</v>
      </c>
      <c r="W59" s="28" t="n">
        <f aca="false">'Vessel 2026 P&amp;L'!W52</f>
        <v>0</v>
      </c>
      <c r="X59" s="39" t="n">
        <f aca="false">IFERROR(W59/W$20,0)</f>
        <v>0</v>
      </c>
      <c r="Y59" s="28" t="n">
        <f aca="false">'Vessel 2026 P&amp;L'!Y52</f>
        <v>0</v>
      </c>
      <c r="Z59" s="39" t="n">
        <f aca="false">IFERROR(Y59/Y$20,0)</f>
        <v>0</v>
      </c>
      <c r="AB59" s="28" t="n">
        <f aca="false">SUM(C59,E59,G59,I59,K59,M59,O59,Q59,S59,U59,W59,Y59)</f>
        <v>0</v>
      </c>
      <c r="AC59" s="39" t="n">
        <f aca="false">IFERROR(AB59/AB$20,0)</f>
        <v>0</v>
      </c>
    </row>
    <row r="60" customFormat="false" ht="15" hidden="false" customHeight="true" outlineLevel="0" collapsed="false">
      <c r="A60" s="31" t="s">
        <v>201</v>
      </c>
      <c r="C60" s="32" t="n">
        <f aca="false">SUM(C53:C59)</f>
        <v>8657</v>
      </c>
      <c r="D60" s="40" t="n">
        <f aca="false">IFERROR(C60/C$20,0)</f>
        <v>0.227110551445511</v>
      </c>
      <c r="E60" s="32" t="n">
        <f aca="false">SUM(E53:E59)</f>
        <v>5676</v>
      </c>
      <c r="F60" s="40" t="n">
        <f aca="false">IFERROR(E60/E$20,0)</f>
        <v>0.340043134435658</v>
      </c>
      <c r="G60" s="32" t="n">
        <f aca="false">SUM(G53:G59)</f>
        <v>7494</v>
      </c>
      <c r="H60" s="40" t="n">
        <f aca="false">IFERROR(G60/G$20,0)</f>
        <v>0.188267805552066</v>
      </c>
      <c r="I60" s="32" t="n">
        <f aca="false">SUM(I53:I59)</f>
        <v>5071</v>
      </c>
      <c r="J60" s="40" t="n">
        <f aca="false">IFERROR(I60/I$20,0)</f>
        <v>0.4048056198611</v>
      </c>
      <c r="K60" s="32" t="n">
        <f aca="false">SUM(K53:K59)</f>
        <v>6935</v>
      </c>
      <c r="L60" s="40" t="n">
        <f aca="false">IFERROR(K60/K$20,0)</f>
        <v>0.169398373189379</v>
      </c>
      <c r="M60" s="32" t="n">
        <f aca="false">SUM(M53:M59)</f>
        <v>8534</v>
      </c>
      <c r="N60" s="40" t="n">
        <f aca="false">IFERROR(M60/M$20,0)</f>
        <v>0.186238351919342</v>
      </c>
      <c r="O60" s="32" t="n">
        <f aca="false">SUM(O53:O59)</f>
        <v>7124</v>
      </c>
      <c r="P60" s="40" t="n">
        <f aca="false">IFERROR(O60/O$20,0)</f>
        <v>0.215421832476565</v>
      </c>
      <c r="Q60" s="32" t="n">
        <f aca="false">SUM(Q53:Q59)</f>
        <v>2006.95</v>
      </c>
      <c r="R60" s="40" t="n">
        <f aca="false">IFERROR(Q60/Q$20,0)</f>
        <v>0.0780952380952381</v>
      </c>
      <c r="S60" s="32" t="n">
        <f aca="false">SUM(S53:S59)</f>
        <v>2006.95</v>
      </c>
      <c r="T60" s="40" t="n">
        <f aca="false">IFERROR(S60/S$20,0)</f>
        <v>0.0780952380952381</v>
      </c>
      <c r="U60" s="32" t="n">
        <f aca="false">SUM(U53:U59)</f>
        <v>1701.326</v>
      </c>
      <c r="V60" s="40" t="n">
        <f aca="false">IFERROR(U60/U$20,0)</f>
        <v>0.0827567655649949</v>
      </c>
      <c r="W60" s="32" t="n">
        <f aca="false">SUM(W53:W59)</f>
        <v>1701.326</v>
      </c>
      <c r="X60" s="40" t="n">
        <f aca="false">IFERROR(W60/W$20,0)</f>
        <v>0.0827567655649949</v>
      </c>
      <c r="Y60" s="32" t="n">
        <f aca="false">SUM(Y53:Y59)</f>
        <v>2618.03</v>
      </c>
      <c r="Z60" s="40" t="n">
        <f aca="false">IFERROR(Y60/Y$20,0)</f>
        <v>0.0727720756342814</v>
      </c>
      <c r="AB60" s="32" t="n">
        <f aca="false">SUM(AB53:AB59)</f>
        <v>59525.582</v>
      </c>
      <c r="AC60" s="40" t="n">
        <f aca="false">IFERROR(AB60/AB$20,0)</f>
        <v>0.167459032016082</v>
      </c>
    </row>
    <row r="62" customFormat="false" ht="15" hidden="false" customHeight="true" outlineLevel="0" collapsed="false">
      <c r="A62" s="31" t="s">
        <v>202</v>
      </c>
      <c r="C62" s="32" t="n">
        <f aca="false">C41-C50-C60</f>
        <v>-1215</v>
      </c>
      <c r="D62" s="40" t="n">
        <f aca="false">IFERROR(C62/C$20,0)</f>
        <v>-0.0318747048638439</v>
      </c>
      <c r="E62" s="32" t="n">
        <f aca="false">E41-E50-E60</f>
        <v>-13865</v>
      </c>
      <c r="F62" s="40" t="n">
        <f aca="false">IFERROR(E62/E$20,0)</f>
        <v>-0.830637431104721</v>
      </c>
      <c r="G62" s="32" t="n">
        <f aca="false">G41-G50-G60</f>
        <v>-6756</v>
      </c>
      <c r="H62" s="40" t="n">
        <f aca="false">IFERROR(G62/G$20,0)</f>
        <v>-0.169727421178244</v>
      </c>
      <c r="I62" s="32" t="n">
        <f aca="false">I41-I50-I60</f>
        <v>-6197</v>
      </c>
      <c r="J62" s="40" t="n">
        <f aca="false">IFERROR(I62/I$20,0)</f>
        <v>-0.494691466432506</v>
      </c>
      <c r="K62" s="32" t="n">
        <f aca="false">K41-K50-K60</f>
        <v>492</v>
      </c>
      <c r="L62" s="40" t="n">
        <f aca="false">IFERROR(K62/K$20,0)</f>
        <v>0.0120178802608759</v>
      </c>
      <c r="M62" s="32" t="n">
        <f aca="false">M41-M50-M60</f>
        <v>1225</v>
      </c>
      <c r="N62" s="40" t="n">
        <f aca="false">IFERROR(M62/M$20,0)</f>
        <v>0.0267332998712437</v>
      </c>
      <c r="O62" s="32" t="n">
        <f aca="false">O41-O50-O60</f>
        <v>3838</v>
      </c>
      <c r="P62" s="40" t="n">
        <f aca="false">IFERROR(O62/O$20,0)</f>
        <v>0.116056849107953</v>
      </c>
      <c r="Q62" s="32" t="n">
        <f aca="false">Q41-Q50-Q60</f>
        <v>6788.8</v>
      </c>
      <c r="R62" s="40" t="n">
        <f aca="false">IFERROR(Q62/Q$20,0)</f>
        <v>0.264168490685345</v>
      </c>
      <c r="S62" s="32" t="n">
        <f aca="false">S41-S50-S60</f>
        <v>6910.8</v>
      </c>
      <c r="T62" s="40" t="n">
        <f aca="false">IFERROR(S62/S$20,0)</f>
        <v>0.268915803297826</v>
      </c>
      <c r="U62" s="32" t="n">
        <f aca="false">U41-U50-U60</f>
        <v>3898.824</v>
      </c>
      <c r="V62" s="40" t="n">
        <f aca="false">IFERROR(U62/U$20,0)</f>
        <v>0.189648582192464</v>
      </c>
      <c r="W62" s="32" t="n">
        <f aca="false">W41-W50-W60</f>
        <v>3939.824</v>
      </c>
      <c r="X62" s="40" t="n">
        <f aca="false">IFERROR(W62/W$20,0)</f>
        <v>0.191642925068647</v>
      </c>
      <c r="Y62" s="32" t="n">
        <f aca="false">Y41-Y50-Y60</f>
        <v>13287.72</v>
      </c>
      <c r="Z62" s="40" t="n">
        <f aca="false">IFERROR(Y62/Y$20,0)</f>
        <v>0.369352133034058</v>
      </c>
      <c r="AB62" s="32" t="n">
        <f aca="false">AB41-AB50-AB60</f>
        <v>12347.968</v>
      </c>
      <c r="AC62" s="40" t="n">
        <f aca="false">IFERROR(AB62/AB$20,0)</f>
        <v>0.034737648909431</v>
      </c>
    </row>
    <row r="64" customFormat="false" ht="15" hidden="false" customHeight="true" outlineLevel="0" collapsed="false">
      <c r="A64" s="27" t="s">
        <v>203</v>
      </c>
      <c r="C64" s="28" t="n">
        <f aca="false">'Vessel 2026 P&amp;L'!C57</f>
        <v>0</v>
      </c>
      <c r="D64" s="39" t="n">
        <f aca="false">IFERROR(C64/C$20,0)</f>
        <v>0</v>
      </c>
      <c r="E64" s="28" t="n">
        <f aca="false">'Vessel 2026 P&amp;L'!E57</f>
        <v>0</v>
      </c>
      <c r="F64" s="39" t="n">
        <f aca="false">IFERROR(E64/E$20,0)</f>
        <v>0</v>
      </c>
      <c r="G64" s="28" t="n">
        <f aca="false">'Vessel 2026 P&amp;L'!G57</f>
        <v>0</v>
      </c>
      <c r="H64" s="39" t="n">
        <f aca="false">IFERROR(G64/G$20,0)</f>
        <v>0</v>
      </c>
      <c r="I64" s="28" t="n">
        <f aca="false">'Vessel 2026 P&amp;L'!I57</f>
        <v>0</v>
      </c>
      <c r="J64" s="39" t="n">
        <f aca="false">IFERROR(I64/I$20,0)</f>
        <v>0</v>
      </c>
      <c r="K64" s="28" t="n">
        <f aca="false">'Vessel 2026 P&amp;L'!K57</f>
        <v>0</v>
      </c>
      <c r="L64" s="39" t="n">
        <f aca="false">IFERROR(K64/K$20,0)</f>
        <v>0</v>
      </c>
      <c r="M64" s="28" t="n">
        <f aca="false">'Vessel 2026 P&amp;L'!M57</f>
        <v>0</v>
      </c>
      <c r="N64" s="39" t="n">
        <f aca="false">IFERROR(M64/M$20,0)</f>
        <v>0</v>
      </c>
      <c r="O64" s="28" t="n">
        <f aca="false">'Vessel 2026 P&amp;L'!O57</f>
        <v>0</v>
      </c>
      <c r="P64" s="39" t="n">
        <f aca="false">IFERROR(O64/O$20,0)</f>
        <v>0</v>
      </c>
      <c r="Q64" s="28" t="n">
        <f aca="false">'Vessel 2026 P&amp;L'!Q57</f>
        <v>0</v>
      </c>
      <c r="R64" s="39" t="n">
        <f aca="false">IFERROR(Q64/Q$20,0)</f>
        <v>0</v>
      </c>
      <c r="S64" s="28" t="n">
        <f aca="false">'Vessel 2026 P&amp;L'!S57</f>
        <v>0</v>
      </c>
      <c r="T64" s="39" t="n">
        <f aca="false">IFERROR(S64/S$20,0)</f>
        <v>0</v>
      </c>
      <c r="U64" s="28" t="n">
        <f aca="false">'Vessel 2026 P&amp;L'!U57</f>
        <v>0</v>
      </c>
      <c r="V64" s="39" t="n">
        <f aca="false">IFERROR(U64/U$20,0)</f>
        <v>0</v>
      </c>
      <c r="W64" s="28" t="n">
        <f aca="false">'Vessel 2026 P&amp;L'!W57</f>
        <v>0</v>
      </c>
      <c r="X64" s="39" t="n">
        <f aca="false">IFERROR(W64/W$20,0)</f>
        <v>0</v>
      </c>
      <c r="Y64" s="28" t="n">
        <f aca="false">'Vessel 2026 P&amp;L'!Y57</f>
        <v>0</v>
      </c>
      <c r="Z64" s="39" t="n">
        <f aca="false">IFERROR(Y64/Y$20,0)</f>
        <v>0</v>
      </c>
      <c r="AB64" s="28" t="n">
        <f aca="false">SUM(C64,E64,G64,I64,K64,M64,O64,Q64,S64,U64,W64,Y64)</f>
        <v>0</v>
      </c>
      <c r="AC64" s="39" t="n">
        <f aca="false">IFERROR(AB64/AB$20,0)</f>
        <v>0</v>
      </c>
    </row>
    <row r="66" customFormat="false" ht="15" hidden="false" customHeight="true" outlineLevel="0" collapsed="false">
      <c r="A66" s="31" t="s">
        <v>204</v>
      </c>
      <c r="C66" s="41" t="n">
        <f aca="false">C62-C64</f>
        <v>-1215</v>
      </c>
      <c r="D66" s="42" t="n">
        <f aca="false">IFERROR(C66/C$20,0)</f>
        <v>-0.0318747048638439</v>
      </c>
      <c r="E66" s="41" t="n">
        <f aca="false">E62-E64</f>
        <v>-13865</v>
      </c>
      <c r="F66" s="42" t="n">
        <f aca="false">IFERROR(E66/E$20,0)</f>
        <v>-0.830637431104721</v>
      </c>
      <c r="G66" s="41" t="n">
        <f aca="false">G62-G64</f>
        <v>-6756</v>
      </c>
      <c r="H66" s="42" t="n">
        <f aca="false">IFERROR(G66/G$20,0)</f>
        <v>-0.169727421178244</v>
      </c>
      <c r="I66" s="41" t="n">
        <f aca="false">I62-I64</f>
        <v>-6197</v>
      </c>
      <c r="J66" s="42" t="n">
        <f aca="false">IFERROR(I66/I$20,0)</f>
        <v>-0.494691466432506</v>
      </c>
      <c r="K66" s="41" t="n">
        <f aca="false">K62-K64</f>
        <v>492</v>
      </c>
      <c r="L66" s="42" t="n">
        <f aca="false">IFERROR(K66/K$20,0)</f>
        <v>0.0120178802608759</v>
      </c>
      <c r="M66" s="41" t="n">
        <f aca="false">M62-M64</f>
        <v>1225</v>
      </c>
      <c r="N66" s="42" t="n">
        <f aca="false">IFERROR(M66/M$20,0)</f>
        <v>0.0267332998712437</v>
      </c>
      <c r="O66" s="41" t="n">
        <f aca="false">O62-O64</f>
        <v>3838</v>
      </c>
      <c r="P66" s="42" t="n">
        <f aca="false">IFERROR(O66/O$20,0)</f>
        <v>0.116056849107953</v>
      </c>
      <c r="Q66" s="41" t="n">
        <f aca="false">Q62-Q64</f>
        <v>6788.8</v>
      </c>
      <c r="R66" s="42" t="n">
        <f aca="false">IFERROR(Q66/Q$20,0)</f>
        <v>0.264168490685345</v>
      </c>
      <c r="S66" s="41" t="n">
        <f aca="false">S62-S64</f>
        <v>6910.8</v>
      </c>
      <c r="T66" s="42" t="n">
        <f aca="false">IFERROR(S66/S$20,0)</f>
        <v>0.268915803297826</v>
      </c>
      <c r="U66" s="41" t="n">
        <f aca="false">U62-U64</f>
        <v>3898.824</v>
      </c>
      <c r="V66" s="42" t="n">
        <f aca="false">IFERROR(U66/U$20,0)</f>
        <v>0.189648582192464</v>
      </c>
      <c r="W66" s="41" t="n">
        <f aca="false">W62-W64</f>
        <v>3939.824</v>
      </c>
      <c r="X66" s="42" t="n">
        <f aca="false">IFERROR(W66/W$20,0)</f>
        <v>0.191642925068647</v>
      </c>
      <c r="Y66" s="41" t="n">
        <f aca="false">Y62-Y64</f>
        <v>13287.72</v>
      </c>
      <c r="Z66" s="42" t="n">
        <f aca="false">IFERROR(Y66/Y$20,0)</f>
        <v>0.369352133034058</v>
      </c>
      <c r="AB66" s="41" t="n">
        <f aca="false">AB62-AB64</f>
        <v>12347.968</v>
      </c>
      <c r="AC66" s="42" t="n">
        <f aca="false">IFERROR(AB66/AB$20,0)</f>
        <v>0.034737648909431</v>
      </c>
    </row>
    <row r="68" customFormat="false" ht="15" hidden="false" customHeight="true" outlineLevel="0" collapsed="false">
      <c r="A68" s="27" t="s">
        <v>205</v>
      </c>
      <c r="C68" s="28" t="n">
        <f aca="false">'Vessel 2026 P&amp;L'!C61</f>
        <v>0</v>
      </c>
      <c r="D68" s="39" t="n">
        <f aca="false">IFERROR(C68/C$20,0)</f>
        <v>0</v>
      </c>
      <c r="E68" s="28" t="n">
        <f aca="false">'Vessel 2026 P&amp;L'!E61</f>
        <v>0</v>
      </c>
      <c r="F68" s="39" t="n">
        <f aca="false">IFERROR(E68/E$20,0)</f>
        <v>0</v>
      </c>
      <c r="G68" s="28" t="n">
        <f aca="false">'Vessel 2026 P&amp;L'!G61</f>
        <v>0</v>
      </c>
      <c r="H68" s="39" t="n">
        <f aca="false">IFERROR(G68/G$20,0)</f>
        <v>0</v>
      </c>
      <c r="I68" s="28" t="n">
        <f aca="false">'Vessel 2026 P&amp;L'!I61</f>
        <v>0</v>
      </c>
      <c r="J68" s="39" t="n">
        <f aca="false">IFERROR(I68/I$20,0)</f>
        <v>0</v>
      </c>
      <c r="K68" s="28" t="n">
        <f aca="false">'Vessel 2026 P&amp;L'!K61</f>
        <v>0</v>
      </c>
      <c r="L68" s="39" t="n">
        <f aca="false">IFERROR(K68/K$20,0)</f>
        <v>0</v>
      </c>
      <c r="M68" s="28" t="n">
        <f aca="false">'Vessel 2026 P&amp;L'!M61</f>
        <v>0</v>
      </c>
      <c r="N68" s="39" t="n">
        <f aca="false">IFERROR(M68/M$20,0)</f>
        <v>0</v>
      </c>
      <c r="O68" s="28" t="n">
        <f aca="false">'Vessel 2026 P&amp;L'!O61</f>
        <v>0</v>
      </c>
      <c r="P68" s="39" t="n">
        <f aca="false">IFERROR(O68/O$20,0)</f>
        <v>0</v>
      </c>
      <c r="Q68" s="28" t="n">
        <f aca="false">'Vessel 2026 P&amp;L'!Q61</f>
        <v>0</v>
      </c>
      <c r="R68" s="39" t="n">
        <f aca="false">IFERROR(Q68/Q$20,0)</f>
        <v>0</v>
      </c>
      <c r="S68" s="28" t="n">
        <f aca="false">'Vessel 2026 P&amp;L'!S61</f>
        <v>0</v>
      </c>
      <c r="T68" s="39" t="n">
        <f aca="false">IFERROR(S68/S$20,0)</f>
        <v>0</v>
      </c>
      <c r="U68" s="28" t="n">
        <f aca="false">'Vessel 2026 P&amp;L'!U61</f>
        <v>0</v>
      </c>
      <c r="V68" s="39" t="n">
        <f aca="false">IFERROR(U68/U$20,0)</f>
        <v>0</v>
      </c>
      <c r="W68" s="28" t="n">
        <f aca="false">'Vessel 2026 P&amp;L'!W61</f>
        <v>0</v>
      </c>
      <c r="X68" s="39" t="n">
        <f aca="false">IFERROR(W68/W$20,0)</f>
        <v>0</v>
      </c>
      <c r="Y68" s="28" t="n">
        <f aca="false">'Vessel 2026 P&amp;L'!Y61</f>
        <v>0</v>
      </c>
      <c r="Z68" s="39" t="n">
        <f aca="false">IFERROR(Y68/Y$20,0)</f>
        <v>0</v>
      </c>
      <c r="AB68" s="28" t="n">
        <f aca="false">SUM(C68,E68,G68,I68,K68,M68,O68,Q68,S68,U68,W68,Y68)</f>
        <v>0</v>
      </c>
      <c r="AC68" s="39" t="n">
        <f aca="false">IFERROR(AB68/AB$20,0)</f>
        <v>0</v>
      </c>
    </row>
    <row r="69" customFormat="false" ht="15" hidden="false" customHeight="true" outlineLevel="0" collapsed="false">
      <c r="A69" s="27" t="s">
        <v>206</v>
      </c>
      <c r="C69" s="28" t="n">
        <f aca="false">'Vessel 2026 P&amp;L'!C62</f>
        <v>239</v>
      </c>
      <c r="D69" s="39" t="n">
        <f aca="false">IFERROR(C69/C$20,0)</f>
        <v>0.0062700036728055</v>
      </c>
      <c r="E69" s="28" t="n">
        <f aca="false">'Vessel 2026 P&amp;L'!E62</f>
        <v>375</v>
      </c>
      <c r="F69" s="39" t="n">
        <f aca="false">IFERROR(E69/E$20,0)</f>
        <v>0.0224658519051042</v>
      </c>
      <c r="G69" s="28" t="n">
        <f aca="false">'Vessel 2026 P&amp;L'!G62</f>
        <v>500</v>
      </c>
      <c r="H69" s="39" t="n">
        <f aca="false">IFERROR(G69/G$20,0)</f>
        <v>0.0125612360256249</v>
      </c>
      <c r="I69" s="28" t="n">
        <f aca="false">'Vessel 2026 P&amp;L'!I62</f>
        <v>500</v>
      </c>
      <c r="J69" s="39" t="n">
        <f aca="false">IFERROR(I69/I$20,0)</f>
        <v>0.039913786221761</v>
      </c>
      <c r="K69" s="28" t="n">
        <f aca="false">'Vessel 2026 P&amp;L'!K62</f>
        <v>409</v>
      </c>
      <c r="L69" s="39" t="n">
        <f aca="false">IFERROR(K69/K$20,0)</f>
        <v>0.00999047363150053</v>
      </c>
      <c r="M69" s="28" t="n">
        <f aca="false">'Vessel 2026 P&amp;L'!M62</f>
        <v>458</v>
      </c>
      <c r="N69" s="39" t="n">
        <f aca="false">IFERROR(M69/M$20,0)</f>
        <v>0.00999498068655479</v>
      </c>
      <c r="O69" s="28" t="n">
        <f aca="false">'Vessel 2026 P&amp;L'!O62</f>
        <v>409</v>
      </c>
      <c r="P69" s="39" t="n">
        <f aca="false">IFERROR(O69/O$20,0)</f>
        <v>0.0123677048684608</v>
      </c>
      <c r="Q69" s="28" t="n">
        <f aca="false">'Vessel 2026 P&amp;L'!Q62</f>
        <v>409</v>
      </c>
      <c r="R69" s="39" t="n">
        <f aca="false">IFERROR(Q69/Q$20,0)</f>
        <v>0.0159151709713507</v>
      </c>
      <c r="S69" s="28" t="n">
        <f aca="false">'Vessel 2026 P&amp;L'!S62</f>
        <v>409</v>
      </c>
      <c r="T69" s="39" t="n">
        <f aca="false">IFERROR(S69/S$20,0)</f>
        <v>0.0159151709713507</v>
      </c>
      <c r="U69" s="28" t="n">
        <f aca="false">'Vessel 2026 P&amp;L'!U62</f>
        <v>409</v>
      </c>
      <c r="V69" s="39" t="n">
        <f aca="false">IFERROR(U69/U$20,0)</f>
        <v>0.0198947862526541</v>
      </c>
      <c r="W69" s="28" t="n">
        <f aca="false">'Vessel 2026 P&amp;L'!W62</f>
        <v>409</v>
      </c>
      <c r="X69" s="39" t="n">
        <f aca="false">IFERROR(W69/W$20,0)</f>
        <v>0.0198947862526541</v>
      </c>
      <c r="Y69" s="28" t="n">
        <f aca="false">'Vessel 2026 P&amp;L'!Y62</f>
        <v>409</v>
      </c>
      <c r="Z69" s="39" t="n">
        <f aca="false">IFERROR(Y69/Y$20,0)</f>
        <v>0.0113687692403911</v>
      </c>
      <c r="AB69" s="28" t="n">
        <f aca="false">SUM(C69,E69,G69,I69,K69,M69,O69,Q69,S69,U69,W69,Y69)</f>
        <v>4935</v>
      </c>
      <c r="AC69" s="39" t="n">
        <f aca="false">IFERROR(AB69/AB$20,0)</f>
        <v>0.0138832800156303</v>
      </c>
    </row>
    <row r="70" customFormat="false" ht="15" hidden="false" customHeight="true" outlineLevel="0" collapsed="false">
      <c r="A70" s="31" t="s">
        <v>207</v>
      </c>
      <c r="C70" s="43" t="n">
        <f aca="false">C66-C68-C69</f>
        <v>-1454</v>
      </c>
      <c r="D70" s="44" t="n">
        <f aca="false">IFERROR(C70/C$20,0)</f>
        <v>-0.0381447085366494</v>
      </c>
      <c r="E70" s="43" t="n">
        <f aca="false">E66-E68-E69</f>
        <v>-14240</v>
      </c>
      <c r="F70" s="44" t="n">
        <f aca="false">IFERROR(E70/E$20,0)</f>
        <v>-0.853103283009825</v>
      </c>
      <c r="G70" s="43" t="n">
        <f aca="false">G66-G68-G69</f>
        <v>-7256</v>
      </c>
      <c r="H70" s="44" t="n">
        <f aca="false">IFERROR(G70/G$20,0)</f>
        <v>-0.182288657203869</v>
      </c>
      <c r="I70" s="43" t="n">
        <f aca="false">I66-I68-I69</f>
        <v>-6697</v>
      </c>
      <c r="J70" s="44" t="n">
        <f aca="false">IFERROR(I70/I$20,0)</f>
        <v>-0.534605252654267</v>
      </c>
      <c r="K70" s="43" t="n">
        <f aca="false">K66-K68-K69</f>
        <v>83</v>
      </c>
      <c r="L70" s="44" t="n">
        <f aca="false">IFERROR(K70/K$20,0)</f>
        <v>0.00202740662937541</v>
      </c>
      <c r="M70" s="43" t="n">
        <f aca="false">M66-M68-M69</f>
        <v>767</v>
      </c>
      <c r="N70" s="44" t="n">
        <f aca="false">IFERROR(M70/M$20,0)</f>
        <v>0.0167383191846889</v>
      </c>
      <c r="O70" s="43" t="n">
        <f aca="false">O66-O68-O69</f>
        <v>3429</v>
      </c>
      <c r="P70" s="44" t="n">
        <f aca="false">IFERROR(O70/O$20,0)</f>
        <v>0.103689144239492</v>
      </c>
      <c r="Q70" s="43" t="n">
        <f aca="false">Q66-Q68-Q69</f>
        <v>6379.8</v>
      </c>
      <c r="R70" s="44" t="n">
        <f aca="false">IFERROR(Q70/Q$20,0)</f>
        <v>0.248253319713994</v>
      </c>
      <c r="S70" s="43" t="n">
        <f aca="false">S66-S68-S69</f>
        <v>6501.8</v>
      </c>
      <c r="T70" s="44" t="n">
        <f aca="false">IFERROR(S70/S$20,0)</f>
        <v>0.253000632326475</v>
      </c>
      <c r="U70" s="43" t="n">
        <f aca="false">U66-U68-U69</f>
        <v>3489.824</v>
      </c>
      <c r="V70" s="44" t="n">
        <f aca="false">IFERROR(U70/U$20,0)</f>
        <v>0.16975379593981</v>
      </c>
      <c r="W70" s="43" t="n">
        <f aca="false">W66-W68-W69</f>
        <v>3530.824</v>
      </c>
      <c r="X70" s="44" t="n">
        <f aca="false">IFERROR(W70/W$20,0)</f>
        <v>0.171748138815993</v>
      </c>
      <c r="Y70" s="43" t="n">
        <f aca="false">Y66-Y68-Y69</f>
        <v>12878.72</v>
      </c>
      <c r="Z70" s="44" t="n">
        <f aca="false">IFERROR(Y70/Y$20,0)</f>
        <v>0.357983363793667</v>
      </c>
      <c r="AB70" s="43" t="n">
        <f aca="false">AB66-AB68-AB69</f>
        <v>7412.96799999999</v>
      </c>
      <c r="AC70" s="44" t="n">
        <f aca="false">IFERROR(AB70/AB$20,0)</f>
        <v>0.0208543688938007</v>
      </c>
    </row>
    <row r="72" customFormat="false" ht="15" hidden="false" customHeight="true" outlineLevel="0" collapsed="false">
      <c r="A72" s="21" t="s">
        <v>342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"/>
    <col collapsed="false" customWidth="true" hidden="false" outlineLevel="0" max="2" min="2" style="9" width="40"/>
    <col collapsed="false" customWidth="true" hidden="false" outlineLevel="0" max="3" min="3" style="9" width="15"/>
    <col collapsed="false" customWidth="true" hidden="false" outlineLevel="0" max="4" min="4" style="9" width="46"/>
  </cols>
  <sheetData>
    <row r="1" customFormat="false" ht="37.5" hidden="false" customHeight="true" outlineLevel="0" collapsed="false">
      <c r="A1" s="47" t="s">
        <v>343</v>
      </c>
      <c r="B1" s="47"/>
      <c r="C1" s="47"/>
      <c r="D1" s="47"/>
    </row>
    <row r="2" customFormat="false" ht="15" hidden="false" customHeight="true" outlineLevel="0" collapsed="false">
      <c r="A2" s="48" t="s">
        <v>344</v>
      </c>
      <c r="B2" s="48"/>
      <c r="C2" s="48"/>
      <c r="D2" s="48"/>
    </row>
    <row r="4" customFormat="false" ht="19.5" hidden="false" customHeight="true" outlineLevel="0" collapsed="false">
      <c r="B4" s="68" t="s">
        <v>345</v>
      </c>
      <c r="C4" s="68"/>
      <c r="D4" s="68"/>
    </row>
    <row r="5" customFormat="false" ht="15" hidden="false" customHeight="true" outlineLevel="0" collapsed="false">
      <c r="B5" s="54" t="s">
        <v>346</v>
      </c>
      <c r="C5" s="69" t="n">
        <v>106838.2</v>
      </c>
    </row>
    <row r="6" customFormat="false" ht="15" hidden="false" customHeight="true" outlineLevel="0" collapsed="false">
      <c r="B6" s="54" t="s">
        <v>347</v>
      </c>
      <c r="C6" s="69" t="n">
        <v>131727.36</v>
      </c>
      <c r="D6" s="70" t="s">
        <v>348</v>
      </c>
    </row>
    <row r="7" customFormat="false" ht="15" hidden="false" customHeight="true" outlineLevel="0" collapsed="false">
      <c r="B7" s="54" t="s">
        <v>349</v>
      </c>
      <c r="C7" s="69" t="n">
        <v>13996.3</v>
      </c>
    </row>
    <row r="8" customFormat="false" ht="15" hidden="false" customHeight="true" outlineLevel="0" collapsed="false">
      <c r="B8" s="54" t="s">
        <v>350</v>
      </c>
      <c r="C8" s="69" t="n">
        <v>5847.56</v>
      </c>
    </row>
    <row r="9" customFormat="false" ht="15" hidden="false" customHeight="true" outlineLevel="0" collapsed="false">
      <c r="B9" s="54" t="s">
        <v>351</v>
      </c>
      <c r="C9" s="69" t="n">
        <v>7792.6</v>
      </c>
      <c r="D9" s="9" t="s">
        <v>352</v>
      </c>
    </row>
    <row r="10" customFormat="false" ht="15" hidden="false" customHeight="true" outlineLevel="0" collapsed="false">
      <c r="B10" s="73" t="s">
        <v>353</v>
      </c>
      <c r="C10" s="74" t="n">
        <f aca="false">SUM(C5:C9)</f>
        <v>266202.02</v>
      </c>
    </row>
    <row r="12" customFormat="false" ht="19.5" hidden="false" customHeight="true" outlineLevel="0" collapsed="false">
      <c r="B12" s="68" t="s">
        <v>354</v>
      </c>
      <c r="C12" s="68"/>
      <c r="D12" s="68"/>
    </row>
    <row r="13" customFormat="false" ht="15" hidden="false" customHeight="true" outlineLevel="0" collapsed="false">
      <c r="B13" s="54" t="s">
        <v>355</v>
      </c>
      <c r="C13" s="71" t="n">
        <v>0.4407</v>
      </c>
      <c r="D13" s="9" t="s">
        <v>356</v>
      </c>
    </row>
    <row r="14" customFormat="false" ht="15" hidden="false" customHeight="true" outlineLevel="0" collapsed="false">
      <c r="B14" s="54" t="s">
        <v>357</v>
      </c>
      <c r="C14" s="71" t="n">
        <v>0.2216</v>
      </c>
    </row>
    <row r="15" customFormat="false" ht="15" hidden="false" customHeight="true" outlineLevel="0" collapsed="false">
      <c r="B15" s="54" t="s">
        <v>358</v>
      </c>
      <c r="C15" s="71" t="n">
        <v>0.3328</v>
      </c>
    </row>
    <row r="16" customFormat="false" ht="15" hidden="false" customHeight="true" outlineLevel="0" collapsed="false">
      <c r="B16" s="54" t="s">
        <v>359</v>
      </c>
      <c r="C16" s="71" t="n">
        <v>0</v>
      </c>
      <c r="D16" s="9" t="s">
        <v>360</v>
      </c>
    </row>
    <row r="17" customFormat="false" ht="15" hidden="false" customHeight="true" outlineLevel="0" collapsed="false">
      <c r="B17" s="54" t="s">
        <v>361</v>
      </c>
      <c r="C17" s="71" t="n">
        <v>0</v>
      </c>
      <c r="D17" s="9" t="s">
        <v>362</v>
      </c>
    </row>
    <row r="19" customFormat="false" ht="19.5" hidden="false" customHeight="true" outlineLevel="0" collapsed="false">
      <c r="B19" s="68" t="s">
        <v>363</v>
      </c>
      <c r="C19" s="68"/>
      <c r="D19" s="68"/>
    </row>
    <row r="20" customFormat="false" ht="15" hidden="false" customHeight="true" outlineLevel="0" collapsed="false">
      <c r="B20" s="54" t="s">
        <v>364</v>
      </c>
      <c r="C20" s="72" t="n">
        <v>10</v>
      </c>
      <c r="D20" s="70" t="s">
        <v>365</v>
      </c>
    </row>
    <row r="21" customFormat="false" ht="15" hidden="false" customHeight="true" outlineLevel="0" collapsed="false">
      <c r="B21" s="54" t="s">
        <v>366</v>
      </c>
      <c r="C21" s="72" t="n">
        <f aca="false">2*4/7</f>
        <v>1.14285714285714</v>
      </c>
      <c r="D21" s="70" t="s">
        <v>367</v>
      </c>
    </row>
    <row r="22" customFormat="false" ht="15" hidden="false" customHeight="true" outlineLevel="0" collapsed="false">
      <c r="B22" s="54" t="s">
        <v>368</v>
      </c>
      <c r="C22" s="72" t="n">
        <v>7</v>
      </c>
    </row>
    <row r="23" customFormat="false" ht="15" hidden="false" customHeight="true" outlineLevel="0" collapsed="false">
      <c r="B23" s="54" t="s">
        <v>369</v>
      </c>
      <c r="C23" s="69" t="n">
        <v>20</v>
      </c>
      <c r="D23" s="70" t="s">
        <v>370</v>
      </c>
    </row>
    <row r="24" customFormat="false" ht="15" hidden="false" customHeight="true" outlineLevel="0" collapsed="false">
      <c r="B24" s="54" t="s">
        <v>281</v>
      </c>
      <c r="C24" s="71" t="n">
        <v>0.16</v>
      </c>
    </row>
    <row r="25" customFormat="false" ht="15" hidden="false" customHeight="true" outlineLevel="0" collapsed="false">
      <c r="B25" s="73" t="s">
        <v>371</v>
      </c>
      <c r="C25" s="74" t="n">
        <f aca="false">(C20+C21)*C22*52*C23*(1+C24)+C26*52*(1+C24)</f>
        <v>111953.92</v>
      </c>
      <c r="D25" s="70" t="s">
        <v>372</v>
      </c>
    </row>
    <row r="26" customFormat="false" ht="15" hidden="false" customHeight="true" outlineLevel="0" collapsed="false">
      <c r="B26" s="54" t="s">
        <v>373</v>
      </c>
      <c r="C26" s="69" t="n">
        <v>296</v>
      </c>
      <c r="D26" s="9" t="s">
        <v>374</v>
      </c>
    </row>
    <row r="27" customFormat="false" ht="19.5" hidden="false" customHeight="true" outlineLevel="0" collapsed="false">
      <c r="B27" s="68" t="s">
        <v>375</v>
      </c>
      <c r="C27" s="68"/>
      <c r="D27" s="68"/>
    </row>
    <row r="28" customFormat="false" ht="15" hidden="false" customHeight="true" outlineLevel="0" collapsed="false">
      <c r="B28" s="54" t="s">
        <v>376</v>
      </c>
      <c r="C28" s="69" t="n">
        <v>164857</v>
      </c>
      <c r="D28" s="70" t="s">
        <v>377</v>
      </c>
    </row>
    <row r="30" customFormat="false" ht="19.5" hidden="false" customHeight="true" outlineLevel="0" collapsed="false">
      <c r="B30" s="68" t="s">
        <v>378</v>
      </c>
      <c r="C30" s="68"/>
      <c r="D30" s="68"/>
    </row>
    <row r="31" customFormat="false" ht="15" hidden="false" customHeight="true" outlineLevel="0" collapsed="false">
      <c r="B31" s="54" t="s">
        <v>286</v>
      </c>
      <c r="C31" s="71" t="n">
        <v>0.025</v>
      </c>
      <c r="D31" s="70" t="s">
        <v>379</v>
      </c>
    </row>
    <row r="32" customFormat="false" ht="15" hidden="false" customHeight="true" outlineLevel="0" collapsed="false">
      <c r="B32" s="54" t="s">
        <v>380</v>
      </c>
      <c r="C32" s="69" t="n">
        <v>89675</v>
      </c>
      <c r="D32" s="70" t="s">
        <v>381</v>
      </c>
    </row>
    <row r="33" customFormat="false" ht="15" hidden="false" customHeight="true" outlineLevel="0" collapsed="false">
      <c r="B33" s="54" t="s">
        <v>254</v>
      </c>
      <c r="C33" s="69" t="n">
        <v>5657</v>
      </c>
      <c r="D33" s="70" t="s">
        <v>382</v>
      </c>
    </row>
    <row r="35" customFormat="false" ht="19.5" hidden="false" customHeight="true" outlineLevel="0" collapsed="false">
      <c r="B35" s="68" t="s">
        <v>383</v>
      </c>
      <c r="C35" s="68"/>
      <c r="D35" s="68"/>
    </row>
    <row r="36" customFormat="false" ht="15" hidden="false" customHeight="true" outlineLevel="0" collapsed="false">
      <c r="B36" s="54" t="s">
        <v>384</v>
      </c>
      <c r="C36" s="69" t="n">
        <f aca="false">'LW Retail Plan'!$C$19</f>
        <v>42000.22</v>
      </c>
      <c r="D36" s="9" t="s">
        <v>385</v>
      </c>
    </row>
    <row r="37" customFormat="false" ht="15" hidden="false" customHeight="true" outlineLevel="0" collapsed="false">
      <c r="B37" s="54" t="s">
        <v>386</v>
      </c>
      <c r="C37" s="84" t="n">
        <f aca="false">'LW Retail Plan'!$C$20</f>
        <v>0.5</v>
      </c>
      <c r="D37" s="9" t="s">
        <v>387</v>
      </c>
    </row>
    <row r="39" customFormat="false" ht="15" hidden="false" customHeight="true" outlineLevel="0" collapsed="false">
      <c r="B39" s="85" t="s">
        <v>388</v>
      </c>
      <c r="C39" s="85"/>
      <c r="D39" s="85"/>
    </row>
    <row r="40" customFormat="false" ht="15" hidden="false" customHeight="true" outlineLevel="0" collapsed="false">
      <c r="B40" s="54" t="s">
        <v>389</v>
      </c>
      <c r="C40" s="86" t="n">
        <v>0.04</v>
      </c>
      <c r="D40" s="70" t="s">
        <v>390</v>
      </c>
    </row>
    <row r="41" customFormat="false" ht="15" hidden="false" customHeight="true" outlineLevel="0" collapsed="false">
      <c r="B41" s="54" t="s">
        <v>391</v>
      </c>
      <c r="C41" s="86" t="n">
        <v>0</v>
      </c>
      <c r="D41" s="70" t="s">
        <v>392</v>
      </c>
    </row>
    <row r="42" customFormat="false" ht="15" hidden="false" customHeight="true" outlineLevel="0" collapsed="false">
      <c r="B42" s="54" t="s">
        <v>393</v>
      </c>
      <c r="C42" s="52" t="n">
        <v>10012</v>
      </c>
      <c r="D42" s="70" t="s">
        <v>394</v>
      </c>
    </row>
    <row r="43" customFormat="false" ht="15" hidden="false" customHeight="true" outlineLevel="0" collapsed="false">
      <c r="B43" s="54" t="s">
        <v>395</v>
      </c>
      <c r="C43" s="52" t="n">
        <f aca="false">'LW Menu Pricing'!$C$53</f>
        <v>9160.92</v>
      </c>
      <c r="D43" s="70" t="s">
        <v>396</v>
      </c>
    </row>
    <row r="44" customFormat="false" ht="15" hidden="false" customHeight="true" outlineLevel="0" collapsed="false">
      <c r="B44" s="54" t="s">
        <v>397</v>
      </c>
      <c r="C44" s="87" t="n">
        <v>1</v>
      </c>
      <c r="D44" s="70" t="s">
        <v>398</v>
      </c>
    </row>
    <row r="45" customFormat="false" ht="15" hidden="false" customHeight="true" outlineLevel="0" collapsed="false">
      <c r="B45" s="54" t="s">
        <v>399</v>
      </c>
      <c r="C45" s="52" t="n">
        <v>12880</v>
      </c>
      <c r="D45" s="70" t="s">
        <v>400</v>
      </c>
    </row>
    <row r="46" customFormat="false" ht="15" hidden="false" customHeight="true" outlineLevel="0" collapsed="false">
      <c r="B46" s="9" t="s">
        <v>401</v>
      </c>
      <c r="C46" s="88" t="n">
        <v>0.5</v>
      </c>
      <c r="D46" s="9" t="s">
        <v>402</v>
      </c>
    </row>
    <row r="47" customFormat="false" ht="15" hidden="false" customHeight="true" outlineLevel="0" collapsed="false">
      <c r="B47" s="9" t="s">
        <v>403</v>
      </c>
      <c r="C47" s="81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2" min="2" style="9" width="2"/>
    <col collapsed="false" customWidth="true" hidden="false" outlineLevel="0" max="3" min="3" style="9" width="11"/>
    <col collapsed="false" customWidth="true" hidden="false" outlineLevel="0" max="5" min="4" style="9" width="7"/>
    <col collapsed="false" customWidth="true" hidden="false" outlineLevel="0" max="6" min="6" style="9" width="11"/>
    <col collapsed="false" customWidth="true" hidden="false" outlineLevel="0" max="8" min="7" style="9" width="7"/>
    <col collapsed="false" customWidth="true" hidden="false" outlineLevel="0" max="9" min="9" style="9" width="11"/>
    <col collapsed="false" customWidth="true" hidden="false" outlineLevel="0" max="10" min="10" style="9" width="7"/>
  </cols>
  <sheetData>
    <row r="1" customFormat="false" ht="15" hidden="false" customHeight="true" outlineLevel="0" collapsed="false">
      <c r="A1" s="19" t="s">
        <v>330</v>
      </c>
    </row>
    <row r="2" customFormat="false" ht="15" hidden="false" customHeight="true" outlineLevel="0" collapsed="false">
      <c r="A2" s="19" t="s">
        <v>404</v>
      </c>
    </row>
    <row r="3" customFormat="false" ht="15" hidden="false" customHeight="true" outlineLevel="0" collapsed="false">
      <c r="A3" s="19" t="s">
        <v>157</v>
      </c>
    </row>
    <row r="5" customFormat="false" ht="15" hidden="false" customHeight="true" outlineLevel="0" collapsed="false">
      <c r="C5" s="35" t="s">
        <v>405</v>
      </c>
      <c r="D5" s="35"/>
      <c r="E5" s="36"/>
      <c r="F5" s="35" t="s">
        <v>406</v>
      </c>
      <c r="G5" s="35"/>
      <c r="H5" s="36"/>
      <c r="I5" s="35" t="s">
        <v>407</v>
      </c>
      <c r="J5" s="35"/>
    </row>
    <row r="6" customFormat="false" ht="15" hidden="false" customHeight="true" outlineLevel="0" collapsed="false">
      <c r="C6" s="37" t="s">
        <v>304</v>
      </c>
      <c r="D6" s="37"/>
      <c r="E6" s="38"/>
      <c r="F6" s="37" t="s">
        <v>304</v>
      </c>
      <c r="G6" s="37"/>
      <c r="H6" s="38"/>
      <c r="I6" s="37" t="s">
        <v>304</v>
      </c>
      <c r="J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/>
      <c r="F7" s="36" t="s">
        <v>160</v>
      </c>
      <c r="G7" s="36" t="s">
        <v>161</v>
      </c>
      <c r="H7" s="36"/>
      <c r="I7" s="36" t="s">
        <v>160</v>
      </c>
      <c r="J7" s="36" t="s">
        <v>161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'LW Assumptions'!$C$5</f>
        <v>106838.2</v>
      </c>
      <c r="D12" s="39" t="n">
        <f aca="false">IFERROR(C12/C$20,0)</f>
        <v>0.401342559308904</v>
      </c>
      <c r="F12" s="28" t="n">
        <f aca="false">'LW Assumptions'!$C$5</f>
        <v>106838.2</v>
      </c>
      <c r="G12" s="39" t="n">
        <f aca="false">IFERROR(F12/F$20,0)</f>
        <v>0.401342559308904</v>
      </c>
      <c r="I12" s="28" t="n">
        <f aca="false">F12-C12</f>
        <v>0</v>
      </c>
      <c r="J12" s="39" t="n">
        <f aca="false">IFERROR(I12/C12,0)</f>
        <v>0</v>
      </c>
    </row>
    <row r="13" customFormat="false" ht="15" hidden="false" customHeight="true" outlineLevel="0" collapsed="false">
      <c r="A13" s="27" t="s">
        <v>164</v>
      </c>
      <c r="C13" s="28" t="n">
        <f aca="false">'LW Assumptions'!$C$6</f>
        <v>131727.36</v>
      </c>
      <c r="D13" s="39" t="n">
        <f aca="false">IFERROR(C13/C$20,0)</f>
        <v>0.494839821275586</v>
      </c>
      <c r="F13" s="28" t="n">
        <f aca="false">'LW Assumptions'!$C$6</f>
        <v>131727.36</v>
      </c>
      <c r="G13" s="39" t="n">
        <f aca="false">IFERROR(F13/F$20,0)</f>
        <v>0.494839821275586</v>
      </c>
      <c r="I13" s="28" t="n">
        <f aca="false">F13-C13</f>
        <v>0</v>
      </c>
      <c r="J13" s="39" t="n">
        <f aca="false">IFERROR(I13/C13,0)</f>
        <v>0</v>
      </c>
    </row>
    <row r="14" customFormat="false" ht="15" hidden="false" customHeight="true" outlineLevel="0" collapsed="false">
      <c r="A14" s="27" t="s">
        <v>165</v>
      </c>
      <c r="C14" s="28" t="n">
        <f aca="false">'LW Assumptions'!$C$7</f>
        <v>13996.3</v>
      </c>
      <c r="D14" s="39" t="n">
        <f aca="false">IFERROR(C14/C$20,0)</f>
        <v>0.0525777377647247</v>
      </c>
      <c r="F14" s="28" t="n">
        <f aca="false">'LW Assumptions'!$C$7</f>
        <v>13996.3</v>
      </c>
      <c r="G14" s="39" t="n">
        <f aca="false">IFERROR(F14/F$20,0)</f>
        <v>0.0525777377647247</v>
      </c>
      <c r="I14" s="28" t="n">
        <f aca="false">F14-C14</f>
        <v>0</v>
      </c>
      <c r="J14" s="39" t="n">
        <f aca="false">IFERROR(I14/C14,0)</f>
        <v>0</v>
      </c>
    </row>
    <row r="15" customFormat="false" ht="15" hidden="false" customHeight="true" outlineLevel="0" collapsed="false">
      <c r="A15" s="27" t="s">
        <v>166</v>
      </c>
      <c r="C15" s="28" t="n">
        <v>0</v>
      </c>
      <c r="D15" s="39" t="n">
        <f aca="false">IFERROR(C15/C$20,0)</f>
        <v>0</v>
      </c>
      <c r="F15" s="28" t="n">
        <v>0</v>
      </c>
      <c r="G15" s="39" t="n">
        <f aca="false">IFERROR(F15/F$20,0)</f>
        <v>0</v>
      </c>
      <c r="I15" s="28" t="n">
        <f aca="false">F15-C15</f>
        <v>0</v>
      </c>
      <c r="J15" s="39" t="n">
        <f aca="false">IFERROR(I15/C15,0)</f>
        <v>0</v>
      </c>
    </row>
    <row r="16" customFormat="false" ht="15" hidden="false" customHeight="true" outlineLevel="0" collapsed="false">
      <c r="A16" s="27" t="s">
        <v>167</v>
      </c>
      <c r="C16" s="28" t="n">
        <v>0</v>
      </c>
      <c r="D16" s="39" t="n">
        <f aca="false">IFERROR(C16/C$20,0)</f>
        <v>0</v>
      </c>
      <c r="F16" s="28" t="n">
        <v>0</v>
      </c>
      <c r="G16" s="39" t="n">
        <f aca="false">IFERROR(F16/F$20,0)</f>
        <v>0</v>
      </c>
      <c r="I16" s="28" t="n">
        <f aca="false">F16-C16</f>
        <v>0</v>
      </c>
      <c r="J16" s="39" t="n">
        <f aca="false">IFERROR(I16/C16,0)</f>
        <v>0</v>
      </c>
    </row>
    <row r="17" customFormat="false" ht="15" hidden="false" customHeight="true" outlineLevel="0" collapsed="false">
      <c r="A17" s="27" t="s">
        <v>168</v>
      </c>
      <c r="C17" s="28" t="n">
        <f aca="false">'LW Assumptions'!$C$8</f>
        <v>5847.56</v>
      </c>
      <c r="D17" s="39" t="n">
        <f aca="false">IFERROR(C17/C$20,0)</f>
        <v>0.0219666251969087</v>
      </c>
      <c r="F17" s="28" t="n">
        <f aca="false">'LW Assumptions'!$C$8</f>
        <v>5847.56</v>
      </c>
      <c r="G17" s="39" t="n">
        <f aca="false">IFERROR(F17/F$20,0)</f>
        <v>0.0219666251969087</v>
      </c>
      <c r="I17" s="28" t="n">
        <f aca="false">F17-C17</f>
        <v>0</v>
      </c>
      <c r="J17" s="39" t="n">
        <f aca="false">IFERROR(I17/C17,0)</f>
        <v>0</v>
      </c>
    </row>
    <row r="18" customFormat="false" ht="15" hidden="false" customHeight="true" outlineLevel="0" collapsed="false">
      <c r="A18" s="27" t="s">
        <v>169</v>
      </c>
      <c r="C18" s="28" t="n">
        <f aca="false">'LW Assumptions'!$C$9</f>
        <v>7792.6</v>
      </c>
      <c r="D18" s="39" t="n">
        <f aca="false">IFERROR(C18/C$20,0)</f>
        <v>0.0292732564538767</v>
      </c>
      <c r="F18" s="28" t="n">
        <f aca="false">'LW Assumptions'!$C$9</f>
        <v>7792.6</v>
      </c>
      <c r="G18" s="39" t="n">
        <f aca="false">IFERROR(F18/F$20,0)</f>
        <v>0.0292732564538767</v>
      </c>
      <c r="I18" s="28" t="n">
        <f aca="false">F18-C18</f>
        <v>0</v>
      </c>
      <c r="J18" s="39" t="n">
        <f aca="false">IFERROR(I18/C18,0)</f>
        <v>0</v>
      </c>
    </row>
    <row r="19" customFormat="false" ht="15" hidden="false" customHeight="true" outlineLevel="0" collapsed="false">
      <c r="A19" s="27" t="s">
        <v>170</v>
      </c>
      <c r="C19" s="28" t="n">
        <v>0</v>
      </c>
      <c r="D19" s="39" t="n">
        <f aca="false">IFERROR(C19/C$20,0)</f>
        <v>0</v>
      </c>
      <c r="F19" s="28" t="n">
        <v>0</v>
      </c>
      <c r="G19" s="39" t="n">
        <f aca="false">IFERROR(F19/F$20,0)</f>
        <v>0</v>
      </c>
      <c r="I19" s="28" t="n">
        <f aca="false">F19-C19</f>
        <v>0</v>
      </c>
      <c r="J19" s="39" t="n">
        <f aca="false">IFERROR(I19/C19,0)</f>
        <v>0</v>
      </c>
    </row>
    <row r="20" customFormat="false" ht="15" hidden="false" customHeight="true" outlineLevel="0" collapsed="false">
      <c r="A20" s="31" t="s">
        <v>128</v>
      </c>
      <c r="C20" s="32" t="n">
        <f aca="false">SUM(C12:C19)</f>
        <v>266202.02</v>
      </c>
      <c r="D20" s="40" t="n">
        <f aca="false">IFERROR(C20/C$20,0)</f>
        <v>1</v>
      </c>
      <c r="F20" s="32" t="n">
        <f aca="false">SUM(F12:F19)</f>
        <v>266202.02</v>
      </c>
      <c r="G20" s="40" t="n">
        <f aca="false">IFERROR(F20/F$20,0)</f>
        <v>1</v>
      </c>
      <c r="I20" s="32" t="n">
        <f aca="false">F20-C20</f>
        <v>0</v>
      </c>
      <c r="J20" s="40" t="n">
        <f aca="false">IFERROR(I20/C20,0)</f>
        <v>0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'LW Assumptions'!$C$5*'LW Assumptions'!$C$13</f>
        <v>47083.59474</v>
      </c>
      <c r="D23" s="39" t="n">
        <f aca="false">IFERROR(C23/C$12,0)</f>
        <v>0.4407</v>
      </c>
      <c r="F23" s="28" t="n">
        <f aca="false">'LW Assumptions'!$C$5*'LW Assumptions'!$C$13</f>
        <v>47083.59474</v>
      </c>
      <c r="G23" s="39" t="n">
        <f aca="false">IFERROR(F23/F$12,0)</f>
        <v>0.4407</v>
      </c>
      <c r="I23" s="28" t="n">
        <f aca="false">F23-C23</f>
        <v>0</v>
      </c>
      <c r="J23" s="39" t="n">
        <f aca="false">IFERROR(I23/C23,0)</f>
        <v>0</v>
      </c>
    </row>
    <row r="24" customFormat="false" ht="15" hidden="false" customHeight="true" outlineLevel="0" collapsed="false">
      <c r="A24" s="27" t="s">
        <v>173</v>
      </c>
      <c r="C24" s="28" t="n">
        <f aca="false">'LW Assumptions'!$C$6*'LW Assumptions'!$C$14</f>
        <v>29190.782976</v>
      </c>
      <c r="D24" s="39" t="n">
        <f aca="false">IFERROR(C24/C$13,0)</f>
        <v>0.2216</v>
      </c>
      <c r="F24" s="28" t="n">
        <f aca="false">'LW Assumptions'!$C$6*'LW Assumptions'!$C$14</f>
        <v>29190.782976</v>
      </c>
      <c r="G24" s="39" t="n">
        <f aca="false">IFERROR(F24/F$13,0)</f>
        <v>0.2216</v>
      </c>
      <c r="I24" s="28" t="n">
        <f aca="false">F24-C24</f>
        <v>0</v>
      </c>
      <c r="J24" s="39" t="n">
        <f aca="false">IFERROR(I24/C24,0)</f>
        <v>0</v>
      </c>
    </row>
    <row r="25" customFormat="false" ht="15" hidden="false" customHeight="true" outlineLevel="0" collapsed="false">
      <c r="A25" s="27" t="s">
        <v>174</v>
      </c>
      <c r="C25" s="28" t="n">
        <f aca="false">'LW Assumptions'!$C$7*'LW Assumptions'!$C$15</f>
        <v>4657.96864</v>
      </c>
      <c r="D25" s="39" t="n">
        <f aca="false">IFERROR(C25/C$14,0)</f>
        <v>0.3328</v>
      </c>
      <c r="F25" s="28" t="n">
        <f aca="false">'LW Assumptions'!$C$7*'LW Assumptions'!$C$15</f>
        <v>4657.96864</v>
      </c>
      <c r="G25" s="39" t="n">
        <f aca="false">IFERROR(F25/F$14,0)</f>
        <v>0.3328</v>
      </c>
      <c r="I25" s="28" t="n">
        <f aca="false">F25-C25</f>
        <v>0</v>
      </c>
      <c r="J25" s="39" t="n">
        <f aca="false">IFERROR(I25/C25,0)</f>
        <v>0</v>
      </c>
    </row>
    <row r="26" customFormat="false" ht="15" hidden="false" customHeight="true" outlineLevel="0" collapsed="false">
      <c r="A26" s="27" t="s">
        <v>175</v>
      </c>
      <c r="C26" s="28" t="n">
        <v>0</v>
      </c>
      <c r="D26" s="39" t="n">
        <f aca="false">IFERROR(C26/C$15,0)</f>
        <v>0</v>
      </c>
      <c r="F26" s="28" t="n">
        <v>0</v>
      </c>
      <c r="G26" s="39" t="n">
        <f aca="false">IFERROR(F26/F$15,0)</f>
        <v>0</v>
      </c>
      <c r="I26" s="28" t="n">
        <f aca="false">F26-C26</f>
        <v>0</v>
      </c>
      <c r="J26" s="39" t="n">
        <f aca="false">IFERROR(I26/C26,0)</f>
        <v>0</v>
      </c>
    </row>
    <row r="27" customFormat="false" ht="15" hidden="false" customHeight="true" outlineLevel="0" collapsed="false">
      <c r="A27" s="27" t="s">
        <v>176</v>
      </c>
      <c r="C27" s="28" t="n">
        <v>0</v>
      </c>
      <c r="D27" s="39" t="n">
        <f aca="false">IFERROR(C27/C$16,0)</f>
        <v>0</v>
      </c>
      <c r="F27" s="28" t="n">
        <v>0</v>
      </c>
      <c r="G27" s="39" t="n">
        <f aca="false">IFERROR(F27/F$16,0)</f>
        <v>0</v>
      </c>
      <c r="I27" s="28" t="n">
        <f aca="false">F27-C27</f>
        <v>0</v>
      </c>
      <c r="J27" s="39" t="n">
        <f aca="false">IFERROR(I27/C27,0)</f>
        <v>0</v>
      </c>
    </row>
    <row r="28" customFormat="false" ht="15" hidden="false" customHeight="true" outlineLevel="0" collapsed="false">
      <c r="A28" s="27" t="s">
        <v>177</v>
      </c>
      <c r="C28" s="28" t="n">
        <f aca="false">'LW Assumptions'!$C$8*'LW Assumptions'!$C$16</f>
        <v>0</v>
      </c>
      <c r="D28" s="39" t="n">
        <f aca="false">IFERROR(C28/C$17,0)</f>
        <v>0</v>
      </c>
      <c r="F28" s="28" t="n">
        <f aca="false">'LW Assumptions'!$C$8*'LW Assumptions'!$C$16</f>
        <v>0</v>
      </c>
      <c r="G28" s="39" t="n">
        <f aca="false">IFERROR(F28/F$17,0)</f>
        <v>0</v>
      </c>
      <c r="I28" s="28" t="n">
        <f aca="false">F28-C28</f>
        <v>0</v>
      </c>
      <c r="J28" s="39" t="n">
        <f aca="false">IFERROR(I28/C28,0)</f>
        <v>0</v>
      </c>
    </row>
    <row r="29" customFormat="false" ht="15" hidden="false" customHeight="true" outlineLevel="0" collapsed="false">
      <c r="A29" s="31" t="s">
        <v>129</v>
      </c>
      <c r="C29" s="32" t="n">
        <f aca="false">SUM(C23:C28)</f>
        <v>80932.346356</v>
      </c>
      <c r="D29" s="40" t="n">
        <f aca="false">IFERROR(C29/C$20,0)</f>
        <v>0.304026041410204</v>
      </c>
      <c r="F29" s="32" t="n">
        <f aca="false">SUM(F23:F28)</f>
        <v>80932.346356</v>
      </c>
      <c r="G29" s="40" t="n">
        <f aca="false">IFERROR(F29/F$20,0)</f>
        <v>0.304026041410204</v>
      </c>
      <c r="I29" s="32" t="n">
        <f aca="false">F29-C29</f>
        <v>0</v>
      </c>
      <c r="J29" s="40" t="n">
        <f aca="false">IFERROR(I29/C29,0)</f>
        <v>0</v>
      </c>
    </row>
    <row r="30" customFormat="false" ht="15" hidden="false" customHeight="true" outlineLevel="0" collapsed="false">
      <c r="A30" s="31" t="s">
        <v>130</v>
      </c>
      <c r="C30" s="41" t="n">
        <f aca="false">C20-C29</f>
        <v>185269.673644</v>
      </c>
      <c r="D30" s="42" t="n">
        <f aca="false">IFERROR(C30/C$20,0)</f>
        <v>0.695973958589796</v>
      </c>
      <c r="F30" s="41" t="n">
        <f aca="false">F20-F29</f>
        <v>185269.673644</v>
      </c>
      <c r="G30" s="42" t="n">
        <f aca="false">IFERROR(F30/F$20,0)</f>
        <v>0.695973958589796</v>
      </c>
      <c r="I30" s="41" t="n">
        <f aca="false">F30-C30</f>
        <v>0</v>
      </c>
      <c r="J30" s="42" t="n">
        <f aca="false">IFERROR(I30/C30,0)</f>
        <v>0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'LW Assumptions'!$C$45</f>
        <v>12880</v>
      </c>
      <c r="D33" s="39" t="n">
        <f aca="false">IFERROR(C33/C$20,0)</f>
        <v>0.0483843060244246</v>
      </c>
      <c r="F33" s="28" t="n">
        <v>0</v>
      </c>
      <c r="G33" s="39" t="n">
        <f aca="false">IFERROR(F33/F$20,0)</f>
        <v>0</v>
      </c>
      <c r="I33" s="28" t="n">
        <f aca="false">F33-C33</f>
        <v>-12880</v>
      </c>
      <c r="J33" s="39" t="n">
        <f aca="false">IFERROR(I33/C33,0)</f>
        <v>-1</v>
      </c>
    </row>
    <row r="34" customFormat="false" ht="15" hidden="false" customHeight="true" outlineLevel="0" collapsed="false">
      <c r="A34" s="27" t="s">
        <v>180</v>
      </c>
      <c r="C34" s="28" t="n">
        <v>30727</v>
      </c>
      <c r="D34" s="39" t="n">
        <f aca="false">IFERROR(C34/C$20,0)</f>
        <v>0.115427373541343</v>
      </c>
      <c r="F34" s="28" t="n">
        <f aca="false">'LW Assumptions'!$C$26*52</f>
        <v>15392</v>
      </c>
      <c r="G34" s="39" t="n">
        <f aca="false">IFERROR(F34/F$20,0)</f>
        <v>0.0578207483173869</v>
      </c>
      <c r="I34" s="28" t="n">
        <f aca="false">F34-C34</f>
        <v>-15335</v>
      </c>
      <c r="J34" s="39" t="n">
        <f aca="false">IFERROR(I34/C34,0)</f>
        <v>-0.499072476974648</v>
      </c>
    </row>
    <row r="35" customFormat="false" ht="15" hidden="false" customHeight="true" outlineLevel="0" collapsed="false">
      <c r="A35" s="27" t="s">
        <v>181</v>
      </c>
      <c r="C35" s="28" t="n">
        <f aca="false">42998+54634+886</f>
        <v>98518</v>
      </c>
      <c r="D35" s="39" t="n">
        <f aca="false">IFERROR(C35/C$20,0)</f>
        <v>0.370087349449865</v>
      </c>
      <c r="F35" s="28" t="n">
        <f aca="false">('LW Assumptions'!$C$20+'LW Assumptions'!$C$21)*'LW Assumptions'!$C$22*52*'LW Assumptions'!$C$23</f>
        <v>81120</v>
      </c>
      <c r="G35" s="39" t="n">
        <f aca="false">IFERROR(F35/F$20,0)</f>
        <v>0.304730970861904</v>
      </c>
      <c r="I35" s="28" t="n">
        <f aca="false">F35-C35</f>
        <v>-17398</v>
      </c>
      <c r="J35" s="39" t="n">
        <f aca="false">IFERROR(I35/C35,0)</f>
        <v>-0.176597170060294</v>
      </c>
    </row>
    <row r="36" customFormat="false" ht="15" hidden="false" customHeight="true" outlineLevel="0" collapsed="false">
      <c r="A36" s="27" t="s">
        <v>182</v>
      </c>
      <c r="C36" s="28" t="n">
        <v>22733</v>
      </c>
      <c r="D36" s="39" t="n">
        <f aca="false">IFERROR(C36/C$20,0)</f>
        <v>0.0853975488240097</v>
      </c>
      <c r="F36" s="28" t="n">
        <f aca="false">(F34+F35)*'LW Assumptions'!$C$24</f>
        <v>15441.92</v>
      </c>
      <c r="G36" s="39" t="n">
        <f aca="false">IFERROR(F36/F$20,0)</f>
        <v>0.0580082750686866</v>
      </c>
      <c r="I36" s="28" t="n">
        <f aca="false">F36-C36</f>
        <v>-7291.08</v>
      </c>
      <c r="J36" s="39" t="n">
        <f aca="false">IFERROR(I36/C36,0)</f>
        <v>-0.320726696872388</v>
      </c>
    </row>
    <row r="37" customFormat="false" ht="15" hidden="false" customHeight="true" outlineLevel="0" collapsed="false">
      <c r="A37" s="27" t="s">
        <v>183</v>
      </c>
      <c r="C37" s="28" t="n">
        <v>0</v>
      </c>
      <c r="D37" s="39" t="n">
        <f aca="false">IFERROR(C37/C$20,0)</f>
        <v>0</v>
      </c>
      <c r="F37" s="28" t="n">
        <v>0</v>
      </c>
      <c r="G37" s="39" t="n">
        <f aca="false">IFERROR(F37/F$20,0)</f>
        <v>0</v>
      </c>
      <c r="I37" s="28" t="n">
        <f aca="false">F37-C37</f>
        <v>0</v>
      </c>
      <c r="J37" s="39" t="n">
        <f aca="false">IFERROR(I37/C37,0)</f>
        <v>0</v>
      </c>
    </row>
    <row r="38" customFormat="false" ht="15" hidden="false" customHeight="true" outlineLevel="0" collapsed="false">
      <c r="A38" s="31" t="s">
        <v>131</v>
      </c>
      <c r="C38" s="32" t="n">
        <f aca="false">SUM(C33:C37)</f>
        <v>164858</v>
      </c>
      <c r="D38" s="40" t="n">
        <f aca="false">IFERROR(C38/C$20,0)</f>
        <v>0.619296577839642</v>
      </c>
      <c r="F38" s="32" t="n">
        <f aca="false">SUM(F33:F37)</f>
        <v>111953.92</v>
      </c>
      <c r="G38" s="40" t="n">
        <f aca="false">IFERROR(F38/F$20,0)</f>
        <v>0.420559994247978</v>
      </c>
      <c r="I38" s="32" t="n">
        <f aca="false">F38-C38</f>
        <v>-52904.08</v>
      </c>
      <c r="J38" s="40" t="n">
        <f aca="false">IFERROR(I38/C38,0)</f>
        <v>-0.320906962355482</v>
      </c>
    </row>
    <row r="40" customFormat="false" ht="15" hidden="false" customHeight="true" outlineLevel="0" collapsed="false">
      <c r="A40" s="31" t="s">
        <v>184</v>
      </c>
      <c r="C40" s="41" t="n">
        <f aca="false">C29+C38</f>
        <v>245790.346356</v>
      </c>
      <c r="D40" s="42" t="n">
        <f aca="false">IFERROR(C40/C$20,0)</f>
        <v>0.923322619249847</v>
      </c>
      <c r="F40" s="41" t="n">
        <f aca="false">F29+F38</f>
        <v>192886.266356</v>
      </c>
      <c r="G40" s="42" t="n">
        <f aca="false">IFERROR(F40/F$20,0)</f>
        <v>0.724586035658182</v>
      </c>
      <c r="I40" s="41" t="n">
        <f aca="false">F40-C40</f>
        <v>-52904.08</v>
      </c>
      <c r="J40" s="42" t="n">
        <f aca="false">IFERROR(I40/C40,0)</f>
        <v>-0.215240674763419</v>
      </c>
    </row>
    <row r="41" customFormat="false" ht="15" hidden="false" customHeight="true" outlineLevel="0" collapsed="false">
      <c r="A41" s="31" t="s">
        <v>185</v>
      </c>
      <c r="C41" s="41" t="n">
        <f aca="false">C30-C38</f>
        <v>20411.673644</v>
      </c>
      <c r="D41" s="42" t="n">
        <f aca="false">IFERROR(C41/C$20,0)</f>
        <v>0.0766773807501535</v>
      </c>
      <c r="F41" s="41" t="n">
        <f aca="false">F30-F38</f>
        <v>73315.753644</v>
      </c>
      <c r="G41" s="42" t="n">
        <f aca="false">IFERROR(F41/F$20,0)</f>
        <v>0.275413964341818</v>
      </c>
      <c r="I41" s="41" t="n">
        <f aca="false">F41-C41</f>
        <v>52904.08</v>
      </c>
      <c r="J41" s="42" t="n">
        <f aca="false">IFERROR(I41/C41,0)</f>
        <v>2.59185409891909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187</v>
      </c>
      <c r="C44" s="28" t="n">
        <f aca="false">'LW Assumptions'!$C$32</f>
        <v>89675</v>
      </c>
      <c r="D44" s="39" t="n">
        <f aca="false">IFERROR(C44/C$20,0)</f>
        <v>0.336868217604059</v>
      </c>
      <c r="F44" s="28" t="n">
        <f aca="false">'LW Assumptions'!$C$32</f>
        <v>89675</v>
      </c>
      <c r="G44" s="39" t="n">
        <f aca="false">IFERROR(F44/F$20,0)</f>
        <v>0.336868217604059</v>
      </c>
      <c r="I44" s="28" t="n">
        <f aca="false">F44-C44</f>
        <v>0</v>
      </c>
      <c r="J44" s="39" t="n">
        <f aca="false">IFERROR(I44/C44,0)</f>
        <v>0</v>
      </c>
    </row>
    <row r="45" customFormat="false" ht="15" hidden="false" customHeight="true" outlineLevel="0" collapsed="false">
      <c r="A45" s="27" t="s">
        <v>188</v>
      </c>
      <c r="C45" s="28" t="n">
        <v>0</v>
      </c>
      <c r="D45" s="39" t="n">
        <f aca="false">IFERROR(C45/C$20,0)</f>
        <v>0</v>
      </c>
      <c r="F45" s="28" t="n">
        <v>0</v>
      </c>
      <c r="G45" s="39" t="n">
        <f aca="false">IFERROR(F45/F$20,0)</f>
        <v>0</v>
      </c>
      <c r="I45" s="28" t="n">
        <f aca="false">F45-C45</f>
        <v>0</v>
      </c>
      <c r="J45" s="39" t="n">
        <f aca="false">IFERROR(I45/C45,0)</f>
        <v>0</v>
      </c>
    </row>
    <row r="46" customFormat="false" ht="15" hidden="false" customHeight="true" outlineLevel="0" collapsed="false">
      <c r="A46" s="27" t="s">
        <v>189</v>
      </c>
      <c r="C46" s="28" t="n">
        <v>0</v>
      </c>
      <c r="D46" s="39" t="n">
        <f aca="false">IFERROR(C46/C$20,0)</f>
        <v>0</v>
      </c>
      <c r="F46" s="28" t="n">
        <v>0</v>
      </c>
      <c r="G46" s="39" t="n">
        <f aca="false">IFERROR(F46/F$20,0)</f>
        <v>0</v>
      </c>
      <c r="I46" s="28" t="n">
        <f aca="false">F46-C46</f>
        <v>0</v>
      </c>
      <c r="J46" s="39" t="n">
        <f aca="false">IFERROR(I46/C46,0)</f>
        <v>0</v>
      </c>
    </row>
    <row r="47" customFormat="false" ht="15" hidden="false" customHeight="true" outlineLevel="0" collapsed="false">
      <c r="A47" s="27" t="s">
        <v>190</v>
      </c>
      <c r="C47" s="28" t="n">
        <v>0</v>
      </c>
      <c r="D47" s="39" t="n">
        <f aca="false">IFERROR(C47/C$20,0)</f>
        <v>0</v>
      </c>
      <c r="F47" s="28" t="n">
        <v>0</v>
      </c>
      <c r="G47" s="39" t="n">
        <f aca="false">IFERROR(F47/F$20,0)</f>
        <v>0</v>
      </c>
      <c r="I47" s="28" t="n">
        <f aca="false">F47-C47</f>
        <v>0</v>
      </c>
      <c r="J47" s="39" t="n">
        <f aca="false">IFERROR(I47/C47,0)</f>
        <v>0</v>
      </c>
    </row>
    <row r="48" customFormat="false" ht="15" hidden="false" customHeight="true" outlineLevel="0" collapsed="false">
      <c r="A48" s="27" t="s">
        <v>191</v>
      </c>
      <c r="C48" s="28" t="n">
        <v>0</v>
      </c>
      <c r="D48" s="39" t="n">
        <f aca="false">IFERROR(C48/C$20,0)</f>
        <v>0</v>
      </c>
      <c r="F48" s="28" t="n">
        <v>0</v>
      </c>
      <c r="G48" s="39" t="n">
        <f aca="false">IFERROR(F48/F$20,0)</f>
        <v>0</v>
      </c>
      <c r="I48" s="28" t="n">
        <f aca="false">F48-C48</f>
        <v>0</v>
      </c>
      <c r="J48" s="39" t="n">
        <f aca="false">IFERROR(I48/C48,0)</f>
        <v>0</v>
      </c>
    </row>
    <row r="49" customFormat="false" ht="15" hidden="false" customHeight="true" outlineLevel="0" collapsed="false">
      <c r="A49" s="27" t="s">
        <v>192</v>
      </c>
      <c r="C49" s="28" t="n">
        <f aca="false">'LW Assumptions'!$C$42</f>
        <v>10012</v>
      </c>
      <c r="D49" s="39" t="n">
        <f aca="false">IFERROR(C49/C$20,0)</f>
        <v>0.0376105335338928</v>
      </c>
      <c r="F49" s="28" t="n">
        <f aca="false">F20*'LW Assumptions'!$C$31</f>
        <v>6655.0505</v>
      </c>
      <c r="G49" s="39" t="n">
        <f aca="false">IFERROR(F49/F$20,0)</f>
        <v>0.025</v>
      </c>
      <c r="I49" s="28" t="n">
        <f aca="false">F49-C49</f>
        <v>-3356.9495</v>
      </c>
      <c r="J49" s="39" t="n">
        <f aca="false">IFERROR(I49/C49,0)</f>
        <v>-0.335292598881342</v>
      </c>
    </row>
    <row r="50" customFormat="false" ht="15" hidden="false" customHeight="true" outlineLevel="0" collapsed="false">
      <c r="A50" s="31" t="s">
        <v>193</v>
      </c>
      <c r="C50" s="32" t="n">
        <f aca="false">SUM(C44:C49)</f>
        <v>99687</v>
      </c>
      <c r="D50" s="40" t="n">
        <f aca="false">IFERROR(C50/C$20,0)</f>
        <v>0.374478751137952</v>
      </c>
      <c r="F50" s="32" t="n">
        <f aca="false">SUM(F44:F49)</f>
        <v>96330.0505</v>
      </c>
      <c r="G50" s="40" t="n">
        <f aca="false">IFERROR(F50/F$20,0)</f>
        <v>0.361868217604059</v>
      </c>
      <c r="I50" s="32" t="n">
        <f aca="false">F50-C50</f>
        <v>-3356.9495</v>
      </c>
      <c r="J50" s="40" t="n">
        <f aca="false">IFERROR(I50/C50,0)</f>
        <v>-0.0336748974289526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v>0</v>
      </c>
      <c r="D53" s="39" t="n">
        <f aca="false">IFERROR(C53/C$20,0)</f>
        <v>0</v>
      </c>
      <c r="F53" s="28" t="n">
        <v>0</v>
      </c>
      <c r="G53" s="39" t="n">
        <f aca="false">IFERROR(F53/F$20,0)</f>
        <v>0</v>
      </c>
      <c r="I53" s="28" t="n">
        <f aca="false">F53-C53</f>
        <v>0</v>
      </c>
      <c r="J53" s="39" t="n">
        <f aca="false">IFERROR(I53/C53,0)</f>
        <v>0</v>
      </c>
    </row>
    <row r="54" customFormat="false" ht="15" hidden="false" customHeight="true" outlineLevel="0" collapsed="false">
      <c r="A54" s="27" t="s">
        <v>408</v>
      </c>
      <c r="C54" s="28" t="n">
        <f aca="false">C20*0.06</f>
        <v>15972.1212</v>
      </c>
      <c r="D54" s="39" t="n">
        <f aca="false">IFERROR(C54/C$20,0)</f>
        <v>0.06</v>
      </c>
      <c r="F54" s="28" t="n">
        <f aca="false">F20*'LW Assumptions'!$C$41</f>
        <v>0</v>
      </c>
      <c r="G54" s="39" t="n">
        <f aca="false">IFERROR(F54/F$20,0)</f>
        <v>0</v>
      </c>
      <c r="I54" s="28" t="n">
        <f aca="false">F54-C54</f>
        <v>-15972.1212</v>
      </c>
      <c r="J54" s="39" t="n">
        <f aca="false">IFERROR(I54/C54,0)</f>
        <v>-1</v>
      </c>
    </row>
    <row r="55" customFormat="false" ht="15" hidden="false" customHeight="true" outlineLevel="0" collapsed="false">
      <c r="A55" s="27" t="s">
        <v>197</v>
      </c>
      <c r="C55" s="28" t="n">
        <f aca="false">'LW Assumptions'!$C$33</f>
        <v>5657</v>
      </c>
      <c r="D55" s="39" t="n">
        <f aca="false">IFERROR(C55/C$20,0)</f>
        <v>0.0212507778866592</v>
      </c>
      <c r="F55" s="28" t="n">
        <f aca="false">'LW Assumptions'!$C$33</f>
        <v>5657</v>
      </c>
      <c r="G55" s="39" t="n">
        <f aca="false">IFERROR(F55/F$20,0)</f>
        <v>0.0212507778866592</v>
      </c>
      <c r="I55" s="28" t="n">
        <f aca="false">F55-C55</f>
        <v>0</v>
      </c>
      <c r="J55" s="39" t="n">
        <f aca="false">IFERROR(I55/C55,0)</f>
        <v>0</v>
      </c>
    </row>
    <row r="56" customFormat="false" ht="15" hidden="false" customHeight="true" outlineLevel="0" collapsed="false">
      <c r="A56" s="27" t="s">
        <v>133</v>
      </c>
      <c r="C56" s="28" t="n">
        <f aca="false">C20*'LW Assumptions'!$C$40</f>
        <v>10648.0808</v>
      </c>
      <c r="D56" s="39" t="n">
        <f aca="false">IFERROR(C56/C$20,0)</f>
        <v>0.04</v>
      </c>
      <c r="F56" s="28" t="n">
        <f aca="false">F20*'LW Assumptions'!$C$40</f>
        <v>10648.0808</v>
      </c>
      <c r="G56" s="39" t="n">
        <f aca="false">IFERROR(F56/F$20,0)</f>
        <v>0.04</v>
      </c>
      <c r="I56" s="28" t="n">
        <f aca="false">F56-C56</f>
        <v>0</v>
      </c>
      <c r="J56" s="39" t="n">
        <f aca="false">IFERROR(I56/C56,0)</f>
        <v>0</v>
      </c>
    </row>
    <row r="57" customFormat="false" ht="15" hidden="false" customHeight="true" outlineLevel="0" collapsed="false">
      <c r="A57" s="27" t="s">
        <v>198</v>
      </c>
      <c r="C57" s="28" t="n">
        <v>0</v>
      </c>
      <c r="D57" s="39" t="n">
        <f aca="false">IFERROR(C57/C$20,0)</f>
        <v>0</v>
      </c>
      <c r="F57" s="28" t="n">
        <v>0</v>
      </c>
      <c r="G57" s="39" t="n">
        <f aca="false">IFERROR(F57/F$20,0)</f>
        <v>0</v>
      </c>
      <c r="I57" s="28" t="n">
        <f aca="false">F57-C57</f>
        <v>0</v>
      </c>
      <c r="J57" s="39" t="n">
        <f aca="false">IFERROR(I57/C57,0)</f>
        <v>0</v>
      </c>
    </row>
    <row r="58" customFormat="false" ht="15" hidden="false" customHeight="true" outlineLevel="0" collapsed="false">
      <c r="A58" s="27" t="s">
        <v>199</v>
      </c>
      <c r="C58" s="28" t="n">
        <v>0</v>
      </c>
      <c r="D58" s="39" t="n">
        <f aca="false">IFERROR(C58/C$20,0)</f>
        <v>0</v>
      </c>
      <c r="F58" s="28" t="n">
        <v>0</v>
      </c>
      <c r="G58" s="39" t="n">
        <f aca="false">IFERROR(F58/F$20,0)</f>
        <v>0</v>
      </c>
      <c r="I58" s="28" t="n">
        <f aca="false">F58-C58</f>
        <v>0</v>
      </c>
      <c r="J58" s="39" t="n">
        <f aca="false">IFERROR(I58/C58,0)</f>
        <v>0</v>
      </c>
    </row>
    <row r="59" customFormat="false" ht="15" hidden="false" customHeight="true" outlineLevel="0" collapsed="false">
      <c r="A59" s="27" t="s">
        <v>200</v>
      </c>
      <c r="C59" s="28" t="n">
        <v>0</v>
      </c>
      <c r="D59" s="39" t="n">
        <f aca="false">IFERROR(C59/C$20,0)</f>
        <v>0</v>
      </c>
      <c r="F59" s="28" t="n">
        <v>0</v>
      </c>
      <c r="G59" s="39" t="n">
        <f aca="false">IFERROR(F59/F$20,0)</f>
        <v>0</v>
      </c>
      <c r="I59" s="28" t="n">
        <f aca="false">F59-C59</f>
        <v>0</v>
      </c>
      <c r="J59" s="39" t="n">
        <f aca="false">IFERROR(I59/C59,0)</f>
        <v>0</v>
      </c>
    </row>
    <row r="60" customFormat="false" ht="15" hidden="false" customHeight="true" outlineLevel="0" collapsed="false">
      <c r="A60" s="31" t="s">
        <v>201</v>
      </c>
      <c r="C60" s="32" t="n">
        <f aca="false">SUM(C53:C59)</f>
        <v>32277.202</v>
      </c>
      <c r="D60" s="40" t="n">
        <f aca="false">IFERROR(C60/C$20,0)</f>
        <v>0.121250777886659</v>
      </c>
      <c r="F60" s="32" t="n">
        <f aca="false">SUM(F53:F59)</f>
        <v>16305.0808</v>
      </c>
      <c r="G60" s="40" t="n">
        <f aca="false">IFERROR(F60/F$20,0)</f>
        <v>0.0612507778866592</v>
      </c>
      <c r="I60" s="32" t="n">
        <f aca="false">F60-C60</f>
        <v>-15972.1212</v>
      </c>
      <c r="J60" s="40" t="n">
        <f aca="false">IFERROR(I60/C60,0)</f>
        <v>-0.494842186134969</v>
      </c>
    </row>
    <row r="62" customFormat="false" ht="15" hidden="false" customHeight="true" outlineLevel="0" collapsed="false">
      <c r="A62" s="31" t="s">
        <v>202</v>
      </c>
      <c r="C62" s="32" t="n">
        <f aca="false">C41-C50-C60</f>
        <v>-111552.528356</v>
      </c>
      <c r="D62" s="40" t="n">
        <f aca="false">IFERROR(C62/C$20,0)</f>
        <v>-0.419052148274457</v>
      </c>
      <c r="F62" s="32" t="n">
        <f aca="false">F41-F50-F60</f>
        <v>-39319.377656</v>
      </c>
      <c r="G62" s="40" t="n">
        <f aca="false">IFERROR(F62/F$20,0)</f>
        <v>-0.1477050311489</v>
      </c>
      <c r="I62" s="32" t="n">
        <f aca="false">F62-C62</f>
        <v>72233.1507</v>
      </c>
      <c r="J62" s="40" t="n">
        <f aca="false">IFERROR(I62/C62,0)</f>
        <v>-0.647525894433166</v>
      </c>
    </row>
    <row r="64" customFormat="false" ht="15" hidden="false" customHeight="true" outlineLevel="0" collapsed="false">
      <c r="A64" s="27" t="s">
        <v>203</v>
      </c>
      <c r="C64" s="28" t="n">
        <v>0</v>
      </c>
      <c r="D64" s="39" t="n">
        <f aca="false">IFERROR(C64/C$20,0)</f>
        <v>0</v>
      </c>
      <c r="F64" s="28" t="n">
        <v>0</v>
      </c>
      <c r="G64" s="39" t="n">
        <f aca="false">IFERROR(F64/F$20,0)</f>
        <v>0</v>
      </c>
      <c r="I64" s="28" t="n">
        <f aca="false">F64-C64</f>
        <v>0</v>
      </c>
      <c r="J64" s="39" t="n">
        <f aca="false">IFERROR(I64/C64,0)</f>
        <v>0</v>
      </c>
    </row>
    <row r="66" customFormat="false" ht="15" hidden="false" customHeight="true" outlineLevel="0" collapsed="false">
      <c r="A66" s="31" t="s">
        <v>204</v>
      </c>
      <c r="C66" s="41" t="n">
        <f aca="false">C62-C64</f>
        <v>-111552.528356</v>
      </c>
      <c r="D66" s="42" t="n">
        <f aca="false">IFERROR(C66/C$20,0)</f>
        <v>-0.419052148274457</v>
      </c>
      <c r="F66" s="41" t="n">
        <f aca="false">F62-F64</f>
        <v>-39319.377656</v>
      </c>
      <c r="G66" s="42" t="n">
        <f aca="false">IFERROR(F66/F$20,0)</f>
        <v>-0.1477050311489</v>
      </c>
      <c r="I66" s="41" t="n">
        <f aca="false">F66-C66</f>
        <v>72233.1507</v>
      </c>
      <c r="J66" s="42" t="n">
        <f aca="false">IFERROR(I66/C66,0)</f>
        <v>-0.647525894433166</v>
      </c>
    </row>
    <row r="68" customFormat="false" ht="15" hidden="false" customHeight="true" outlineLevel="0" collapsed="false">
      <c r="A68" s="27" t="s">
        <v>205</v>
      </c>
      <c r="C68" s="28" t="n">
        <v>0</v>
      </c>
      <c r="D68" s="39" t="n">
        <f aca="false">IFERROR(C68/C$20,0)</f>
        <v>0</v>
      </c>
      <c r="F68" s="28" t="n">
        <v>0</v>
      </c>
      <c r="G68" s="39" t="n">
        <f aca="false">IFERROR(F68/F$20,0)</f>
        <v>0</v>
      </c>
      <c r="I68" s="28" t="n">
        <f aca="false">F68-C68</f>
        <v>0</v>
      </c>
      <c r="J68" s="39" t="n">
        <f aca="false">IFERROR(I68/C68,0)</f>
        <v>0</v>
      </c>
    </row>
    <row r="69" customFormat="false" ht="15" hidden="false" customHeight="true" outlineLevel="0" collapsed="false">
      <c r="A69" s="27" t="s">
        <v>206</v>
      </c>
      <c r="C69" s="28" t="n">
        <v>0</v>
      </c>
      <c r="D69" s="39" t="n">
        <f aca="false">IFERROR(C69/C$20,0)</f>
        <v>0</v>
      </c>
      <c r="F69" s="28" t="n">
        <v>0</v>
      </c>
      <c r="G69" s="39" t="n">
        <f aca="false">IFERROR(F69/F$20,0)</f>
        <v>0</v>
      </c>
      <c r="I69" s="28" t="n">
        <f aca="false">F69-C69</f>
        <v>0</v>
      </c>
      <c r="J69" s="39" t="n">
        <f aca="false">IFERROR(I69/C69,0)</f>
        <v>0</v>
      </c>
    </row>
    <row r="70" customFormat="false" ht="15" hidden="false" customHeight="true" outlineLevel="0" collapsed="false">
      <c r="A70" s="31" t="s">
        <v>207</v>
      </c>
      <c r="C70" s="43" t="n">
        <f aca="false">C66-C68-C69</f>
        <v>-111552.528356</v>
      </c>
      <c r="D70" s="44" t="n">
        <f aca="false">IFERROR(C70/C$20,0)</f>
        <v>-0.419052148274457</v>
      </c>
      <c r="F70" s="43" t="n">
        <f aca="false">F66-F68-F69</f>
        <v>-39319.377656</v>
      </c>
      <c r="G70" s="44" t="n">
        <f aca="false">IFERROR(F70/F$20,0)</f>
        <v>-0.1477050311489</v>
      </c>
      <c r="I70" s="43" t="n">
        <f aca="false">F70-C70</f>
        <v>72233.1507</v>
      </c>
      <c r="J70" s="44" t="n">
        <f aca="false">IFERROR(I70/C70,0)</f>
        <v>-0.647525894433166</v>
      </c>
    </row>
    <row r="72" customFormat="false" ht="15" hidden="false" customHeight="true" outlineLevel="0" collapsed="false">
      <c r="A72" s="21" t="s">
        <v>409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36"/>
    <col collapsed="false" customWidth="true" hidden="false" outlineLevel="0" max="2" min="2" style="9" width="2"/>
    <col collapsed="false" customWidth="true" hidden="false" outlineLevel="0" max="3" min="3" style="9" width="10"/>
    <col collapsed="false" customWidth="true" hidden="false" outlineLevel="0" max="4" min="4" style="9" width="6.5"/>
    <col collapsed="false" customWidth="true" hidden="false" outlineLevel="0" max="5" min="5" style="9" width="10"/>
    <col collapsed="false" customWidth="true" hidden="false" outlineLevel="0" max="6" min="6" style="9" width="6.5"/>
    <col collapsed="false" customWidth="true" hidden="false" outlineLevel="0" max="7" min="7" style="9" width="10"/>
    <col collapsed="false" customWidth="true" hidden="false" outlineLevel="0" max="8" min="8" style="9" width="6.5"/>
    <col collapsed="false" customWidth="true" hidden="false" outlineLevel="0" max="9" min="9" style="9" width="10"/>
    <col collapsed="false" customWidth="true" hidden="false" outlineLevel="0" max="10" min="10" style="9" width="6.5"/>
    <col collapsed="false" customWidth="true" hidden="false" outlineLevel="0" max="11" min="11" style="9" width="10"/>
    <col collapsed="false" customWidth="true" hidden="false" outlineLevel="0" max="12" min="12" style="9" width="6.5"/>
    <col collapsed="false" customWidth="true" hidden="false" outlineLevel="0" max="13" min="13" style="9" width="10"/>
    <col collapsed="false" customWidth="true" hidden="false" outlineLevel="0" max="14" min="14" style="9" width="6.5"/>
    <col collapsed="false" customWidth="true" hidden="false" outlineLevel="0" max="15" min="15" style="9" width="10"/>
    <col collapsed="false" customWidth="true" hidden="false" outlineLevel="0" max="16" min="16" style="9" width="6.5"/>
    <col collapsed="false" customWidth="true" hidden="false" outlineLevel="0" max="17" min="17" style="9" width="10"/>
    <col collapsed="false" customWidth="true" hidden="false" outlineLevel="0" max="18" min="18" style="9" width="6.5"/>
    <col collapsed="false" customWidth="true" hidden="false" outlineLevel="0" max="19" min="19" style="9" width="10"/>
    <col collapsed="false" customWidth="true" hidden="false" outlineLevel="0" max="20" min="20" style="9" width="6.5"/>
    <col collapsed="false" customWidth="true" hidden="false" outlineLevel="0" max="21" min="21" style="9" width="10"/>
    <col collapsed="false" customWidth="true" hidden="false" outlineLevel="0" max="22" min="22" style="9" width="6.5"/>
    <col collapsed="false" customWidth="true" hidden="false" outlineLevel="0" max="23" min="23" style="9" width="10"/>
    <col collapsed="false" customWidth="true" hidden="false" outlineLevel="0" max="24" min="24" style="9" width="6.5"/>
    <col collapsed="false" customWidth="true" hidden="false" outlineLevel="0" max="25" min="25" style="9" width="10"/>
    <col collapsed="false" customWidth="true" hidden="false" outlineLevel="0" max="26" min="26" style="9" width="6.5"/>
    <col collapsed="false" customWidth="true" hidden="false" outlineLevel="0" max="27" min="27" style="9" width="2"/>
    <col collapsed="false" customWidth="true" hidden="false" outlineLevel="0" max="28" min="28" style="9" width="11"/>
    <col collapsed="false" customWidth="true" hidden="false" outlineLevel="0" max="29" min="29" style="9" width="6.5"/>
  </cols>
  <sheetData>
    <row r="1" customFormat="false" ht="15" hidden="false" customHeight="true" outlineLevel="0" collapsed="false">
      <c r="A1" s="19" t="s">
        <v>330</v>
      </c>
    </row>
    <row r="2" customFormat="false" ht="15" hidden="false" customHeight="true" outlineLevel="0" collapsed="false">
      <c r="A2" s="19" t="s">
        <v>410</v>
      </c>
    </row>
    <row r="3" customFormat="false" ht="15" hidden="false" customHeight="true" outlineLevel="0" collapsed="false">
      <c r="A3" s="19" t="s">
        <v>157</v>
      </c>
    </row>
    <row r="5" customFormat="false" ht="15" hidden="false" customHeight="true" outlineLevel="0" collapsed="false">
      <c r="C5" s="35" t="s">
        <v>225</v>
      </c>
      <c r="D5" s="35"/>
      <c r="E5" s="35" t="s">
        <v>226</v>
      </c>
      <c r="F5" s="35"/>
      <c r="G5" s="35" t="s">
        <v>227</v>
      </c>
      <c r="H5" s="35"/>
      <c r="I5" s="35" t="s">
        <v>228</v>
      </c>
      <c r="J5" s="35"/>
      <c r="K5" s="35" t="s">
        <v>215</v>
      </c>
      <c r="L5" s="35"/>
      <c r="M5" s="35" t="s">
        <v>229</v>
      </c>
      <c r="N5" s="35"/>
      <c r="O5" s="35" t="s">
        <v>230</v>
      </c>
      <c r="P5" s="35"/>
      <c r="Q5" s="35" t="s">
        <v>231</v>
      </c>
      <c r="R5" s="35"/>
      <c r="S5" s="35" t="s">
        <v>232</v>
      </c>
      <c r="T5" s="35"/>
      <c r="U5" s="35" t="s">
        <v>233</v>
      </c>
      <c r="V5" s="35"/>
      <c r="W5" s="35" t="s">
        <v>234</v>
      </c>
      <c r="X5" s="35"/>
      <c r="Y5" s="35" t="s">
        <v>235</v>
      </c>
      <c r="Z5" s="35"/>
      <c r="AB5" s="35" t="s">
        <v>157</v>
      </c>
      <c r="AC5" s="35"/>
    </row>
    <row r="6" customFormat="false" ht="15" hidden="false" customHeight="true" outlineLevel="0" collapsed="false">
      <c r="C6" s="37" t="s">
        <v>236</v>
      </c>
      <c r="D6" s="37"/>
      <c r="E6" s="37" t="s">
        <v>236</v>
      </c>
      <c r="F6" s="37"/>
      <c r="G6" s="37" t="s">
        <v>236</v>
      </c>
      <c r="H6" s="37"/>
      <c r="I6" s="37" t="s">
        <v>236</v>
      </c>
      <c r="J6" s="37"/>
      <c r="K6" s="37" t="s">
        <v>236</v>
      </c>
      <c r="L6" s="37"/>
      <c r="M6" s="37" t="s">
        <v>236</v>
      </c>
      <c r="N6" s="37"/>
      <c r="O6" s="37" t="s">
        <v>236</v>
      </c>
      <c r="P6" s="37"/>
      <c r="Q6" s="37" t="s">
        <v>236</v>
      </c>
      <c r="R6" s="37"/>
      <c r="S6" s="37" t="s">
        <v>236</v>
      </c>
      <c r="T6" s="37"/>
      <c r="U6" s="37" t="s">
        <v>236</v>
      </c>
      <c r="V6" s="37"/>
      <c r="W6" s="37" t="s">
        <v>236</v>
      </c>
      <c r="X6" s="37"/>
      <c r="Y6" s="37" t="s">
        <v>236</v>
      </c>
      <c r="Z6" s="37"/>
      <c r="AB6" s="37" t="s">
        <v>159</v>
      </c>
      <c r="AC6" s="37"/>
    </row>
    <row r="7" customFormat="false" ht="15" hidden="false" customHeight="true" outlineLevel="0" collapsed="false">
      <c r="C7" s="36" t="s">
        <v>160</v>
      </c>
      <c r="D7" s="36" t="s">
        <v>161</v>
      </c>
      <c r="E7" s="36" t="s">
        <v>160</v>
      </c>
      <c r="F7" s="36" t="s">
        <v>161</v>
      </c>
      <c r="G7" s="36" t="s">
        <v>160</v>
      </c>
      <c r="H7" s="36" t="s">
        <v>161</v>
      </c>
      <c r="I7" s="36" t="s">
        <v>160</v>
      </c>
      <c r="J7" s="36" t="s">
        <v>161</v>
      </c>
      <c r="K7" s="36" t="s">
        <v>160</v>
      </c>
      <c r="L7" s="36" t="s">
        <v>161</v>
      </c>
      <c r="M7" s="36" t="s">
        <v>160</v>
      </c>
      <c r="N7" s="36" t="s">
        <v>161</v>
      </c>
      <c r="O7" s="36" t="s">
        <v>160</v>
      </c>
      <c r="P7" s="36" t="s">
        <v>161</v>
      </c>
      <c r="Q7" s="36" t="s">
        <v>160</v>
      </c>
      <c r="R7" s="36" t="s">
        <v>161</v>
      </c>
      <c r="S7" s="36" t="s">
        <v>160</v>
      </c>
      <c r="T7" s="36" t="s">
        <v>161</v>
      </c>
      <c r="U7" s="36" t="s">
        <v>160</v>
      </c>
      <c r="V7" s="36" t="s">
        <v>161</v>
      </c>
      <c r="W7" s="36" t="s">
        <v>160</v>
      </c>
      <c r="X7" s="36" t="s">
        <v>161</v>
      </c>
      <c r="Y7" s="36" t="s">
        <v>160</v>
      </c>
      <c r="Z7" s="36" t="s">
        <v>161</v>
      </c>
      <c r="AB7" s="36" t="s">
        <v>160</v>
      </c>
      <c r="AC7" s="36" t="s">
        <v>161</v>
      </c>
    </row>
    <row r="11" customFormat="false" ht="15" hidden="false" customHeight="true" outlineLevel="0" collapsed="false">
      <c r="A11" s="31" t="s">
        <v>162</v>
      </c>
    </row>
    <row r="12" customFormat="false" ht="15" hidden="false" customHeight="true" outlineLevel="0" collapsed="false">
      <c r="A12" s="27" t="s">
        <v>163</v>
      </c>
      <c r="C12" s="28" t="n">
        <f aca="false">'LW 2026 P&amp;L'!$Y$9+('LW Assumptions'!$C$43*'LW Assumptions'!$C$44/12)*IFERROR('LW Menu Pricing'!$C$34/'LW Menu Pricing'!$C$35,0)</f>
        <v>11280.525</v>
      </c>
      <c r="D12" s="39" t="n">
        <f aca="false">IFERROR(C12/C$20,0)</f>
        <v>0.373823447116993</v>
      </c>
      <c r="E12" s="28" t="n">
        <f aca="false">'LW 2026 P&amp;L'!$Y$9+('LW Assumptions'!$C$43*'LW Assumptions'!$C$44/12)*IFERROR('LW Menu Pricing'!$C$34/'LW Menu Pricing'!$C$35,0)</f>
        <v>11280.525</v>
      </c>
      <c r="F12" s="39" t="n">
        <f aca="false">IFERROR(E12/E$20,0)</f>
        <v>0.373823447116993</v>
      </c>
      <c r="G12" s="28" t="n">
        <f aca="false">'LW 2026 P&amp;L'!$Y$9+('LW Assumptions'!$C$43*'LW Assumptions'!$C$44/12)*IFERROR('LW Menu Pricing'!$C$34/'LW Menu Pricing'!$C$35,0)</f>
        <v>11280.525</v>
      </c>
      <c r="H12" s="39" t="n">
        <f aca="false">IFERROR(G12/G$20,0)</f>
        <v>0.373823447116993</v>
      </c>
      <c r="I12" s="28" t="n">
        <f aca="false">'LW 2026 P&amp;L'!$Y$9+('LW Assumptions'!$C$43*'LW Assumptions'!$C$44/12)*IFERROR('LW Menu Pricing'!$C$34/'LW Menu Pricing'!$C$35,0)</f>
        <v>11280.525</v>
      </c>
      <c r="J12" s="39" t="n">
        <f aca="false">IFERROR(I12/I$20,0)</f>
        <v>0.373823447116993</v>
      </c>
      <c r="K12" s="28" t="n">
        <f aca="false">'LW 2026 P&amp;L'!$Y$9+('LW Assumptions'!$C$43*'LW Assumptions'!$C$44/12)*IFERROR('LW Menu Pricing'!$C$34/'LW Menu Pricing'!$C$35,0)</f>
        <v>11280.525</v>
      </c>
      <c r="L12" s="39" t="n">
        <f aca="false">IFERROR(K12/K$20,0)</f>
        <v>0.373823447116993</v>
      </c>
      <c r="M12" s="28" t="n">
        <f aca="false">'LW 2026 P&amp;L'!$Y$9+('LW Assumptions'!$C$43*'LW Assumptions'!$C$44/12)*IFERROR('LW Menu Pricing'!$C$34/'LW Menu Pricing'!$C$35,0)</f>
        <v>11280.525</v>
      </c>
      <c r="N12" s="39" t="n">
        <f aca="false">IFERROR(M12/M$20,0)</f>
        <v>0.373823447116993</v>
      </c>
      <c r="O12" s="28" t="n">
        <f aca="false">'LW 2026 P&amp;L'!$Y$9+('LW Assumptions'!$C$43*'LW Assumptions'!$C$44/12)*IFERROR('LW Menu Pricing'!$C$34/'LW Menu Pricing'!$C$35,0)</f>
        <v>11280.525</v>
      </c>
      <c r="P12" s="39" t="n">
        <f aca="false">IFERROR(O12/O$20,0)</f>
        <v>0.373823447116993</v>
      </c>
      <c r="Q12" s="28" t="n">
        <f aca="false">'LW 2026 P&amp;L'!$Y$9+('LW Assumptions'!$C$43*'LW Assumptions'!$C$44/12)*IFERROR('LW Menu Pricing'!$C$34/'LW Menu Pricing'!$C$35,0)</f>
        <v>11280.525</v>
      </c>
      <c r="R12" s="39" t="n">
        <f aca="false">IFERROR(Q12/Q$20,0)</f>
        <v>0.373823447116993</v>
      </c>
      <c r="S12" s="28" t="n">
        <f aca="false">'LW 2026 P&amp;L'!$Y$9+('LW Assumptions'!$C$43*'LW Assumptions'!$C$44/12)*IFERROR('LW Menu Pricing'!$C$34/'LW Menu Pricing'!$C$35,0)</f>
        <v>11280.525</v>
      </c>
      <c r="T12" s="39" t="n">
        <f aca="false">IFERROR(S12/S$20,0)</f>
        <v>0.373823447116993</v>
      </c>
      <c r="U12" s="28" t="n">
        <f aca="false">'LW 2026 P&amp;L'!$Y$9+('LW Assumptions'!$C$43*'LW Assumptions'!$C$44/12)*IFERROR('LW Menu Pricing'!$C$34/'LW Menu Pricing'!$C$35,0)</f>
        <v>11280.525</v>
      </c>
      <c r="V12" s="39" t="n">
        <f aca="false">IFERROR(U12/U$20,0)</f>
        <v>0.373823447116993</v>
      </c>
      <c r="W12" s="28" t="n">
        <f aca="false">'LW 2026 P&amp;L'!$Y$9+('LW Assumptions'!$C$43*'LW Assumptions'!$C$44/12)*IFERROR('LW Menu Pricing'!$C$34/'LW Menu Pricing'!$C$35,0)</f>
        <v>11280.525</v>
      </c>
      <c r="X12" s="39" t="n">
        <f aca="false">IFERROR(W12/W$20,0)</f>
        <v>0.373823447116993</v>
      </c>
      <c r="Y12" s="28" t="n">
        <f aca="false">'LW 2026 P&amp;L'!$Y$9+('LW Assumptions'!$C$43*'LW Assumptions'!$C$44/12)*IFERROR('LW Menu Pricing'!$C$34/'LW Menu Pricing'!$C$35,0)</f>
        <v>11280.525</v>
      </c>
      <c r="Z12" s="39" t="n">
        <f aca="false">IFERROR(Y12/Y$20,0)</f>
        <v>0.373823447116993</v>
      </c>
      <c r="AB12" s="28" t="n">
        <f aca="false">SUM(C12,E12,G12,I12,K12,M12,O12,Q12,S12,U12,W12,Y12)</f>
        <v>135366.3</v>
      </c>
      <c r="AC12" s="39" t="n">
        <f aca="false">IFERROR(AB12/AB$20,0)</f>
        <v>0.373823447116993</v>
      </c>
    </row>
    <row r="13" customFormat="false" ht="15" hidden="false" customHeight="true" outlineLevel="0" collapsed="false">
      <c r="A13" s="27" t="s">
        <v>164</v>
      </c>
      <c r="C13" s="28" t="n">
        <f aca="false">'LW 2026 P&amp;L'!$Y$10+('LW Assumptions'!$C$43*'LW Assumptions'!$C$44/12)*IFERROR('LW Menu Pricing'!$C$33/'LW Menu Pricing'!$C$35,0)</f>
        <v>14063.885</v>
      </c>
      <c r="D13" s="39" t="n">
        <f aca="false">IFERROR(C13/C$20,0)</f>
        <v>0.466060752540948</v>
      </c>
      <c r="E13" s="28" t="n">
        <f aca="false">'LW 2026 P&amp;L'!$Y$10+('LW Assumptions'!$C$43*'LW Assumptions'!$C$44/12)*IFERROR('LW Menu Pricing'!$C$33/'LW Menu Pricing'!$C$35,0)</f>
        <v>14063.885</v>
      </c>
      <c r="F13" s="39" t="n">
        <f aca="false">IFERROR(E13/E$20,0)</f>
        <v>0.466060752540948</v>
      </c>
      <c r="G13" s="28" t="n">
        <f aca="false">'LW 2026 P&amp;L'!$Y$10+('LW Assumptions'!$C$43*'LW Assumptions'!$C$44/12)*IFERROR('LW Menu Pricing'!$C$33/'LW Menu Pricing'!$C$35,0)</f>
        <v>14063.885</v>
      </c>
      <c r="H13" s="39" t="n">
        <f aca="false">IFERROR(G13/G$20,0)</f>
        <v>0.466060752540948</v>
      </c>
      <c r="I13" s="28" t="n">
        <f aca="false">'LW 2026 P&amp;L'!$Y$10+('LW Assumptions'!$C$43*'LW Assumptions'!$C$44/12)*IFERROR('LW Menu Pricing'!$C$33/'LW Menu Pricing'!$C$35,0)</f>
        <v>14063.885</v>
      </c>
      <c r="J13" s="39" t="n">
        <f aca="false">IFERROR(I13/I$20,0)</f>
        <v>0.466060752540948</v>
      </c>
      <c r="K13" s="28" t="n">
        <f aca="false">'LW 2026 P&amp;L'!$Y$10+('LW Assumptions'!$C$43*'LW Assumptions'!$C$44/12)*IFERROR('LW Menu Pricing'!$C$33/'LW Menu Pricing'!$C$35,0)</f>
        <v>14063.885</v>
      </c>
      <c r="L13" s="39" t="n">
        <f aca="false">IFERROR(K13/K$20,0)</f>
        <v>0.466060752540948</v>
      </c>
      <c r="M13" s="28" t="n">
        <f aca="false">'LW 2026 P&amp;L'!$Y$10+('LW Assumptions'!$C$43*'LW Assumptions'!$C$44/12)*IFERROR('LW Menu Pricing'!$C$33/'LW Menu Pricing'!$C$35,0)</f>
        <v>14063.885</v>
      </c>
      <c r="N13" s="39" t="n">
        <f aca="false">IFERROR(M13/M$20,0)</f>
        <v>0.466060752540948</v>
      </c>
      <c r="O13" s="28" t="n">
        <f aca="false">'LW 2026 P&amp;L'!$Y$10+('LW Assumptions'!$C$43*'LW Assumptions'!$C$44/12)*IFERROR('LW Menu Pricing'!$C$33/'LW Menu Pricing'!$C$35,0)</f>
        <v>14063.885</v>
      </c>
      <c r="P13" s="39" t="n">
        <f aca="false">IFERROR(O13/O$20,0)</f>
        <v>0.466060752540948</v>
      </c>
      <c r="Q13" s="28" t="n">
        <f aca="false">'LW 2026 P&amp;L'!$Y$10+('LW Assumptions'!$C$43*'LW Assumptions'!$C$44/12)*IFERROR('LW Menu Pricing'!$C$33/'LW Menu Pricing'!$C$35,0)</f>
        <v>14063.885</v>
      </c>
      <c r="R13" s="39" t="n">
        <f aca="false">IFERROR(Q13/Q$20,0)</f>
        <v>0.466060752540948</v>
      </c>
      <c r="S13" s="28" t="n">
        <f aca="false">'LW 2026 P&amp;L'!$Y$10+('LW Assumptions'!$C$43*'LW Assumptions'!$C$44/12)*IFERROR('LW Menu Pricing'!$C$33/'LW Menu Pricing'!$C$35,0)</f>
        <v>14063.885</v>
      </c>
      <c r="T13" s="39" t="n">
        <f aca="false">IFERROR(S13/S$20,0)</f>
        <v>0.466060752540948</v>
      </c>
      <c r="U13" s="28" t="n">
        <f aca="false">'LW 2026 P&amp;L'!$Y$10+('LW Assumptions'!$C$43*'LW Assumptions'!$C$44/12)*IFERROR('LW Menu Pricing'!$C$33/'LW Menu Pricing'!$C$35,0)</f>
        <v>14063.885</v>
      </c>
      <c r="V13" s="39" t="n">
        <f aca="false">IFERROR(U13/U$20,0)</f>
        <v>0.466060752540948</v>
      </c>
      <c r="W13" s="28" t="n">
        <f aca="false">'LW 2026 P&amp;L'!$Y$10+('LW Assumptions'!$C$43*'LW Assumptions'!$C$44/12)*IFERROR('LW Menu Pricing'!$C$33/'LW Menu Pricing'!$C$35,0)</f>
        <v>14063.885</v>
      </c>
      <c r="X13" s="39" t="n">
        <f aca="false">IFERROR(W13/W$20,0)</f>
        <v>0.466060752540948</v>
      </c>
      <c r="Y13" s="28" t="n">
        <f aca="false">'LW 2026 P&amp;L'!$Y$10+('LW Assumptions'!$C$43*'LW Assumptions'!$C$44/12)*IFERROR('LW Menu Pricing'!$C$33/'LW Menu Pricing'!$C$35,0)</f>
        <v>14063.885</v>
      </c>
      <c r="Z13" s="39" t="n">
        <f aca="false">IFERROR(Y13/Y$20,0)</f>
        <v>0.466060752540948</v>
      </c>
      <c r="AB13" s="28" t="n">
        <f aca="false">SUM(C13,E13,G13,I13,K13,M13,O13,Q13,S13,U13,W13,Y13)</f>
        <v>168766.62</v>
      </c>
      <c r="AC13" s="39" t="n">
        <f aca="false">IFERROR(AB13/AB$20,0)</f>
        <v>0.466060752540948</v>
      </c>
    </row>
    <row r="14" customFormat="false" ht="15" hidden="false" customHeight="true" outlineLevel="0" collapsed="false">
      <c r="A14" s="27" t="s">
        <v>165</v>
      </c>
      <c r="C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9" t="n">
        <f aca="false">IFERROR(C14/C$20,0)</f>
        <v>0.0201815499982713</v>
      </c>
      <c r="E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9" t="n">
        <f aca="false">IFERROR(E14/E$20,0)</f>
        <v>0.0201815499982713</v>
      </c>
      <c r="G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9" t="n">
        <f aca="false">IFERROR(G14/G$20,0)</f>
        <v>0.0201815499982713</v>
      </c>
      <c r="I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9" t="n">
        <f aca="false">IFERROR(I14/I$20,0)</f>
        <v>0.0201815499982713</v>
      </c>
      <c r="K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9" t="n">
        <f aca="false">IFERROR(K14/K$20,0)</f>
        <v>0.0201815499982713</v>
      </c>
      <c r="M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9" t="n">
        <f aca="false">IFERROR(M14/M$20,0)</f>
        <v>0.0201815499982713</v>
      </c>
      <c r="O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9" t="n">
        <f aca="false">IFERROR(O14/O$20,0)</f>
        <v>0.0201815499982713</v>
      </c>
      <c r="Q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9" t="n">
        <f aca="false">IFERROR(Q14/Q$20,0)</f>
        <v>0.0201815499982713</v>
      </c>
      <c r="S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9" t="n">
        <f aca="false">IFERROR(S14/S$20,0)</f>
        <v>0.0201815499982713</v>
      </c>
      <c r="U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9" t="n">
        <f aca="false">IFERROR(U14/U$20,0)</f>
        <v>0.0201815499982713</v>
      </c>
      <c r="W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9" t="n">
        <f aca="false">IFERROR(W14/W$20,0)</f>
        <v>0.0201815499982713</v>
      </c>
      <c r="Y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9" t="n">
        <f aca="false">IFERROR(Y14/Y$20,0)</f>
        <v>0.0201815499982713</v>
      </c>
      <c r="AB14" s="28" t="n">
        <f aca="false">SUM(C14,E14,G14,I14,K14,M14,O14,Q14,S14,U14,W14,Y14)</f>
        <v>7308</v>
      </c>
      <c r="AC14" s="39" t="n">
        <f aca="false">IFERROR(AB14/AB$20,0)</f>
        <v>0.0201815499982713</v>
      </c>
    </row>
    <row r="15" customFormat="false" ht="15" hidden="false" customHeight="true" outlineLevel="0" collapsed="false">
      <c r="A15" s="27" t="s">
        <v>166</v>
      </c>
      <c r="C15" s="28" t="n">
        <f aca="false">'LW 2026 P&amp;L'!$Y$12</f>
        <v>615</v>
      </c>
      <c r="D15" s="39" t="n">
        <f aca="false">IFERROR(C15/C$20,0)</f>
        <v>0.0203803830031803</v>
      </c>
      <c r="E15" s="28" t="n">
        <f aca="false">'LW 2026 P&amp;L'!$Y$12</f>
        <v>615</v>
      </c>
      <c r="F15" s="39" t="n">
        <f aca="false">IFERROR(E15/E$20,0)</f>
        <v>0.0203803830031803</v>
      </c>
      <c r="G15" s="28" t="n">
        <f aca="false">'LW 2026 P&amp;L'!$Y$12</f>
        <v>615</v>
      </c>
      <c r="H15" s="39" t="n">
        <f aca="false">IFERROR(G15/G$20,0)</f>
        <v>0.0203803830031803</v>
      </c>
      <c r="I15" s="28" t="n">
        <f aca="false">'LW 2026 P&amp;L'!$Y$12</f>
        <v>615</v>
      </c>
      <c r="J15" s="39" t="n">
        <f aca="false">IFERROR(I15/I$20,0)</f>
        <v>0.0203803830031803</v>
      </c>
      <c r="K15" s="28" t="n">
        <f aca="false">'LW 2026 P&amp;L'!$Y$12</f>
        <v>615</v>
      </c>
      <c r="L15" s="39" t="n">
        <f aca="false">IFERROR(K15/K$20,0)</f>
        <v>0.0203803830031803</v>
      </c>
      <c r="M15" s="28" t="n">
        <f aca="false">'LW 2026 P&amp;L'!$Y$12</f>
        <v>615</v>
      </c>
      <c r="N15" s="39" t="n">
        <f aca="false">IFERROR(M15/M$20,0)</f>
        <v>0.0203803830031803</v>
      </c>
      <c r="O15" s="28" t="n">
        <f aca="false">'LW 2026 P&amp;L'!$Y$12</f>
        <v>615</v>
      </c>
      <c r="P15" s="39" t="n">
        <f aca="false">IFERROR(O15/O$20,0)</f>
        <v>0.0203803830031803</v>
      </c>
      <c r="Q15" s="28" t="n">
        <f aca="false">'LW 2026 P&amp;L'!$Y$12</f>
        <v>615</v>
      </c>
      <c r="R15" s="39" t="n">
        <f aca="false">IFERROR(Q15/Q$20,0)</f>
        <v>0.0203803830031803</v>
      </c>
      <c r="S15" s="28" t="n">
        <f aca="false">'LW 2026 P&amp;L'!$Y$12</f>
        <v>615</v>
      </c>
      <c r="T15" s="39" t="n">
        <f aca="false">IFERROR(S15/S$20,0)</f>
        <v>0.0203803830031803</v>
      </c>
      <c r="U15" s="28" t="n">
        <f aca="false">'LW 2026 P&amp;L'!$Y$12</f>
        <v>615</v>
      </c>
      <c r="V15" s="39" t="n">
        <f aca="false">IFERROR(U15/U$20,0)</f>
        <v>0.0203803830031803</v>
      </c>
      <c r="W15" s="28" t="n">
        <f aca="false">'LW 2026 P&amp;L'!$Y$12</f>
        <v>615</v>
      </c>
      <c r="X15" s="39" t="n">
        <f aca="false">IFERROR(W15/W$20,0)</f>
        <v>0.0203803830031803</v>
      </c>
      <c r="Y15" s="28" t="n">
        <f aca="false">'LW 2026 P&amp;L'!$Y$12</f>
        <v>615</v>
      </c>
      <c r="Z15" s="39" t="n">
        <f aca="false">IFERROR(Y15/Y$20,0)</f>
        <v>0.0203803830031803</v>
      </c>
      <c r="AB15" s="28" t="n">
        <f aca="false">SUM(C15,E15,G15,I15,K15,M15,O15,Q15,S15,U15,W15,Y15)</f>
        <v>7380</v>
      </c>
      <c r="AC15" s="39" t="n">
        <f aca="false">IFERROR(AB15/AB$20,0)</f>
        <v>0.0203803830031803</v>
      </c>
    </row>
    <row r="16" customFormat="false" ht="15" hidden="false" customHeight="true" outlineLevel="0" collapsed="false">
      <c r="A16" s="27" t="s">
        <v>167</v>
      </c>
      <c r="C16" s="28" t="n">
        <f aca="false">'LW 2026 P&amp;L'!$Y$13</f>
        <v>1045</v>
      </c>
      <c r="D16" s="39" t="n">
        <f aca="false">IFERROR(C16/C$20,0)</f>
        <v>0.0346300816883308</v>
      </c>
      <c r="E16" s="28" t="n">
        <f aca="false">'LW 2026 P&amp;L'!$Y$13</f>
        <v>1045</v>
      </c>
      <c r="F16" s="39" t="n">
        <f aca="false">IFERROR(E16/E$20,0)</f>
        <v>0.0346300816883308</v>
      </c>
      <c r="G16" s="28" t="n">
        <f aca="false">'LW 2026 P&amp;L'!$Y$13</f>
        <v>1045</v>
      </c>
      <c r="H16" s="39" t="n">
        <f aca="false">IFERROR(G16/G$20,0)</f>
        <v>0.0346300816883308</v>
      </c>
      <c r="I16" s="28" t="n">
        <f aca="false">'LW 2026 P&amp;L'!$Y$13</f>
        <v>1045</v>
      </c>
      <c r="J16" s="39" t="n">
        <f aca="false">IFERROR(I16/I$20,0)</f>
        <v>0.0346300816883308</v>
      </c>
      <c r="K16" s="28" t="n">
        <f aca="false">'LW 2026 P&amp;L'!$Y$13</f>
        <v>1045</v>
      </c>
      <c r="L16" s="39" t="n">
        <f aca="false">IFERROR(K16/K$20,0)</f>
        <v>0.0346300816883308</v>
      </c>
      <c r="M16" s="28" t="n">
        <f aca="false">'LW 2026 P&amp;L'!$Y$13</f>
        <v>1045</v>
      </c>
      <c r="N16" s="39" t="n">
        <f aca="false">IFERROR(M16/M$20,0)</f>
        <v>0.0346300816883308</v>
      </c>
      <c r="O16" s="28" t="n">
        <f aca="false">'LW 2026 P&amp;L'!$Y$13</f>
        <v>1045</v>
      </c>
      <c r="P16" s="39" t="n">
        <f aca="false">IFERROR(O16/O$20,0)</f>
        <v>0.0346300816883308</v>
      </c>
      <c r="Q16" s="28" t="n">
        <f aca="false">'LW 2026 P&amp;L'!$Y$13</f>
        <v>1045</v>
      </c>
      <c r="R16" s="39" t="n">
        <f aca="false">IFERROR(Q16/Q$20,0)</f>
        <v>0.0346300816883308</v>
      </c>
      <c r="S16" s="28" t="n">
        <f aca="false">'LW 2026 P&amp;L'!$Y$13</f>
        <v>1045</v>
      </c>
      <c r="T16" s="39" t="n">
        <f aca="false">IFERROR(S16/S$20,0)</f>
        <v>0.0346300816883308</v>
      </c>
      <c r="U16" s="28" t="n">
        <f aca="false">'LW 2026 P&amp;L'!$Y$13</f>
        <v>1045</v>
      </c>
      <c r="V16" s="39" t="n">
        <f aca="false">IFERROR(U16/U$20,0)</f>
        <v>0.0346300816883308</v>
      </c>
      <c r="W16" s="28" t="n">
        <f aca="false">'LW 2026 P&amp;L'!$Y$13</f>
        <v>1045</v>
      </c>
      <c r="X16" s="39" t="n">
        <f aca="false">IFERROR(W16/W$20,0)</f>
        <v>0.0346300816883308</v>
      </c>
      <c r="Y16" s="28" t="n">
        <f aca="false">'LW 2026 P&amp;L'!$Y$13</f>
        <v>1045</v>
      </c>
      <c r="Z16" s="39" t="n">
        <f aca="false">IFERROR(Y16/Y$20,0)</f>
        <v>0.0346300816883308</v>
      </c>
      <c r="AB16" s="28" t="n">
        <f aca="false">SUM(C16,E16,G16,I16,K16,M16,O16,Q16,S16,U16,W16,Y16)</f>
        <v>12540</v>
      </c>
      <c r="AC16" s="39" t="n">
        <f aca="false">IFERROR(AB16/AB$20,0)</f>
        <v>0.0346300816883308</v>
      </c>
    </row>
    <row r="17" customFormat="false" ht="15" hidden="false" customHeight="true" outlineLevel="0" collapsed="false">
      <c r="A17" s="27" t="s">
        <v>337</v>
      </c>
      <c r="C17" s="28" t="n">
        <f aca="false">('LW Assumptions'!$C$47+'LW Assumptions'!$C$36)/12</f>
        <v>3743.66666666667</v>
      </c>
      <c r="D17" s="39" t="n">
        <f aca="false">IFERROR(C17/C$20,0)</f>
        <v>0.124060748785213</v>
      </c>
      <c r="E17" s="28" t="n">
        <f aca="false">('LW Assumptions'!$C$47+'LW Assumptions'!$C$36)/12</f>
        <v>3743.66666666667</v>
      </c>
      <c r="F17" s="39" t="n">
        <f aca="false">IFERROR(E17/E$20,0)</f>
        <v>0.124060748785213</v>
      </c>
      <c r="G17" s="28" t="n">
        <f aca="false">('LW Assumptions'!$C$47+'LW Assumptions'!$C$36)/12</f>
        <v>3743.66666666667</v>
      </c>
      <c r="H17" s="39" t="n">
        <f aca="false">IFERROR(G17/G$20,0)</f>
        <v>0.124060748785213</v>
      </c>
      <c r="I17" s="28" t="n">
        <f aca="false">('LW Assumptions'!$C$47+'LW Assumptions'!$C$36)/12</f>
        <v>3743.66666666667</v>
      </c>
      <c r="J17" s="39" t="n">
        <f aca="false">IFERROR(I17/I$20,0)</f>
        <v>0.124060748785213</v>
      </c>
      <c r="K17" s="28" t="n">
        <f aca="false">('LW Assumptions'!$C$47+'LW Assumptions'!$C$36)/12</f>
        <v>3743.66666666667</v>
      </c>
      <c r="L17" s="39" t="n">
        <f aca="false">IFERROR(K17/K$20,0)</f>
        <v>0.124060748785213</v>
      </c>
      <c r="M17" s="28" t="n">
        <f aca="false">('LW Assumptions'!$C$47+'LW Assumptions'!$C$36)/12</f>
        <v>3743.66666666667</v>
      </c>
      <c r="N17" s="39" t="n">
        <f aca="false">IFERROR(M17/M$20,0)</f>
        <v>0.124060748785213</v>
      </c>
      <c r="O17" s="28" t="n">
        <f aca="false">('LW Assumptions'!$C$47+'LW Assumptions'!$C$36)/12</f>
        <v>3743.66666666667</v>
      </c>
      <c r="P17" s="39" t="n">
        <f aca="false">IFERROR(O17/O$20,0)</f>
        <v>0.124060748785213</v>
      </c>
      <c r="Q17" s="28" t="n">
        <f aca="false">('LW Assumptions'!$C$47+'LW Assumptions'!$C$36)/12</f>
        <v>3743.66666666667</v>
      </c>
      <c r="R17" s="39" t="n">
        <f aca="false">IFERROR(Q17/Q$20,0)</f>
        <v>0.124060748785213</v>
      </c>
      <c r="S17" s="28" t="n">
        <f aca="false">('LW Assumptions'!$C$47+'LW Assumptions'!$C$36)/12</f>
        <v>3743.66666666667</v>
      </c>
      <c r="T17" s="39" t="n">
        <f aca="false">IFERROR(S17/S$20,0)</f>
        <v>0.124060748785213</v>
      </c>
      <c r="U17" s="28" t="n">
        <f aca="false">('LW Assumptions'!$C$47+'LW Assumptions'!$C$36)/12</f>
        <v>3743.66666666667</v>
      </c>
      <c r="V17" s="39" t="n">
        <f aca="false">IFERROR(U17/U$20,0)</f>
        <v>0.124060748785213</v>
      </c>
      <c r="W17" s="28" t="n">
        <f aca="false">('LW Assumptions'!$C$47+'LW Assumptions'!$C$36)/12</f>
        <v>3743.66666666667</v>
      </c>
      <c r="X17" s="39" t="n">
        <f aca="false">IFERROR(W17/W$20,0)</f>
        <v>0.124060748785213</v>
      </c>
      <c r="Y17" s="28" t="n">
        <f aca="false">('LW Assumptions'!$C$47+'LW Assumptions'!$C$36)/12</f>
        <v>3743.66666666667</v>
      </c>
      <c r="Z17" s="39" t="n">
        <f aca="false">IFERROR(Y17/Y$20,0)</f>
        <v>0.124060748785213</v>
      </c>
      <c r="AB17" s="28" t="n">
        <f aca="false">SUM(C17,E17,G17,I17,K17,M17,O17,Q17,S17,U17,W17,Y17)</f>
        <v>44924</v>
      </c>
      <c r="AC17" s="39" t="n">
        <f aca="false">IFERROR(AB17/AB$20,0)</f>
        <v>0.124060748785213</v>
      </c>
    </row>
    <row r="18" customFormat="false" ht="15" hidden="false" customHeight="true" outlineLevel="0" collapsed="false">
      <c r="A18" s="27" t="s">
        <v>169</v>
      </c>
      <c r="C18" s="28" t="n">
        <f aca="false">'LW 2026 P&amp;L'!$Y$14</f>
        <v>340</v>
      </c>
      <c r="D18" s="39" t="n">
        <f aca="false">IFERROR(C18/C$20,0)</f>
        <v>0.0112672036115143</v>
      </c>
      <c r="E18" s="28" t="n">
        <f aca="false">'LW 2026 P&amp;L'!$Y$14</f>
        <v>340</v>
      </c>
      <c r="F18" s="39" t="n">
        <f aca="false">IFERROR(E18/E$20,0)</f>
        <v>0.0112672036115143</v>
      </c>
      <c r="G18" s="28" t="n">
        <f aca="false">'LW 2026 P&amp;L'!$Y$14</f>
        <v>340</v>
      </c>
      <c r="H18" s="39" t="n">
        <f aca="false">IFERROR(G18/G$20,0)</f>
        <v>0.0112672036115143</v>
      </c>
      <c r="I18" s="28" t="n">
        <f aca="false">'LW 2026 P&amp;L'!$Y$14</f>
        <v>340</v>
      </c>
      <c r="J18" s="39" t="n">
        <f aca="false">IFERROR(I18/I$20,0)</f>
        <v>0.0112672036115143</v>
      </c>
      <c r="K18" s="28" t="n">
        <f aca="false">'LW 2026 P&amp;L'!$Y$14</f>
        <v>340</v>
      </c>
      <c r="L18" s="39" t="n">
        <f aca="false">IFERROR(K18/K$20,0)</f>
        <v>0.0112672036115143</v>
      </c>
      <c r="M18" s="28" t="n">
        <f aca="false">'LW 2026 P&amp;L'!$Y$14</f>
        <v>340</v>
      </c>
      <c r="N18" s="39" t="n">
        <f aca="false">IFERROR(M18/M$20,0)</f>
        <v>0.0112672036115143</v>
      </c>
      <c r="O18" s="28" t="n">
        <f aca="false">'LW 2026 P&amp;L'!$Y$14</f>
        <v>340</v>
      </c>
      <c r="P18" s="39" t="n">
        <f aca="false">IFERROR(O18/O$20,0)</f>
        <v>0.0112672036115143</v>
      </c>
      <c r="Q18" s="28" t="n">
        <f aca="false">'LW 2026 P&amp;L'!$Y$14</f>
        <v>340</v>
      </c>
      <c r="R18" s="39" t="n">
        <f aca="false">IFERROR(Q18/Q$20,0)</f>
        <v>0.0112672036115143</v>
      </c>
      <c r="S18" s="28" t="n">
        <f aca="false">'LW 2026 P&amp;L'!$Y$14</f>
        <v>340</v>
      </c>
      <c r="T18" s="39" t="n">
        <f aca="false">IFERROR(S18/S$20,0)</f>
        <v>0.0112672036115143</v>
      </c>
      <c r="U18" s="28" t="n">
        <f aca="false">'LW 2026 P&amp;L'!$Y$14</f>
        <v>340</v>
      </c>
      <c r="V18" s="39" t="n">
        <f aca="false">IFERROR(U18/U$20,0)</f>
        <v>0.0112672036115143</v>
      </c>
      <c r="W18" s="28" t="n">
        <f aca="false">'LW 2026 P&amp;L'!$Y$14</f>
        <v>340</v>
      </c>
      <c r="X18" s="39" t="n">
        <f aca="false">IFERROR(W18/W$20,0)</f>
        <v>0.0112672036115143</v>
      </c>
      <c r="Y18" s="28" t="n">
        <f aca="false">'LW 2026 P&amp;L'!$Y$14</f>
        <v>340</v>
      </c>
      <c r="Z18" s="39" t="n">
        <f aca="false">IFERROR(Y18/Y$20,0)</f>
        <v>0.0112672036115143</v>
      </c>
      <c r="AB18" s="28" t="n">
        <f aca="false">SUM(C18,E18,G18,I18,K18,M18,O18,Q18,S18,U18,W18,Y18)</f>
        <v>4080</v>
      </c>
      <c r="AC18" s="39" t="n">
        <f aca="false">IFERROR(AB18/AB$20,0)</f>
        <v>0.0112672036115143</v>
      </c>
    </row>
    <row r="19" customFormat="false" ht="15" hidden="false" customHeight="true" outlineLevel="0" collapsed="false">
      <c r="A19" s="27" t="s">
        <v>170</v>
      </c>
      <c r="C19" s="28" t="n">
        <f aca="false">'LW 2026 P&amp;L'!$Y$15</f>
        <v>-1521</v>
      </c>
      <c r="D19" s="39" t="n">
        <f aca="false">IFERROR(C19/C$20,0)</f>
        <v>-0.0504041667444509</v>
      </c>
      <c r="E19" s="28" t="n">
        <f aca="false">'LW 2026 P&amp;L'!$Y$15</f>
        <v>-1521</v>
      </c>
      <c r="F19" s="39" t="n">
        <f aca="false">IFERROR(E19/E$20,0)</f>
        <v>-0.0504041667444509</v>
      </c>
      <c r="G19" s="28" t="n">
        <f aca="false">'LW 2026 P&amp;L'!$Y$15</f>
        <v>-1521</v>
      </c>
      <c r="H19" s="39" t="n">
        <f aca="false">IFERROR(G19/G$20,0)</f>
        <v>-0.0504041667444509</v>
      </c>
      <c r="I19" s="28" t="n">
        <f aca="false">'LW 2026 P&amp;L'!$Y$15</f>
        <v>-1521</v>
      </c>
      <c r="J19" s="39" t="n">
        <f aca="false">IFERROR(I19/I$20,0)</f>
        <v>-0.0504041667444509</v>
      </c>
      <c r="K19" s="28" t="n">
        <f aca="false">'LW 2026 P&amp;L'!$Y$15</f>
        <v>-1521</v>
      </c>
      <c r="L19" s="39" t="n">
        <f aca="false">IFERROR(K19/K$20,0)</f>
        <v>-0.0504041667444509</v>
      </c>
      <c r="M19" s="28" t="n">
        <f aca="false">'LW 2026 P&amp;L'!$Y$15</f>
        <v>-1521</v>
      </c>
      <c r="N19" s="39" t="n">
        <f aca="false">IFERROR(M19/M$20,0)</f>
        <v>-0.0504041667444509</v>
      </c>
      <c r="O19" s="28" t="n">
        <f aca="false">'LW 2026 P&amp;L'!$Y$15</f>
        <v>-1521</v>
      </c>
      <c r="P19" s="39" t="n">
        <f aca="false">IFERROR(O19/O$20,0)</f>
        <v>-0.0504041667444509</v>
      </c>
      <c r="Q19" s="28" t="n">
        <f aca="false">'LW 2026 P&amp;L'!$Y$15</f>
        <v>-1521</v>
      </c>
      <c r="R19" s="39" t="n">
        <f aca="false">IFERROR(Q19/Q$20,0)</f>
        <v>-0.0504041667444509</v>
      </c>
      <c r="S19" s="28" t="n">
        <f aca="false">'LW 2026 P&amp;L'!$Y$15</f>
        <v>-1521</v>
      </c>
      <c r="T19" s="39" t="n">
        <f aca="false">IFERROR(S19/S$20,0)</f>
        <v>-0.0504041667444509</v>
      </c>
      <c r="U19" s="28" t="n">
        <f aca="false">'LW 2026 P&amp;L'!$Y$15</f>
        <v>-1521</v>
      </c>
      <c r="V19" s="39" t="n">
        <f aca="false">IFERROR(U19/U$20,0)</f>
        <v>-0.0504041667444509</v>
      </c>
      <c r="W19" s="28" t="n">
        <f aca="false">'LW 2026 P&amp;L'!$Y$15</f>
        <v>-1521</v>
      </c>
      <c r="X19" s="39" t="n">
        <f aca="false">IFERROR(W19/W$20,0)</f>
        <v>-0.0504041667444509</v>
      </c>
      <c r="Y19" s="28" t="n">
        <f aca="false">'LW 2026 P&amp;L'!$Y$15</f>
        <v>-1521</v>
      </c>
      <c r="Z19" s="39" t="n">
        <f aca="false">IFERROR(Y19/Y$20,0)</f>
        <v>-0.0504041667444509</v>
      </c>
      <c r="AB19" s="28" t="n">
        <f aca="false">SUM(C19,E19,G19,I19,K19,M19,O19,Q19,S19,U19,W19,Y19)</f>
        <v>-18252</v>
      </c>
      <c r="AC19" s="39" t="n">
        <f aca="false">IFERROR(AB19/AB$20,0)</f>
        <v>-0.0504041667444509</v>
      </c>
    </row>
    <row r="20" customFormat="false" ht="15" hidden="false" customHeight="true" outlineLevel="0" collapsed="false">
      <c r="A20" s="31" t="s">
        <v>128</v>
      </c>
      <c r="C20" s="32" t="n">
        <f aca="false">SUM(C12:C19)</f>
        <v>30176.0766666667</v>
      </c>
      <c r="D20" s="40" t="n">
        <f aca="false">IFERROR(C20/C$20,0)</f>
        <v>1</v>
      </c>
      <c r="E20" s="32" t="n">
        <f aca="false">SUM(E12:E19)</f>
        <v>30176.0766666667</v>
      </c>
      <c r="F20" s="40" t="n">
        <f aca="false">IFERROR(E20/E$20,0)</f>
        <v>1</v>
      </c>
      <c r="G20" s="32" t="n">
        <f aca="false">SUM(G12:G19)</f>
        <v>30176.0766666667</v>
      </c>
      <c r="H20" s="40" t="n">
        <f aca="false">IFERROR(G20/G$20,0)</f>
        <v>1</v>
      </c>
      <c r="I20" s="32" t="n">
        <f aca="false">SUM(I12:I19)</f>
        <v>30176.0766666667</v>
      </c>
      <c r="J20" s="40" t="n">
        <f aca="false">IFERROR(I20/I$20,0)</f>
        <v>1</v>
      </c>
      <c r="K20" s="32" t="n">
        <f aca="false">SUM(K12:K19)</f>
        <v>30176.0766666667</v>
      </c>
      <c r="L20" s="40" t="n">
        <f aca="false">IFERROR(K20/K$20,0)</f>
        <v>1</v>
      </c>
      <c r="M20" s="32" t="n">
        <f aca="false">SUM(M12:M19)</f>
        <v>30176.0766666667</v>
      </c>
      <c r="N20" s="40" t="n">
        <f aca="false">IFERROR(M20/M$20,0)</f>
        <v>1</v>
      </c>
      <c r="O20" s="32" t="n">
        <f aca="false">SUM(O12:O19)</f>
        <v>30176.0766666667</v>
      </c>
      <c r="P20" s="40" t="n">
        <f aca="false">IFERROR(O20/O$20,0)</f>
        <v>1</v>
      </c>
      <c r="Q20" s="32" t="n">
        <f aca="false">SUM(Q12:Q19)</f>
        <v>30176.0766666667</v>
      </c>
      <c r="R20" s="40" t="n">
        <f aca="false">IFERROR(Q20/Q$20,0)</f>
        <v>1</v>
      </c>
      <c r="S20" s="32" t="n">
        <f aca="false">SUM(S12:S19)</f>
        <v>30176.0766666667</v>
      </c>
      <c r="T20" s="40" t="n">
        <f aca="false">IFERROR(S20/S$20,0)</f>
        <v>1</v>
      </c>
      <c r="U20" s="32" t="n">
        <f aca="false">SUM(U12:U19)</f>
        <v>30176.0766666667</v>
      </c>
      <c r="V20" s="40" t="n">
        <f aca="false">IFERROR(U20/U$20,0)</f>
        <v>1</v>
      </c>
      <c r="W20" s="32" t="n">
        <f aca="false">SUM(W12:W19)</f>
        <v>30176.0766666667</v>
      </c>
      <c r="X20" s="40" t="n">
        <f aca="false">IFERROR(W20/W$20,0)</f>
        <v>1</v>
      </c>
      <c r="Y20" s="32" t="n">
        <f aca="false">SUM(Y12:Y19)</f>
        <v>30176.0766666667</v>
      </c>
      <c r="Z20" s="40" t="n">
        <f aca="false">IFERROR(Y20/Y$20,0)</f>
        <v>1</v>
      </c>
      <c r="AB20" s="32" t="n">
        <f aca="false">SUM(AB12:AB19)</f>
        <v>362112.92</v>
      </c>
      <c r="AC20" s="40" t="n">
        <f aca="false">IFERROR(AB20/AB$20,0)</f>
        <v>1</v>
      </c>
    </row>
    <row r="22" customFormat="false" ht="15" hidden="false" customHeight="true" outlineLevel="0" collapsed="false">
      <c r="A22" s="31" t="s">
        <v>171</v>
      </c>
    </row>
    <row r="23" customFormat="false" ht="15" hidden="false" customHeight="true" outlineLevel="0" collapsed="false">
      <c r="A23" s="27" t="s">
        <v>172</v>
      </c>
      <c r="C23" s="28" t="n">
        <f aca="false">'LW 2026 P&amp;L'!$Y$19</f>
        <v>5994</v>
      </c>
      <c r="D23" s="39" t="n">
        <f aca="false">IFERROR(C23/C$12,0)</f>
        <v>0.531358247953885</v>
      </c>
      <c r="E23" s="28" t="n">
        <f aca="false">'LW 2026 P&amp;L'!$Y$19</f>
        <v>5994</v>
      </c>
      <c r="F23" s="39" t="n">
        <f aca="false">IFERROR(E23/E$12,0)</f>
        <v>0.531358247953885</v>
      </c>
      <c r="G23" s="28" t="n">
        <f aca="false">'LW 2026 P&amp;L'!$Y$19</f>
        <v>5994</v>
      </c>
      <c r="H23" s="39" t="n">
        <f aca="false">IFERROR(G23/G$12,0)</f>
        <v>0.531358247953885</v>
      </c>
      <c r="I23" s="28" t="n">
        <f aca="false">'LW 2026 P&amp;L'!$Y$19</f>
        <v>5994</v>
      </c>
      <c r="J23" s="39" t="n">
        <f aca="false">IFERROR(I23/I$12,0)</f>
        <v>0.531358247953885</v>
      </c>
      <c r="K23" s="28" t="n">
        <f aca="false">'LW 2026 P&amp;L'!$Y$19</f>
        <v>5994</v>
      </c>
      <c r="L23" s="39" t="n">
        <f aca="false">IFERROR(K23/K$12,0)</f>
        <v>0.531358247953885</v>
      </c>
      <c r="M23" s="28" t="n">
        <f aca="false">'LW 2026 P&amp;L'!$Y$19</f>
        <v>5994</v>
      </c>
      <c r="N23" s="39" t="n">
        <f aca="false">IFERROR(M23/M$12,0)</f>
        <v>0.531358247953885</v>
      </c>
      <c r="O23" s="28" t="n">
        <f aca="false">'LW 2026 P&amp;L'!$Y$19</f>
        <v>5994</v>
      </c>
      <c r="P23" s="39" t="n">
        <f aca="false">IFERROR(O23/O$12,0)</f>
        <v>0.531358247953885</v>
      </c>
      <c r="Q23" s="28" t="n">
        <f aca="false">'LW 2026 P&amp;L'!$Y$19</f>
        <v>5994</v>
      </c>
      <c r="R23" s="39" t="n">
        <f aca="false">IFERROR(Q23/Q$12,0)</f>
        <v>0.531358247953885</v>
      </c>
      <c r="S23" s="28" t="n">
        <f aca="false">'LW 2026 P&amp;L'!$Y$19</f>
        <v>5994</v>
      </c>
      <c r="T23" s="39" t="n">
        <f aca="false">IFERROR(S23/S$12,0)</f>
        <v>0.531358247953885</v>
      </c>
      <c r="U23" s="28" t="n">
        <f aca="false">'LW 2026 P&amp;L'!$Y$19</f>
        <v>5994</v>
      </c>
      <c r="V23" s="39" t="n">
        <f aca="false">IFERROR(U23/U$12,0)</f>
        <v>0.531358247953885</v>
      </c>
      <c r="W23" s="28" t="n">
        <f aca="false">'LW 2026 P&amp;L'!$Y$19</f>
        <v>5994</v>
      </c>
      <c r="X23" s="39" t="n">
        <f aca="false">IFERROR(W23/W$12,0)</f>
        <v>0.531358247953885</v>
      </c>
      <c r="Y23" s="28" t="n">
        <f aca="false">'LW 2026 P&amp;L'!$Y$19</f>
        <v>5994</v>
      </c>
      <c r="Z23" s="39" t="n">
        <f aca="false">IFERROR(Y23/Y$12,0)</f>
        <v>0.531358247953885</v>
      </c>
      <c r="AB23" s="28" t="n">
        <f aca="false">SUM(C23,E23,G23,I23,K23,M23,O23,Q23,S23,U23,W23,Y23)</f>
        <v>71928</v>
      </c>
      <c r="AC23" s="39" t="n">
        <f aca="false">IFERROR(AB23/AB$12,0)</f>
        <v>0.531358247953885</v>
      </c>
    </row>
    <row r="24" customFormat="false" ht="15" hidden="false" customHeight="true" outlineLevel="0" collapsed="false">
      <c r="A24" s="27" t="s">
        <v>173</v>
      </c>
      <c r="C24" s="28" t="n">
        <f aca="false">'LW 2026 P&amp;L'!$Y$20</f>
        <v>2833</v>
      </c>
      <c r="D24" s="39" t="n">
        <f aca="false">IFERROR(C24/C$13,0)</f>
        <v>0.201437938379047</v>
      </c>
      <c r="E24" s="28" t="n">
        <f aca="false">'LW 2026 P&amp;L'!$Y$20</f>
        <v>2833</v>
      </c>
      <c r="F24" s="39" t="n">
        <f aca="false">IFERROR(E24/E$13,0)</f>
        <v>0.201437938379047</v>
      </c>
      <c r="G24" s="28" t="n">
        <f aca="false">'LW 2026 P&amp;L'!$Y$20</f>
        <v>2833</v>
      </c>
      <c r="H24" s="39" t="n">
        <f aca="false">IFERROR(G24/G$13,0)</f>
        <v>0.201437938379047</v>
      </c>
      <c r="I24" s="28" t="n">
        <f aca="false">'LW 2026 P&amp;L'!$Y$20</f>
        <v>2833</v>
      </c>
      <c r="J24" s="39" t="n">
        <f aca="false">IFERROR(I24/I$13,0)</f>
        <v>0.201437938379047</v>
      </c>
      <c r="K24" s="28" t="n">
        <f aca="false">'LW 2026 P&amp;L'!$Y$20</f>
        <v>2833</v>
      </c>
      <c r="L24" s="39" t="n">
        <f aca="false">IFERROR(K24/K$13,0)</f>
        <v>0.201437938379047</v>
      </c>
      <c r="M24" s="28" t="n">
        <f aca="false">'LW 2026 P&amp;L'!$Y$20</f>
        <v>2833</v>
      </c>
      <c r="N24" s="39" t="n">
        <f aca="false">IFERROR(M24/M$13,0)</f>
        <v>0.201437938379047</v>
      </c>
      <c r="O24" s="28" t="n">
        <f aca="false">'LW 2026 P&amp;L'!$Y$20</f>
        <v>2833</v>
      </c>
      <c r="P24" s="39" t="n">
        <f aca="false">IFERROR(O24/O$13,0)</f>
        <v>0.201437938379047</v>
      </c>
      <c r="Q24" s="28" t="n">
        <f aca="false">'LW 2026 P&amp;L'!$Y$20</f>
        <v>2833</v>
      </c>
      <c r="R24" s="39" t="n">
        <f aca="false">IFERROR(Q24/Q$13,0)</f>
        <v>0.201437938379047</v>
      </c>
      <c r="S24" s="28" t="n">
        <f aca="false">'LW 2026 P&amp;L'!$Y$20</f>
        <v>2833</v>
      </c>
      <c r="T24" s="39" t="n">
        <f aca="false">IFERROR(S24/S$13,0)</f>
        <v>0.201437938379047</v>
      </c>
      <c r="U24" s="28" t="n">
        <f aca="false">'LW 2026 P&amp;L'!$Y$20</f>
        <v>2833</v>
      </c>
      <c r="V24" s="39" t="n">
        <f aca="false">IFERROR(U24/U$13,0)</f>
        <v>0.201437938379047</v>
      </c>
      <c r="W24" s="28" t="n">
        <f aca="false">'LW 2026 P&amp;L'!$Y$20</f>
        <v>2833</v>
      </c>
      <c r="X24" s="39" t="n">
        <f aca="false">IFERROR(W24/W$13,0)</f>
        <v>0.201437938379047</v>
      </c>
      <c r="Y24" s="28" t="n">
        <f aca="false">'LW 2026 P&amp;L'!$Y$20</f>
        <v>2833</v>
      </c>
      <c r="Z24" s="39" t="n">
        <f aca="false">IFERROR(Y24/Y$13,0)</f>
        <v>0.201437938379047</v>
      </c>
      <c r="AB24" s="28" t="n">
        <f aca="false">SUM(C24,E24,G24,I24,K24,M24,O24,Q24,S24,U24,W24,Y24)</f>
        <v>33996</v>
      </c>
      <c r="AC24" s="39" t="n">
        <f aca="false">IFERROR(AB24/AB$13,0)</f>
        <v>0.201437938379047</v>
      </c>
    </row>
    <row r="25" customFormat="false" ht="15" hidden="false" customHeight="true" outlineLevel="0" collapsed="false">
      <c r="A25" s="27" t="s">
        <v>174</v>
      </c>
      <c r="C25" s="28" t="n">
        <f aca="false">'LW 2026 P&amp;L'!$Y$21</f>
        <v>79</v>
      </c>
      <c r="D25" s="39" t="n">
        <f aca="false">IFERROR(C25/C$14,0)</f>
        <v>0.129720853858785</v>
      </c>
      <c r="E25" s="28" t="n">
        <f aca="false">'LW 2026 P&amp;L'!$Y$21</f>
        <v>79</v>
      </c>
      <c r="F25" s="39" t="n">
        <f aca="false">IFERROR(E25/E$14,0)</f>
        <v>0.129720853858785</v>
      </c>
      <c r="G25" s="28" t="n">
        <f aca="false">'LW 2026 P&amp;L'!$Y$21</f>
        <v>79</v>
      </c>
      <c r="H25" s="39" t="n">
        <f aca="false">IFERROR(G25/G$14,0)</f>
        <v>0.129720853858785</v>
      </c>
      <c r="I25" s="28" t="n">
        <f aca="false">'LW 2026 P&amp;L'!$Y$21</f>
        <v>79</v>
      </c>
      <c r="J25" s="39" t="n">
        <f aca="false">IFERROR(I25/I$14,0)</f>
        <v>0.129720853858785</v>
      </c>
      <c r="K25" s="28" t="n">
        <f aca="false">'LW 2026 P&amp;L'!$Y$21</f>
        <v>79</v>
      </c>
      <c r="L25" s="39" t="n">
        <f aca="false">IFERROR(K25/K$14,0)</f>
        <v>0.129720853858785</v>
      </c>
      <c r="M25" s="28" t="n">
        <f aca="false">'LW 2026 P&amp;L'!$Y$21</f>
        <v>79</v>
      </c>
      <c r="N25" s="39" t="n">
        <f aca="false">IFERROR(M25/M$14,0)</f>
        <v>0.129720853858785</v>
      </c>
      <c r="O25" s="28" t="n">
        <f aca="false">'LW 2026 P&amp;L'!$Y$21</f>
        <v>79</v>
      </c>
      <c r="P25" s="39" t="n">
        <f aca="false">IFERROR(O25/O$14,0)</f>
        <v>0.129720853858785</v>
      </c>
      <c r="Q25" s="28" t="n">
        <f aca="false">'LW 2026 P&amp;L'!$Y$21</f>
        <v>79</v>
      </c>
      <c r="R25" s="39" t="n">
        <f aca="false">IFERROR(Q25/Q$14,0)</f>
        <v>0.129720853858785</v>
      </c>
      <c r="S25" s="28" t="n">
        <f aca="false">'LW 2026 P&amp;L'!$Y$21</f>
        <v>79</v>
      </c>
      <c r="T25" s="39" t="n">
        <f aca="false">IFERROR(S25/S$14,0)</f>
        <v>0.129720853858785</v>
      </c>
      <c r="U25" s="28" t="n">
        <f aca="false">'LW 2026 P&amp;L'!$Y$21</f>
        <v>79</v>
      </c>
      <c r="V25" s="39" t="n">
        <f aca="false">IFERROR(U25/U$14,0)</f>
        <v>0.129720853858785</v>
      </c>
      <c r="W25" s="28" t="n">
        <f aca="false">'LW 2026 P&amp;L'!$Y$21</f>
        <v>79</v>
      </c>
      <c r="X25" s="39" t="n">
        <f aca="false">IFERROR(W25/W$14,0)</f>
        <v>0.129720853858785</v>
      </c>
      <c r="Y25" s="28" t="n">
        <f aca="false">'LW 2026 P&amp;L'!$Y$21</f>
        <v>79</v>
      </c>
      <c r="Z25" s="39" t="n">
        <f aca="false">IFERROR(Y25/Y$14,0)</f>
        <v>0.129720853858785</v>
      </c>
      <c r="AB25" s="28" t="n">
        <f aca="false">SUM(C25,E25,G25,I25,K25,M25,O25,Q25,S25,U25,W25,Y25)</f>
        <v>948</v>
      </c>
      <c r="AC25" s="39" t="n">
        <f aca="false">IFERROR(AB25/AB$14,0)</f>
        <v>0.129720853858785</v>
      </c>
    </row>
    <row r="26" customFormat="false" ht="15" hidden="false" customHeight="true" outlineLevel="0" collapsed="false">
      <c r="A26" s="27" t="s">
        <v>175</v>
      </c>
      <c r="C26" s="28" t="n">
        <f aca="false">'LW 2026 P&amp;L'!$Y$22</f>
        <v>172</v>
      </c>
      <c r="D26" s="39" t="n">
        <f aca="false">IFERROR(C26/C$15,0)</f>
        <v>0.279674796747967</v>
      </c>
      <c r="E26" s="28" t="n">
        <f aca="false">'LW 2026 P&amp;L'!$Y$22</f>
        <v>172</v>
      </c>
      <c r="F26" s="39" t="n">
        <f aca="false">IFERROR(E26/E$15,0)</f>
        <v>0.279674796747967</v>
      </c>
      <c r="G26" s="28" t="n">
        <f aca="false">'LW 2026 P&amp;L'!$Y$22</f>
        <v>172</v>
      </c>
      <c r="H26" s="39" t="n">
        <f aca="false">IFERROR(G26/G$15,0)</f>
        <v>0.279674796747967</v>
      </c>
      <c r="I26" s="28" t="n">
        <f aca="false">'LW 2026 P&amp;L'!$Y$22</f>
        <v>172</v>
      </c>
      <c r="J26" s="39" t="n">
        <f aca="false">IFERROR(I26/I$15,0)</f>
        <v>0.279674796747967</v>
      </c>
      <c r="K26" s="28" t="n">
        <f aca="false">'LW 2026 P&amp;L'!$Y$22</f>
        <v>172</v>
      </c>
      <c r="L26" s="39" t="n">
        <f aca="false">IFERROR(K26/K$15,0)</f>
        <v>0.279674796747967</v>
      </c>
      <c r="M26" s="28" t="n">
        <f aca="false">'LW 2026 P&amp;L'!$Y$22</f>
        <v>172</v>
      </c>
      <c r="N26" s="39" t="n">
        <f aca="false">IFERROR(M26/M$15,0)</f>
        <v>0.279674796747967</v>
      </c>
      <c r="O26" s="28" t="n">
        <f aca="false">'LW 2026 P&amp;L'!$Y$22</f>
        <v>172</v>
      </c>
      <c r="P26" s="39" t="n">
        <f aca="false">IFERROR(O26/O$15,0)</f>
        <v>0.279674796747967</v>
      </c>
      <c r="Q26" s="28" t="n">
        <f aca="false">'LW 2026 P&amp;L'!$Y$22</f>
        <v>172</v>
      </c>
      <c r="R26" s="39" t="n">
        <f aca="false">IFERROR(Q26/Q$15,0)</f>
        <v>0.279674796747967</v>
      </c>
      <c r="S26" s="28" t="n">
        <f aca="false">'LW 2026 P&amp;L'!$Y$22</f>
        <v>172</v>
      </c>
      <c r="T26" s="39" t="n">
        <f aca="false">IFERROR(S26/S$15,0)</f>
        <v>0.279674796747967</v>
      </c>
      <c r="U26" s="28" t="n">
        <f aca="false">'LW 2026 P&amp;L'!$Y$22</f>
        <v>172</v>
      </c>
      <c r="V26" s="39" t="n">
        <f aca="false">IFERROR(U26/U$15,0)</f>
        <v>0.279674796747967</v>
      </c>
      <c r="W26" s="28" t="n">
        <f aca="false">'LW 2026 P&amp;L'!$Y$22</f>
        <v>172</v>
      </c>
      <c r="X26" s="39" t="n">
        <f aca="false">IFERROR(W26/W$15,0)</f>
        <v>0.279674796747967</v>
      </c>
      <c r="Y26" s="28" t="n">
        <f aca="false">'LW 2026 P&amp;L'!$Y$22</f>
        <v>172</v>
      </c>
      <c r="Z26" s="39" t="n">
        <f aca="false">IFERROR(Y26/Y$15,0)</f>
        <v>0.279674796747967</v>
      </c>
      <c r="AB26" s="28" t="n">
        <f aca="false">SUM(C26,E26,G26,I26,K26,M26,O26,Q26,S26,U26,W26,Y26)</f>
        <v>2064</v>
      </c>
      <c r="AC26" s="39" t="n">
        <f aca="false">IFERROR(AB26/AB$15,0)</f>
        <v>0.279674796747967</v>
      </c>
    </row>
    <row r="27" customFormat="false" ht="15" hidden="false" customHeight="true" outlineLevel="0" collapsed="false">
      <c r="A27" s="27" t="s">
        <v>176</v>
      </c>
      <c r="C27" s="28" t="n">
        <f aca="false">'LW 2026 P&amp;L'!$Y$23</f>
        <v>373</v>
      </c>
      <c r="D27" s="39" t="n">
        <f aca="false">IFERROR(C27/C$16,0)</f>
        <v>0.356937799043062</v>
      </c>
      <c r="E27" s="28" t="n">
        <f aca="false">'LW 2026 P&amp;L'!$Y$23</f>
        <v>373</v>
      </c>
      <c r="F27" s="39" t="n">
        <f aca="false">IFERROR(E27/E$16,0)</f>
        <v>0.356937799043062</v>
      </c>
      <c r="G27" s="28" t="n">
        <f aca="false">'LW 2026 P&amp;L'!$Y$23</f>
        <v>373</v>
      </c>
      <c r="H27" s="39" t="n">
        <f aca="false">IFERROR(G27/G$16,0)</f>
        <v>0.356937799043062</v>
      </c>
      <c r="I27" s="28" t="n">
        <f aca="false">'LW 2026 P&amp;L'!$Y$23</f>
        <v>373</v>
      </c>
      <c r="J27" s="39" t="n">
        <f aca="false">IFERROR(I27/I$16,0)</f>
        <v>0.356937799043062</v>
      </c>
      <c r="K27" s="28" t="n">
        <f aca="false">'LW 2026 P&amp;L'!$Y$23</f>
        <v>373</v>
      </c>
      <c r="L27" s="39" t="n">
        <f aca="false">IFERROR(K27/K$16,0)</f>
        <v>0.356937799043062</v>
      </c>
      <c r="M27" s="28" t="n">
        <f aca="false">'LW 2026 P&amp;L'!$Y$23</f>
        <v>373</v>
      </c>
      <c r="N27" s="39" t="n">
        <f aca="false">IFERROR(M27/M$16,0)</f>
        <v>0.356937799043062</v>
      </c>
      <c r="O27" s="28" t="n">
        <f aca="false">'LW 2026 P&amp;L'!$Y$23</f>
        <v>373</v>
      </c>
      <c r="P27" s="39" t="n">
        <f aca="false">IFERROR(O27/O$16,0)</f>
        <v>0.356937799043062</v>
      </c>
      <c r="Q27" s="28" t="n">
        <f aca="false">'LW 2026 P&amp;L'!$Y$23</f>
        <v>373</v>
      </c>
      <c r="R27" s="39" t="n">
        <f aca="false">IFERROR(Q27/Q$16,0)</f>
        <v>0.356937799043062</v>
      </c>
      <c r="S27" s="28" t="n">
        <f aca="false">'LW 2026 P&amp;L'!$Y$23</f>
        <v>373</v>
      </c>
      <c r="T27" s="39" t="n">
        <f aca="false">IFERROR(S27/S$16,0)</f>
        <v>0.356937799043062</v>
      </c>
      <c r="U27" s="28" t="n">
        <f aca="false">'LW 2026 P&amp;L'!$Y$23</f>
        <v>373</v>
      </c>
      <c r="V27" s="39" t="n">
        <f aca="false">IFERROR(U27/U$16,0)</f>
        <v>0.356937799043062</v>
      </c>
      <c r="W27" s="28" t="n">
        <f aca="false">'LW 2026 P&amp;L'!$Y$23</f>
        <v>373</v>
      </c>
      <c r="X27" s="39" t="n">
        <f aca="false">IFERROR(W27/W$16,0)</f>
        <v>0.356937799043062</v>
      </c>
      <c r="Y27" s="28" t="n">
        <f aca="false">'LW 2026 P&amp;L'!$Y$23</f>
        <v>373</v>
      </c>
      <c r="Z27" s="39" t="n">
        <f aca="false">IFERROR(Y27/Y$16,0)</f>
        <v>0.356937799043062</v>
      </c>
      <c r="AB27" s="28" t="n">
        <f aca="false">SUM(C27,E27,G27,I27,K27,M27,O27,Q27,S27,U27,W27,Y27)</f>
        <v>4476</v>
      </c>
      <c r="AC27" s="39" t="n">
        <f aca="false">IFERROR(AB27/AB$16,0)</f>
        <v>0.356937799043062</v>
      </c>
    </row>
    <row r="28" customFormat="false" ht="15" hidden="false" customHeight="true" outlineLevel="0" collapsed="false">
      <c r="A28" s="27" t="s">
        <v>177</v>
      </c>
      <c r="C28" s="28" t="n">
        <f aca="false">'LW Assumptions'!$C$36*'LW Assumptions'!$C$37/12</f>
        <v>1750.00916666667</v>
      </c>
      <c r="D28" s="39" t="n">
        <f aca="false">IFERROR(C28/C$17,0)</f>
        <v>0.467458596741163</v>
      </c>
      <c r="E28" s="28" t="n">
        <f aca="false">'LW Assumptions'!$C$36*'LW Assumptions'!$C$37/12</f>
        <v>1750.00916666667</v>
      </c>
      <c r="F28" s="39" t="n">
        <f aca="false">IFERROR(E28/E$17,0)</f>
        <v>0.467458596741163</v>
      </c>
      <c r="G28" s="28" t="n">
        <f aca="false">'LW Assumptions'!$C$36*'LW Assumptions'!$C$37/12</f>
        <v>1750.00916666667</v>
      </c>
      <c r="H28" s="39" t="n">
        <f aca="false">IFERROR(G28/G$17,0)</f>
        <v>0.467458596741163</v>
      </c>
      <c r="I28" s="28" t="n">
        <f aca="false">'LW Assumptions'!$C$36*'LW Assumptions'!$C$37/12</f>
        <v>1750.00916666667</v>
      </c>
      <c r="J28" s="39" t="n">
        <f aca="false">IFERROR(I28/I$17,0)</f>
        <v>0.467458596741163</v>
      </c>
      <c r="K28" s="28" t="n">
        <f aca="false">'LW Assumptions'!$C$36*'LW Assumptions'!$C$37/12</f>
        <v>1750.00916666667</v>
      </c>
      <c r="L28" s="39" t="n">
        <f aca="false">IFERROR(K28/K$17,0)</f>
        <v>0.467458596741163</v>
      </c>
      <c r="M28" s="28" t="n">
        <f aca="false">'LW Assumptions'!$C$36*'LW Assumptions'!$C$37/12</f>
        <v>1750.00916666667</v>
      </c>
      <c r="N28" s="39" t="n">
        <f aca="false">IFERROR(M28/M$17,0)</f>
        <v>0.467458596741163</v>
      </c>
      <c r="O28" s="28" t="n">
        <f aca="false">'LW Assumptions'!$C$36*'LW Assumptions'!$C$37/12</f>
        <v>1750.00916666667</v>
      </c>
      <c r="P28" s="39" t="n">
        <f aca="false">IFERROR(O28/O$17,0)</f>
        <v>0.467458596741163</v>
      </c>
      <c r="Q28" s="28" t="n">
        <f aca="false">'LW Assumptions'!$C$36*'LW Assumptions'!$C$37/12</f>
        <v>1750.00916666667</v>
      </c>
      <c r="R28" s="39" t="n">
        <f aca="false">IFERROR(Q28/Q$17,0)</f>
        <v>0.467458596741163</v>
      </c>
      <c r="S28" s="28" t="n">
        <f aca="false">'LW Assumptions'!$C$36*'LW Assumptions'!$C$37/12</f>
        <v>1750.00916666667</v>
      </c>
      <c r="T28" s="39" t="n">
        <f aca="false">IFERROR(S28/S$17,0)</f>
        <v>0.467458596741163</v>
      </c>
      <c r="U28" s="28" t="n">
        <f aca="false">'LW Assumptions'!$C$36*'LW Assumptions'!$C$37/12</f>
        <v>1750.00916666667</v>
      </c>
      <c r="V28" s="39" t="n">
        <f aca="false">IFERROR(U28/U$17,0)</f>
        <v>0.467458596741163</v>
      </c>
      <c r="W28" s="28" t="n">
        <f aca="false">'LW Assumptions'!$C$36*'LW Assumptions'!$C$37/12</f>
        <v>1750.00916666667</v>
      </c>
      <c r="X28" s="39" t="n">
        <f aca="false">IFERROR(W28/W$17,0)</f>
        <v>0.467458596741163</v>
      </c>
      <c r="Y28" s="28" t="n">
        <f aca="false">'LW Assumptions'!$C$36*'LW Assumptions'!$C$37/12</f>
        <v>1750.00916666667</v>
      </c>
      <c r="Z28" s="39" t="n">
        <f aca="false">IFERROR(Y28/Y$17,0)</f>
        <v>0.467458596741163</v>
      </c>
      <c r="AB28" s="28" t="n">
        <f aca="false">SUM(C28,E28,G28,I28,K28,M28,O28,Q28,S28,U28,W28,Y28)</f>
        <v>21000.11</v>
      </c>
      <c r="AC28" s="39" t="n">
        <f aca="false">IFERROR(AB28/AB$17,0)</f>
        <v>0.467458596741163</v>
      </c>
    </row>
    <row r="29" customFormat="false" ht="15" hidden="false" customHeight="true" outlineLevel="0" collapsed="false">
      <c r="A29" s="31" t="s">
        <v>129</v>
      </c>
      <c r="C29" s="32" t="n">
        <f aca="false">SUM(C23:C28)</f>
        <v>11201.0091666667</v>
      </c>
      <c r="D29" s="40" t="n">
        <f aca="false">IFERROR(C29/C$20,0)</f>
        <v>0.371188385103741</v>
      </c>
      <c r="E29" s="32" t="n">
        <f aca="false">SUM(E23:E28)</f>
        <v>11201.0091666667</v>
      </c>
      <c r="F29" s="40" t="n">
        <f aca="false">IFERROR(E29/E$20,0)</f>
        <v>0.371188385103741</v>
      </c>
      <c r="G29" s="32" t="n">
        <f aca="false">SUM(G23:G28)</f>
        <v>11201.0091666667</v>
      </c>
      <c r="H29" s="40" t="n">
        <f aca="false">IFERROR(G29/G$20,0)</f>
        <v>0.371188385103741</v>
      </c>
      <c r="I29" s="32" t="n">
        <f aca="false">SUM(I23:I28)</f>
        <v>11201.0091666667</v>
      </c>
      <c r="J29" s="40" t="n">
        <f aca="false">IFERROR(I29/I$20,0)</f>
        <v>0.371188385103741</v>
      </c>
      <c r="K29" s="32" t="n">
        <f aca="false">SUM(K23:K28)</f>
        <v>11201.0091666667</v>
      </c>
      <c r="L29" s="40" t="n">
        <f aca="false">IFERROR(K29/K$20,0)</f>
        <v>0.371188385103741</v>
      </c>
      <c r="M29" s="32" t="n">
        <f aca="false">SUM(M23:M28)</f>
        <v>11201.0091666667</v>
      </c>
      <c r="N29" s="40" t="n">
        <f aca="false">IFERROR(M29/M$20,0)</f>
        <v>0.371188385103741</v>
      </c>
      <c r="O29" s="32" t="n">
        <f aca="false">SUM(O23:O28)</f>
        <v>11201.0091666667</v>
      </c>
      <c r="P29" s="40" t="n">
        <f aca="false">IFERROR(O29/O$20,0)</f>
        <v>0.371188385103741</v>
      </c>
      <c r="Q29" s="32" t="n">
        <f aca="false">SUM(Q23:Q28)</f>
        <v>11201.0091666667</v>
      </c>
      <c r="R29" s="40" t="n">
        <f aca="false">IFERROR(Q29/Q$20,0)</f>
        <v>0.371188385103741</v>
      </c>
      <c r="S29" s="32" t="n">
        <f aca="false">SUM(S23:S28)</f>
        <v>11201.0091666667</v>
      </c>
      <c r="T29" s="40" t="n">
        <f aca="false">IFERROR(S29/S$20,0)</f>
        <v>0.371188385103741</v>
      </c>
      <c r="U29" s="32" t="n">
        <f aca="false">SUM(U23:U28)</f>
        <v>11201.0091666667</v>
      </c>
      <c r="V29" s="40" t="n">
        <f aca="false">IFERROR(U29/U$20,0)</f>
        <v>0.371188385103741</v>
      </c>
      <c r="W29" s="32" t="n">
        <f aca="false">SUM(W23:W28)</f>
        <v>11201.0091666667</v>
      </c>
      <c r="X29" s="40" t="n">
        <f aca="false">IFERROR(W29/W$20,0)</f>
        <v>0.371188385103741</v>
      </c>
      <c r="Y29" s="32" t="n">
        <f aca="false">SUM(Y23:Y28)</f>
        <v>11201.0091666667</v>
      </c>
      <c r="Z29" s="40" t="n">
        <f aca="false">IFERROR(Y29/Y$20,0)</f>
        <v>0.371188385103741</v>
      </c>
      <c r="AB29" s="32" t="n">
        <f aca="false">SUM(AB23:AB28)</f>
        <v>134412.11</v>
      </c>
      <c r="AC29" s="40" t="n">
        <f aca="false">IFERROR(AB29/AB$20,0)</f>
        <v>0.371188385103741</v>
      </c>
    </row>
    <row r="30" customFormat="false" ht="15" hidden="false" customHeight="true" outlineLevel="0" collapsed="false">
      <c r="A30" s="31" t="s">
        <v>130</v>
      </c>
      <c r="C30" s="41" t="n">
        <f aca="false">C20-C29</f>
        <v>18975.0675</v>
      </c>
      <c r="D30" s="42" t="n">
        <f aca="false">IFERROR(C30/C$20,0)</f>
        <v>0.62881161489626</v>
      </c>
      <c r="E30" s="41" t="n">
        <f aca="false">E20-E29</f>
        <v>18975.0675</v>
      </c>
      <c r="F30" s="42" t="n">
        <f aca="false">IFERROR(E30/E$20,0)</f>
        <v>0.62881161489626</v>
      </c>
      <c r="G30" s="41" t="n">
        <f aca="false">G20-G29</f>
        <v>18975.0675</v>
      </c>
      <c r="H30" s="42" t="n">
        <f aca="false">IFERROR(G30/G$20,0)</f>
        <v>0.62881161489626</v>
      </c>
      <c r="I30" s="41" t="n">
        <f aca="false">I20-I29</f>
        <v>18975.0675</v>
      </c>
      <c r="J30" s="42" t="n">
        <f aca="false">IFERROR(I30/I$20,0)</f>
        <v>0.62881161489626</v>
      </c>
      <c r="K30" s="41" t="n">
        <f aca="false">K20-K29</f>
        <v>18975.0675</v>
      </c>
      <c r="L30" s="42" t="n">
        <f aca="false">IFERROR(K30/K$20,0)</f>
        <v>0.62881161489626</v>
      </c>
      <c r="M30" s="41" t="n">
        <f aca="false">M20-M29</f>
        <v>18975.0675</v>
      </c>
      <c r="N30" s="42" t="n">
        <f aca="false">IFERROR(M30/M$20,0)</f>
        <v>0.62881161489626</v>
      </c>
      <c r="O30" s="41" t="n">
        <f aca="false">O20-O29</f>
        <v>18975.0675</v>
      </c>
      <c r="P30" s="42" t="n">
        <f aca="false">IFERROR(O30/O$20,0)</f>
        <v>0.62881161489626</v>
      </c>
      <c r="Q30" s="41" t="n">
        <f aca="false">Q20-Q29</f>
        <v>18975.0675</v>
      </c>
      <c r="R30" s="42" t="n">
        <f aca="false">IFERROR(Q30/Q$20,0)</f>
        <v>0.62881161489626</v>
      </c>
      <c r="S30" s="41" t="n">
        <f aca="false">S20-S29</f>
        <v>18975.0675</v>
      </c>
      <c r="T30" s="42" t="n">
        <f aca="false">IFERROR(S30/S$20,0)</f>
        <v>0.62881161489626</v>
      </c>
      <c r="U30" s="41" t="n">
        <f aca="false">U20-U29</f>
        <v>18975.0675</v>
      </c>
      <c r="V30" s="42" t="n">
        <f aca="false">IFERROR(U30/U$20,0)</f>
        <v>0.62881161489626</v>
      </c>
      <c r="W30" s="41" t="n">
        <f aca="false">W20-W29</f>
        <v>18975.0675</v>
      </c>
      <c r="X30" s="42" t="n">
        <f aca="false">IFERROR(W30/W$20,0)</f>
        <v>0.62881161489626</v>
      </c>
      <c r="Y30" s="41" t="n">
        <f aca="false">Y20-Y29</f>
        <v>18975.0675</v>
      </c>
      <c r="Z30" s="42" t="n">
        <f aca="false">IFERROR(Y30/Y$20,0)</f>
        <v>0.62881161489626</v>
      </c>
      <c r="AB30" s="41" t="n">
        <f aca="false">AB20-AB29</f>
        <v>227700.81</v>
      </c>
      <c r="AC30" s="42" t="n">
        <f aca="false">IFERROR(AB30/AB$20,0)</f>
        <v>0.62881161489626</v>
      </c>
    </row>
    <row r="32" customFormat="false" ht="15" hidden="false" customHeight="true" outlineLevel="0" collapsed="false">
      <c r="A32" s="31" t="s">
        <v>178</v>
      </c>
    </row>
    <row r="33" customFormat="false" ht="15" hidden="false" customHeight="true" outlineLevel="0" collapsed="false">
      <c r="A33" s="27" t="s">
        <v>179</v>
      </c>
      <c r="C33" s="28" t="n">
        <f aca="false">'LW 2026 P&amp;L'!$Y$28</f>
        <v>1657</v>
      </c>
      <c r="D33" s="39" t="n">
        <f aca="false">IFERROR(C33/C$20,0)</f>
        <v>0.0549110481890566</v>
      </c>
      <c r="E33" s="28" t="n">
        <f aca="false">'LW 2026 P&amp;L'!$Y$28</f>
        <v>1657</v>
      </c>
      <c r="F33" s="39" t="n">
        <f aca="false">IFERROR(E33/E$20,0)</f>
        <v>0.0549110481890566</v>
      </c>
      <c r="G33" s="28" t="n">
        <f aca="false">'LW 2026 P&amp;L'!$Y$28</f>
        <v>1657</v>
      </c>
      <c r="H33" s="39" t="n">
        <f aca="false">IFERROR(G33/G$20,0)</f>
        <v>0.0549110481890566</v>
      </c>
      <c r="I33" s="28" t="n">
        <f aca="false">'LW 2026 P&amp;L'!$Y$28</f>
        <v>1657</v>
      </c>
      <c r="J33" s="39" t="n">
        <f aca="false">IFERROR(I33/I$20,0)</f>
        <v>0.0549110481890566</v>
      </c>
      <c r="K33" s="28" t="n">
        <f aca="false">'LW 2026 P&amp;L'!$Y$28</f>
        <v>1657</v>
      </c>
      <c r="L33" s="39" t="n">
        <f aca="false">IFERROR(K33/K$20,0)</f>
        <v>0.0549110481890566</v>
      </c>
      <c r="M33" s="28" t="n">
        <f aca="false">'LW 2026 P&amp;L'!$Y$28</f>
        <v>1657</v>
      </c>
      <c r="N33" s="39" t="n">
        <f aca="false">IFERROR(M33/M$20,0)</f>
        <v>0.0549110481890566</v>
      </c>
      <c r="O33" s="28" t="n">
        <f aca="false">'LW 2026 P&amp;L'!$Y$28</f>
        <v>1657</v>
      </c>
      <c r="P33" s="39" t="n">
        <f aca="false">IFERROR(O33/O$20,0)</f>
        <v>0.0549110481890566</v>
      </c>
      <c r="Q33" s="28" t="n">
        <f aca="false">'LW 2026 P&amp;L'!$Y$28</f>
        <v>1657</v>
      </c>
      <c r="R33" s="39" t="n">
        <f aca="false">IFERROR(Q33/Q$20,0)</f>
        <v>0.0549110481890566</v>
      </c>
      <c r="S33" s="28" t="n">
        <f aca="false">'LW 2026 P&amp;L'!$Y$28</f>
        <v>1657</v>
      </c>
      <c r="T33" s="39" t="n">
        <f aca="false">IFERROR(S33/S$20,0)</f>
        <v>0.0549110481890566</v>
      </c>
      <c r="U33" s="28" t="n">
        <f aca="false">'LW 2026 P&amp;L'!$Y$28</f>
        <v>1657</v>
      </c>
      <c r="V33" s="39" t="n">
        <f aca="false">IFERROR(U33/U$20,0)</f>
        <v>0.0549110481890566</v>
      </c>
      <c r="W33" s="28" t="n">
        <f aca="false">'LW 2026 P&amp;L'!$Y$28</f>
        <v>1657</v>
      </c>
      <c r="X33" s="39" t="n">
        <f aca="false">IFERROR(W33/W$20,0)</f>
        <v>0.0549110481890566</v>
      </c>
      <c r="Y33" s="28" t="n">
        <f aca="false">'LW 2026 P&amp;L'!$Y$28</f>
        <v>1657</v>
      </c>
      <c r="Z33" s="39" t="n">
        <f aca="false">IFERROR(Y33/Y$20,0)</f>
        <v>0.0549110481890566</v>
      </c>
      <c r="AB33" s="28" t="n">
        <f aca="false">SUM(C33,E33,G33,I33,K33,M33,O33,Q33,S33,U33,W33,Y33)</f>
        <v>19884</v>
      </c>
      <c r="AC33" s="39" t="n">
        <f aca="false">IFERROR(AB33/AB$20,0)</f>
        <v>0.0549110481890566</v>
      </c>
    </row>
    <row r="34" customFormat="false" ht="15" hidden="false" customHeight="true" outlineLevel="0" collapsed="false">
      <c r="A34" s="27" t="s">
        <v>180</v>
      </c>
      <c r="C34" s="28" t="n">
        <f aca="false">'LW Assumptions'!$C$26*52/12</f>
        <v>1282.66666666667</v>
      </c>
      <c r="D34" s="39" t="n">
        <f aca="false">IFERROR(C34/C$20,0)</f>
        <v>0.0425060779383403</v>
      </c>
      <c r="E34" s="28" t="n">
        <f aca="false">'LW Assumptions'!$C$26*52/12</f>
        <v>1282.66666666667</v>
      </c>
      <c r="F34" s="39" t="n">
        <f aca="false">IFERROR(E34/E$20,0)</f>
        <v>0.0425060779383403</v>
      </c>
      <c r="G34" s="28" t="n">
        <f aca="false">'LW Assumptions'!$C$26*52/12</f>
        <v>1282.66666666667</v>
      </c>
      <c r="H34" s="39" t="n">
        <f aca="false">IFERROR(G34/G$20,0)</f>
        <v>0.0425060779383403</v>
      </c>
      <c r="I34" s="28" t="n">
        <f aca="false">'LW Assumptions'!$C$26*52/12</f>
        <v>1282.66666666667</v>
      </c>
      <c r="J34" s="39" t="n">
        <f aca="false">IFERROR(I34/I$20,0)</f>
        <v>0.0425060779383403</v>
      </c>
      <c r="K34" s="28" t="n">
        <f aca="false">'LW Assumptions'!$C$26*52/12</f>
        <v>1282.66666666667</v>
      </c>
      <c r="L34" s="39" t="n">
        <f aca="false">IFERROR(K34/K$20,0)</f>
        <v>0.0425060779383403</v>
      </c>
      <c r="M34" s="28" t="n">
        <f aca="false">'LW Assumptions'!$C$26*52/12</f>
        <v>1282.66666666667</v>
      </c>
      <c r="N34" s="39" t="n">
        <f aca="false">IFERROR(M34/M$20,0)</f>
        <v>0.0425060779383403</v>
      </c>
      <c r="O34" s="28" t="n">
        <f aca="false">'LW Assumptions'!$C$26*52/12</f>
        <v>1282.66666666667</v>
      </c>
      <c r="P34" s="39" t="n">
        <f aca="false">IFERROR(O34/O$20,0)</f>
        <v>0.0425060779383403</v>
      </c>
      <c r="Q34" s="28" t="n">
        <f aca="false">'LW Assumptions'!$C$26*52/12</f>
        <v>1282.66666666667</v>
      </c>
      <c r="R34" s="39" t="n">
        <f aca="false">IFERROR(Q34/Q$20,0)</f>
        <v>0.0425060779383403</v>
      </c>
      <c r="S34" s="28" t="n">
        <f aca="false">'LW Assumptions'!$C$26*52/12</f>
        <v>1282.66666666667</v>
      </c>
      <c r="T34" s="39" t="n">
        <f aca="false">IFERROR(S34/S$20,0)</f>
        <v>0.0425060779383403</v>
      </c>
      <c r="U34" s="28" t="n">
        <f aca="false">'LW Assumptions'!$C$26*52/12</f>
        <v>1282.66666666667</v>
      </c>
      <c r="V34" s="39" t="n">
        <f aca="false">IFERROR(U34/U$20,0)</f>
        <v>0.0425060779383403</v>
      </c>
      <c r="W34" s="28" t="n">
        <f aca="false">'LW Assumptions'!$C$26*52/12</f>
        <v>1282.66666666667</v>
      </c>
      <c r="X34" s="39" t="n">
        <f aca="false">IFERROR(W34/W$20,0)</f>
        <v>0.0425060779383403</v>
      </c>
      <c r="Y34" s="28" t="n">
        <f aca="false">'LW Assumptions'!$C$26*52/12</f>
        <v>1282.66666666667</v>
      </c>
      <c r="Z34" s="39" t="n">
        <f aca="false">IFERROR(Y34/Y$20,0)</f>
        <v>0.0425060779383403</v>
      </c>
      <c r="AB34" s="28" t="n">
        <f aca="false">SUM(C34,E34,G34,I34,K34,M34,O34,Q34,S34,U34,W34,Y34)</f>
        <v>15392</v>
      </c>
      <c r="AC34" s="39" t="n">
        <f aca="false">IFERROR(AB34/AB$20,0)</f>
        <v>0.0425060779383403</v>
      </c>
    </row>
    <row r="35" customFormat="false" ht="15" hidden="false" customHeight="true" outlineLevel="0" collapsed="false">
      <c r="A35" s="27" t="s">
        <v>181</v>
      </c>
      <c r="C35" s="28" t="n">
        <f aca="false">('LW Assumptions'!$C$20+'LW Assumptions'!$C$21)*'LW Assumptions'!$C$22*52*'LW Assumptions'!$C$23/12</f>
        <v>6760</v>
      </c>
      <c r="D35" s="39" t="n">
        <f aca="false">IFERROR(C35/C$20,0)</f>
        <v>0.224018518864226</v>
      </c>
      <c r="E35" s="28" t="n">
        <f aca="false">('LW Assumptions'!$C$20+'LW Assumptions'!$C$21)*'LW Assumptions'!$C$22*52*'LW Assumptions'!$C$23/12</f>
        <v>6760</v>
      </c>
      <c r="F35" s="39" t="n">
        <f aca="false">IFERROR(E35/E$20,0)</f>
        <v>0.224018518864226</v>
      </c>
      <c r="G35" s="28" t="n">
        <f aca="false">('LW Assumptions'!$C$20+'LW Assumptions'!$C$21)*'LW Assumptions'!$C$22*52*'LW Assumptions'!$C$23/12</f>
        <v>6760</v>
      </c>
      <c r="H35" s="39" t="n">
        <f aca="false">IFERROR(G35/G$20,0)</f>
        <v>0.224018518864226</v>
      </c>
      <c r="I35" s="28" t="n">
        <f aca="false">('LW Assumptions'!$C$20+'LW Assumptions'!$C$21)*'LW Assumptions'!$C$22*52*'LW Assumptions'!$C$23/12</f>
        <v>6760</v>
      </c>
      <c r="J35" s="39" t="n">
        <f aca="false">IFERROR(I35/I$20,0)</f>
        <v>0.224018518864226</v>
      </c>
      <c r="K35" s="28" t="n">
        <f aca="false">('LW Assumptions'!$C$20+'LW Assumptions'!$C$21)*'LW Assumptions'!$C$22*52*'LW Assumptions'!$C$23/12</f>
        <v>6760</v>
      </c>
      <c r="L35" s="39" t="n">
        <f aca="false">IFERROR(K35/K$20,0)</f>
        <v>0.224018518864226</v>
      </c>
      <c r="M35" s="28" t="n">
        <f aca="false">('LW Assumptions'!$C$20+'LW Assumptions'!$C$21)*'LW Assumptions'!$C$22*52*'LW Assumptions'!$C$23/12</f>
        <v>6760</v>
      </c>
      <c r="N35" s="39" t="n">
        <f aca="false">IFERROR(M35/M$20,0)</f>
        <v>0.224018518864226</v>
      </c>
      <c r="O35" s="28" t="n">
        <f aca="false">('LW Assumptions'!$C$20+'LW Assumptions'!$C$21)*'LW Assumptions'!$C$22*52*'LW Assumptions'!$C$23/12</f>
        <v>6760</v>
      </c>
      <c r="P35" s="39" t="n">
        <f aca="false">IFERROR(O35/O$20,0)</f>
        <v>0.224018518864226</v>
      </c>
      <c r="Q35" s="28" t="n">
        <f aca="false">('LW Assumptions'!$C$20+'LW Assumptions'!$C$21)*'LW Assumptions'!$C$22*52*'LW Assumptions'!$C$23/12</f>
        <v>6760</v>
      </c>
      <c r="R35" s="39" t="n">
        <f aca="false">IFERROR(Q35/Q$20,0)</f>
        <v>0.224018518864226</v>
      </c>
      <c r="S35" s="28" t="n">
        <f aca="false">('LW Assumptions'!$C$20+'LW Assumptions'!$C$21)*'LW Assumptions'!$C$22*52*'LW Assumptions'!$C$23/12</f>
        <v>6760</v>
      </c>
      <c r="T35" s="39" t="n">
        <f aca="false">IFERROR(S35/S$20,0)</f>
        <v>0.224018518864226</v>
      </c>
      <c r="U35" s="28" t="n">
        <f aca="false">('LW Assumptions'!$C$20+'LW Assumptions'!$C$21)*'LW Assumptions'!$C$22*52*'LW Assumptions'!$C$23/12</f>
        <v>6760</v>
      </c>
      <c r="V35" s="39" t="n">
        <f aca="false">IFERROR(U35/U$20,0)</f>
        <v>0.224018518864226</v>
      </c>
      <c r="W35" s="28" t="n">
        <f aca="false">('LW Assumptions'!$C$20+'LW Assumptions'!$C$21)*'LW Assumptions'!$C$22*52*'LW Assumptions'!$C$23/12</f>
        <v>6760</v>
      </c>
      <c r="X35" s="39" t="n">
        <f aca="false">IFERROR(W35/W$20,0)</f>
        <v>0.224018518864226</v>
      </c>
      <c r="Y35" s="28" t="n">
        <f aca="false">('LW Assumptions'!$C$20+'LW Assumptions'!$C$21)*'LW Assumptions'!$C$22*52*'LW Assumptions'!$C$23/12</f>
        <v>6760</v>
      </c>
      <c r="Z35" s="39" t="n">
        <f aca="false">IFERROR(Y35/Y$20,0)</f>
        <v>0.224018518864226</v>
      </c>
      <c r="AB35" s="28" t="n">
        <f aca="false">SUM(C35,E35,G35,I35,K35,M35,O35,Q35,S35,U35,W35,Y35)</f>
        <v>81120</v>
      </c>
      <c r="AC35" s="39" t="n">
        <f aca="false">IFERROR(AB35/AB$20,0)</f>
        <v>0.224018518864226</v>
      </c>
    </row>
    <row r="36" customFormat="false" ht="15" hidden="false" customHeight="true" outlineLevel="0" collapsed="false">
      <c r="A36" s="27" t="s">
        <v>182</v>
      </c>
      <c r="C36" s="28" t="n">
        <f aca="false">(C33+C34+C35)*'LW Assumptions'!$C$24</f>
        <v>1551.94666666667</v>
      </c>
      <c r="D36" s="39" t="n">
        <f aca="false">IFERROR(C36/C$20,0)</f>
        <v>0.0514297031986597</v>
      </c>
      <c r="E36" s="28" t="n">
        <f aca="false">(E33+E34+E35)*'LW Assumptions'!$C$24</f>
        <v>1551.94666666667</v>
      </c>
      <c r="F36" s="39" t="n">
        <f aca="false">IFERROR(E36/E$20,0)</f>
        <v>0.0514297031986597</v>
      </c>
      <c r="G36" s="28" t="n">
        <f aca="false">(G33+G34+G35)*'LW Assumptions'!$C$24</f>
        <v>1551.94666666667</v>
      </c>
      <c r="H36" s="39" t="n">
        <f aca="false">IFERROR(G36/G$20,0)</f>
        <v>0.0514297031986597</v>
      </c>
      <c r="I36" s="28" t="n">
        <f aca="false">(I33+I34+I35)*'LW Assumptions'!$C$24</f>
        <v>1551.94666666667</v>
      </c>
      <c r="J36" s="39" t="n">
        <f aca="false">IFERROR(I36/I$20,0)</f>
        <v>0.0514297031986597</v>
      </c>
      <c r="K36" s="28" t="n">
        <f aca="false">(K33+K34+K35)*'LW Assumptions'!$C$24</f>
        <v>1551.94666666667</v>
      </c>
      <c r="L36" s="39" t="n">
        <f aca="false">IFERROR(K36/K$20,0)</f>
        <v>0.0514297031986597</v>
      </c>
      <c r="M36" s="28" t="n">
        <f aca="false">(M33+M34+M35)*'LW Assumptions'!$C$24</f>
        <v>1551.94666666667</v>
      </c>
      <c r="N36" s="39" t="n">
        <f aca="false">IFERROR(M36/M$20,0)</f>
        <v>0.0514297031986597</v>
      </c>
      <c r="O36" s="28" t="n">
        <f aca="false">(O33+O34+O35)*'LW Assumptions'!$C$24</f>
        <v>1551.94666666667</v>
      </c>
      <c r="P36" s="39" t="n">
        <f aca="false">IFERROR(O36/O$20,0)</f>
        <v>0.0514297031986597</v>
      </c>
      <c r="Q36" s="28" t="n">
        <f aca="false">(Q33+Q34+Q35)*'LW Assumptions'!$C$24</f>
        <v>1551.94666666667</v>
      </c>
      <c r="R36" s="39" t="n">
        <f aca="false">IFERROR(Q36/Q$20,0)</f>
        <v>0.0514297031986597</v>
      </c>
      <c r="S36" s="28" t="n">
        <f aca="false">(S33+S34+S35)*'LW Assumptions'!$C$24</f>
        <v>1551.94666666667</v>
      </c>
      <c r="T36" s="39" t="n">
        <f aca="false">IFERROR(S36/S$20,0)</f>
        <v>0.0514297031986597</v>
      </c>
      <c r="U36" s="28" t="n">
        <f aca="false">(U33+U34+U35)*'LW Assumptions'!$C$24</f>
        <v>1551.94666666667</v>
      </c>
      <c r="V36" s="39" t="n">
        <f aca="false">IFERROR(U36/U$20,0)</f>
        <v>0.0514297031986597</v>
      </c>
      <c r="W36" s="28" t="n">
        <f aca="false">(W33+W34+W35)*'LW Assumptions'!$C$24</f>
        <v>1551.94666666667</v>
      </c>
      <c r="X36" s="39" t="n">
        <f aca="false">IFERROR(W36/W$20,0)</f>
        <v>0.0514297031986597</v>
      </c>
      <c r="Y36" s="28" t="n">
        <f aca="false">(Y33+Y34+Y35)*'LW Assumptions'!$C$24</f>
        <v>1551.94666666667</v>
      </c>
      <c r="Z36" s="39" t="n">
        <f aca="false">IFERROR(Y36/Y$20,0)</f>
        <v>0.0514297031986597</v>
      </c>
      <c r="AB36" s="28" t="n">
        <f aca="false">SUM(C36,E36,G36,I36,K36,M36,O36,Q36,S36,U36,W36,Y36)</f>
        <v>18623.36</v>
      </c>
      <c r="AC36" s="39" t="n">
        <f aca="false">IFERROR(AB36/AB$20,0)</f>
        <v>0.0514297031986597</v>
      </c>
    </row>
    <row r="37" customFormat="false" ht="15" hidden="false" customHeight="true" outlineLevel="0" collapsed="false">
      <c r="A37" s="27" t="s">
        <v>183</v>
      </c>
      <c r="C37" s="28" t="n">
        <v>0</v>
      </c>
      <c r="D37" s="39" t="n">
        <f aca="false">IFERROR(C37/C$20,0)</f>
        <v>0</v>
      </c>
      <c r="E37" s="28" t="n">
        <v>0</v>
      </c>
      <c r="F37" s="39" t="n">
        <f aca="false">IFERROR(E37/E$20,0)</f>
        <v>0</v>
      </c>
      <c r="G37" s="28" t="n">
        <v>0</v>
      </c>
      <c r="H37" s="39" t="n">
        <f aca="false">IFERROR(G37/G$20,0)</f>
        <v>0</v>
      </c>
      <c r="I37" s="28" t="n">
        <v>0</v>
      </c>
      <c r="J37" s="39" t="n">
        <f aca="false">IFERROR(I37/I$20,0)</f>
        <v>0</v>
      </c>
      <c r="K37" s="28" t="n">
        <v>0</v>
      </c>
      <c r="L37" s="39" t="n">
        <f aca="false">IFERROR(K37/K$20,0)</f>
        <v>0</v>
      </c>
      <c r="M37" s="28" t="n">
        <v>0</v>
      </c>
      <c r="N37" s="39" t="n">
        <f aca="false">IFERROR(M37/M$20,0)</f>
        <v>0</v>
      </c>
      <c r="O37" s="28" t="n">
        <v>0</v>
      </c>
      <c r="P37" s="39" t="n">
        <f aca="false">IFERROR(O37/O$20,0)</f>
        <v>0</v>
      </c>
      <c r="Q37" s="28" t="n">
        <v>0</v>
      </c>
      <c r="R37" s="39" t="n">
        <f aca="false">IFERROR(Q37/Q$20,0)</f>
        <v>0</v>
      </c>
      <c r="S37" s="28" t="n">
        <v>0</v>
      </c>
      <c r="T37" s="39" t="n">
        <f aca="false">IFERROR(S37/S$20,0)</f>
        <v>0</v>
      </c>
      <c r="U37" s="28" t="n">
        <v>0</v>
      </c>
      <c r="V37" s="39" t="n">
        <f aca="false">IFERROR(U37/U$20,0)</f>
        <v>0</v>
      </c>
      <c r="W37" s="28" t="n">
        <v>0</v>
      </c>
      <c r="X37" s="39" t="n">
        <f aca="false">IFERROR(W37/W$20,0)</f>
        <v>0</v>
      </c>
      <c r="Y37" s="28" t="n">
        <v>0</v>
      </c>
      <c r="Z37" s="39" t="n">
        <f aca="false">IFERROR(Y37/Y$20,0)</f>
        <v>0</v>
      </c>
      <c r="AB37" s="28" t="n">
        <f aca="false">SUM(C37,E37,G37,I37,K37,M37,O37,Q37,S37,U37,W37,Y37)</f>
        <v>0</v>
      </c>
      <c r="AC37" s="39" t="n">
        <f aca="false">IFERROR(AB37/AB$20,0)</f>
        <v>0</v>
      </c>
    </row>
    <row r="38" customFormat="false" ht="15" hidden="false" customHeight="true" outlineLevel="0" collapsed="false">
      <c r="A38" s="31" t="s">
        <v>131</v>
      </c>
      <c r="C38" s="32" t="n">
        <f aca="false">SUM(C33:C37)</f>
        <v>11251.6133333333</v>
      </c>
      <c r="D38" s="40" t="n">
        <f aca="false">IFERROR(C38/C$20,0)</f>
        <v>0.372865348190283</v>
      </c>
      <c r="E38" s="32" t="n">
        <f aca="false">SUM(E33:E37)</f>
        <v>11251.6133333333</v>
      </c>
      <c r="F38" s="40" t="n">
        <f aca="false">IFERROR(E38/E$20,0)</f>
        <v>0.372865348190283</v>
      </c>
      <c r="G38" s="32" t="n">
        <f aca="false">SUM(G33:G37)</f>
        <v>11251.6133333333</v>
      </c>
      <c r="H38" s="40" t="n">
        <f aca="false">IFERROR(G38/G$20,0)</f>
        <v>0.372865348190283</v>
      </c>
      <c r="I38" s="32" t="n">
        <f aca="false">SUM(I33:I37)</f>
        <v>11251.6133333333</v>
      </c>
      <c r="J38" s="40" t="n">
        <f aca="false">IFERROR(I38/I$20,0)</f>
        <v>0.372865348190283</v>
      </c>
      <c r="K38" s="32" t="n">
        <f aca="false">SUM(K33:K37)</f>
        <v>11251.6133333333</v>
      </c>
      <c r="L38" s="40" t="n">
        <f aca="false">IFERROR(K38/K$20,0)</f>
        <v>0.372865348190283</v>
      </c>
      <c r="M38" s="32" t="n">
        <f aca="false">SUM(M33:M37)</f>
        <v>11251.6133333333</v>
      </c>
      <c r="N38" s="40" t="n">
        <f aca="false">IFERROR(M38/M$20,0)</f>
        <v>0.372865348190283</v>
      </c>
      <c r="O38" s="32" t="n">
        <f aca="false">SUM(O33:O37)</f>
        <v>11251.6133333333</v>
      </c>
      <c r="P38" s="40" t="n">
        <f aca="false">IFERROR(O38/O$20,0)</f>
        <v>0.372865348190283</v>
      </c>
      <c r="Q38" s="32" t="n">
        <f aca="false">SUM(Q33:Q37)</f>
        <v>11251.6133333333</v>
      </c>
      <c r="R38" s="40" t="n">
        <f aca="false">IFERROR(Q38/Q$20,0)</f>
        <v>0.372865348190283</v>
      </c>
      <c r="S38" s="32" t="n">
        <f aca="false">SUM(S33:S37)</f>
        <v>11251.6133333333</v>
      </c>
      <c r="T38" s="40" t="n">
        <f aca="false">IFERROR(S38/S$20,0)</f>
        <v>0.372865348190283</v>
      </c>
      <c r="U38" s="32" t="n">
        <f aca="false">SUM(U33:U37)</f>
        <v>11251.6133333333</v>
      </c>
      <c r="V38" s="40" t="n">
        <f aca="false">IFERROR(U38/U$20,0)</f>
        <v>0.372865348190283</v>
      </c>
      <c r="W38" s="32" t="n">
        <f aca="false">SUM(W33:W37)</f>
        <v>11251.6133333333</v>
      </c>
      <c r="X38" s="40" t="n">
        <f aca="false">IFERROR(W38/W$20,0)</f>
        <v>0.372865348190283</v>
      </c>
      <c r="Y38" s="32" t="n">
        <f aca="false">SUM(Y33:Y37)</f>
        <v>11251.6133333333</v>
      </c>
      <c r="Z38" s="40" t="n">
        <f aca="false">IFERROR(Y38/Y$20,0)</f>
        <v>0.372865348190283</v>
      </c>
      <c r="AB38" s="32" t="n">
        <f aca="false">SUM(AB33:AB37)</f>
        <v>135019.36</v>
      </c>
      <c r="AC38" s="40" t="n">
        <f aca="false">IFERROR(AB38/AB$20,0)</f>
        <v>0.372865348190283</v>
      </c>
    </row>
    <row r="40" customFormat="false" ht="15" hidden="false" customHeight="true" outlineLevel="0" collapsed="false">
      <c r="A40" s="31" t="s">
        <v>184</v>
      </c>
      <c r="C40" s="41" t="n">
        <f aca="false">C29+C38</f>
        <v>22452.6225</v>
      </c>
      <c r="D40" s="42" t="n">
        <f aca="false">IFERROR(C40/C$20,0)</f>
        <v>0.744053733294023</v>
      </c>
      <c r="E40" s="41" t="n">
        <f aca="false">E29+E38</f>
        <v>22452.6225</v>
      </c>
      <c r="F40" s="42" t="n">
        <f aca="false">IFERROR(E40/E$20,0)</f>
        <v>0.744053733294023</v>
      </c>
      <c r="G40" s="41" t="n">
        <f aca="false">G29+G38</f>
        <v>22452.6225</v>
      </c>
      <c r="H40" s="42" t="n">
        <f aca="false">IFERROR(G40/G$20,0)</f>
        <v>0.744053733294023</v>
      </c>
      <c r="I40" s="41" t="n">
        <f aca="false">I29+I38</f>
        <v>22452.6225</v>
      </c>
      <c r="J40" s="42" t="n">
        <f aca="false">IFERROR(I40/I$20,0)</f>
        <v>0.744053733294023</v>
      </c>
      <c r="K40" s="41" t="n">
        <f aca="false">K29+K38</f>
        <v>22452.6225</v>
      </c>
      <c r="L40" s="42" t="n">
        <f aca="false">IFERROR(K40/K$20,0)</f>
        <v>0.744053733294023</v>
      </c>
      <c r="M40" s="41" t="n">
        <f aca="false">M29+M38</f>
        <v>22452.6225</v>
      </c>
      <c r="N40" s="42" t="n">
        <f aca="false">IFERROR(M40/M$20,0)</f>
        <v>0.744053733294023</v>
      </c>
      <c r="O40" s="41" t="n">
        <f aca="false">O29+O38</f>
        <v>22452.6225</v>
      </c>
      <c r="P40" s="42" t="n">
        <f aca="false">IFERROR(O40/O$20,0)</f>
        <v>0.744053733294023</v>
      </c>
      <c r="Q40" s="41" t="n">
        <f aca="false">Q29+Q38</f>
        <v>22452.6225</v>
      </c>
      <c r="R40" s="42" t="n">
        <f aca="false">IFERROR(Q40/Q$20,0)</f>
        <v>0.744053733294023</v>
      </c>
      <c r="S40" s="41" t="n">
        <f aca="false">S29+S38</f>
        <v>22452.6225</v>
      </c>
      <c r="T40" s="42" t="n">
        <f aca="false">IFERROR(S40/S$20,0)</f>
        <v>0.744053733294023</v>
      </c>
      <c r="U40" s="41" t="n">
        <f aca="false">U29+U38</f>
        <v>22452.6225</v>
      </c>
      <c r="V40" s="42" t="n">
        <f aca="false">IFERROR(U40/U$20,0)</f>
        <v>0.744053733294023</v>
      </c>
      <c r="W40" s="41" t="n">
        <f aca="false">W29+W38</f>
        <v>22452.6225</v>
      </c>
      <c r="X40" s="42" t="n">
        <f aca="false">IFERROR(W40/W$20,0)</f>
        <v>0.744053733294023</v>
      </c>
      <c r="Y40" s="41" t="n">
        <f aca="false">Y29+Y38</f>
        <v>22452.6225</v>
      </c>
      <c r="Z40" s="42" t="n">
        <f aca="false">IFERROR(Y40/Y$20,0)</f>
        <v>0.744053733294023</v>
      </c>
      <c r="AB40" s="41" t="n">
        <f aca="false">AB29+AB38</f>
        <v>269431.47</v>
      </c>
      <c r="AC40" s="42" t="n">
        <f aca="false">IFERROR(AB40/AB$20,0)</f>
        <v>0.744053733294023</v>
      </c>
    </row>
    <row r="41" customFormat="false" ht="15" hidden="false" customHeight="true" outlineLevel="0" collapsed="false">
      <c r="A41" s="31" t="s">
        <v>185</v>
      </c>
      <c r="C41" s="41" t="n">
        <f aca="false">C30-C38</f>
        <v>7723.45416666667</v>
      </c>
      <c r="D41" s="42" t="n">
        <f aca="false">IFERROR(C41/C$20,0)</f>
        <v>0.255946266705977</v>
      </c>
      <c r="E41" s="41" t="n">
        <f aca="false">E30-E38</f>
        <v>7723.45416666667</v>
      </c>
      <c r="F41" s="42" t="n">
        <f aca="false">IFERROR(E41/E$20,0)</f>
        <v>0.255946266705977</v>
      </c>
      <c r="G41" s="41" t="n">
        <f aca="false">G30-G38</f>
        <v>7723.45416666667</v>
      </c>
      <c r="H41" s="42" t="n">
        <f aca="false">IFERROR(G41/G$20,0)</f>
        <v>0.255946266705977</v>
      </c>
      <c r="I41" s="41" t="n">
        <f aca="false">I30-I38</f>
        <v>7723.45416666667</v>
      </c>
      <c r="J41" s="42" t="n">
        <f aca="false">IFERROR(I41/I$20,0)</f>
        <v>0.255946266705977</v>
      </c>
      <c r="K41" s="41" t="n">
        <f aca="false">K30-K38</f>
        <v>7723.45416666667</v>
      </c>
      <c r="L41" s="42" t="n">
        <f aca="false">IFERROR(K41/K$20,0)</f>
        <v>0.255946266705977</v>
      </c>
      <c r="M41" s="41" t="n">
        <f aca="false">M30-M38</f>
        <v>7723.45416666667</v>
      </c>
      <c r="N41" s="42" t="n">
        <f aca="false">IFERROR(M41/M$20,0)</f>
        <v>0.255946266705977</v>
      </c>
      <c r="O41" s="41" t="n">
        <f aca="false">O30-O38</f>
        <v>7723.45416666667</v>
      </c>
      <c r="P41" s="42" t="n">
        <f aca="false">IFERROR(O41/O$20,0)</f>
        <v>0.255946266705977</v>
      </c>
      <c r="Q41" s="41" t="n">
        <f aca="false">Q30-Q38</f>
        <v>7723.45416666667</v>
      </c>
      <c r="R41" s="42" t="n">
        <f aca="false">IFERROR(Q41/Q$20,0)</f>
        <v>0.255946266705977</v>
      </c>
      <c r="S41" s="41" t="n">
        <f aca="false">S30-S38</f>
        <v>7723.45416666667</v>
      </c>
      <c r="T41" s="42" t="n">
        <f aca="false">IFERROR(S41/S$20,0)</f>
        <v>0.255946266705977</v>
      </c>
      <c r="U41" s="41" t="n">
        <f aca="false">U30-U38</f>
        <v>7723.45416666667</v>
      </c>
      <c r="V41" s="42" t="n">
        <f aca="false">IFERROR(U41/U$20,0)</f>
        <v>0.255946266705977</v>
      </c>
      <c r="W41" s="41" t="n">
        <f aca="false">W30-W38</f>
        <v>7723.45416666667</v>
      </c>
      <c r="X41" s="42" t="n">
        <f aca="false">IFERROR(W41/W$20,0)</f>
        <v>0.255946266705977</v>
      </c>
      <c r="Y41" s="41" t="n">
        <f aca="false">Y30-Y38</f>
        <v>7723.45416666667</v>
      </c>
      <c r="Z41" s="42" t="n">
        <f aca="false">IFERROR(Y41/Y$20,0)</f>
        <v>0.255946266705977</v>
      </c>
      <c r="AB41" s="41" t="n">
        <f aca="false">AB30-AB38</f>
        <v>92681.45</v>
      </c>
      <c r="AC41" s="42" t="n">
        <f aca="false">IFERROR(AB41/AB$20,0)</f>
        <v>0.255946266705977</v>
      </c>
    </row>
    <row r="43" customFormat="false" ht="15" hidden="false" customHeight="true" outlineLevel="0" collapsed="false">
      <c r="A43" s="31" t="s">
        <v>186</v>
      </c>
    </row>
    <row r="44" customFormat="false" ht="15" hidden="false" customHeight="true" outlineLevel="0" collapsed="false">
      <c r="A44" s="27" t="s">
        <v>338</v>
      </c>
      <c r="C44" s="28" t="n">
        <f aca="false">'LW 2026 P&amp;L'!$Y$39+'LW Assumptions'!$C$31*(('LW Assumptions'!$C$43*'LW Assumptions'!$C$44+'LW Assumptions'!$C$47+'LW Assumptions'!$C$36)/12)</f>
        <v>4094.67691666667</v>
      </c>
      <c r="D44" s="39" t="n">
        <f aca="false">IFERROR(C44/C$20,0)</f>
        <v>0.135692819245444</v>
      </c>
      <c r="E44" s="28" t="n">
        <f aca="false">'LW 2026 P&amp;L'!$Y$39+'LW Assumptions'!$C$31*(('LW Assumptions'!$C$43*'LW Assumptions'!$C$44+'LW Assumptions'!$C$47+'LW Assumptions'!$C$36)/12)</f>
        <v>4094.67691666667</v>
      </c>
      <c r="F44" s="39" t="n">
        <f aca="false">IFERROR(E44/E$20,0)</f>
        <v>0.135692819245444</v>
      </c>
      <c r="G44" s="28" t="n">
        <f aca="false">'LW 2026 P&amp;L'!$Y$39+'LW Assumptions'!$C$31*(('LW Assumptions'!$C$43*'LW Assumptions'!$C$44+'LW Assumptions'!$C$47+'LW Assumptions'!$C$36)/12)</f>
        <v>4094.67691666667</v>
      </c>
      <c r="H44" s="39" t="n">
        <f aca="false">IFERROR(G44/G$20,0)</f>
        <v>0.135692819245444</v>
      </c>
      <c r="I44" s="28" t="n">
        <f aca="false">'LW 2026 P&amp;L'!$Y$39+'LW Assumptions'!$C$31*(('LW Assumptions'!$C$43*'LW Assumptions'!$C$44+'LW Assumptions'!$C$47+'LW Assumptions'!$C$36)/12)</f>
        <v>4094.67691666667</v>
      </c>
      <c r="J44" s="39" t="n">
        <f aca="false">IFERROR(I44/I$20,0)</f>
        <v>0.135692819245444</v>
      </c>
      <c r="K44" s="28" t="n">
        <f aca="false">'LW 2026 P&amp;L'!$Y$39+'LW Assumptions'!$C$31*(('LW Assumptions'!$C$43*'LW Assumptions'!$C$44+'LW Assumptions'!$C$47+'LW Assumptions'!$C$36)/12)</f>
        <v>4094.67691666667</v>
      </c>
      <c r="L44" s="39" t="n">
        <f aca="false">IFERROR(K44/K$20,0)</f>
        <v>0.135692819245444</v>
      </c>
      <c r="M44" s="28" t="n">
        <f aca="false">'LW 2026 P&amp;L'!$Y$39+'LW Assumptions'!$C$31*(('LW Assumptions'!$C$43*'LW Assumptions'!$C$44+'LW Assumptions'!$C$47+'LW Assumptions'!$C$36)/12)</f>
        <v>4094.67691666667</v>
      </c>
      <c r="N44" s="39" t="n">
        <f aca="false">IFERROR(M44/M$20,0)</f>
        <v>0.135692819245444</v>
      </c>
      <c r="O44" s="28" t="n">
        <f aca="false">'LW 2026 P&amp;L'!$Y$39+'LW Assumptions'!$C$31*(('LW Assumptions'!$C$43*'LW Assumptions'!$C$44+'LW Assumptions'!$C$47+'LW Assumptions'!$C$36)/12)</f>
        <v>4094.67691666667</v>
      </c>
      <c r="P44" s="39" t="n">
        <f aca="false">IFERROR(O44/O$20,0)</f>
        <v>0.135692819245444</v>
      </c>
      <c r="Q44" s="28" t="n">
        <f aca="false">'LW 2026 P&amp;L'!$Y$39+'LW Assumptions'!$C$31*(('LW Assumptions'!$C$43*'LW Assumptions'!$C$44+'LW Assumptions'!$C$47+'LW Assumptions'!$C$36)/12)</f>
        <v>4094.67691666667</v>
      </c>
      <c r="R44" s="39" t="n">
        <f aca="false">IFERROR(Q44/Q$20,0)</f>
        <v>0.135692819245444</v>
      </c>
      <c r="S44" s="28" t="n">
        <f aca="false">'LW 2026 P&amp;L'!$Y$39+'LW Assumptions'!$C$31*(('LW Assumptions'!$C$43*'LW Assumptions'!$C$44+'LW Assumptions'!$C$47+'LW Assumptions'!$C$36)/12)</f>
        <v>4094.67691666667</v>
      </c>
      <c r="T44" s="39" t="n">
        <f aca="false">IFERROR(S44/S$20,0)</f>
        <v>0.135692819245444</v>
      </c>
      <c r="U44" s="28" t="n">
        <f aca="false">'LW 2026 P&amp;L'!$Y$39+'LW Assumptions'!$C$31*(('LW Assumptions'!$C$43*'LW Assumptions'!$C$44+'LW Assumptions'!$C$47+'LW Assumptions'!$C$36)/12)</f>
        <v>4094.67691666667</v>
      </c>
      <c r="V44" s="39" t="n">
        <f aca="false">IFERROR(U44/U$20,0)</f>
        <v>0.135692819245444</v>
      </c>
      <c r="W44" s="28" t="n">
        <f aca="false">'LW 2026 P&amp;L'!$Y$39+'LW Assumptions'!$C$31*(('LW Assumptions'!$C$43*'LW Assumptions'!$C$44+'LW Assumptions'!$C$47+'LW Assumptions'!$C$36)/12)</f>
        <v>4094.67691666667</v>
      </c>
      <c r="X44" s="39" t="n">
        <f aca="false">IFERROR(W44/W$20,0)</f>
        <v>0.135692819245444</v>
      </c>
      <c r="Y44" s="28" t="n">
        <f aca="false">'LW 2026 P&amp;L'!$Y$39+'LW Assumptions'!$C$31*(('LW Assumptions'!$C$43*'LW Assumptions'!$C$44+'LW Assumptions'!$C$47+'LW Assumptions'!$C$36)/12)</f>
        <v>4094.67691666667</v>
      </c>
      <c r="Z44" s="39" t="n">
        <f aca="false">IFERROR(Y44/Y$20,0)</f>
        <v>0.135692819245444</v>
      </c>
      <c r="AB44" s="28" t="n">
        <f aca="false">SUM(C44,E44,G44,I44,K44,M44,O44,Q44,S44,U44,W44,Y44)</f>
        <v>49136.123</v>
      </c>
      <c r="AC44" s="39" t="n">
        <f aca="false">IFERROR(AB44/AB$20,0)</f>
        <v>0.135692819245444</v>
      </c>
    </row>
    <row r="45" customFormat="false" ht="15" hidden="false" customHeight="true" outlineLevel="0" collapsed="false">
      <c r="A45" s="27" t="s">
        <v>188</v>
      </c>
      <c r="C45" s="28" t="n">
        <f aca="false">'LW 2026 P&amp;L'!$Y$40</f>
        <v>0</v>
      </c>
      <c r="D45" s="39" t="n">
        <f aca="false">IFERROR(C45/C$20,0)</f>
        <v>0</v>
      </c>
      <c r="E45" s="28" t="n">
        <f aca="false">'LW 2026 P&amp;L'!$Y$40</f>
        <v>0</v>
      </c>
      <c r="F45" s="39" t="n">
        <f aca="false">IFERROR(E45/E$20,0)</f>
        <v>0</v>
      </c>
      <c r="G45" s="28" t="n">
        <f aca="false">'LW 2026 P&amp;L'!$Y$40</f>
        <v>0</v>
      </c>
      <c r="H45" s="39" t="n">
        <f aca="false">IFERROR(G45/G$20,0)</f>
        <v>0</v>
      </c>
      <c r="I45" s="28" t="n">
        <f aca="false">'LW 2026 P&amp;L'!$Y$40</f>
        <v>0</v>
      </c>
      <c r="J45" s="39" t="n">
        <f aca="false">IFERROR(I45/I$20,0)</f>
        <v>0</v>
      </c>
      <c r="K45" s="28" t="n">
        <f aca="false">'LW 2026 P&amp;L'!$Y$40</f>
        <v>0</v>
      </c>
      <c r="L45" s="39" t="n">
        <f aca="false">IFERROR(K45/K$20,0)</f>
        <v>0</v>
      </c>
      <c r="M45" s="28" t="n">
        <f aca="false">'LW 2026 P&amp;L'!$Y$40</f>
        <v>0</v>
      </c>
      <c r="N45" s="39" t="n">
        <f aca="false">IFERROR(M45/M$20,0)</f>
        <v>0</v>
      </c>
      <c r="O45" s="28" t="n">
        <f aca="false">'LW 2026 P&amp;L'!$Y$40</f>
        <v>0</v>
      </c>
      <c r="P45" s="39" t="n">
        <f aca="false">IFERROR(O45/O$20,0)</f>
        <v>0</v>
      </c>
      <c r="Q45" s="28" t="n">
        <f aca="false">'LW 2026 P&amp;L'!$Y$40</f>
        <v>0</v>
      </c>
      <c r="R45" s="39" t="n">
        <f aca="false">IFERROR(Q45/Q$20,0)</f>
        <v>0</v>
      </c>
      <c r="S45" s="28" t="n">
        <f aca="false">'LW 2026 P&amp;L'!$Y$40</f>
        <v>0</v>
      </c>
      <c r="T45" s="39" t="n">
        <f aca="false">IFERROR(S45/S$20,0)</f>
        <v>0</v>
      </c>
      <c r="U45" s="28" t="n">
        <f aca="false">'LW 2026 P&amp;L'!$Y$40</f>
        <v>0</v>
      </c>
      <c r="V45" s="39" t="n">
        <f aca="false">IFERROR(U45/U$20,0)</f>
        <v>0</v>
      </c>
      <c r="W45" s="28" t="n">
        <f aca="false">'LW 2026 P&amp;L'!$Y$40</f>
        <v>0</v>
      </c>
      <c r="X45" s="39" t="n">
        <f aca="false">IFERROR(W45/W$20,0)</f>
        <v>0</v>
      </c>
      <c r="Y45" s="28" t="n">
        <f aca="false">'LW 2026 P&amp;L'!$Y$40</f>
        <v>0</v>
      </c>
      <c r="Z45" s="39" t="n">
        <f aca="false">IFERROR(Y45/Y$20,0)</f>
        <v>0</v>
      </c>
      <c r="AB45" s="28" t="n">
        <f aca="false">SUM(C45,E45,G45,I45,K45,M45,O45,Q45,S45,U45,W45,Y45)</f>
        <v>0</v>
      </c>
      <c r="AC45" s="39" t="n">
        <f aca="false">IFERROR(AB45/AB$20,0)</f>
        <v>0</v>
      </c>
    </row>
    <row r="46" customFormat="false" ht="15" hidden="false" customHeight="true" outlineLevel="0" collapsed="false">
      <c r="A46" s="27" t="s">
        <v>189</v>
      </c>
      <c r="C46" s="28" t="n">
        <f aca="false">'LW 2026 P&amp;L'!$Y$41</f>
        <v>628</v>
      </c>
      <c r="D46" s="39" t="n">
        <f aca="false">IFERROR(C46/C$20,0)</f>
        <v>0.02081118784715</v>
      </c>
      <c r="E46" s="28" t="n">
        <f aca="false">'LW 2026 P&amp;L'!$Y$41</f>
        <v>628</v>
      </c>
      <c r="F46" s="39" t="n">
        <f aca="false">IFERROR(E46/E$20,0)</f>
        <v>0.02081118784715</v>
      </c>
      <c r="G46" s="28" t="n">
        <f aca="false">'LW 2026 P&amp;L'!$Y$41</f>
        <v>628</v>
      </c>
      <c r="H46" s="39" t="n">
        <f aca="false">IFERROR(G46/G$20,0)</f>
        <v>0.02081118784715</v>
      </c>
      <c r="I46" s="28" t="n">
        <f aca="false">'LW 2026 P&amp;L'!$Y$41</f>
        <v>628</v>
      </c>
      <c r="J46" s="39" t="n">
        <f aca="false">IFERROR(I46/I$20,0)</f>
        <v>0.02081118784715</v>
      </c>
      <c r="K46" s="28" t="n">
        <f aca="false">'LW 2026 P&amp;L'!$Y$41</f>
        <v>628</v>
      </c>
      <c r="L46" s="39" t="n">
        <f aca="false">IFERROR(K46/K$20,0)</f>
        <v>0.02081118784715</v>
      </c>
      <c r="M46" s="28" t="n">
        <f aca="false">'LW 2026 P&amp;L'!$Y$41</f>
        <v>628</v>
      </c>
      <c r="N46" s="39" t="n">
        <f aca="false">IFERROR(M46/M$20,0)</f>
        <v>0.02081118784715</v>
      </c>
      <c r="O46" s="28" t="n">
        <f aca="false">'LW 2026 P&amp;L'!$Y$41</f>
        <v>628</v>
      </c>
      <c r="P46" s="39" t="n">
        <f aca="false">IFERROR(O46/O$20,0)</f>
        <v>0.02081118784715</v>
      </c>
      <c r="Q46" s="28" t="n">
        <f aca="false">'LW 2026 P&amp;L'!$Y$41</f>
        <v>628</v>
      </c>
      <c r="R46" s="39" t="n">
        <f aca="false">IFERROR(Q46/Q$20,0)</f>
        <v>0.02081118784715</v>
      </c>
      <c r="S46" s="28" t="n">
        <f aca="false">'LW 2026 P&amp;L'!$Y$41</f>
        <v>628</v>
      </c>
      <c r="T46" s="39" t="n">
        <f aca="false">IFERROR(S46/S$20,0)</f>
        <v>0.02081118784715</v>
      </c>
      <c r="U46" s="28" t="n">
        <f aca="false">'LW 2026 P&amp;L'!$Y$41</f>
        <v>628</v>
      </c>
      <c r="V46" s="39" t="n">
        <f aca="false">IFERROR(U46/U$20,0)</f>
        <v>0.02081118784715</v>
      </c>
      <c r="W46" s="28" t="n">
        <f aca="false">'LW 2026 P&amp;L'!$Y$41</f>
        <v>628</v>
      </c>
      <c r="X46" s="39" t="n">
        <f aca="false">IFERROR(W46/W$20,0)</f>
        <v>0.02081118784715</v>
      </c>
      <c r="Y46" s="28" t="n">
        <f aca="false">'LW 2026 P&amp;L'!$Y$41</f>
        <v>628</v>
      </c>
      <c r="Z46" s="39" t="n">
        <f aca="false">IFERROR(Y46/Y$20,0)</f>
        <v>0.02081118784715</v>
      </c>
      <c r="AB46" s="28" t="n">
        <f aca="false">SUM(C46,E46,G46,I46,K46,M46,O46,Q46,S46,U46,W46,Y46)</f>
        <v>7536</v>
      </c>
      <c r="AC46" s="39" t="n">
        <f aca="false">IFERROR(AB46/AB$20,0)</f>
        <v>0.02081118784715</v>
      </c>
    </row>
    <row r="47" customFormat="false" ht="15" hidden="false" customHeight="true" outlineLevel="0" collapsed="false">
      <c r="A47" s="27" t="s">
        <v>190</v>
      </c>
      <c r="C47" s="28" t="n">
        <f aca="false">'LW 2026 P&amp;L'!$Y$42</f>
        <v>3392</v>
      </c>
      <c r="D47" s="39" t="n">
        <f aca="false">IFERROR(C47/C$20,0)</f>
        <v>0.112406925441931</v>
      </c>
      <c r="E47" s="28" t="n">
        <f aca="false">'LW 2026 P&amp;L'!$Y$42</f>
        <v>3392</v>
      </c>
      <c r="F47" s="39" t="n">
        <f aca="false">IFERROR(E47/E$20,0)</f>
        <v>0.112406925441931</v>
      </c>
      <c r="G47" s="28" t="n">
        <f aca="false">'LW 2026 P&amp;L'!$Y$42</f>
        <v>3392</v>
      </c>
      <c r="H47" s="39" t="n">
        <f aca="false">IFERROR(G47/G$20,0)</f>
        <v>0.112406925441931</v>
      </c>
      <c r="I47" s="28" t="n">
        <f aca="false">'LW 2026 P&amp;L'!$Y$42</f>
        <v>3392</v>
      </c>
      <c r="J47" s="39" t="n">
        <f aca="false">IFERROR(I47/I$20,0)</f>
        <v>0.112406925441931</v>
      </c>
      <c r="K47" s="28" t="n">
        <f aca="false">'LW 2026 P&amp;L'!$Y$42</f>
        <v>3392</v>
      </c>
      <c r="L47" s="39" t="n">
        <f aca="false">IFERROR(K47/K$20,0)</f>
        <v>0.112406925441931</v>
      </c>
      <c r="M47" s="28" t="n">
        <f aca="false">'LW 2026 P&amp;L'!$Y$42</f>
        <v>3392</v>
      </c>
      <c r="N47" s="39" t="n">
        <f aca="false">IFERROR(M47/M$20,0)</f>
        <v>0.112406925441931</v>
      </c>
      <c r="O47" s="28" t="n">
        <f aca="false">'LW 2026 P&amp;L'!$Y$42</f>
        <v>3392</v>
      </c>
      <c r="P47" s="39" t="n">
        <f aca="false">IFERROR(O47/O$20,0)</f>
        <v>0.112406925441931</v>
      </c>
      <c r="Q47" s="28" t="n">
        <f aca="false">'LW 2026 P&amp;L'!$Y$42</f>
        <v>3392</v>
      </c>
      <c r="R47" s="39" t="n">
        <f aca="false">IFERROR(Q47/Q$20,0)</f>
        <v>0.112406925441931</v>
      </c>
      <c r="S47" s="28" t="n">
        <f aca="false">'LW 2026 P&amp;L'!$Y$42</f>
        <v>3392</v>
      </c>
      <c r="T47" s="39" t="n">
        <f aca="false">IFERROR(S47/S$20,0)</f>
        <v>0.112406925441931</v>
      </c>
      <c r="U47" s="28" t="n">
        <f aca="false">'LW 2026 P&amp;L'!$Y$42</f>
        <v>3392</v>
      </c>
      <c r="V47" s="39" t="n">
        <f aca="false">IFERROR(U47/U$20,0)</f>
        <v>0.112406925441931</v>
      </c>
      <c r="W47" s="28" t="n">
        <f aca="false">'LW 2026 P&amp;L'!$Y$42</f>
        <v>3392</v>
      </c>
      <c r="X47" s="39" t="n">
        <f aca="false">IFERROR(W47/W$20,0)</f>
        <v>0.112406925441931</v>
      </c>
      <c r="Y47" s="28" t="n">
        <f aca="false">'LW 2026 P&amp;L'!$Y$42</f>
        <v>3392</v>
      </c>
      <c r="Z47" s="39" t="n">
        <f aca="false">IFERROR(Y47/Y$20,0)</f>
        <v>0.112406925441931</v>
      </c>
      <c r="AB47" s="28" t="n">
        <f aca="false">SUM(C47,E47,G47,I47,K47,M47,O47,Q47,S47,U47,W47,Y47)</f>
        <v>40704</v>
      </c>
      <c r="AC47" s="39" t="n">
        <f aca="false">IFERROR(AB47/AB$20,0)</f>
        <v>0.112406925441931</v>
      </c>
    </row>
    <row r="48" customFormat="false" ht="15" hidden="false" customHeight="true" outlineLevel="0" collapsed="false">
      <c r="A48" s="27" t="s">
        <v>191</v>
      </c>
      <c r="C48" s="28" t="n">
        <f aca="false">'LW 2026 P&amp;L'!$Y$43</f>
        <v>73</v>
      </c>
      <c r="D48" s="39" t="n">
        <f aca="false">IFERROR(C48/C$20,0)</f>
        <v>0.00241913489306043</v>
      </c>
      <c r="E48" s="28" t="n">
        <f aca="false">'LW 2026 P&amp;L'!$Y$43</f>
        <v>73</v>
      </c>
      <c r="F48" s="39" t="n">
        <f aca="false">IFERROR(E48/E$20,0)</f>
        <v>0.00241913489306043</v>
      </c>
      <c r="G48" s="28" t="n">
        <f aca="false">'LW 2026 P&amp;L'!$Y$43</f>
        <v>73</v>
      </c>
      <c r="H48" s="39" t="n">
        <f aca="false">IFERROR(G48/G$20,0)</f>
        <v>0.00241913489306043</v>
      </c>
      <c r="I48" s="28" t="n">
        <f aca="false">'LW 2026 P&amp;L'!$Y$43</f>
        <v>73</v>
      </c>
      <c r="J48" s="39" t="n">
        <f aca="false">IFERROR(I48/I$20,0)</f>
        <v>0.00241913489306043</v>
      </c>
      <c r="K48" s="28" t="n">
        <f aca="false">'LW 2026 P&amp;L'!$Y$43</f>
        <v>73</v>
      </c>
      <c r="L48" s="39" t="n">
        <f aca="false">IFERROR(K48/K$20,0)</f>
        <v>0.00241913489306043</v>
      </c>
      <c r="M48" s="28" t="n">
        <f aca="false">'LW 2026 P&amp;L'!$Y$43</f>
        <v>73</v>
      </c>
      <c r="N48" s="39" t="n">
        <f aca="false">IFERROR(M48/M$20,0)</f>
        <v>0.00241913489306043</v>
      </c>
      <c r="O48" s="28" t="n">
        <f aca="false">'LW 2026 P&amp;L'!$Y$43</f>
        <v>73</v>
      </c>
      <c r="P48" s="39" t="n">
        <f aca="false">IFERROR(O48/O$20,0)</f>
        <v>0.00241913489306043</v>
      </c>
      <c r="Q48" s="28" t="n">
        <f aca="false">'LW 2026 P&amp;L'!$Y$43</f>
        <v>73</v>
      </c>
      <c r="R48" s="39" t="n">
        <f aca="false">IFERROR(Q48/Q$20,0)</f>
        <v>0.00241913489306043</v>
      </c>
      <c r="S48" s="28" t="n">
        <f aca="false">'LW 2026 P&amp;L'!$Y$43</f>
        <v>73</v>
      </c>
      <c r="T48" s="39" t="n">
        <f aca="false">IFERROR(S48/S$20,0)</f>
        <v>0.00241913489306043</v>
      </c>
      <c r="U48" s="28" t="n">
        <f aca="false">'LW 2026 P&amp;L'!$Y$43</f>
        <v>73</v>
      </c>
      <c r="V48" s="39" t="n">
        <f aca="false">IFERROR(U48/U$20,0)</f>
        <v>0.00241913489306043</v>
      </c>
      <c r="W48" s="28" t="n">
        <f aca="false">'LW 2026 P&amp;L'!$Y$43</f>
        <v>73</v>
      </c>
      <c r="X48" s="39" t="n">
        <f aca="false">IFERROR(W48/W$20,0)</f>
        <v>0.00241913489306043</v>
      </c>
      <c r="Y48" s="28" t="n">
        <f aca="false">'LW 2026 P&amp;L'!$Y$43</f>
        <v>73</v>
      </c>
      <c r="Z48" s="39" t="n">
        <f aca="false">IFERROR(Y48/Y$20,0)</f>
        <v>0.00241913489306043</v>
      </c>
      <c r="AB48" s="28" t="n">
        <f aca="false">SUM(C48,E48,G48,I48,K48,M48,O48,Q48,S48,U48,W48,Y48)</f>
        <v>876</v>
      </c>
      <c r="AC48" s="39" t="n">
        <f aca="false">IFERROR(AB48/AB$20,0)</f>
        <v>0.00241913489306043</v>
      </c>
    </row>
    <row r="49" customFormat="false" ht="15" hidden="false" customHeight="true" outlineLevel="0" collapsed="false">
      <c r="A49" s="27" t="s">
        <v>192</v>
      </c>
      <c r="C49" s="28" t="n">
        <v>0</v>
      </c>
      <c r="D49" s="39" t="n">
        <f aca="false">IFERROR(C49/C$20,0)</f>
        <v>0</v>
      </c>
      <c r="E49" s="28" t="n">
        <v>0</v>
      </c>
      <c r="F49" s="39" t="n">
        <f aca="false">IFERROR(E49/E$20,0)</f>
        <v>0</v>
      </c>
      <c r="G49" s="28" t="n">
        <v>0</v>
      </c>
      <c r="H49" s="39" t="n">
        <f aca="false">IFERROR(G49/G$20,0)</f>
        <v>0</v>
      </c>
      <c r="I49" s="28" t="n">
        <v>0</v>
      </c>
      <c r="J49" s="39" t="n">
        <f aca="false">IFERROR(I49/I$20,0)</f>
        <v>0</v>
      </c>
      <c r="K49" s="28" t="n">
        <v>0</v>
      </c>
      <c r="L49" s="39" t="n">
        <f aca="false">IFERROR(K49/K$20,0)</f>
        <v>0</v>
      </c>
      <c r="M49" s="28" t="n">
        <v>0</v>
      </c>
      <c r="N49" s="39" t="n">
        <f aca="false">IFERROR(M49/M$20,0)</f>
        <v>0</v>
      </c>
      <c r="O49" s="28" t="n">
        <v>0</v>
      </c>
      <c r="P49" s="39" t="n">
        <f aca="false">IFERROR(O49/O$20,0)</f>
        <v>0</v>
      </c>
      <c r="Q49" s="28" t="n">
        <v>0</v>
      </c>
      <c r="R49" s="39" t="n">
        <f aca="false">IFERROR(Q49/Q$20,0)</f>
        <v>0</v>
      </c>
      <c r="S49" s="28" t="n">
        <v>0</v>
      </c>
      <c r="T49" s="39" t="n">
        <f aca="false">IFERROR(S49/S$20,0)</f>
        <v>0</v>
      </c>
      <c r="U49" s="28" t="n">
        <v>0</v>
      </c>
      <c r="V49" s="39" t="n">
        <f aca="false">IFERROR(U49/U$20,0)</f>
        <v>0</v>
      </c>
      <c r="W49" s="28" t="n">
        <v>0</v>
      </c>
      <c r="X49" s="39" t="n">
        <f aca="false">IFERROR(W49/W$20,0)</f>
        <v>0</v>
      </c>
      <c r="Y49" s="28" t="n">
        <v>0</v>
      </c>
      <c r="Z49" s="39" t="n">
        <f aca="false">IFERROR(Y49/Y$20,0)</f>
        <v>0</v>
      </c>
      <c r="AB49" s="28" t="n">
        <f aca="false">SUM(C49,E49,G49,I49,K49,M49,O49,Q49,S49,U49,W49,Y49)</f>
        <v>0</v>
      </c>
      <c r="AC49" s="39" t="n">
        <f aca="false">IFERROR(AB49/AB$20,0)</f>
        <v>0</v>
      </c>
    </row>
    <row r="50" customFormat="false" ht="15" hidden="false" customHeight="true" outlineLevel="0" collapsed="false">
      <c r="A50" s="31" t="s">
        <v>193</v>
      </c>
      <c r="C50" s="32" t="n">
        <f aca="false">SUM(C44:C49)</f>
        <v>8187.67691666667</v>
      </c>
      <c r="D50" s="40" t="n">
        <f aca="false">IFERROR(C50/C$20,0)</f>
        <v>0.271330067427586</v>
      </c>
      <c r="E50" s="32" t="n">
        <f aca="false">SUM(E44:E49)</f>
        <v>8187.67691666667</v>
      </c>
      <c r="F50" s="40" t="n">
        <f aca="false">IFERROR(E50/E$20,0)</f>
        <v>0.271330067427586</v>
      </c>
      <c r="G50" s="32" t="n">
        <f aca="false">SUM(G44:G49)</f>
        <v>8187.67691666667</v>
      </c>
      <c r="H50" s="40" t="n">
        <f aca="false">IFERROR(G50/G$20,0)</f>
        <v>0.271330067427586</v>
      </c>
      <c r="I50" s="32" t="n">
        <f aca="false">SUM(I44:I49)</f>
        <v>8187.67691666667</v>
      </c>
      <c r="J50" s="40" t="n">
        <f aca="false">IFERROR(I50/I$20,0)</f>
        <v>0.271330067427586</v>
      </c>
      <c r="K50" s="32" t="n">
        <f aca="false">SUM(K44:K49)</f>
        <v>8187.67691666667</v>
      </c>
      <c r="L50" s="40" t="n">
        <f aca="false">IFERROR(K50/K$20,0)</f>
        <v>0.271330067427586</v>
      </c>
      <c r="M50" s="32" t="n">
        <f aca="false">SUM(M44:M49)</f>
        <v>8187.67691666667</v>
      </c>
      <c r="N50" s="40" t="n">
        <f aca="false">IFERROR(M50/M$20,0)</f>
        <v>0.271330067427586</v>
      </c>
      <c r="O50" s="32" t="n">
        <f aca="false">SUM(O44:O49)</f>
        <v>8187.67691666667</v>
      </c>
      <c r="P50" s="40" t="n">
        <f aca="false">IFERROR(O50/O$20,0)</f>
        <v>0.271330067427586</v>
      </c>
      <c r="Q50" s="32" t="n">
        <f aca="false">SUM(Q44:Q49)</f>
        <v>8187.67691666667</v>
      </c>
      <c r="R50" s="40" t="n">
        <f aca="false">IFERROR(Q50/Q$20,0)</f>
        <v>0.271330067427586</v>
      </c>
      <c r="S50" s="32" t="n">
        <f aca="false">SUM(S44:S49)</f>
        <v>8187.67691666667</v>
      </c>
      <c r="T50" s="40" t="n">
        <f aca="false">IFERROR(S50/S$20,0)</f>
        <v>0.271330067427586</v>
      </c>
      <c r="U50" s="32" t="n">
        <f aca="false">SUM(U44:U49)</f>
        <v>8187.67691666667</v>
      </c>
      <c r="V50" s="40" t="n">
        <f aca="false">IFERROR(U50/U$20,0)</f>
        <v>0.271330067427586</v>
      </c>
      <c r="W50" s="32" t="n">
        <f aca="false">SUM(W44:W49)</f>
        <v>8187.67691666667</v>
      </c>
      <c r="X50" s="40" t="n">
        <f aca="false">IFERROR(W50/W$20,0)</f>
        <v>0.271330067427586</v>
      </c>
      <c r="Y50" s="32" t="n">
        <f aca="false">SUM(Y44:Y49)</f>
        <v>8187.67691666667</v>
      </c>
      <c r="Z50" s="40" t="n">
        <f aca="false">IFERROR(Y50/Y$20,0)</f>
        <v>0.271330067427586</v>
      </c>
      <c r="AB50" s="32" t="n">
        <f aca="false">SUM(AB44:AB49)</f>
        <v>98252.123</v>
      </c>
      <c r="AC50" s="40" t="n">
        <f aca="false">IFERROR(AB50/AB$20,0)</f>
        <v>0.271330067427586</v>
      </c>
    </row>
    <row r="52" customFormat="false" ht="15" hidden="false" customHeight="true" outlineLevel="0" collapsed="false">
      <c r="A52" s="31" t="s">
        <v>194</v>
      </c>
    </row>
    <row r="53" customFormat="false" ht="15" hidden="false" customHeight="true" outlineLevel="0" collapsed="false">
      <c r="A53" s="27" t="s">
        <v>195</v>
      </c>
      <c r="C53" s="28" t="n">
        <f aca="false">'LW 2026 P&amp;L'!$Y$47</f>
        <v>249</v>
      </c>
      <c r="D53" s="39" t="n">
        <f aca="false">IFERROR(C53/C$20,0)</f>
        <v>0.00825156970372667</v>
      </c>
      <c r="E53" s="28" t="n">
        <f aca="false">'LW 2026 P&amp;L'!$Y$47</f>
        <v>249</v>
      </c>
      <c r="F53" s="39" t="n">
        <f aca="false">IFERROR(E53/E$20,0)</f>
        <v>0.00825156970372667</v>
      </c>
      <c r="G53" s="28" t="n">
        <f aca="false">'LW 2026 P&amp;L'!$Y$47</f>
        <v>249</v>
      </c>
      <c r="H53" s="39" t="n">
        <f aca="false">IFERROR(G53/G$20,0)</f>
        <v>0.00825156970372667</v>
      </c>
      <c r="I53" s="28" t="n">
        <f aca="false">'LW 2026 P&amp;L'!$Y$47</f>
        <v>249</v>
      </c>
      <c r="J53" s="39" t="n">
        <f aca="false">IFERROR(I53/I$20,0)</f>
        <v>0.00825156970372667</v>
      </c>
      <c r="K53" s="28" t="n">
        <f aca="false">'LW 2026 P&amp;L'!$Y$47</f>
        <v>249</v>
      </c>
      <c r="L53" s="39" t="n">
        <f aca="false">IFERROR(K53/K$20,0)</f>
        <v>0.00825156970372667</v>
      </c>
      <c r="M53" s="28" t="n">
        <f aca="false">'LW 2026 P&amp;L'!$Y$47</f>
        <v>249</v>
      </c>
      <c r="N53" s="39" t="n">
        <f aca="false">IFERROR(M53/M$20,0)</f>
        <v>0.00825156970372667</v>
      </c>
      <c r="O53" s="28" t="n">
        <f aca="false">'LW 2026 P&amp;L'!$Y$47</f>
        <v>249</v>
      </c>
      <c r="P53" s="39" t="n">
        <f aca="false">IFERROR(O53/O$20,0)</f>
        <v>0.00825156970372667</v>
      </c>
      <c r="Q53" s="28" t="n">
        <f aca="false">'LW 2026 P&amp;L'!$Y$47</f>
        <v>249</v>
      </c>
      <c r="R53" s="39" t="n">
        <f aca="false">IFERROR(Q53/Q$20,0)</f>
        <v>0.00825156970372667</v>
      </c>
      <c r="S53" s="28" t="n">
        <f aca="false">'LW 2026 P&amp;L'!$Y$47</f>
        <v>249</v>
      </c>
      <c r="T53" s="39" t="n">
        <f aca="false">IFERROR(S53/S$20,0)</f>
        <v>0.00825156970372667</v>
      </c>
      <c r="U53" s="28" t="n">
        <f aca="false">'LW 2026 P&amp;L'!$Y$47</f>
        <v>249</v>
      </c>
      <c r="V53" s="39" t="n">
        <f aca="false">IFERROR(U53/U$20,0)</f>
        <v>0.00825156970372667</v>
      </c>
      <c r="W53" s="28" t="n">
        <f aca="false">'LW 2026 P&amp;L'!$Y$47</f>
        <v>249</v>
      </c>
      <c r="X53" s="39" t="n">
        <f aca="false">IFERROR(W53/W$20,0)</f>
        <v>0.00825156970372667</v>
      </c>
      <c r="Y53" s="28" t="n">
        <f aca="false">'LW 2026 P&amp;L'!$Y$47</f>
        <v>249</v>
      </c>
      <c r="Z53" s="39" t="n">
        <f aca="false">IFERROR(Y53/Y$20,0)</f>
        <v>0.00825156970372667</v>
      </c>
      <c r="AB53" s="28" t="n">
        <f aca="false">SUM(C53,E53,G53,I53,K53,M53,O53,Q53,S53,U53,W53,Y53)</f>
        <v>2988</v>
      </c>
      <c r="AC53" s="39" t="n">
        <f aca="false">IFERROR(AB53/AB$20,0)</f>
        <v>0.00825156970372667</v>
      </c>
    </row>
    <row r="54" customFormat="false" ht="15" hidden="false" customHeight="true" outlineLevel="0" collapsed="false">
      <c r="A54" s="27" t="s">
        <v>196</v>
      </c>
      <c r="C54" s="28" t="n">
        <f aca="false">C20*'LW Assumptions'!$C$41</f>
        <v>0</v>
      </c>
      <c r="D54" s="39" t="n">
        <f aca="false">IFERROR(C54/C$20,0)</f>
        <v>0</v>
      </c>
      <c r="E54" s="28" t="n">
        <f aca="false">E20*'LW Assumptions'!$C$41</f>
        <v>0</v>
      </c>
      <c r="F54" s="39" t="n">
        <f aca="false">IFERROR(E54/E$20,0)</f>
        <v>0</v>
      </c>
      <c r="G54" s="28" t="n">
        <f aca="false">G20*'LW Assumptions'!$C$41</f>
        <v>0</v>
      </c>
      <c r="H54" s="39" t="n">
        <f aca="false">IFERROR(G54/G$20,0)</f>
        <v>0</v>
      </c>
      <c r="I54" s="28" t="n">
        <f aca="false">I20*'LW Assumptions'!$C$41</f>
        <v>0</v>
      </c>
      <c r="J54" s="39" t="n">
        <f aca="false">IFERROR(I54/I$20,0)</f>
        <v>0</v>
      </c>
      <c r="K54" s="28" t="n">
        <f aca="false">K20*'LW Assumptions'!$C$41</f>
        <v>0</v>
      </c>
      <c r="L54" s="39" t="n">
        <f aca="false">IFERROR(K54/K$20,0)</f>
        <v>0</v>
      </c>
      <c r="M54" s="28" t="n">
        <f aca="false">M20*'LW Assumptions'!$C$41</f>
        <v>0</v>
      </c>
      <c r="N54" s="39" t="n">
        <f aca="false">IFERROR(M54/M$20,0)</f>
        <v>0</v>
      </c>
      <c r="O54" s="28" t="n">
        <f aca="false">O20*'LW Assumptions'!$C$41</f>
        <v>0</v>
      </c>
      <c r="P54" s="39" t="n">
        <f aca="false">IFERROR(O54/O$20,0)</f>
        <v>0</v>
      </c>
      <c r="Q54" s="28" t="n">
        <f aca="false">Q20*'LW Assumptions'!$C$41</f>
        <v>0</v>
      </c>
      <c r="R54" s="39" t="n">
        <f aca="false">IFERROR(Q54/Q$20,0)</f>
        <v>0</v>
      </c>
      <c r="S54" s="28" t="n">
        <f aca="false">S20*'LW Assumptions'!$C$41</f>
        <v>0</v>
      </c>
      <c r="T54" s="39" t="n">
        <f aca="false">IFERROR(S54/S$20,0)</f>
        <v>0</v>
      </c>
      <c r="U54" s="28" t="n">
        <f aca="false">U20*'LW Assumptions'!$C$41</f>
        <v>0</v>
      </c>
      <c r="V54" s="39" t="n">
        <f aca="false">IFERROR(U54/U$20,0)</f>
        <v>0</v>
      </c>
      <c r="W54" s="28" t="n">
        <f aca="false">W20*'LW Assumptions'!$C$41</f>
        <v>0</v>
      </c>
      <c r="X54" s="39" t="n">
        <f aca="false">IFERROR(W54/W$20,0)</f>
        <v>0</v>
      </c>
      <c r="Y54" s="28" t="n">
        <f aca="false">Y20*'LW Assumptions'!$C$41</f>
        <v>0</v>
      </c>
      <c r="Z54" s="39" t="n">
        <f aca="false">IFERROR(Y54/Y$20,0)</f>
        <v>0</v>
      </c>
      <c r="AB54" s="28" t="n">
        <f aca="false">SUM(C54,E54,G54,I54,K54,M54,O54,Q54,S54,U54,W54,Y54)</f>
        <v>0</v>
      </c>
      <c r="AC54" s="39" t="n">
        <f aca="false">IFERROR(AB54/AB$20,0)</f>
        <v>0</v>
      </c>
    </row>
    <row r="55" customFormat="false" ht="15" hidden="false" customHeight="true" outlineLevel="0" collapsed="false">
      <c r="A55" s="27" t="s">
        <v>197</v>
      </c>
      <c r="C55" s="28" t="n">
        <f aca="false">'LW 2026 P&amp;L'!$Y$49</f>
        <v>1618</v>
      </c>
      <c r="D55" s="39" t="n">
        <f aca="false">IFERROR(C55/C$20,0)</f>
        <v>0.0536186336571476</v>
      </c>
      <c r="E55" s="28" t="n">
        <f aca="false">'LW 2026 P&amp;L'!$Y$49</f>
        <v>1618</v>
      </c>
      <c r="F55" s="39" t="n">
        <f aca="false">IFERROR(E55/E$20,0)</f>
        <v>0.0536186336571476</v>
      </c>
      <c r="G55" s="28" t="n">
        <f aca="false">'LW 2026 P&amp;L'!$Y$49</f>
        <v>1618</v>
      </c>
      <c r="H55" s="39" t="n">
        <f aca="false">IFERROR(G55/G$20,0)</f>
        <v>0.0536186336571476</v>
      </c>
      <c r="I55" s="28" t="n">
        <f aca="false">'LW 2026 P&amp;L'!$Y$49</f>
        <v>1618</v>
      </c>
      <c r="J55" s="39" t="n">
        <f aca="false">IFERROR(I55/I$20,0)</f>
        <v>0.0536186336571476</v>
      </c>
      <c r="K55" s="28" t="n">
        <f aca="false">'LW 2026 P&amp;L'!$Y$49</f>
        <v>1618</v>
      </c>
      <c r="L55" s="39" t="n">
        <f aca="false">IFERROR(K55/K$20,0)</f>
        <v>0.0536186336571476</v>
      </c>
      <c r="M55" s="28" t="n">
        <f aca="false">'LW 2026 P&amp;L'!$Y$49</f>
        <v>1618</v>
      </c>
      <c r="N55" s="39" t="n">
        <f aca="false">IFERROR(M55/M$20,0)</f>
        <v>0.0536186336571476</v>
      </c>
      <c r="O55" s="28" t="n">
        <f aca="false">'LW 2026 P&amp;L'!$Y$49</f>
        <v>1618</v>
      </c>
      <c r="P55" s="39" t="n">
        <f aca="false">IFERROR(O55/O$20,0)</f>
        <v>0.0536186336571476</v>
      </c>
      <c r="Q55" s="28" t="n">
        <f aca="false">'LW 2026 P&amp;L'!$Y$49</f>
        <v>1618</v>
      </c>
      <c r="R55" s="39" t="n">
        <f aca="false">IFERROR(Q55/Q$20,0)</f>
        <v>0.0536186336571476</v>
      </c>
      <c r="S55" s="28" t="n">
        <f aca="false">'LW 2026 P&amp;L'!$Y$49</f>
        <v>1618</v>
      </c>
      <c r="T55" s="39" t="n">
        <f aca="false">IFERROR(S55/S$20,0)</f>
        <v>0.0536186336571476</v>
      </c>
      <c r="U55" s="28" t="n">
        <f aca="false">'LW 2026 P&amp;L'!$Y$49</f>
        <v>1618</v>
      </c>
      <c r="V55" s="39" t="n">
        <f aca="false">IFERROR(U55/U$20,0)</f>
        <v>0.0536186336571476</v>
      </c>
      <c r="W55" s="28" t="n">
        <f aca="false">'LW 2026 P&amp;L'!$Y$49</f>
        <v>1618</v>
      </c>
      <c r="X55" s="39" t="n">
        <f aca="false">IFERROR(W55/W$20,0)</f>
        <v>0.0536186336571476</v>
      </c>
      <c r="Y55" s="28" t="n">
        <f aca="false">'LW 2026 P&amp;L'!$Y$49</f>
        <v>1618</v>
      </c>
      <c r="Z55" s="39" t="n">
        <f aca="false">IFERROR(Y55/Y$20,0)</f>
        <v>0.0536186336571476</v>
      </c>
      <c r="AB55" s="28" t="n">
        <f aca="false">SUM(C55,E55,G55,I55,K55,M55,O55,Q55,S55,U55,W55,Y55)</f>
        <v>19416</v>
      </c>
      <c r="AC55" s="39" t="n">
        <f aca="false">IFERROR(AB55/AB$20,0)</f>
        <v>0.0536186336571476</v>
      </c>
    </row>
    <row r="56" customFormat="false" ht="15" hidden="false" customHeight="true" outlineLevel="0" collapsed="false">
      <c r="A56" s="27" t="s">
        <v>133</v>
      </c>
      <c r="C56" s="28" t="n">
        <f aca="false">C20*'LW Assumptions'!$C$40</f>
        <v>1207.04306666667</v>
      </c>
      <c r="D56" s="39" t="n">
        <f aca="false">IFERROR(C56/C$20,0)</f>
        <v>0.04</v>
      </c>
      <c r="E56" s="28" t="n">
        <f aca="false">E20*'LW Assumptions'!$C$40</f>
        <v>1207.04306666667</v>
      </c>
      <c r="F56" s="39" t="n">
        <f aca="false">IFERROR(E56/E$20,0)</f>
        <v>0.04</v>
      </c>
      <c r="G56" s="28" t="n">
        <f aca="false">G20*'LW Assumptions'!$C$40</f>
        <v>1207.04306666667</v>
      </c>
      <c r="H56" s="39" t="n">
        <f aca="false">IFERROR(G56/G$20,0)</f>
        <v>0.04</v>
      </c>
      <c r="I56" s="28" t="n">
        <f aca="false">I20*'LW Assumptions'!$C$40</f>
        <v>1207.04306666667</v>
      </c>
      <c r="J56" s="39" t="n">
        <f aca="false">IFERROR(I56/I$20,0)</f>
        <v>0.04</v>
      </c>
      <c r="K56" s="28" t="n">
        <f aca="false">K20*'LW Assumptions'!$C$40</f>
        <v>1207.04306666667</v>
      </c>
      <c r="L56" s="39" t="n">
        <f aca="false">IFERROR(K56/K$20,0)</f>
        <v>0.04</v>
      </c>
      <c r="M56" s="28" t="n">
        <f aca="false">M20*'LW Assumptions'!$C$40</f>
        <v>1207.04306666667</v>
      </c>
      <c r="N56" s="39" t="n">
        <f aca="false">IFERROR(M56/M$20,0)</f>
        <v>0.04</v>
      </c>
      <c r="O56" s="28" t="n">
        <f aca="false">O20*'LW Assumptions'!$C$40</f>
        <v>1207.04306666667</v>
      </c>
      <c r="P56" s="39" t="n">
        <f aca="false">IFERROR(O56/O$20,0)</f>
        <v>0.04</v>
      </c>
      <c r="Q56" s="28" t="n">
        <f aca="false">Q20*'LW Assumptions'!$C$40</f>
        <v>1207.04306666667</v>
      </c>
      <c r="R56" s="39" t="n">
        <f aca="false">IFERROR(Q56/Q$20,0)</f>
        <v>0.04</v>
      </c>
      <c r="S56" s="28" t="n">
        <f aca="false">S20*'LW Assumptions'!$C$40</f>
        <v>1207.04306666667</v>
      </c>
      <c r="T56" s="39" t="n">
        <f aca="false">IFERROR(S56/S$20,0)</f>
        <v>0.04</v>
      </c>
      <c r="U56" s="28" t="n">
        <f aca="false">U20*'LW Assumptions'!$C$40</f>
        <v>1207.04306666667</v>
      </c>
      <c r="V56" s="39" t="n">
        <f aca="false">IFERROR(U56/U$20,0)</f>
        <v>0.04</v>
      </c>
      <c r="W56" s="28" t="n">
        <f aca="false">W20*'LW Assumptions'!$C$40</f>
        <v>1207.04306666667</v>
      </c>
      <c r="X56" s="39" t="n">
        <f aca="false">IFERROR(W56/W$20,0)</f>
        <v>0.04</v>
      </c>
      <c r="Y56" s="28" t="n">
        <f aca="false">Y20*'LW Assumptions'!$C$40</f>
        <v>1207.04306666667</v>
      </c>
      <c r="Z56" s="39" t="n">
        <f aca="false">IFERROR(Y56/Y$20,0)</f>
        <v>0.04</v>
      </c>
      <c r="AB56" s="28" t="n">
        <f aca="false">SUM(C56,E56,G56,I56,K56,M56,O56,Q56,S56,U56,W56,Y56)</f>
        <v>14484.5168</v>
      </c>
      <c r="AC56" s="39" t="n">
        <f aca="false">IFERROR(AB56/AB$20,0)</f>
        <v>0.04</v>
      </c>
    </row>
    <row r="57" customFormat="false" ht="15" hidden="false" customHeight="true" outlineLevel="0" collapsed="false">
      <c r="A57" s="27" t="s">
        <v>198</v>
      </c>
      <c r="C57" s="28" t="n">
        <v>0</v>
      </c>
      <c r="D57" s="39" t="n">
        <f aca="false">IFERROR(C57/C$20,0)</f>
        <v>0</v>
      </c>
      <c r="E57" s="28" t="n">
        <v>0</v>
      </c>
      <c r="F57" s="39" t="n">
        <f aca="false">IFERROR(E57/E$20,0)</f>
        <v>0</v>
      </c>
      <c r="G57" s="28" t="n">
        <v>0</v>
      </c>
      <c r="H57" s="39" t="n">
        <f aca="false">IFERROR(G57/G$20,0)</f>
        <v>0</v>
      </c>
      <c r="I57" s="28" t="n">
        <v>0</v>
      </c>
      <c r="J57" s="39" t="n">
        <f aca="false">IFERROR(I57/I$20,0)</f>
        <v>0</v>
      </c>
      <c r="K57" s="28" t="n">
        <v>0</v>
      </c>
      <c r="L57" s="39" t="n">
        <f aca="false">IFERROR(K57/K$20,0)</f>
        <v>0</v>
      </c>
      <c r="M57" s="28" t="n">
        <v>0</v>
      </c>
      <c r="N57" s="39" t="n">
        <f aca="false">IFERROR(M57/M$20,0)</f>
        <v>0</v>
      </c>
      <c r="O57" s="28" t="n">
        <v>0</v>
      </c>
      <c r="P57" s="39" t="n">
        <f aca="false">IFERROR(O57/O$20,0)</f>
        <v>0</v>
      </c>
      <c r="Q57" s="28" t="n">
        <v>0</v>
      </c>
      <c r="R57" s="39" t="n">
        <f aca="false">IFERROR(Q57/Q$20,0)</f>
        <v>0</v>
      </c>
      <c r="S57" s="28" t="n">
        <v>0</v>
      </c>
      <c r="T57" s="39" t="n">
        <f aca="false">IFERROR(S57/S$20,0)</f>
        <v>0</v>
      </c>
      <c r="U57" s="28" t="n">
        <v>0</v>
      </c>
      <c r="V57" s="39" t="n">
        <f aca="false">IFERROR(U57/U$20,0)</f>
        <v>0</v>
      </c>
      <c r="W57" s="28" t="n">
        <v>0</v>
      </c>
      <c r="X57" s="39" t="n">
        <f aca="false">IFERROR(W57/W$20,0)</f>
        <v>0</v>
      </c>
      <c r="Y57" s="28" t="n">
        <v>0</v>
      </c>
      <c r="Z57" s="39" t="n">
        <f aca="false">IFERROR(Y57/Y$20,0)</f>
        <v>0</v>
      </c>
      <c r="AB57" s="28" t="n">
        <f aca="false">SUM(C57,E57,G57,I57,K57,M57,O57,Q57,S57,U57,W57,Y57)</f>
        <v>0</v>
      </c>
      <c r="AC57" s="39" t="n">
        <f aca="false">IFERROR(AB57/AB$20,0)</f>
        <v>0</v>
      </c>
    </row>
    <row r="58" customFormat="false" ht="15" hidden="false" customHeight="true" outlineLevel="0" collapsed="false">
      <c r="A58" s="27" t="s">
        <v>199</v>
      </c>
      <c r="C58" s="28" t="n">
        <f aca="false">'LW 2026 P&amp;L'!$Y$51</f>
        <v>0</v>
      </c>
      <c r="D58" s="39" t="n">
        <f aca="false">IFERROR(C58/C$20,0)</f>
        <v>0</v>
      </c>
      <c r="E58" s="28" t="n">
        <f aca="false">'LW 2026 P&amp;L'!$Y$51</f>
        <v>0</v>
      </c>
      <c r="F58" s="39" t="n">
        <f aca="false">IFERROR(E58/E$20,0)</f>
        <v>0</v>
      </c>
      <c r="G58" s="28" t="n">
        <f aca="false">'LW 2026 P&amp;L'!$Y$51</f>
        <v>0</v>
      </c>
      <c r="H58" s="39" t="n">
        <f aca="false">IFERROR(G58/G$20,0)</f>
        <v>0</v>
      </c>
      <c r="I58" s="28" t="n">
        <f aca="false">'LW 2026 P&amp;L'!$Y$51</f>
        <v>0</v>
      </c>
      <c r="J58" s="39" t="n">
        <f aca="false">IFERROR(I58/I$20,0)</f>
        <v>0</v>
      </c>
      <c r="K58" s="28" t="n">
        <f aca="false">'LW 2026 P&amp;L'!$Y$51</f>
        <v>0</v>
      </c>
      <c r="L58" s="39" t="n">
        <f aca="false">IFERROR(K58/K$20,0)</f>
        <v>0</v>
      </c>
      <c r="M58" s="28" t="n">
        <f aca="false">'LW 2026 P&amp;L'!$Y$51</f>
        <v>0</v>
      </c>
      <c r="N58" s="39" t="n">
        <f aca="false">IFERROR(M58/M$20,0)</f>
        <v>0</v>
      </c>
      <c r="O58" s="28" t="n">
        <f aca="false">'LW 2026 P&amp;L'!$Y$51</f>
        <v>0</v>
      </c>
      <c r="P58" s="39" t="n">
        <f aca="false">IFERROR(O58/O$20,0)</f>
        <v>0</v>
      </c>
      <c r="Q58" s="28" t="n">
        <f aca="false">'LW 2026 P&amp;L'!$Y$51</f>
        <v>0</v>
      </c>
      <c r="R58" s="39" t="n">
        <f aca="false">IFERROR(Q58/Q$20,0)</f>
        <v>0</v>
      </c>
      <c r="S58" s="28" t="n">
        <f aca="false">'LW 2026 P&amp;L'!$Y$51</f>
        <v>0</v>
      </c>
      <c r="T58" s="39" t="n">
        <f aca="false">IFERROR(S58/S$20,0)</f>
        <v>0</v>
      </c>
      <c r="U58" s="28" t="n">
        <f aca="false">'LW 2026 P&amp;L'!$Y$51</f>
        <v>0</v>
      </c>
      <c r="V58" s="39" t="n">
        <f aca="false">IFERROR(U58/U$20,0)</f>
        <v>0</v>
      </c>
      <c r="W58" s="28" t="n">
        <f aca="false">'LW 2026 P&amp;L'!$Y$51</f>
        <v>0</v>
      </c>
      <c r="X58" s="39" t="n">
        <f aca="false">IFERROR(W58/W$20,0)</f>
        <v>0</v>
      </c>
      <c r="Y58" s="28" t="n">
        <f aca="false">'LW 2026 P&amp;L'!$Y$51</f>
        <v>0</v>
      </c>
      <c r="Z58" s="39" t="n">
        <f aca="false">IFERROR(Y58/Y$20,0)</f>
        <v>0</v>
      </c>
      <c r="AB58" s="28" t="n">
        <f aca="false">SUM(C58,E58,G58,I58,K58,M58,O58,Q58,S58,U58,W58,Y58)</f>
        <v>0</v>
      </c>
      <c r="AC58" s="39" t="n">
        <f aca="false">IFERROR(AB58/AB$20,0)</f>
        <v>0</v>
      </c>
    </row>
    <row r="59" customFormat="false" ht="15" hidden="false" customHeight="true" outlineLevel="0" collapsed="false">
      <c r="A59" s="27" t="s">
        <v>200</v>
      </c>
      <c r="C59" s="28" t="n">
        <f aca="false">'LW 2026 P&amp;L'!$Y$52</f>
        <v>0</v>
      </c>
      <c r="D59" s="39" t="n">
        <f aca="false">IFERROR(C59/C$20,0)</f>
        <v>0</v>
      </c>
      <c r="E59" s="28" t="n">
        <f aca="false">'LW 2026 P&amp;L'!$Y$52</f>
        <v>0</v>
      </c>
      <c r="F59" s="39" t="n">
        <f aca="false">IFERROR(E59/E$20,0)</f>
        <v>0</v>
      </c>
      <c r="G59" s="28" t="n">
        <f aca="false">'LW 2026 P&amp;L'!$Y$52</f>
        <v>0</v>
      </c>
      <c r="H59" s="39" t="n">
        <f aca="false">IFERROR(G59/G$20,0)</f>
        <v>0</v>
      </c>
      <c r="I59" s="28" t="n">
        <f aca="false">'LW 2026 P&amp;L'!$Y$52</f>
        <v>0</v>
      </c>
      <c r="J59" s="39" t="n">
        <f aca="false">IFERROR(I59/I$20,0)</f>
        <v>0</v>
      </c>
      <c r="K59" s="28" t="n">
        <f aca="false">'LW 2026 P&amp;L'!$Y$52</f>
        <v>0</v>
      </c>
      <c r="L59" s="39" t="n">
        <f aca="false">IFERROR(K59/K$20,0)</f>
        <v>0</v>
      </c>
      <c r="M59" s="28" t="n">
        <f aca="false">'LW 2026 P&amp;L'!$Y$52</f>
        <v>0</v>
      </c>
      <c r="N59" s="39" t="n">
        <f aca="false">IFERROR(M59/M$20,0)</f>
        <v>0</v>
      </c>
      <c r="O59" s="28" t="n">
        <f aca="false">'LW 2026 P&amp;L'!$Y$52</f>
        <v>0</v>
      </c>
      <c r="P59" s="39" t="n">
        <f aca="false">IFERROR(O59/O$20,0)</f>
        <v>0</v>
      </c>
      <c r="Q59" s="28" t="n">
        <f aca="false">'LW 2026 P&amp;L'!$Y$52</f>
        <v>0</v>
      </c>
      <c r="R59" s="39" t="n">
        <f aca="false">IFERROR(Q59/Q$20,0)</f>
        <v>0</v>
      </c>
      <c r="S59" s="28" t="n">
        <f aca="false">'LW 2026 P&amp;L'!$Y$52</f>
        <v>0</v>
      </c>
      <c r="T59" s="39" t="n">
        <f aca="false">IFERROR(S59/S$20,0)</f>
        <v>0</v>
      </c>
      <c r="U59" s="28" t="n">
        <f aca="false">'LW 2026 P&amp;L'!$Y$52</f>
        <v>0</v>
      </c>
      <c r="V59" s="39" t="n">
        <f aca="false">IFERROR(U59/U$20,0)</f>
        <v>0</v>
      </c>
      <c r="W59" s="28" t="n">
        <f aca="false">'LW 2026 P&amp;L'!$Y$52</f>
        <v>0</v>
      </c>
      <c r="X59" s="39" t="n">
        <f aca="false">IFERROR(W59/W$20,0)</f>
        <v>0</v>
      </c>
      <c r="Y59" s="28" t="n">
        <f aca="false">'LW 2026 P&amp;L'!$Y$52</f>
        <v>0</v>
      </c>
      <c r="Z59" s="39" t="n">
        <f aca="false">IFERROR(Y59/Y$20,0)</f>
        <v>0</v>
      </c>
      <c r="AB59" s="28" t="n">
        <f aca="false">SUM(C59,E59,G59,I59,K59,M59,O59,Q59,S59,U59,W59,Y59)</f>
        <v>0</v>
      </c>
      <c r="AC59" s="39" t="n">
        <f aca="false">IFERROR(AB59/AB$20,0)</f>
        <v>0</v>
      </c>
    </row>
    <row r="60" customFormat="false" ht="15" hidden="false" customHeight="true" outlineLevel="0" collapsed="false">
      <c r="A60" s="31" t="s">
        <v>201</v>
      </c>
      <c r="C60" s="32" t="n">
        <f aca="false">SUM(C53:C59)</f>
        <v>3074.04306666667</v>
      </c>
      <c r="D60" s="40" t="n">
        <f aca="false">IFERROR(C60/C$20,0)</f>
        <v>0.101870203360874</v>
      </c>
      <c r="E60" s="32" t="n">
        <f aca="false">SUM(E53:E59)</f>
        <v>3074.04306666667</v>
      </c>
      <c r="F60" s="40" t="n">
        <f aca="false">IFERROR(E60/E$20,0)</f>
        <v>0.101870203360874</v>
      </c>
      <c r="G60" s="32" t="n">
        <f aca="false">SUM(G53:G59)</f>
        <v>3074.04306666667</v>
      </c>
      <c r="H60" s="40" t="n">
        <f aca="false">IFERROR(G60/G$20,0)</f>
        <v>0.101870203360874</v>
      </c>
      <c r="I60" s="32" t="n">
        <f aca="false">SUM(I53:I59)</f>
        <v>3074.04306666667</v>
      </c>
      <c r="J60" s="40" t="n">
        <f aca="false">IFERROR(I60/I$20,0)</f>
        <v>0.101870203360874</v>
      </c>
      <c r="K60" s="32" t="n">
        <f aca="false">SUM(K53:K59)</f>
        <v>3074.04306666667</v>
      </c>
      <c r="L60" s="40" t="n">
        <f aca="false">IFERROR(K60/K$20,0)</f>
        <v>0.101870203360874</v>
      </c>
      <c r="M60" s="32" t="n">
        <f aca="false">SUM(M53:M59)</f>
        <v>3074.04306666667</v>
      </c>
      <c r="N60" s="40" t="n">
        <f aca="false">IFERROR(M60/M$20,0)</f>
        <v>0.101870203360874</v>
      </c>
      <c r="O60" s="32" t="n">
        <f aca="false">SUM(O53:O59)</f>
        <v>3074.04306666667</v>
      </c>
      <c r="P60" s="40" t="n">
        <f aca="false">IFERROR(O60/O$20,0)</f>
        <v>0.101870203360874</v>
      </c>
      <c r="Q60" s="32" t="n">
        <f aca="false">SUM(Q53:Q59)</f>
        <v>3074.04306666667</v>
      </c>
      <c r="R60" s="40" t="n">
        <f aca="false">IFERROR(Q60/Q$20,0)</f>
        <v>0.101870203360874</v>
      </c>
      <c r="S60" s="32" t="n">
        <f aca="false">SUM(S53:S59)</f>
        <v>3074.04306666667</v>
      </c>
      <c r="T60" s="40" t="n">
        <f aca="false">IFERROR(S60/S$20,0)</f>
        <v>0.101870203360874</v>
      </c>
      <c r="U60" s="32" t="n">
        <f aca="false">SUM(U53:U59)</f>
        <v>3074.04306666667</v>
      </c>
      <c r="V60" s="40" t="n">
        <f aca="false">IFERROR(U60/U$20,0)</f>
        <v>0.101870203360874</v>
      </c>
      <c r="W60" s="32" t="n">
        <f aca="false">SUM(W53:W59)</f>
        <v>3074.04306666667</v>
      </c>
      <c r="X60" s="40" t="n">
        <f aca="false">IFERROR(W60/W$20,0)</f>
        <v>0.101870203360874</v>
      </c>
      <c r="Y60" s="32" t="n">
        <f aca="false">SUM(Y53:Y59)</f>
        <v>3074.04306666667</v>
      </c>
      <c r="Z60" s="40" t="n">
        <f aca="false">IFERROR(Y60/Y$20,0)</f>
        <v>0.101870203360874</v>
      </c>
      <c r="AB60" s="32" t="n">
        <f aca="false">SUM(AB53:AB59)</f>
        <v>36888.5168</v>
      </c>
      <c r="AC60" s="40" t="n">
        <f aca="false">IFERROR(AB60/AB$20,0)</f>
        <v>0.101870203360874</v>
      </c>
    </row>
    <row r="62" customFormat="false" ht="15" hidden="false" customHeight="true" outlineLevel="0" collapsed="false">
      <c r="A62" s="31" t="s">
        <v>202</v>
      </c>
      <c r="C62" s="32" t="n">
        <f aca="false">C41-C50-C60</f>
        <v>-3538.26581666667</v>
      </c>
      <c r="D62" s="40" t="n">
        <f aca="false">IFERROR(C62/C$20,0)</f>
        <v>-0.117254004082483</v>
      </c>
      <c r="E62" s="32" t="n">
        <f aca="false">E41-E50-E60</f>
        <v>-3538.26581666667</v>
      </c>
      <c r="F62" s="40" t="n">
        <f aca="false">IFERROR(E62/E$20,0)</f>
        <v>-0.117254004082483</v>
      </c>
      <c r="G62" s="32" t="n">
        <f aca="false">G41-G50-G60</f>
        <v>-3538.26581666667</v>
      </c>
      <c r="H62" s="40" t="n">
        <f aca="false">IFERROR(G62/G$20,0)</f>
        <v>-0.117254004082483</v>
      </c>
      <c r="I62" s="32" t="n">
        <f aca="false">I41-I50-I60</f>
        <v>-3538.26581666667</v>
      </c>
      <c r="J62" s="40" t="n">
        <f aca="false">IFERROR(I62/I$20,0)</f>
        <v>-0.117254004082483</v>
      </c>
      <c r="K62" s="32" t="n">
        <f aca="false">K41-K50-K60</f>
        <v>-3538.26581666667</v>
      </c>
      <c r="L62" s="40" t="n">
        <f aca="false">IFERROR(K62/K$20,0)</f>
        <v>-0.117254004082483</v>
      </c>
      <c r="M62" s="32" t="n">
        <f aca="false">M41-M50-M60</f>
        <v>-3538.26581666667</v>
      </c>
      <c r="N62" s="40" t="n">
        <f aca="false">IFERROR(M62/M$20,0)</f>
        <v>-0.117254004082483</v>
      </c>
      <c r="O62" s="32" t="n">
        <f aca="false">O41-O50-O60</f>
        <v>-3538.26581666667</v>
      </c>
      <c r="P62" s="40" t="n">
        <f aca="false">IFERROR(O62/O$20,0)</f>
        <v>-0.117254004082483</v>
      </c>
      <c r="Q62" s="32" t="n">
        <f aca="false">Q41-Q50-Q60</f>
        <v>-3538.26581666667</v>
      </c>
      <c r="R62" s="40" t="n">
        <f aca="false">IFERROR(Q62/Q$20,0)</f>
        <v>-0.117254004082483</v>
      </c>
      <c r="S62" s="32" t="n">
        <f aca="false">S41-S50-S60</f>
        <v>-3538.26581666667</v>
      </c>
      <c r="T62" s="40" t="n">
        <f aca="false">IFERROR(S62/S$20,0)</f>
        <v>-0.117254004082483</v>
      </c>
      <c r="U62" s="32" t="n">
        <f aca="false">U41-U50-U60</f>
        <v>-3538.26581666667</v>
      </c>
      <c r="V62" s="40" t="n">
        <f aca="false">IFERROR(U62/U$20,0)</f>
        <v>-0.117254004082483</v>
      </c>
      <c r="W62" s="32" t="n">
        <f aca="false">W41-W50-W60</f>
        <v>-3538.26581666667</v>
      </c>
      <c r="X62" s="40" t="n">
        <f aca="false">IFERROR(W62/W$20,0)</f>
        <v>-0.117254004082483</v>
      </c>
      <c r="Y62" s="32" t="n">
        <f aca="false">Y41-Y50-Y60</f>
        <v>-3538.26581666667</v>
      </c>
      <c r="Z62" s="40" t="n">
        <f aca="false">IFERROR(Y62/Y$20,0)</f>
        <v>-0.117254004082483</v>
      </c>
      <c r="AB62" s="32" t="n">
        <f aca="false">AB41-AB50-AB60</f>
        <v>-42459.1898</v>
      </c>
      <c r="AC62" s="40" t="n">
        <f aca="false">IFERROR(AB62/AB$20,0)</f>
        <v>-0.117254004082483</v>
      </c>
    </row>
    <row r="64" customFormat="false" ht="15" hidden="false" customHeight="true" outlineLevel="0" collapsed="false">
      <c r="A64" s="27" t="s">
        <v>203</v>
      </c>
      <c r="C64" s="28" t="n">
        <f aca="false">'LW 2026 P&amp;L'!$Y$57</f>
        <v>0</v>
      </c>
      <c r="D64" s="39" t="n">
        <f aca="false">IFERROR(C64/C$20,0)</f>
        <v>0</v>
      </c>
      <c r="E64" s="28" t="n">
        <f aca="false">'LW 2026 P&amp;L'!$Y$57</f>
        <v>0</v>
      </c>
      <c r="F64" s="39" t="n">
        <f aca="false">IFERROR(E64/E$20,0)</f>
        <v>0</v>
      </c>
      <c r="G64" s="28" t="n">
        <f aca="false">'LW 2026 P&amp;L'!$Y$57</f>
        <v>0</v>
      </c>
      <c r="H64" s="39" t="n">
        <f aca="false">IFERROR(G64/G$20,0)</f>
        <v>0</v>
      </c>
      <c r="I64" s="28" t="n">
        <f aca="false">'LW 2026 P&amp;L'!$Y$57</f>
        <v>0</v>
      </c>
      <c r="J64" s="39" t="n">
        <f aca="false">IFERROR(I64/I$20,0)</f>
        <v>0</v>
      </c>
      <c r="K64" s="28" t="n">
        <f aca="false">'LW 2026 P&amp;L'!$Y$57</f>
        <v>0</v>
      </c>
      <c r="L64" s="39" t="n">
        <f aca="false">IFERROR(K64/K$20,0)</f>
        <v>0</v>
      </c>
      <c r="M64" s="28" t="n">
        <f aca="false">'LW 2026 P&amp;L'!$Y$57</f>
        <v>0</v>
      </c>
      <c r="N64" s="39" t="n">
        <f aca="false">IFERROR(M64/M$20,0)</f>
        <v>0</v>
      </c>
      <c r="O64" s="28" t="n">
        <f aca="false">'LW 2026 P&amp;L'!$Y$57</f>
        <v>0</v>
      </c>
      <c r="P64" s="39" t="n">
        <f aca="false">IFERROR(O64/O$20,0)</f>
        <v>0</v>
      </c>
      <c r="Q64" s="28" t="n">
        <f aca="false">'LW 2026 P&amp;L'!$Y$57</f>
        <v>0</v>
      </c>
      <c r="R64" s="39" t="n">
        <f aca="false">IFERROR(Q64/Q$20,0)</f>
        <v>0</v>
      </c>
      <c r="S64" s="28" t="n">
        <f aca="false">'LW 2026 P&amp;L'!$Y$57</f>
        <v>0</v>
      </c>
      <c r="T64" s="39" t="n">
        <f aca="false">IFERROR(S64/S$20,0)</f>
        <v>0</v>
      </c>
      <c r="U64" s="28" t="n">
        <f aca="false">'LW 2026 P&amp;L'!$Y$57</f>
        <v>0</v>
      </c>
      <c r="V64" s="39" t="n">
        <f aca="false">IFERROR(U64/U$20,0)</f>
        <v>0</v>
      </c>
      <c r="W64" s="28" t="n">
        <f aca="false">'LW 2026 P&amp;L'!$Y$57</f>
        <v>0</v>
      </c>
      <c r="X64" s="39" t="n">
        <f aca="false">IFERROR(W64/W$20,0)</f>
        <v>0</v>
      </c>
      <c r="Y64" s="28" t="n">
        <f aca="false">'LW 2026 P&amp;L'!$Y$57</f>
        <v>0</v>
      </c>
      <c r="Z64" s="39" t="n">
        <f aca="false">IFERROR(Y64/Y$20,0)</f>
        <v>0</v>
      </c>
      <c r="AB64" s="28" t="n">
        <f aca="false">SUM(C64,E64,G64,I64,K64,M64,O64,Q64,S64,U64,W64,Y64)</f>
        <v>0</v>
      </c>
      <c r="AC64" s="39" t="n">
        <f aca="false">IFERROR(AB64/AB$20,0)</f>
        <v>0</v>
      </c>
    </row>
    <row r="66" customFormat="false" ht="15" hidden="false" customHeight="true" outlineLevel="0" collapsed="false">
      <c r="A66" s="31" t="s">
        <v>204</v>
      </c>
      <c r="C66" s="41" t="n">
        <f aca="false">C62-C64</f>
        <v>-3538.26581666667</v>
      </c>
      <c r="D66" s="42" t="n">
        <f aca="false">IFERROR(C66/C$20,0)</f>
        <v>-0.117254004082483</v>
      </c>
      <c r="E66" s="41" t="n">
        <f aca="false">E62-E64</f>
        <v>-3538.26581666667</v>
      </c>
      <c r="F66" s="42" t="n">
        <f aca="false">IFERROR(E66/E$20,0)</f>
        <v>-0.117254004082483</v>
      </c>
      <c r="G66" s="41" t="n">
        <f aca="false">G62-G64</f>
        <v>-3538.26581666667</v>
      </c>
      <c r="H66" s="42" t="n">
        <f aca="false">IFERROR(G66/G$20,0)</f>
        <v>-0.117254004082483</v>
      </c>
      <c r="I66" s="41" t="n">
        <f aca="false">I62-I64</f>
        <v>-3538.26581666667</v>
      </c>
      <c r="J66" s="42" t="n">
        <f aca="false">IFERROR(I66/I$20,0)</f>
        <v>-0.117254004082483</v>
      </c>
      <c r="K66" s="41" t="n">
        <f aca="false">K62-K64</f>
        <v>-3538.26581666667</v>
      </c>
      <c r="L66" s="42" t="n">
        <f aca="false">IFERROR(K66/K$20,0)</f>
        <v>-0.117254004082483</v>
      </c>
      <c r="M66" s="41" t="n">
        <f aca="false">M62-M64</f>
        <v>-3538.26581666667</v>
      </c>
      <c r="N66" s="42" t="n">
        <f aca="false">IFERROR(M66/M$20,0)</f>
        <v>-0.117254004082483</v>
      </c>
      <c r="O66" s="41" t="n">
        <f aca="false">O62-O64</f>
        <v>-3538.26581666667</v>
      </c>
      <c r="P66" s="42" t="n">
        <f aca="false">IFERROR(O66/O$20,0)</f>
        <v>-0.117254004082483</v>
      </c>
      <c r="Q66" s="41" t="n">
        <f aca="false">Q62-Q64</f>
        <v>-3538.26581666667</v>
      </c>
      <c r="R66" s="42" t="n">
        <f aca="false">IFERROR(Q66/Q$20,0)</f>
        <v>-0.117254004082483</v>
      </c>
      <c r="S66" s="41" t="n">
        <f aca="false">S62-S64</f>
        <v>-3538.26581666667</v>
      </c>
      <c r="T66" s="42" t="n">
        <f aca="false">IFERROR(S66/S$20,0)</f>
        <v>-0.117254004082483</v>
      </c>
      <c r="U66" s="41" t="n">
        <f aca="false">U62-U64</f>
        <v>-3538.26581666667</v>
      </c>
      <c r="V66" s="42" t="n">
        <f aca="false">IFERROR(U66/U$20,0)</f>
        <v>-0.117254004082483</v>
      </c>
      <c r="W66" s="41" t="n">
        <f aca="false">W62-W64</f>
        <v>-3538.26581666667</v>
      </c>
      <c r="X66" s="42" t="n">
        <f aca="false">IFERROR(W66/W$20,0)</f>
        <v>-0.117254004082483</v>
      </c>
      <c r="Y66" s="41" t="n">
        <f aca="false">Y62-Y64</f>
        <v>-3538.26581666667</v>
      </c>
      <c r="Z66" s="42" t="n">
        <f aca="false">IFERROR(Y66/Y$20,0)</f>
        <v>-0.117254004082483</v>
      </c>
      <c r="AB66" s="41" t="n">
        <f aca="false">AB62-AB64</f>
        <v>-42459.1898</v>
      </c>
      <c r="AC66" s="42" t="n">
        <f aca="false">IFERROR(AB66/AB$20,0)</f>
        <v>-0.117254004082483</v>
      </c>
    </row>
    <row r="68" customFormat="false" ht="15" hidden="false" customHeight="true" outlineLevel="0" collapsed="false">
      <c r="A68" s="27" t="s">
        <v>205</v>
      </c>
      <c r="C68" s="28" t="n">
        <f aca="false">'LW 2026 P&amp;L'!$Y$61</f>
        <v>0</v>
      </c>
      <c r="D68" s="39" t="n">
        <f aca="false">IFERROR(C68/C$20,0)</f>
        <v>0</v>
      </c>
      <c r="E68" s="28" t="n">
        <f aca="false">'LW 2026 P&amp;L'!$Y$61</f>
        <v>0</v>
      </c>
      <c r="F68" s="39" t="n">
        <f aca="false">IFERROR(E68/E$20,0)</f>
        <v>0</v>
      </c>
      <c r="G68" s="28" t="n">
        <f aca="false">'LW 2026 P&amp;L'!$Y$61</f>
        <v>0</v>
      </c>
      <c r="H68" s="39" t="n">
        <f aca="false">IFERROR(G68/G$20,0)</f>
        <v>0</v>
      </c>
      <c r="I68" s="28" t="n">
        <f aca="false">'LW 2026 P&amp;L'!$Y$61</f>
        <v>0</v>
      </c>
      <c r="J68" s="39" t="n">
        <f aca="false">IFERROR(I68/I$20,0)</f>
        <v>0</v>
      </c>
      <c r="K68" s="28" t="n">
        <f aca="false">'LW 2026 P&amp;L'!$Y$61</f>
        <v>0</v>
      </c>
      <c r="L68" s="39" t="n">
        <f aca="false">IFERROR(K68/K$20,0)</f>
        <v>0</v>
      </c>
      <c r="M68" s="28" t="n">
        <f aca="false">'LW 2026 P&amp;L'!$Y$61</f>
        <v>0</v>
      </c>
      <c r="N68" s="39" t="n">
        <f aca="false">IFERROR(M68/M$20,0)</f>
        <v>0</v>
      </c>
      <c r="O68" s="28" t="n">
        <f aca="false">'LW 2026 P&amp;L'!$Y$61</f>
        <v>0</v>
      </c>
      <c r="P68" s="39" t="n">
        <f aca="false">IFERROR(O68/O$20,0)</f>
        <v>0</v>
      </c>
      <c r="Q68" s="28" t="n">
        <f aca="false">'LW 2026 P&amp;L'!$Y$61</f>
        <v>0</v>
      </c>
      <c r="R68" s="39" t="n">
        <f aca="false">IFERROR(Q68/Q$20,0)</f>
        <v>0</v>
      </c>
      <c r="S68" s="28" t="n">
        <f aca="false">'LW 2026 P&amp;L'!$Y$61</f>
        <v>0</v>
      </c>
      <c r="T68" s="39" t="n">
        <f aca="false">IFERROR(S68/S$20,0)</f>
        <v>0</v>
      </c>
      <c r="U68" s="28" t="n">
        <f aca="false">'LW 2026 P&amp;L'!$Y$61</f>
        <v>0</v>
      </c>
      <c r="V68" s="39" t="n">
        <f aca="false">IFERROR(U68/U$20,0)</f>
        <v>0</v>
      </c>
      <c r="W68" s="28" t="n">
        <f aca="false">'LW 2026 P&amp;L'!$Y$61</f>
        <v>0</v>
      </c>
      <c r="X68" s="39" t="n">
        <f aca="false">IFERROR(W68/W$20,0)</f>
        <v>0</v>
      </c>
      <c r="Y68" s="28" t="n">
        <f aca="false">'LW 2026 P&amp;L'!$Y$61</f>
        <v>0</v>
      </c>
      <c r="Z68" s="39" t="n">
        <f aca="false">IFERROR(Y68/Y$20,0)</f>
        <v>0</v>
      </c>
      <c r="AB68" s="28" t="n">
        <f aca="false">SUM(C68,E68,G68,I68,K68,M68,O68,Q68,S68,U68,W68,Y68)</f>
        <v>0</v>
      </c>
      <c r="AC68" s="39" t="n">
        <f aca="false">IFERROR(AB68/AB$20,0)</f>
        <v>0</v>
      </c>
    </row>
    <row r="69" customFormat="false" ht="15" hidden="false" customHeight="true" outlineLevel="0" collapsed="false">
      <c r="A69" s="27" t="s">
        <v>206</v>
      </c>
      <c r="C69" s="28" t="n">
        <f aca="false">'LW 2026 P&amp;L'!$Y$62</f>
        <v>249</v>
      </c>
      <c r="D69" s="39" t="n">
        <f aca="false">IFERROR(C69/C$20,0)</f>
        <v>0.00825156970372667</v>
      </c>
      <c r="E69" s="28" t="n">
        <f aca="false">'LW 2026 P&amp;L'!$Y$62</f>
        <v>249</v>
      </c>
      <c r="F69" s="39" t="n">
        <f aca="false">IFERROR(E69/E$20,0)</f>
        <v>0.00825156970372667</v>
      </c>
      <c r="G69" s="28" t="n">
        <f aca="false">'LW 2026 P&amp;L'!$Y$62</f>
        <v>249</v>
      </c>
      <c r="H69" s="39" t="n">
        <f aca="false">IFERROR(G69/G$20,0)</f>
        <v>0.00825156970372667</v>
      </c>
      <c r="I69" s="28" t="n">
        <f aca="false">'LW 2026 P&amp;L'!$Y$62</f>
        <v>249</v>
      </c>
      <c r="J69" s="39" t="n">
        <f aca="false">IFERROR(I69/I$20,0)</f>
        <v>0.00825156970372667</v>
      </c>
      <c r="K69" s="28" t="n">
        <f aca="false">'LW 2026 P&amp;L'!$Y$62</f>
        <v>249</v>
      </c>
      <c r="L69" s="39" t="n">
        <f aca="false">IFERROR(K69/K$20,0)</f>
        <v>0.00825156970372667</v>
      </c>
      <c r="M69" s="28" t="n">
        <f aca="false">'LW 2026 P&amp;L'!$Y$62</f>
        <v>249</v>
      </c>
      <c r="N69" s="39" t="n">
        <f aca="false">IFERROR(M69/M$20,0)</f>
        <v>0.00825156970372667</v>
      </c>
      <c r="O69" s="28" t="n">
        <f aca="false">'LW 2026 P&amp;L'!$Y$62</f>
        <v>249</v>
      </c>
      <c r="P69" s="39" t="n">
        <f aca="false">IFERROR(O69/O$20,0)</f>
        <v>0.00825156970372667</v>
      </c>
      <c r="Q69" s="28" t="n">
        <f aca="false">'LW 2026 P&amp;L'!$Y$62</f>
        <v>249</v>
      </c>
      <c r="R69" s="39" t="n">
        <f aca="false">IFERROR(Q69/Q$20,0)</f>
        <v>0.00825156970372667</v>
      </c>
      <c r="S69" s="28" t="n">
        <f aca="false">'LW 2026 P&amp;L'!$Y$62</f>
        <v>249</v>
      </c>
      <c r="T69" s="39" t="n">
        <f aca="false">IFERROR(S69/S$20,0)</f>
        <v>0.00825156970372667</v>
      </c>
      <c r="U69" s="28" t="n">
        <f aca="false">'LW 2026 P&amp;L'!$Y$62</f>
        <v>249</v>
      </c>
      <c r="V69" s="39" t="n">
        <f aca="false">IFERROR(U69/U$20,0)</f>
        <v>0.00825156970372667</v>
      </c>
      <c r="W69" s="28" t="n">
        <f aca="false">'LW 2026 P&amp;L'!$Y$62</f>
        <v>249</v>
      </c>
      <c r="X69" s="39" t="n">
        <f aca="false">IFERROR(W69/W$20,0)</f>
        <v>0.00825156970372667</v>
      </c>
      <c r="Y69" s="28" t="n">
        <f aca="false">'LW 2026 P&amp;L'!$Y$62</f>
        <v>249</v>
      </c>
      <c r="Z69" s="39" t="n">
        <f aca="false">IFERROR(Y69/Y$20,0)</f>
        <v>0.00825156970372667</v>
      </c>
      <c r="AB69" s="28" t="n">
        <f aca="false">SUM(C69,E69,G69,I69,K69,M69,O69,Q69,S69,U69,W69,Y69)</f>
        <v>2988</v>
      </c>
      <c r="AC69" s="39" t="n">
        <f aca="false">IFERROR(AB69/AB$20,0)</f>
        <v>0.00825156970372667</v>
      </c>
    </row>
    <row r="70" customFormat="false" ht="15" hidden="false" customHeight="true" outlineLevel="0" collapsed="false">
      <c r="A70" s="31" t="s">
        <v>207</v>
      </c>
      <c r="C70" s="43" t="n">
        <f aca="false">C66-C68-C69</f>
        <v>-3787.26581666667</v>
      </c>
      <c r="D70" s="44" t="n">
        <f aca="false">IFERROR(C70/C$20,0)</f>
        <v>-0.12550557378621</v>
      </c>
      <c r="E70" s="43" t="n">
        <f aca="false">E66-E68-E69</f>
        <v>-3787.26581666667</v>
      </c>
      <c r="F70" s="44" t="n">
        <f aca="false">IFERROR(E70/E$20,0)</f>
        <v>-0.12550557378621</v>
      </c>
      <c r="G70" s="43" t="n">
        <f aca="false">G66-G68-G69</f>
        <v>-3787.26581666667</v>
      </c>
      <c r="H70" s="44" t="n">
        <f aca="false">IFERROR(G70/G$20,0)</f>
        <v>-0.12550557378621</v>
      </c>
      <c r="I70" s="43" t="n">
        <f aca="false">I66-I68-I69</f>
        <v>-3787.26581666667</v>
      </c>
      <c r="J70" s="44" t="n">
        <f aca="false">IFERROR(I70/I$20,0)</f>
        <v>-0.12550557378621</v>
      </c>
      <c r="K70" s="43" t="n">
        <f aca="false">K66-K68-K69</f>
        <v>-3787.26581666667</v>
      </c>
      <c r="L70" s="44" t="n">
        <f aca="false">IFERROR(K70/K$20,0)</f>
        <v>-0.12550557378621</v>
      </c>
      <c r="M70" s="43" t="n">
        <f aca="false">M66-M68-M69</f>
        <v>-3787.26581666667</v>
      </c>
      <c r="N70" s="44" t="n">
        <f aca="false">IFERROR(M70/M$20,0)</f>
        <v>-0.12550557378621</v>
      </c>
      <c r="O70" s="43" t="n">
        <f aca="false">O66-O68-O69</f>
        <v>-3787.26581666667</v>
      </c>
      <c r="P70" s="44" t="n">
        <f aca="false">IFERROR(O70/O$20,0)</f>
        <v>-0.12550557378621</v>
      </c>
      <c r="Q70" s="43" t="n">
        <f aca="false">Q66-Q68-Q69</f>
        <v>-3787.26581666667</v>
      </c>
      <c r="R70" s="44" t="n">
        <f aca="false">IFERROR(Q70/Q$20,0)</f>
        <v>-0.12550557378621</v>
      </c>
      <c r="S70" s="43" t="n">
        <f aca="false">S66-S68-S69</f>
        <v>-3787.26581666667</v>
      </c>
      <c r="T70" s="44" t="n">
        <f aca="false">IFERROR(S70/S$20,0)</f>
        <v>-0.12550557378621</v>
      </c>
      <c r="U70" s="43" t="n">
        <f aca="false">U66-U68-U69</f>
        <v>-3787.26581666667</v>
      </c>
      <c r="V70" s="44" t="n">
        <f aca="false">IFERROR(U70/U$20,0)</f>
        <v>-0.12550557378621</v>
      </c>
      <c r="W70" s="43" t="n">
        <f aca="false">W66-W68-W69</f>
        <v>-3787.26581666667</v>
      </c>
      <c r="X70" s="44" t="n">
        <f aca="false">IFERROR(W70/W$20,0)</f>
        <v>-0.12550557378621</v>
      </c>
      <c r="Y70" s="43" t="n">
        <f aca="false">Y66-Y68-Y69</f>
        <v>-3787.26581666667</v>
      </c>
      <c r="Z70" s="44" t="n">
        <f aca="false">IFERROR(Y70/Y$20,0)</f>
        <v>-0.12550557378621</v>
      </c>
      <c r="AB70" s="43" t="n">
        <f aca="false">AB66-AB68-AB69</f>
        <v>-45447.1898</v>
      </c>
      <c r="AC70" s="44" t="n">
        <f aca="false">IFERROR(AB70/AB$20,0)</f>
        <v>-0.12550557378621</v>
      </c>
    </row>
    <row r="72" customFormat="false" ht="15" hidden="false" customHeight="true" outlineLevel="0" collapsed="false">
      <c r="A72" s="21" t="s">
        <v>411</v>
      </c>
    </row>
    <row r="74" customFormat="false" ht="15" hidden="false" customHeight="true" outlineLevel="0" collapsed="false">
      <c r="A74" s="31" t="s">
        <v>412</v>
      </c>
    </row>
    <row r="75" customFormat="false" ht="15" hidden="false" customHeight="true" outlineLevel="0" collapsed="false">
      <c r="A75" s="31" t="s">
        <v>413</v>
      </c>
      <c r="C75" s="31" t="s">
        <v>414</v>
      </c>
      <c r="E75" s="31" t="s">
        <v>415</v>
      </c>
    </row>
    <row r="76" customFormat="false" ht="15" hidden="false" customHeight="true" outlineLevel="0" collapsed="false">
      <c r="A76" s="27" t="s">
        <v>416</v>
      </c>
      <c r="C76" s="79" t="n">
        <f aca="false">'LW Assumptions'!$C$20+'LW Assumptions'!$C$21</f>
        <v>11.1428571428571</v>
      </c>
      <c r="E76" s="28" t="n">
        <f aca="false">$AB$62-((C76-('LW Assumptions'!$C$20+'LW Assumptions'!$C$21))*'LW Assumptions'!$C$22*52*'LW Assumptions'!$C$23*(1+'LW Assumptions'!$C$24))</f>
        <v>-42459.1898</v>
      </c>
    </row>
    <row r="77" customFormat="false" ht="15" hidden="false" customHeight="true" outlineLevel="0" collapsed="false">
      <c r="A77" s="27" t="s">
        <v>417</v>
      </c>
      <c r="C77" s="79" t="n">
        <v>8</v>
      </c>
      <c r="E77" s="28" t="n">
        <f aca="false">$AB$62-((C77-('LW Assumptions'!$C$20+'LW Assumptions'!$C$21))*'LW Assumptions'!$C$22*52*'LW Assumptions'!$C$23*(1+'LW Assumptions'!$C$24))</f>
        <v>-15918.3898</v>
      </c>
    </row>
    <row r="78" customFormat="false" ht="15" hidden="false" customHeight="true" outlineLevel="0" collapsed="false">
      <c r="A78" s="27" t="s">
        <v>418</v>
      </c>
      <c r="C78" s="79" t="n">
        <v>13.5</v>
      </c>
      <c r="E78" s="28" t="n">
        <f aca="false">$AB$62-((C78-('LW Assumptions'!$C$20+'LW Assumptions'!$C$21))*'LW Assumptions'!$C$22*52*'LW Assumptions'!$C$23*(1+'LW Assumptions'!$C$24))</f>
        <v>-62364.7898</v>
      </c>
    </row>
    <row r="79" customFormat="false" ht="15" hidden="false" customHeight="true" outlineLevel="0" collapsed="false">
      <c r="A79" s="27" t="s">
        <v>419</v>
      </c>
      <c r="C79" s="79" t="n">
        <v>16</v>
      </c>
      <c r="E79" s="28" t="n">
        <f aca="false">$AB$62-((C79-('LW Assumptions'!$C$20+'LW Assumptions'!$C$21))*'LW Assumptions'!$C$22*52*'LW Assumptions'!$C$23*(1+'LW Assumptions'!$C$24))</f>
        <v>-83476.7898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"/>
    <col collapsed="false" customWidth="true" hidden="false" outlineLevel="0" max="2" min="2" style="9" width="34"/>
    <col collapsed="false" customWidth="true" hidden="false" outlineLevel="0" max="4" min="3" style="9" width="14"/>
    <col collapsed="false" customWidth="true" hidden="false" outlineLevel="0" max="5" min="5" style="9" width="3"/>
    <col collapsed="false" customWidth="true" hidden="false" outlineLevel="0" max="6" min="6" style="9" width="16"/>
    <col collapsed="false" customWidth="true" hidden="false" outlineLevel="0" max="7" min="7" style="9" width="12"/>
    <col collapsed="false" customWidth="true" hidden="false" outlineLevel="0" max="8" min="8" style="9" width="10"/>
  </cols>
  <sheetData>
    <row r="1" customFormat="false" ht="37.5" hidden="false" customHeight="true" outlineLevel="0" collapsed="false">
      <c r="A1" s="47" t="s">
        <v>420</v>
      </c>
      <c r="B1" s="47"/>
      <c r="C1" s="47"/>
      <c r="D1" s="47"/>
      <c r="E1" s="47"/>
      <c r="F1" s="47"/>
      <c r="G1" s="47"/>
      <c r="H1" s="47"/>
    </row>
    <row r="2" customFormat="false" ht="15" hidden="false" customHeight="true" outlineLevel="0" collapsed="false">
      <c r="A2" s="48" t="s">
        <v>421</v>
      </c>
      <c r="B2" s="48"/>
      <c r="C2" s="48"/>
      <c r="D2" s="48"/>
      <c r="E2" s="48"/>
      <c r="F2" s="48"/>
      <c r="G2" s="48"/>
      <c r="H2" s="48"/>
    </row>
    <row r="4" customFormat="false" ht="15" hidden="false" customHeight="true" outlineLevel="0" collapsed="false">
      <c r="B4" s="49" t="s">
        <v>422</v>
      </c>
      <c r="F4" s="49" t="s">
        <v>423</v>
      </c>
    </row>
    <row r="5" customFormat="false" ht="15" hidden="false" customHeight="true" outlineLevel="0" collapsed="false">
      <c r="B5" s="80" t="s">
        <v>424</v>
      </c>
      <c r="C5" s="50" t="s">
        <v>304</v>
      </c>
      <c r="D5" s="50" t="s">
        <v>425</v>
      </c>
      <c r="F5" s="80" t="s">
        <v>426</v>
      </c>
      <c r="G5" s="50" t="s">
        <v>427</v>
      </c>
      <c r="H5" s="50" t="s">
        <v>428</v>
      </c>
    </row>
    <row r="6" customFormat="false" ht="15" hidden="false" customHeight="true" outlineLevel="0" collapsed="false">
      <c r="B6" s="54" t="s">
        <v>429</v>
      </c>
      <c r="C6" s="57" t="n">
        <v>42998</v>
      </c>
      <c r="D6" s="58" t="n">
        <f aca="false">C6/'LW Assumptions'!C10</f>
        <v>0.161523943357004</v>
      </c>
      <c r="F6" s="54" t="s">
        <v>430</v>
      </c>
      <c r="G6" s="57" t="n">
        <v>72907</v>
      </c>
      <c r="H6" s="58" t="n">
        <f aca="false">G6/$G$8</f>
        <v>0.692354443843005</v>
      </c>
    </row>
    <row r="7" customFormat="false" ht="15" hidden="false" customHeight="true" outlineLevel="0" collapsed="false">
      <c r="B7" s="54" t="s">
        <v>431</v>
      </c>
      <c r="C7" s="57" t="n">
        <v>54634</v>
      </c>
      <c r="D7" s="58" t="n">
        <f aca="false">C7/'LW Assumptions'!C10</f>
        <v>0.205235106780933</v>
      </c>
      <c r="F7" s="54" t="s">
        <v>432</v>
      </c>
      <c r="G7" s="57" t="n">
        <v>32396</v>
      </c>
      <c r="H7" s="58" t="n">
        <f aca="false">G7/$G$8</f>
        <v>0.307645556156995</v>
      </c>
    </row>
    <row r="8" customFormat="false" ht="15" hidden="false" customHeight="true" outlineLevel="0" collapsed="false">
      <c r="B8" s="54" t="s">
        <v>433</v>
      </c>
      <c r="C8" s="57" t="n">
        <v>30727</v>
      </c>
      <c r="D8" s="58" t="n">
        <f aca="false">C8/'LW Assumptions'!C10</f>
        <v>0.115427373541343</v>
      </c>
      <c r="F8" s="89" t="s">
        <v>434</v>
      </c>
      <c r="G8" s="52" t="n">
        <f aca="false">G6+G7</f>
        <v>105303</v>
      </c>
      <c r="H8" s="53" t="n">
        <f aca="false">G8/$G$8</f>
        <v>1</v>
      </c>
    </row>
    <row r="9" customFormat="false" ht="15" hidden="false" customHeight="true" outlineLevel="0" collapsed="false">
      <c r="B9" s="54" t="s">
        <v>435</v>
      </c>
      <c r="C9" s="57" t="n">
        <v>12880</v>
      </c>
      <c r="D9" s="58" t="n">
        <f aca="false">C9/'LW Assumptions'!C10</f>
        <v>0.0483843060244246</v>
      </c>
    </row>
    <row r="10" customFormat="false" ht="15" hidden="false" customHeight="true" outlineLevel="0" collapsed="false">
      <c r="B10" s="54" t="s">
        <v>436</v>
      </c>
      <c r="C10" s="57" t="n">
        <v>886</v>
      </c>
      <c r="D10" s="58" t="n">
        <f aca="false">C10/'LW Assumptions'!C10</f>
        <v>0.00332829931192859</v>
      </c>
      <c r="F10" s="70" t="s">
        <v>437</v>
      </c>
    </row>
    <row r="11" customFormat="false" ht="15" hidden="false" customHeight="true" outlineLevel="0" collapsed="false">
      <c r="B11" s="54" t="s">
        <v>438</v>
      </c>
      <c r="C11" s="57" t="n">
        <v>22733</v>
      </c>
      <c r="D11" s="58" t="n">
        <f aca="false">C11/'LW Assumptions'!C10</f>
        <v>0.0853975488240097</v>
      </c>
      <c r="F11" s="70" t="s">
        <v>439</v>
      </c>
    </row>
    <row r="12" customFormat="false" ht="15" hidden="false" customHeight="true" outlineLevel="0" collapsed="false">
      <c r="B12" s="89" t="s">
        <v>440</v>
      </c>
      <c r="C12" s="52" t="n">
        <f aca="false">SUM(C6:C11)</f>
        <v>164858</v>
      </c>
      <c r="D12" s="53" t="n">
        <f aca="false">C12/'LW Assumptions'!C10</f>
        <v>0.619296577839642</v>
      </c>
      <c r="F12" s="70" t="s">
        <v>441</v>
      </c>
    </row>
    <row r="14" customFormat="false" ht="15" hidden="false" customHeight="true" outlineLevel="0" collapsed="false">
      <c r="B14" s="49" t="s">
        <v>442</v>
      </c>
    </row>
    <row r="15" customFormat="false" ht="15" hidden="false" customHeight="true" outlineLevel="0" collapsed="false">
      <c r="B15" s="54" t="s">
        <v>443</v>
      </c>
      <c r="C15" s="90" t="n">
        <f aca="false">'LW Assumptions'!C20+'LW Assumptions'!C21</f>
        <v>11.1428571428571</v>
      </c>
    </row>
    <row r="16" customFormat="false" ht="15" hidden="false" customHeight="true" outlineLevel="0" collapsed="false">
      <c r="B16" s="54" t="s">
        <v>444</v>
      </c>
      <c r="C16" s="61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4" t="s">
        <v>445</v>
      </c>
      <c r="C17" s="57" t="n">
        <f aca="false">C16*'LW Assumptions'!C23</f>
        <v>81120</v>
      </c>
    </row>
    <row r="18" customFormat="false" ht="15" hidden="false" customHeight="true" outlineLevel="0" collapsed="false">
      <c r="B18" s="54" t="s">
        <v>446</v>
      </c>
      <c r="C18" s="57" t="n">
        <f aca="false">'LW Assumptions'!C26*52</f>
        <v>15392</v>
      </c>
    </row>
    <row r="19" customFormat="false" ht="15" hidden="false" customHeight="true" outlineLevel="0" collapsed="false">
      <c r="B19" s="54" t="s">
        <v>447</v>
      </c>
      <c r="C19" s="57" t="n">
        <f aca="false">(C17+C18)*'LW Assumptions'!C24</f>
        <v>15441.92</v>
      </c>
    </row>
    <row r="20" customFormat="false" ht="15" hidden="false" customHeight="true" outlineLevel="0" collapsed="false">
      <c r="B20" s="54" t="s">
        <v>448</v>
      </c>
      <c r="C20" s="61" t="n">
        <f aca="false">C17+C18+C19</f>
        <v>111953.92</v>
      </c>
    </row>
    <row r="21" customFormat="false" ht="15" hidden="false" customHeight="true" outlineLevel="0" collapsed="false">
      <c r="B21" s="91" t="s">
        <v>449</v>
      </c>
      <c r="C21" s="92" t="n">
        <f aca="false">C12-C20</f>
        <v>52904.08</v>
      </c>
    </row>
    <row r="23" customFormat="false" ht="15" hidden="false" customHeight="true" outlineLevel="0" collapsed="false">
      <c r="B23" s="67" t="s">
        <v>450</v>
      </c>
      <c r="C23" s="67"/>
      <c r="D23" s="67"/>
      <c r="E23" s="67"/>
      <c r="F23" s="67"/>
      <c r="G23" s="67"/>
      <c r="H23" s="67"/>
    </row>
    <row r="24" customFormat="false" ht="15" hidden="false" customHeight="true" outlineLevel="0" collapsed="false">
      <c r="B24" s="67"/>
      <c r="C24" s="67"/>
      <c r="D24" s="67"/>
      <c r="E24" s="67"/>
      <c r="F24" s="67"/>
      <c r="G24" s="67"/>
      <c r="H24" s="67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2"/>
    <col collapsed="false" customWidth="true" hidden="false" outlineLevel="0" max="4" min="2" style="9" width="20"/>
  </cols>
  <sheetData>
    <row r="1" customFormat="false" ht="25.5" hidden="false" customHeight="true" outlineLevel="0" collapsed="false">
      <c r="A1" s="93" t="s">
        <v>451</v>
      </c>
      <c r="B1" s="45"/>
      <c r="C1" s="45"/>
      <c r="D1" s="45"/>
    </row>
    <row r="2" customFormat="false" ht="15" hidden="false" customHeight="true" outlineLevel="0" collapsed="false">
      <c r="A2" s="94" t="s">
        <v>452</v>
      </c>
      <c r="B2" s="94"/>
      <c r="C2" s="94"/>
      <c r="D2" s="94"/>
    </row>
    <row r="4" customFormat="false" ht="15" hidden="false" customHeight="true" outlineLevel="0" collapsed="false">
      <c r="A4" s="80"/>
      <c r="B4" s="50" t="s">
        <v>453</v>
      </c>
      <c r="C4" s="50" t="s">
        <v>454</v>
      </c>
      <c r="D4" s="50" t="s">
        <v>455</v>
      </c>
    </row>
    <row r="5" customFormat="false" ht="15" hidden="false" customHeight="true" outlineLevel="0" collapsed="false">
      <c r="A5" s="89" t="s">
        <v>456</v>
      </c>
      <c r="B5" s="95"/>
      <c r="C5" s="95"/>
      <c r="D5" s="95"/>
    </row>
    <row r="6" customFormat="false" ht="15" hidden="false" customHeight="true" outlineLevel="0" collapsed="false">
      <c r="A6" s="96" t="s">
        <v>457</v>
      </c>
      <c r="B6" s="97" t="s">
        <v>458</v>
      </c>
      <c r="C6" s="97" t="n">
        <f aca="false">'LW Assumptions'!$C$20+'LW Assumptions'!$C$21</f>
        <v>11.1428571428571</v>
      </c>
    </row>
    <row r="7" customFormat="false" ht="15" hidden="false" customHeight="true" outlineLevel="0" collapsed="false">
      <c r="A7" s="96" t="s">
        <v>459</v>
      </c>
      <c r="B7" s="98" t="n">
        <v>7</v>
      </c>
      <c r="C7" s="98" t="n">
        <f aca="false">'LW Assumptions'!$C$22</f>
        <v>7</v>
      </c>
    </row>
    <row r="9" customFormat="false" ht="15" hidden="false" customHeight="true" outlineLevel="0" collapsed="false">
      <c r="A9" s="89" t="s">
        <v>460</v>
      </c>
      <c r="B9" s="95"/>
      <c r="C9" s="95"/>
      <c r="D9" s="95"/>
    </row>
    <row r="10" customFormat="false" ht="15" hidden="false" customHeight="true" outlineLevel="0" collapsed="false">
      <c r="A10" s="96" t="s">
        <v>461</v>
      </c>
      <c r="B10" s="99" t="n">
        <v>111.8</v>
      </c>
      <c r="C10" s="99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96" t="s">
        <v>462</v>
      </c>
      <c r="B11" s="99" t="n">
        <v>13.3</v>
      </c>
      <c r="C11" s="99" t="n">
        <f aca="false">B11</f>
        <v>13.3</v>
      </c>
    </row>
    <row r="12" customFormat="false" ht="15" hidden="false" customHeight="true" outlineLevel="0" collapsed="false">
      <c r="A12" s="100" t="s">
        <v>463</v>
      </c>
      <c r="B12" s="101" t="n">
        <v>125.1</v>
      </c>
      <c r="C12" s="101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02"/>
      <c r="B13" s="103"/>
      <c r="C13" s="103"/>
    </row>
    <row r="14" customFormat="false" ht="15" hidden="false" customHeight="true" outlineLevel="0" collapsed="false">
      <c r="A14" s="89" t="s">
        <v>464</v>
      </c>
      <c r="B14" s="95"/>
      <c r="C14" s="95"/>
      <c r="D14" s="95"/>
    </row>
    <row r="15" customFormat="false" ht="15" hidden="false" customHeight="true" outlineLevel="0" collapsed="false">
      <c r="A15" s="96" t="s">
        <v>465</v>
      </c>
      <c r="B15" s="104" t="n">
        <v>2207</v>
      </c>
      <c r="C15" s="104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96" t="s">
        <v>466</v>
      </c>
      <c r="B16" s="104" t="n">
        <v>296</v>
      </c>
      <c r="C16" s="104" t="n">
        <f aca="false">'LW Assumptions'!$C$26</f>
        <v>296</v>
      </c>
    </row>
    <row r="17" customFormat="false" ht="15" hidden="false" customHeight="true" outlineLevel="0" collapsed="false">
      <c r="A17" s="102" t="s">
        <v>467</v>
      </c>
      <c r="B17" s="82" t="n">
        <v>2503</v>
      </c>
      <c r="C17" s="82" t="n">
        <f aca="false">C15+C16</f>
        <v>1856</v>
      </c>
    </row>
    <row r="18" customFormat="false" ht="15" hidden="false" customHeight="true" outlineLevel="0" collapsed="false">
      <c r="A18" s="96" t="s">
        <v>468</v>
      </c>
      <c r="B18" s="104" t="n">
        <f aca="false">'LW Assumptions'!$C$45/52</f>
        <v>247.692307692308</v>
      </c>
      <c r="C18" s="104" t="n">
        <f aca="false">'LW Assumptions'!$C$45/52</f>
        <v>247.692307692308</v>
      </c>
    </row>
    <row r="19" customFormat="false" ht="15" hidden="false" customHeight="true" outlineLevel="0" collapsed="false">
      <c r="A19" s="96" t="s">
        <v>469</v>
      </c>
      <c r="B19" s="104" t="n">
        <f aca="false">(B17+B18)*'LW Assumptions'!$C$24</f>
        <v>440.110769230769</v>
      </c>
      <c r="C19" s="104" t="n">
        <f aca="false">(C17+C18)*'LW Assumptions'!$C$24</f>
        <v>336.590769230769</v>
      </c>
    </row>
    <row r="20" customFormat="false" ht="15" hidden="false" customHeight="true" outlineLevel="0" collapsed="false">
      <c r="A20" s="105" t="s">
        <v>470</v>
      </c>
      <c r="B20" s="106" t="n">
        <f aca="false">B17+B18+B19</f>
        <v>3190.80307692308</v>
      </c>
      <c r="C20" s="106" t="n">
        <f aca="false">C17+C18+C19</f>
        <v>2440.28307692308</v>
      </c>
      <c r="D20" s="106" t="n">
        <f aca="false">C20-B20</f>
        <v>-750.52</v>
      </c>
    </row>
    <row r="21" customFormat="false" ht="15" hidden="false" customHeight="true" outlineLevel="0" collapsed="false">
      <c r="A21" s="107"/>
      <c r="B21" s="108"/>
      <c r="C21" s="108"/>
      <c r="D21" s="108"/>
    </row>
    <row r="22" customFormat="false" ht="15" hidden="false" customHeight="true" outlineLevel="0" collapsed="false">
      <c r="A22" s="102" t="s">
        <v>471</v>
      </c>
      <c r="B22" s="82" t="n">
        <f aca="false">B20*52</f>
        <v>165921.76</v>
      </c>
      <c r="C22" s="82" t="n">
        <f aca="false">C20*52</f>
        <v>126894.72</v>
      </c>
      <c r="D22" s="82" t="n">
        <f aca="false">C22-B22</f>
        <v>-39027.04</v>
      </c>
    </row>
    <row r="23" customFormat="false" ht="15" hidden="false" customHeight="true" outlineLevel="0" collapsed="false">
      <c r="A23" s="102"/>
      <c r="B23" s="82"/>
      <c r="C23" s="82"/>
      <c r="D23" s="82"/>
    </row>
    <row r="24" customFormat="false" ht="15" hidden="false" customHeight="true" outlineLevel="0" collapsed="false">
      <c r="A24" s="89" t="s">
        <v>472</v>
      </c>
      <c r="B24" s="95"/>
      <c r="C24" s="95"/>
      <c r="D24" s="95"/>
    </row>
    <row r="25" customFormat="false" ht="15" hidden="false" customHeight="true" outlineLevel="0" collapsed="false">
      <c r="A25" s="96" t="s">
        <v>473</v>
      </c>
      <c r="B25" s="104" t="n">
        <v>5888.94</v>
      </c>
      <c r="C25" s="104" t="n">
        <v>5888.94</v>
      </c>
    </row>
    <row r="26" customFormat="false" ht="15" hidden="false" customHeight="true" outlineLevel="0" collapsed="false">
      <c r="A26" s="102" t="s">
        <v>474</v>
      </c>
      <c r="B26" s="109" t="n">
        <f aca="false">B20/B25</f>
        <v>0.541829782086942</v>
      </c>
      <c r="C26" s="109" t="n">
        <f aca="false">C20/C25</f>
        <v>0.414384095766484</v>
      </c>
      <c r="D26" s="109" t="n">
        <f aca="false">C26-B26</f>
        <v>-0.127445686320458</v>
      </c>
    </row>
    <row r="27" customFormat="false" ht="15" hidden="false" customHeight="true" outlineLevel="0" collapsed="false">
      <c r="A27" s="102"/>
      <c r="B27" s="109"/>
      <c r="C27" s="109"/>
      <c r="D27" s="109"/>
    </row>
    <row r="28" customFormat="false" ht="15" hidden="false" customHeight="true" outlineLevel="0" collapsed="false">
      <c r="A28" s="110" t="s">
        <v>475</v>
      </c>
      <c r="B28" s="110"/>
      <c r="C28" s="110"/>
      <c r="D28" s="110"/>
    </row>
    <row r="29" customFormat="false" ht="15" hidden="false" customHeight="true" outlineLevel="0" collapsed="false">
      <c r="A29" s="102" t="s">
        <v>476</v>
      </c>
      <c r="C29" s="82" t="n">
        <f aca="false">B20-C20</f>
        <v>750.52</v>
      </c>
      <c r="D29" s="82" t="n">
        <f aca="false">C22-B22</f>
        <v>-39027.04</v>
      </c>
    </row>
    <row r="31" customFormat="false" ht="15" hidden="false" customHeight="true" outlineLevel="0" collapsed="false">
      <c r="A31" s="111" t="s">
        <v>477</v>
      </c>
    </row>
    <row r="32" customFormat="false" ht="15" hidden="false" customHeight="true" outlineLevel="0" collapsed="false">
      <c r="A32" s="112" t="s">
        <v>478</v>
      </c>
      <c r="B32" s="112"/>
      <c r="C32" s="112"/>
      <c r="D32" s="112"/>
    </row>
    <row r="33" customFormat="false" ht="15" hidden="false" customHeight="true" outlineLevel="0" collapsed="false">
      <c r="A33" s="112"/>
      <c r="B33" s="112"/>
      <c r="C33" s="112"/>
      <c r="D33" s="112"/>
    </row>
    <row r="35" customFormat="false" ht="15" hidden="false" customHeight="true" outlineLevel="0" collapsed="false">
      <c r="A35" s="111" t="s">
        <v>479</v>
      </c>
    </row>
    <row r="36" customFormat="false" ht="15" hidden="false" customHeight="true" outlineLevel="0" collapsed="false">
      <c r="A36" s="112" t="s">
        <v>480</v>
      </c>
      <c r="B36" s="112"/>
      <c r="C36" s="112"/>
      <c r="D36" s="112"/>
    </row>
    <row r="37" customFormat="false" ht="15" hidden="false" customHeight="true" outlineLevel="0" collapsed="false">
      <c r="A37" s="112"/>
      <c r="B37" s="112"/>
      <c r="C37" s="112"/>
      <c r="D37" s="112"/>
    </row>
    <row r="39" customFormat="false" ht="15" hidden="false" customHeight="true" outlineLevel="0" collapsed="false">
      <c r="A39" s="113" t="s">
        <v>481</v>
      </c>
    </row>
    <row r="40" customFormat="false" ht="15" hidden="false" customHeight="true" outlineLevel="0" collapsed="false">
      <c r="A40" s="112" t="s">
        <v>482</v>
      </c>
      <c r="B40" s="112"/>
      <c r="C40" s="112"/>
      <c r="D40" s="112"/>
    </row>
    <row r="41" customFormat="false" ht="15" hidden="false" customHeight="true" outlineLevel="0" collapsed="false">
      <c r="A41" s="112"/>
      <c r="B41" s="112"/>
      <c r="C41" s="112"/>
      <c r="D41" s="112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62"/>
    <col collapsed="false" customWidth="true" hidden="false" outlineLevel="0" max="2" min="2" style="9" width="2"/>
    <col collapsed="false" customWidth="true" hidden="false" outlineLevel="0" max="6" min="3" style="9" width="13"/>
  </cols>
  <sheetData>
    <row r="1" customFormat="false" ht="15" hidden="false" customHeight="true" outlineLevel="0" collapsed="false">
      <c r="A1" s="19" t="s">
        <v>330</v>
      </c>
    </row>
    <row r="2" customFormat="false" ht="15" hidden="false" customHeight="true" outlineLevel="0" collapsed="false">
      <c r="A2" s="19" t="s">
        <v>483</v>
      </c>
    </row>
    <row r="4" customFormat="false" ht="15" hidden="false" customHeight="true" outlineLevel="0" collapsed="false">
      <c r="A4" s="22" t="s">
        <v>484</v>
      </c>
      <c r="B4" s="22"/>
      <c r="C4" s="22" t="s">
        <v>240</v>
      </c>
      <c r="D4" s="22" t="s">
        <v>485</v>
      </c>
    </row>
    <row r="5" customFormat="false" ht="15" hidden="false" customHeight="true" outlineLevel="0" collapsed="false">
      <c r="A5" s="27" t="s">
        <v>486</v>
      </c>
      <c r="C5" s="28" t="n">
        <v>2411</v>
      </c>
      <c r="D5" s="39" t="n">
        <f aca="false">C5/$C$9</f>
        <v>0.0181152886724972</v>
      </c>
    </row>
    <row r="6" customFormat="false" ht="15" hidden="false" customHeight="true" outlineLevel="0" collapsed="false">
      <c r="A6" s="27" t="s">
        <v>487</v>
      </c>
      <c r="C6" s="28" t="n">
        <v>89592</v>
      </c>
      <c r="D6" s="39" t="n">
        <f aca="false">C6/$C$9</f>
        <v>0.673158416734289</v>
      </c>
    </row>
    <row r="7" customFormat="false" ht="15" hidden="false" customHeight="true" outlineLevel="0" collapsed="false">
      <c r="A7" s="27" t="s">
        <v>488</v>
      </c>
      <c r="C7" s="28" t="n">
        <v>13203</v>
      </c>
      <c r="D7" s="39" t="n">
        <f aca="false">C7/$C$9</f>
        <v>0.0992020557208548</v>
      </c>
    </row>
    <row r="8" customFormat="false" ht="15" hidden="false" customHeight="true" outlineLevel="0" collapsed="false">
      <c r="A8" s="27" t="s">
        <v>489</v>
      </c>
      <c r="C8" s="41" t="n">
        <v>27886</v>
      </c>
      <c r="D8" s="42" t="n">
        <f aca="false">C8/$C$9</f>
        <v>0.209524238872359</v>
      </c>
    </row>
    <row r="9" customFormat="false" ht="15" hidden="false" customHeight="true" outlineLevel="0" collapsed="false">
      <c r="A9" s="31" t="s">
        <v>490</v>
      </c>
      <c r="C9" s="32" t="n">
        <f aca="false">SUM(C5:C8)</f>
        <v>133092</v>
      </c>
    </row>
    <row r="10" customFormat="false" ht="15" hidden="false" customHeight="true" outlineLevel="0" collapsed="false">
      <c r="A10" s="21" t="s">
        <v>491</v>
      </c>
    </row>
    <row r="12" customFormat="false" ht="15" hidden="false" customHeight="true" outlineLevel="0" collapsed="false">
      <c r="A12" s="22" t="s">
        <v>492</v>
      </c>
      <c r="B12" s="22"/>
      <c r="C12" s="22" t="s">
        <v>493</v>
      </c>
      <c r="D12" s="22" t="s">
        <v>494</v>
      </c>
      <c r="E12" s="22" t="s">
        <v>495</v>
      </c>
    </row>
    <row r="13" customFormat="false" ht="15" hidden="false" customHeight="true" outlineLevel="0" collapsed="false">
      <c r="A13" s="27" t="s">
        <v>211</v>
      </c>
      <c r="C13" s="28" t="n">
        <v>15610</v>
      </c>
      <c r="D13" s="28" t="n">
        <v>1659</v>
      </c>
      <c r="E13" s="39" t="n">
        <f aca="false">D13/C13</f>
        <v>0.10627802690583</v>
      </c>
    </row>
    <row r="14" customFormat="false" ht="15" hidden="false" customHeight="true" outlineLevel="0" collapsed="false">
      <c r="A14" s="27" t="s">
        <v>212</v>
      </c>
      <c r="C14" s="28" t="n">
        <v>17968</v>
      </c>
      <c r="D14" s="28" t="n">
        <v>3181</v>
      </c>
      <c r="E14" s="39" t="n">
        <f aca="false">D14/C14</f>
        <v>0.177036954585931</v>
      </c>
    </row>
    <row r="15" customFormat="false" ht="15" hidden="false" customHeight="true" outlineLevel="0" collapsed="false">
      <c r="A15" s="27" t="s">
        <v>213</v>
      </c>
      <c r="C15" s="28" t="n">
        <v>26748</v>
      </c>
      <c r="D15" s="28" t="n">
        <v>6400</v>
      </c>
      <c r="E15" s="39" t="n">
        <f aca="false">D15/C15</f>
        <v>0.239270225811276</v>
      </c>
    </row>
    <row r="16" customFormat="false" ht="15" hidden="false" customHeight="true" outlineLevel="0" collapsed="false">
      <c r="A16" s="27" t="s">
        <v>214</v>
      </c>
      <c r="C16" s="28" t="n">
        <v>20641</v>
      </c>
      <c r="D16" s="28" t="n">
        <v>3601</v>
      </c>
      <c r="E16" s="39" t="n">
        <f aca="false">D16/C16</f>
        <v>0.174458601811928</v>
      </c>
    </row>
    <row r="17" customFormat="false" ht="15" hidden="false" customHeight="true" outlineLevel="0" collapsed="false">
      <c r="A17" s="27" t="s">
        <v>215</v>
      </c>
      <c r="C17" s="28" t="n">
        <v>24911</v>
      </c>
      <c r="D17" s="28" t="n">
        <v>6598</v>
      </c>
      <c r="E17" s="39" t="n">
        <f aca="false">D17/C17</f>
        <v>0.264862911966601</v>
      </c>
    </row>
    <row r="18" customFormat="false" ht="15" hidden="false" customHeight="true" outlineLevel="0" collapsed="false">
      <c r="A18" s="27" t="s">
        <v>216</v>
      </c>
      <c r="C18" s="28" t="n">
        <v>27214</v>
      </c>
      <c r="D18" s="28" t="n">
        <v>6447</v>
      </c>
      <c r="E18" s="39" t="n">
        <f aca="false">D18/C18</f>
        <v>0.236900124935695</v>
      </c>
    </row>
    <row r="19" customFormat="false" ht="15" hidden="false" customHeight="true" outlineLevel="0" collapsed="false">
      <c r="A19" s="21" t="s">
        <v>496</v>
      </c>
    </row>
    <row r="21" customFormat="false" ht="15" hidden="false" customHeight="true" outlineLevel="0" collapsed="false">
      <c r="A21" s="22" t="s">
        <v>497</v>
      </c>
      <c r="B21" s="22"/>
      <c r="C21" s="22" t="s">
        <v>240</v>
      </c>
      <c r="D21" s="22" t="s">
        <v>498</v>
      </c>
      <c r="E21" s="22" t="s">
        <v>499</v>
      </c>
    </row>
    <row r="22" customFormat="false" ht="15" hidden="false" customHeight="true" outlineLevel="0" collapsed="false">
      <c r="A22" s="27" t="s">
        <v>500</v>
      </c>
      <c r="C22" s="28" t="n">
        <v>5637</v>
      </c>
      <c r="D22" s="39" t="n">
        <f aca="false">C22/$C$8</f>
        <v>0.20214444524134</v>
      </c>
      <c r="E22" s="27" t="s">
        <v>501</v>
      </c>
    </row>
    <row r="23" customFormat="false" ht="15" hidden="false" customHeight="true" outlineLevel="0" collapsed="false">
      <c r="A23" s="27" t="s">
        <v>502</v>
      </c>
      <c r="C23" s="28" t="n">
        <v>3913</v>
      </c>
      <c r="D23" s="39" t="n">
        <f aca="false">C23/$C$8</f>
        <v>0.140321308183318</v>
      </c>
      <c r="E23" s="27" t="s">
        <v>501</v>
      </c>
    </row>
    <row r="24" customFormat="false" ht="15" hidden="false" customHeight="true" outlineLevel="0" collapsed="false">
      <c r="A24" s="27" t="s">
        <v>503</v>
      </c>
      <c r="C24" s="28" t="n">
        <v>3678</v>
      </c>
      <c r="D24" s="39" t="n">
        <f aca="false">C24/$C$8</f>
        <v>0.131894140428889</v>
      </c>
      <c r="E24" s="27" t="s">
        <v>501</v>
      </c>
    </row>
    <row r="25" customFormat="false" ht="15" hidden="false" customHeight="true" outlineLevel="0" collapsed="false">
      <c r="A25" s="27" t="s">
        <v>504</v>
      </c>
      <c r="C25" s="28" t="n">
        <v>2744</v>
      </c>
      <c r="D25" s="39" t="n">
        <f aca="false">C25/$C$8</f>
        <v>0.0984006311410744</v>
      </c>
      <c r="E25" s="31" t="s">
        <v>505</v>
      </c>
    </row>
    <row r="26" customFormat="false" ht="15" hidden="false" customHeight="true" outlineLevel="0" collapsed="false">
      <c r="A26" s="27" t="s">
        <v>506</v>
      </c>
      <c r="C26" s="28" t="n">
        <v>2071</v>
      </c>
      <c r="D26" s="39" t="n">
        <f aca="false">C26/$C$8</f>
        <v>0.0742666571039231</v>
      </c>
      <c r="E26" s="27" t="s">
        <v>501</v>
      </c>
    </row>
    <row r="27" customFormat="false" ht="15" hidden="false" customHeight="true" outlineLevel="0" collapsed="false">
      <c r="A27" s="27" t="s">
        <v>507</v>
      </c>
      <c r="C27" s="28" t="n">
        <v>1937</v>
      </c>
      <c r="D27" s="39" t="n">
        <f aca="false">C27/$C$8</f>
        <v>0.0694613784694829</v>
      </c>
      <c r="E27" s="27" t="s">
        <v>501</v>
      </c>
    </row>
    <row r="28" customFormat="false" ht="15" hidden="false" customHeight="true" outlineLevel="0" collapsed="false">
      <c r="A28" s="27" t="s">
        <v>508</v>
      </c>
      <c r="C28" s="28" t="n">
        <v>1726</v>
      </c>
      <c r="D28" s="39" t="n">
        <f aca="false">C28/$C$8</f>
        <v>0.0618948576346554</v>
      </c>
      <c r="E28" s="27" t="s">
        <v>501</v>
      </c>
    </row>
    <row r="29" customFormat="false" ht="15" hidden="false" customHeight="true" outlineLevel="0" collapsed="false">
      <c r="A29" s="27" t="s">
        <v>509</v>
      </c>
      <c r="C29" s="28" t="n">
        <v>1029</v>
      </c>
      <c r="D29" s="39" t="n">
        <f aca="false">C29/$C$8</f>
        <v>0.0369002366779029</v>
      </c>
      <c r="E29" s="27" t="s">
        <v>501</v>
      </c>
    </row>
    <row r="30" customFormat="false" ht="15" hidden="false" customHeight="true" outlineLevel="0" collapsed="false">
      <c r="A30" s="27" t="s">
        <v>510</v>
      </c>
      <c r="C30" s="28" t="n">
        <v>902</v>
      </c>
      <c r="D30" s="39" t="n">
        <f aca="false">C30/$C$8</f>
        <v>0.0323459800616797</v>
      </c>
      <c r="E30" s="27" t="s">
        <v>501</v>
      </c>
    </row>
    <row r="31" customFormat="false" ht="15" hidden="false" customHeight="true" outlineLevel="0" collapsed="false">
      <c r="A31" s="27" t="s">
        <v>511</v>
      </c>
      <c r="C31" s="28" t="n">
        <v>612</v>
      </c>
      <c r="D31" s="39" t="n">
        <f aca="false">C31/$C$8</f>
        <v>0.0219464964498315</v>
      </c>
      <c r="E31" s="27" t="s">
        <v>501</v>
      </c>
    </row>
    <row r="32" customFormat="false" ht="15" hidden="false" customHeight="true" outlineLevel="0" collapsed="false">
      <c r="A32" s="27" t="s">
        <v>512</v>
      </c>
      <c r="C32" s="28" t="n">
        <v>514</v>
      </c>
      <c r="D32" s="39" t="n">
        <f aca="false">C32/$C$8</f>
        <v>0.0184321881947931</v>
      </c>
      <c r="E32" s="27" t="s">
        <v>501</v>
      </c>
    </row>
    <row r="33" customFormat="false" ht="15" hidden="false" customHeight="true" outlineLevel="0" collapsed="false">
      <c r="A33" s="27" t="s">
        <v>513</v>
      </c>
      <c r="C33" s="28" t="n">
        <v>501</v>
      </c>
      <c r="D33" s="39" t="n">
        <f aca="false">C33/$C$8</f>
        <v>0.0179660044466758</v>
      </c>
      <c r="E33" s="31" t="s">
        <v>505</v>
      </c>
    </row>
    <row r="34" customFormat="false" ht="15" hidden="false" customHeight="true" outlineLevel="0" collapsed="false">
      <c r="A34" s="27" t="s">
        <v>514</v>
      </c>
      <c r="C34" s="28" t="n">
        <v>378</v>
      </c>
      <c r="D34" s="39" t="n">
        <f aca="false">C34/$C$8</f>
        <v>0.0135551889837194</v>
      </c>
      <c r="E34" s="31" t="s">
        <v>505</v>
      </c>
    </row>
    <row r="35" customFormat="false" ht="15" hidden="false" customHeight="true" outlineLevel="0" collapsed="false">
      <c r="A35" s="27" t="s">
        <v>515</v>
      </c>
      <c r="C35" s="28" t="n">
        <v>335</v>
      </c>
      <c r="D35" s="39" t="n">
        <f aca="false">C35/$C$8</f>
        <v>0.0120131965861006</v>
      </c>
      <c r="E35" s="27" t="s">
        <v>501</v>
      </c>
    </row>
    <row r="36" customFormat="false" ht="15" hidden="false" customHeight="true" outlineLevel="0" collapsed="false">
      <c r="A36" s="27" t="s">
        <v>516</v>
      </c>
      <c r="C36" s="28" t="n">
        <v>333</v>
      </c>
      <c r="D36" s="39" t="n">
        <f aca="false">C36/$C$8</f>
        <v>0.0119414760094671</v>
      </c>
      <c r="E36" s="31" t="s">
        <v>505</v>
      </c>
    </row>
    <row r="37" customFormat="false" ht="15" hidden="false" customHeight="true" outlineLevel="0" collapsed="false">
      <c r="A37" s="27" t="s">
        <v>517</v>
      </c>
      <c r="C37" s="28" t="n">
        <v>267</v>
      </c>
      <c r="D37" s="39" t="n">
        <f aca="false">C37/$C$8</f>
        <v>0.00957469698056373</v>
      </c>
      <c r="E37" s="31" t="s">
        <v>505</v>
      </c>
    </row>
    <row r="38" customFormat="false" ht="15" hidden="false" customHeight="true" outlineLevel="0" collapsed="false">
      <c r="A38" s="27" t="s">
        <v>518</v>
      </c>
      <c r="C38" s="28" t="n">
        <v>260</v>
      </c>
      <c r="D38" s="39" t="n">
        <f aca="false">C38/$C$8</f>
        <v>0.0093236749623467</v>
      </c>
      <c r="E38" s="27" t="s">
        <v>501</v>
      </c>
    </row>
    <row r="39" customFormat="false" ht="15" hidden="false" customHeight="true" outlineLevel="0" collapsed="false">
      <c r="A39" s="27" t="s">
        <v>519</v>
      </c>
      <c r="C39" s="28" t="n">
        <v>337</v>
      </c>
      <c r="D39" s="39" t="n">
        <f aca="false">C39/$C$8</f>
        <v>0.012084917162734</v>
      </c>
      <c r="E39" s="31" t="s">
        <v>505</v>
      </c>
    </row>
    <row r="40" customFormat="false" ht="15" hidden="false" customHeight="true" outlineLevel="0" collapsed="false">
      <c r="A40" s="27" t="s">
        <v>520</v>
      </c>
      <c r="C40" s="28" t="n">
        <v>712</v>
      </c>
      <c r="D40" s="39" t="n">
        <f aca="false">C40/$C$8</f>
        <v>0.0255325252815033</v>
      </c>
      <c r="E40" s="27" t="s">
        <v>501</v>
      </c>
    </row>
    <row r="41" customFormat="false" ht="15" hidden="false" customHeight="true" outlineLevel="0" collapsed="false">
      <c r="A41" s="31" t="s">
        <v>521</v>
      </c>
      <c r="C41" s="32" t="n">
        <f aca="false">SUMIF(E22:E40,"BARISTA",C22:C40)</f>
        <v>4560</v>
      </c>
      <c r="D41" s="40" t="n">
        <f aca="false">C41/$C$8</f>
        <v>0.163522914724234</v>
      </c>
    </row>
    <row r="42" customFormat="false" ht="15" hidden="false" customHeight="true" outlineLevel="0" collapsed="false">
      <c r="A42" s="31" t="s">
        <v>522</v>
      </c>
      <c r="C42" s="41" t="n">
        <f aca="false">C8-C41</f>
        <v>23326</v>
      </c>
      <c r="D42" s="42" t="n">
        <f aca="false">C42/$C$8</f>
        <v>0.836477085275766</v>
      </c>
    </row>
    <row r="44" customFormat="false" ht="15" hidden="false" customHeight="true" outlineLevel="0" collapsed="false">
      <c r="A44" s="22" t="s">
        <v>523</v>
      </c>
      <c r="B44" s="22"/>
      <c r="C44" s="22"/>
      <c r="D44" s="22"/>
    </row>
    <row r="45" customFormat="false" ht="15" hidden="false" customHeight="true" outlineLevel="0" collapsed="false">
      <c r="A45" s="27" t="s">
        <v>524</v>
      </c>
      <c r="C45" s="28" t="n">
        <f aca="false">C41*2</f>
        <v>9120</v>
      </c>
    </row>
    <row r="46" customFormat="false" ht="15" hidden="false" customHeight="true" outlineLevel="0" collapsed="false">
      <c r="A46" s="27" t="s">
        <v>525</v>
      </c>
      <c r="C46" s="114" t="n">
        <v>0.5</v>
      </c>
    </row>
    <row r="47" customFormat="false" ht="15" hidden="false" customHeight="true" outlineLevel="0" collapsed="false">
      <c r="A47" s="27" t="s">
        <v>526</v>
      </c>
      <c r="C47" s="28" t="n">
        <f aca="false">C45*C46</f>
        <v>4560</v>
      </c>
    </row>
    <row r="48" customFormat="false" ht="15" hidden="false" customHeight="true" outlineLevel="0" collapsed="false">
      <c r="A48" s="31" t="s">
        <v>527</v>
      </c>
      <c r="C48" s="41" t="n">
        <f aca="false">-C47*0.685</f>
        <v>-3123.6</v>
      </c>
    </row>
    <row r="49" customFormat="false" ht="15" hidden="false" customHeight="true" outlineLevel="0" collapsed="false">
      <c r="A49" s="21" t="s">
        <v>528</v>
      </c>
      <c r="C49" s="115" t="n">
        <v>0.25</v>
      </c>
      <c r="D49" s="115" t="n">
        <v>0.5</v>
      </c>
      <c r="E49" s="115" t="n">
        <v>0.75</v>
      </c>
      <c r="F49" s="115" t="n">
        <v>1</v>
      </c>
    </row>
    <row r="50" customFormat="false" ht="15" hidden="false" customHeight="true" outlineLevel="0" collapsed="false">
      <c r="C50" s="28" t="n">
        <f aca="false">-C45*0.25*0.685</f>
        <v>-1561.8</v>
      </c>
      <c r="D50" s="28" t="n">
        <f aca="false">-C45*0.5*0.685</f>
        <v>-3123.6</v>
      </c>
      <c r="E50" s="28" t="n">
        <f aca="false">-C45*0.75*0.685</f>
        <v>-4685.4</v>
      </c>
      <c r="F50" s="28" t="n">
        <f aca="false">-C45*1*0.685</f>
        <v>-6247.2</v>
      </c>
    </row>
    <row r="52" customFormat="false" ht="15" hidden="false" customHeight="true" outlineLevel="0" collapsed="false">
      <c r="A52" s="22" t="s">
        <v>529</v>
      </c>
      <c r="B52" s="22"/>
      <c r="C52" s="22"/>
      <c r="D52" s="22"/>
    </row>
    <row r="53" customFormat="false" ht="15" hidden="false" customHeight="true" outlineLevel="0" collapsed="false">
      <c r="A53" s="27" t="s">
        <v>530</v>
      </c>
      <c r="C53" s="28" t="n">
        <v>2411</v>
      </c>
    </row>
    <row r="54" customFormat="false" ht="15" hidden="false" customHeight="true" outlineLevel="0" collapsed="false">
      <c r="A54" s="27" t="s">
        <v>531</v>
      </c>
      <c r="C54" s="28" t="n">
        <f aca="false">C53*2</f>
        <v>4822</v>
      </c>
    </row>
    <row r="56" customFormat="false" ht="15" hidden="false" customHeight="true" outlineLevel="0" collapsed="false">
      <c r="A56" s="21" t="s">
        <v>532</v>
      </c>
    </row>
    <row r="58" customFormat="false" ht="15" hidden="false" customHeight="true" outlineLevel="0" collapsed="false">
      <c r="A58" s="22" t="s">
        <v>533</v>
      </c>
      <c r="B58" s="45"/>
      <c r="C58" s="45"/>
      <c r="D58" s="45"/>
      <c r="E58" s="45"/>
      <c r="F58" s="45"/>
    </row>
    <row r="59" customFormat="false" ht="15" hidden="false" customHeight="true" outlineLevel="0" collapsed="false">
      <c r="A59" s="31" t="s">
        <v>534</v>
      </c>
      <c r="C59" s="28" t="n">
        <v>42319</v>
      </c>
      <c r="D59" s="39" t="n">
        <v>0.173</v>
      </c>
      <c r="E59" s="21" t="s">
        <v>535</v>
      </c>
    </row>
    <row r="60" customFormat="false" ht="15" hidden="false" customHeight="true" outlineLevel="0" collapsed="false">
      <c r="A60" s="27" t="s">
        <v>536</v>
      </c>
      <c r="C60" s="28" t="n">
        <v>9118</v>
      </c>
      <c r="D60" s="39" t="n">
        <v>0.215</v>
      </c>
      <c r="E60" s="21" t="s">
        <v>537</v>
      </c>
    </row>
    <row r="61" customFormat="false" ht="15" hidden="false" customHeight="true" outlineLevel="0" collapsed="false">
      <c r="A61" s="27" t="s">
        <v>538</v>
      </c>
      <c r="C61" s="28" t="n">
        <v>33201</v>
      </c>
      <c r="D61" s="39" t="n">
        <v>0.785</v>
      </c>
      <c r="E61" s="21" t="s">
        <v>539</v>
      </c>
    </row>
    <row r="62" customFormat="false" ht="15" hidden="false" customHeight="true" outlineLevel="0" collapsed="false">
      <c r="A62" s="31" t="s">
        <v>540</v>
      </c>
      <c r="C62" s="28" t="n">
        <v>14404</v>
      </c>
      <c r="D62" s="39" t="n">
        <v>0.059</v>
      </c>
      <c r="E62" s="21" t="s">
        <v>541</v>
      </c>
    </row>
    <row r="63" customFormat="false" ht="15" hidden="false" customHeight="true" outlineLevel="0" collapsed="false">
      <c r="A63" s="31" t="s">
        <v>542</v>
      </c>
      <c r="C63" s="28" t="n">
        <v>3007</v>
      </c>
      <c r="D63" s="39" t="n">
        <v>0.012</v>
      </c>
      <c r="E63" s="21" t="s">
        <v>543</v>
      </c>
    </row>
    <row r="65" customFormat="false" ht="15" hidden="false" customHeight="true" outlineLevel="0" collapsed="false">
      <c r="A65" s="21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22"/>
    <col collapsed="false" customWidth="true" hidden="false" outlineLevel="0" max="2" min="2" style="9" width="15"/>
    <col collapsed="false" customWidth="true" hidden="false" outlineLevel="0" max="3" min="3" style="9" width="9"/>
    <col collapsed="false" customWidth="true" hidden="false" outlineLevel="0" max="10" min="4" style="9" width="7.5"/>
    <col collapsed="false" customWidth="true" hidden="false" outlineLevel="0" max="11" min="11" style="9" width="7"/>
    <col collapsed="false" customWidth="true" hidden="false" outlineLevel="0" max="12" min="12" style="9" width="9"/>
    <col collapsed="false" customWidth="true" hidden="false" outlineLevel="0" max="13" min="13" style="9" width="22"/>
  </cols>
  <sheetData>
    <row r="1" customFormat="false" ht="24" hidden="false" customHeight="true" outlineLevel="0" collapsed="false">
      <c r="A1" s="116" t="s">
        <v>545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customFormat="false" ht="15" hidden="false" customHeight="true" outlineLevel="0" collapsed="false">
      <c r="A2" s="94" t="s">
        <v>546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4" customFormat="false" ht="15" hidden="false" customHeight="true" outlineLevel="0" collapsed="false">
      <c r="A4" s="111" t="s">
        <v>547</v>
      </c>
      <c r="B4" s="117" t="s">
        <v>548</v>
      </c>
      <c r="C4" s="118" t="n">
        <f aca="false">'LW Assumptions'!$C$23</f>
        <v>20</v>
      </c>
      <c r="D4" s="117" t="s">
        <v>549</v>
      </c>
      <c r="E4" s="118" t="n">
        <v>25</v>
      </c>
    </row>
    <row r="6" customFormat="false" ht="15" hidden="false" customHeight="true" outlineLevel="0" collapsed="false">
      <c r="A6" s="49" t="s">
        <v>550</v>
      </c>
    </row>
    <row r="7" customFormat="false" ht="15" hidden="false" customHeight="true" outlineLevel="0" collapsed="false">
      <c r="A7" s="119" t="s">
        <v>551</v>
      </c>
      <c r="B7" s="119" t="s">
        <v>424</v>
      </c>
      <c r="C7" s="120" t="s">
        <v>552</v>
      </c>
      <c r="D7" s="120" t="s">
        <v>553</v>
      </c>
      <c r="E7" s="120" t="s">
        <v>554</v>
      </c>
      <c r="F7" s="120" t="s">
        <v>555</v>
      </c>
      <c r="G7" s="120" t="s">
        <v>556</v>
      </c>
      <c r="H7" s="120" t="s">
        <v>557</v>
      </c>
      <c r="I7" s="120" t="s">
        <v>558</v>
      </c>
      <c r="J7" s="120" t="s">
        <v>559</v>
      </c>
      <c r="K7" s="120" t="s">
        <v>560</v>
      </c>
      <c r="L7" s="120" t="s">
        <v>561</v>
      </c>
    </row>
    <row r="8" customFormat="false" ht="15" hidden="false" customHeight="true" outlineLevel="0" collapsed="false">
      <c r="A8" s="121" t="s">
        <v>562</v>
      </c>
      <c r="B8" s="122" t="s">
        <v>563</v>
      </c>
      <c r="C8" s="123" t="n">
        <v>18.29</v>
      </c>
      <c r="D8" s="124" t="n">
        <f aca="false">6*$C8</f>
        <v>109.74</v>
      </c>
      <c r="E8" s="124" t="n">
        <f aca="false">7.75*$C8</f>
        <v>141.7475</v>
      </c>
      <c r="F8" s="125" t="n">
        <v>0</v>
      </c>
      <c r="G8" s="125" t="n">
        <v>0</v>
      </c>
      <c r="H8" s="125" t="n">
        <v>0</v>
      </c>
      <c r="I8" s="125" t="n">
        <v>0</v>
      </c>
      <c r="J8" s="125" t="n">
        <v>0</v>
      </c>
      <c r="K8" s="126" t="n">
        <v>13.75</v>
      </c>
      <c r="L8" s="127" t="n">
        <f aca="false">SUM(D8:J8)</f>
        <v>251.4875</v>
      </c>
    </row>
    <row r="9" customFormat="false" ht="15" hidden="false" customHeight="true" outlineLevel="0" collapsed="false">
      <c r="A9" s="121" t="s">
        <v>562</v>
      </c>
      <c r="B9" s="122" t="s">
        <v>564</v>
      </c>
      <c r="C9" s="123" t="n">
        <v>21.03</v>
      </c>
      <c r="D9" s="124" t="n">
        <f aca="false">1.75*$C9</f>
        <v>36.8025</v>
      </c>
      <c r="E9" s="124" t="n">
        <f aca="false">1.75*$C9</f>
        <v>36.8025</v>
      </c>
      <c r="F9" s="124" t="n">
        <f aca="false">7.75*$C9</f>
        <v>162.9825</v>
      </c>
      <c r="G9" s="125" t="n">
        <v>0</v>
      </c>
      <c r="H9" s="125" t="n">
        <v>0</v>
      </c>
      <c r="I9" s="125" t="n">
        <v>0</v>
      </c>
      <c r="J9" s="125" t="n">
        <v>0</v>
      </c>
      <c r="K9" s="126" t="n">
        <v>11.25</v>
      </c>
      <c r="L9" s="127" t="n">
        <f aca="false">SUM(D9:J9)</f>
        <v>236.5875</v>
      </c>
      <c r="M9" s="128" t="s">
        <v>565</v>
      </c>
    </row>
    <row r="10" customFormat="false" ht="15" hidden="false" customHeight="true" outlineLevel="0" collapsed="false">
      <c r="A10" s="121" t="s">
        <v>566</v>
      </c>
      <c r="B10" s="122" t="s">
        <v>563</v>
      </c>
      <c r="C10" s="123" t="n">
        <v>17.79</v>
      </c>
      <c r="D10" s="125" t="n">
        <v>0</v>
      </c>
      <c r="E10" s="125" t="n">
        <v>0</v>
      </c>
      <c r="F10" s="125" t="n">
        <v>0</v>
      </c>
      <c r="G10" s="125" t="n">
        <v>0</v>
      </c>
      <c r="H10" s="124" t="n">
        <f aca="false">8*$C10</f>
        <v>142.32</v>
      </c>
      <c r="I10" s="124" t="n">
        <f aca="false">8*$C10</f>
        <v>142.32</v>
      </c>
      <c r="J10" s="124" t="n">
        <f aca="false">8*$C10</f>
        <v>142.32</v>
      </c>
      <c r="K10" s="126" t="n">
        <v>24</v>
      </c>
      <c r="L10" s="127" t="n">
        <f aca="false">SUM(D10:J10)</f>
        <v>426.96</v>
      </c>
    </row>
    <row r="11" customFormat="false" ht="15" hidden="false" customHeight="true" outlineLevel="0" collapsed="false">
      <c r="A11" s="121" t="s">
        <v>567</v>
      </c>
      <c r="B11" s="122" t="s">
        <v>568</v>
      </c>
      <c r="C11" s="123" t="n">
        <v>19.79</v>
      </c>
      <c r="D11" s="124" t="n">
        <f aca="false">8*$C11</f>
        <v>158.32</v>
      </c>
      <c r="E11" s="124" t="n">
        <f aca="false">8*$C11</f>
        <v>158.32</v>
      </c>
      <c r="F11" s="124" t="n">
        <f aca="false">8*$C11</f>
        <v>158.32</v>
      </c>
      <c r="G11" s="124" t="n">
        <f aca="false">8*$C11</f>
        <v>158.32</v>
      </c>
      <c r="H11" s="125" t="n">
        <v>0</v>
      </c>
      <c r="I11" s="125" t="n">
        <v>0</v>
      </c>
      <c r="J11" s="124" t="n">
        <f aca="false">3*$C11</f>
        <v>59.37</v>
      </c>
      <c r="K11" s="126" t="n">
        <v>35</v>
      </c>
      <c r="L11" s="127" t="n">
        <f aca="false">SUM(D11:J11)</f>
        <v>692.65</v>
      </c>
      <c r="M11" s="128" t="s">
        <v>569</v>
      </c>
    </row>
    <row r="12" customFormat="false" ht="15" hidden="false" customHeight="true" outlineLevel="0" collapsed="false">
      <c r="A12" s="121" t="s">
        <v>570</v>
      </c>
      <c r="B12" s="122" t="s">
        <v>568</v>
      </c>
      <c r="C12" s="123" t="n">
        <v>21.21</v>
      </c>
      <c r="D12" s="125" t="n">
        <v>0</v>
      </c>
      <c r="E12" s="125" t="n">
        <v>0</v>
      </c>
      <c r="F12" s="124" t="n">
        <f aca="false">8*$C12</f>
        <v>169.68</v>
      </c>
      <c r="G12" s="124" t="n">
        <f aca="false">8*$C12</f>
        <v>169.68</v>
      </c>
      <c r="H12" s="124" t="n">
        <f aca="false">8*$C12</f>
        <v>169.68</v>
      </c>
      <c r="I12" s="124" t="n">
        <f aca="false">8*$C12</f>
        <v>169.68</v>
      </c>
      <c r="J12" s="124" t="n">
        <f aca="false">8*$C12</f>
        <v>169.68</v>
      </c>
      <c r="K12" s="126" t="n">
        <v>40</v>
      </c>
      <c r="L12" s="127" t="n">
        <f aca="false">SUM(D12:J12)</f>
        <v>848.4</v>
      </c>
    </row>
    <row r="13" customFormat="false" ht="15" hidden="false" customHeight="true" outlineLevel="0" collapsed="false">
      <c r="A13" s="121" t="s">
        <v>571</v>
      </c>
      <c r="B13" s="122" t="s">
        <v>572</v>
      </c>
      <c r="C13" s="123" t="n">
        <v>25</v>
      </c>
      <c r="D13" s="125" t="n">
        <v>0</v>
      </c>
      <c r="E13" s="125" t="n">
        <v>0</v>
      </c>
      <c r="F13" s="125" t="n">
        <v>0</v>
      </c>
      <c r="G13" s="124" t="n">
        <f aca="false">8*$C13</f>
        <v>200</v>
      </c>
      <c r="H13" s="124" t="n">
        <f aca="false">8*$C13</f>
        <v>200</v>
      </c>
      <c r="I13" s="125" t="n">
        <v>0</v>
      </c>
      <c r="J13" s="125" t="n">
        <v>0</v>
      </c>
      <c r="K13" s="126" t="n">
        <v>16</v>
      </c>
      <c r="L13" s="127" t="n">
        <f aca="false">SUM(D13:J13)</f>
        <v>400</v>
      </c>
      <c r="M13" s="128" t="s">
        <v>573</v>
      </c>
    </row>
    <row r="14" customFormat="false" ht="15" hidden="false" customHeight="true" outlineLevel="0" collapsed="false">
      <c r="A14" s="89" t="s">
        <v>574</v>
      </c>
      <c r="B14" s="95"/>
      <c r="C14" s="129"/>
      <c r="D14" s="129" t="n">
        <f aca="false">SUM(D8:D13)</f>
        <v>304.8625</v>
      </c>
      <c r="E14" s="129" t="n">
        <f aca="false">SUM(E8:E13)</f>
        <v>336.87</v>
      </c>
      <c r="F14" s="129" t="n">
        <f aca="false">SUM(F8:F13)</f>
        <v>490.9825</v>
      </c>
      <c r="G14" s="129" t="n">
        <f aca="false">SUM(G8:G13)</f>
        <v>528</v>
      </c>
      <c r="H14" s="129" t="n">
        <f aca="false">SUM(H8:H13)</f>
        <v>512</v>
      </c>
      <c r="I14" s="129" t="n">
        <f aca="false">SUM(I8:I13)</f>
        <v>312</v>
      </c>
      <c r="J14" s="129" t="n">
        <f aca="false">SUM(J8:J13)</f>
        <v>371.37</v>
      </c>
      <c r="K14" s="130" t="n">
        <f aca="false">SUM(K8:K13)</f>
        <v>140</v>
      </c>
      <c r="L14" s="52" t="n">
        <f aca="false">SUM(L8:L13)</f>
        <v>2856.085</v>
      </c>
      <c r="M14" s="122" t="s">
        <v>575</v>
      </c>
    </row>
    <row r="17" customFormat="false" ht="15" hidden="false" customHeight="true" outlineLevel="0" collapsed="false">
      <c r="A17" s="131" t="s">
        <v>576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</row>
    <row r="18" customFormat="false" ht="15" hidden="false" customHeight="true" outlineLevel="0" collapsed="false">
      <c r="A18" s="119"/>
      <c r="B18" s="119" t="s">
        <v>577</v>
      </c>
      <c r="D18" s="120" t="s">
        <v>578</v>
      </c>
      <c r="F18" s="120" t="s">
        <v>579</v>
      </c>
      <c r="G18" s="120" t="s">
        <v>580</v>
      </c>
      <c r="H18" s="120" t="s">
        <v>581</v>
      </c>
      <c r="J18" s="120" t="s">
        <v>582</v>
      </c>
    </row>
    <row r="19" customFormat="false" ht="15" hidden="false" customHeight="true" outlineLevel="0" collapsed="false">
      <c r="A19" s="111" t="s">
        <v>583</v>
      </c>
      <c r="B19" s="121" t="s">
        <v>584</v>
      </c>
      <c r="D19" s="132" t="s">
        <v>585</v>
      </c>
      <c r="F19" s="133" t="s">
        <v>586</v>
      </c>
      <c r="G19" s="134" t="n">
        <v>8</v>
      </c>
      <c r="H19" s="124" t="n">
        <f aca="false">8*$C$4</f>
        <v>160</v>
      </c>
      <c r="J19" s="127" t="n">
        <f aca="false">H19*7</f>
        <v>1120</v>
      </c>
    </row>
    <row r="20" customFormat="false" ht="15" hidden="false" customHeight="true" outlineLevel="0" collapsed="false">
      <c r="A20" s="111"/>
      <c r="B20" s="121" t="s">
        <v>587</v>
      </c>
      <c r="D20" s="132" t="s">
        <v>588</v>
      </c>
      <c r="F20" s="133" t="s">
        <v>586</v>
      </c>
      <c r="G20" s="134" t="n">
        <v>8</v>
      </c>
      <c r="H20" s="124" t="n">
        <f aca="false">8*$C$4</f>
        <v>160</v>
      </c>
      <c r="J20" s="127" t="n">
        <f aca="false">H20*7</f>
        <v>1120</v>
      </c>
    </row>
    <row r="21" customFormat="false" ht="15" hidden="false" customHeight="true" outlineLevel="0" collapsed="false">
      <c r="A21" s="111"/>
      <c r="B21" s="121" t="s">
        <v>589</v>
      </c>
      <c r="D21" s="132" t="s">
        <v>590</v>
      </c>
      <c r="F21" s="133" t="s">
        <v>591</v>
      </c>
      <c r="G21" s="134" t="n">
        <v>4</v>
      </c>
      <c r="H21" s="124" t="n">
        <f aca="false">4*$E$4</f>
        <v>100</v>
      </c>
      <c r="J21" s="127" t="n">
        <f aca="false">H21*7</f>
        <v>700</v>
      </c>
    </row>
    <row r="22" customFormat="false" ht="15" hidden="false" customHeight="true" outlineLevel="0" collapsed="false">
      <c r="A22" s="135" t="s">
        <v>592</v>
      </c>
      <c r="B22" s="95"/>
      <c r="D22" s="95"/>
      <c r="F22" s="95"/>
      <c r="G22" s="130" t="n">
        <f aca="false">G19+G20+G21</f>
        <v>20</v>
      </c>
      <c r="H22" s="129" t="n">
        <f aca="false">H19+H20+H21</f>
        <v>420</v>
      </c>
      <c r="J22" s="129" t="n">
        <f aca="false">H22*7</f>
        <v>2940</v>
      </c>
    </row>
    <row r="24" customFormat="false" ht="15" hidden="false" customHeight="true" outlineLevel="0" collapsed="false">
      <c r="A24" s="135" t="s">
        <v>593</v>
      </c>
      <c r="B24" s="136" t="s">
        <v>594</v>
      </c>
      <c r="C24" s="95"/>
      <c r="D24" s="137" t="s">
        <v>595</v>
      </c>
      <c r="E24" s="95"/>
      <c r="F24" s="138" t="s">
        <v>596</v>
      </c>
      <c r="G24" s="139" t="n">
        <v>10</v>
      </c>
      <c r="H24" s="140" t="n">
        <f aca="false">10*$C$4</f>
        <v>200</v>
      </c>
      <c r="I24" s="95"/>
      <c r="J24" s="129" t="n">
        <f aca="false">H24*7</f>
        <v>1400</v>
      </c>
    </row>
    <row r="25" customFormat="false" ht="15" hidden="false" customHeight="true" outlineLevel="0" collapsed="false">
      <c r="A25" s="141"/>
      <c r="B25" s="142" t="s">
        <v>597</v>
      </c>
      <c r="C25" s="143"/>
      <c r="D25" s="144" t="s">
        <v>598</v>
      </c>
      <c r="E25" s="143"/>
      <c r="F25" s="145" t="s">
        <v>599</v>
      </c>
      <c r="G25" s="146" t="n">
        <v>0</v>
      </c>
      <c r="H25" s="147" t="n">
        <v>0</v>
      </c>
      <c r="I25" s="143"/>
      <c r="J25" s="148" t="n">
        <f aca="false">H25*7</f>
        <v>0</v>
      </c>
    </row>
    <row r="26" customFormat="false" ht="15" hidden="false" customHeight="true" outlineLevel="0" collapsed="false">
      <c r="A26" s="135" t="s">
        <v>600</v>
      </c>
      <c r="B26" s="95"/>
      <c r="D26" s="95"/>
      <c r="F26" s="95"/>
      <c r="G26" s="130" t="n">
        <v>10</v>
      </c>
      <c r="H26" s="129" t="n">
        <f aca="false">10*$C$4</f>
        <v>200</v>
      </c>
      <c r="J26" s="129" t="n">
        <f aca="false">H26*7</f>
        <v>1400</v>
      </c>
    </row>
    <row r="28" customFormat="false" ht="15" hidden="false" customHeight="true" outlineLevel="0" collapsed="false">
      <c r="A28" s="149" t="s">
        <v>601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</row>
    <row r="29" customFormat="false" ht="15" hidden="false" customHeight="true" outlineLevel="0" collapsed="false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44"/>
    <col collapsed="false" customWidth="true" hidden="false" outlineLevel="0" max="4" min="2" style="9" width="12"/>
  </cols>
  <sheetData>
    <row r="1" customFormat="false" ht="25.5" hidden="false" customHeight="true" outlineLevel="0" collapsed="false">
      <c r="A1" s="150" t="s">
        <v>602</v>
      </c>
      <c r="B1" s="45"/>
      <c r="C1" s="45"/>
      <c r="D1" s="45"/>
    </row>
    <row r="2" customFormat="false" ht="15" hidden="false" customHeight="true" outlineLevel="0" collapsed="false">
      <c r="A2" s="151" t="s">
        <v>603</v>
      </c>
      <c r="B2" s="151"/>
      <c r="C2" s="151"/>
      <c r="D2" s="151"/>
    </row>
    <row r="4" customFormat="false" ht="15" hidden="false" customHeight="true" outlineLevel="0" collapsed="false">
      <c r="A4" s="80" t="s">
        <v>604</v>
      </c>
      <c r="B4" s="50" t="s">
        <v>304</v>
      </c>
      <c r="C4" s="50" t="s">
        <v>305</v>
      </c>
      <c r="D4" s="50" t="s">
        <v>605</v>
      </c>
    </row>
    <row r="5" customFormat="false" ht="15" hidden="false" customHeight="true" outlineLevel="0" collapsed="false">
      <c r="A5" s="51" t="s">
        <v>606</v>
      </c>
      <c r="B5" s="95"/>
      <c r="C5" s="95"/>
      <c r="D5" s="95"/>
    </row>
    <row r="6" customFormat="false" ht="15" hidden="false" customHeight="true" outlineLevel="0" collapsed="false">
      <c r="A6" s="96" t="s">
        <v>607</v>
      </c>
      <c r="B6" s="104" t="n">
        <v>119121</v>
      </c>
      <c r="C6" s="104" t="n">
        <f aca="false">B6/12</f>
        <v>9926.75</v>
      </c>
      <c r="D6" s="152" t="n">
        <f aca="false">B6/258287</f>
        <v>0.461196266169029</v>
      </c>
    </row>
    <row r="7" customFormat="false" ht="15" hidden="false" customHeight="true" outlineLevel="0" collapsed="false">
      <c r="A7" s="96" t="s">
        <v>608</v>
      </c>
      <c r="B7" s="104" t="n">
        <v>133545</v>
      </c>
      <c r="C7" s="104" t="n">
        <f aca="false">B7/12</f>
        <v>11128.75</v>
      </c>
      <c r="D7" s="152" t="n">
        <f aca="false">B7/258287</f>
        <v>0.517041120923624</v>
      </c>
    </row>
    <row r="8" customFormat="false" ht="15" hidden="false" customHeight="true" outlineLevel="0" collapsed="false">
      <c r="A8" s="96" t="s">
        <v>609</v>
      </c>
      <c r="B8" s="104" t="n">
        <v>17887</v>
      </c>
      <c r="C8" s="104" t="n">
        <f aca="false">B8/12</f>
        <v>1490.58333333333</v>
      </c>
      <c r="D8" s="152" t="n">
        <f aca="false">B8/258287</f>
        <v>0.0692524207567551</v>
      </c>
    </row>
    <row r="9" customFormat="false" ht="15" hidden="false" customHeight="true" outlineLevel="0" collapsed="false">
      <c r="A9" s="96" t="s">
        <v>610</v>
      </c>
      <c r="B9" s="104" t="n">
        <v>6836</v>
      </c>
      <c r="C9" s="104" t="n">
        <f aca="false">B9/12</f>
        <v>569.666666666667</v>
      </c>
      <c r="D9" s="152" t="n">
        <f aca="false">B9/258287</f>
        <v>0.026466682411426</v>
      </c>
    </row>
    <row r="10" customFormat="false" ht="15" hidden="false" customHeight="true" outlineLevel="0" collapsed="false">
      <c r="A10" s="96" t="s">
        <v>611</v>
      </c>
      <c r="B10" s="104" t="n">
        <v>-20307</v>
      </c>
      <c r="C10" s="104" t="n">
        <f aca="false">B10/12</f>
        <v>-1692.25</v>
      </c>
      <c r="D10" s="152" t="n">
        <f aca="false">B10/258287</f>
        <v>-0.0786218431434799</v>
      </c>
    </row>
    <row r="11" customFormat="false" ht="15" hidden="false" customHeight="true" outlineLevel="0" collapsed="false">
      <c r="A11" s="96" t="s">
        <v>612</v>
      </c>
      <c r="B11" s="104" t="n">
        <v>1204</v>
      </c>
      <c r="C11" s="104" t="n">
        <f aca="false">B11/12</f>
        <v>100.333333333333</v>
      </c>
      <c r="D11" s="152" t="n">
        <f aca="false">B11/258287</f>
        <v>0.00466148122050277</v>
      </c>
    </row>
    <row r="12" customFormat="false" ht="15" hidden="false" customHeight="true" outlineLevel="0" collapsed="false">
      <c r="A12" s="51" t="s">
        <v>613</v>
      </c>
      <c r="B12" s="52" t="n">
        <v>258287</v>
      </c>
      <c r="C12" s="153" t="n">
        <f aca="false">B12/12</f>
        <v>21523.9166666667</v>
      </c>
      <c r="D12" s="154" t="n">
        <f aca="false">B12/258287</f>
        <v>1</v>
      </c>
    </row>
    <row r="13" customFormat="false" ht="15" hidden="false" customHeight="true" outlineLevel="0" collapsed="false">
      <c r="B13" s="54"/>
      <c r="C13" s="57"/>
      <c r="D13" s="57"/>
    </row>
    <row r="14" customFormat="false" ht="15" hidden="false" customHeight="true" outlineLevel="0" collapsed="false">
      <c r="A14" s="51" t="s">
        <v>614</v>
      </c>
      <c r="B14" s="155"/>
      <c r="C14" s="156"/>
      <c r="D14" s="156"/>
    </row>
    <row r="15" customFormat="false" ht="15" hidden="false" customHeight="true" outlineLevel="0" collapsed="false">
      <c r="A15" s="96" t="s">
        <v>615</v>
      </c>
      <c r="B15" s="104" t="n">
        <v>48655</v>
      </c>
      <c r="C15" s="104" t="n">
        <f aca="false">B15/12</f>
        <v>4054.58333333333</v>
      </c>
      <c r="D15" s="152" t="n">
        <f aca="false">B15/258287</f>
        <v>0.188375721581032</v>
      </c>
    </row>
    <row r="16" customFormat="false" ht="15" hidden="false" customHeight="true" outlineLevel="0" collapsed="false">
      <c r="A16" s="96" t="s">
        <v>616</v>
      </c>
      <c r="B16" s="104" t="n">
        <v>27428</v>
      </c>
      <c r="C16" s="104" t="n">
        <f aca="false">B16/12</f>
        <v>2285.66666666667</v>
      </c>
      <c r="D16" s="152" t="n">
        <f aca="false">B16/258287</f>
        <v>0.106191949265739</v>
      </c>
    </row>
    <row r="17" customFormat="false" ht="15" hidden="false" customHeight="true" outlineLevel="0" collapsed="false">
      <c r="A17" s="96" t="s">
        <v>617</v>
      </c>
      <c r="B17" s="104" t="n">
        <v>5516</v>
      </c>
      <c r="C17" s="104" t="n">
        <f aca="false">B17/12</f>
        <v>459.666666666667</v>
      </c>
      <c r="D17" s="152" t="n">
        <f aca="false">B17/258287</f>
        <v>0.0213560883823034</v>
      </c>
    </row>
    <row r="18" customFormat="false" ht="15" hidden="false" customHeight="true" outlineLevel="0" collapsed="false">
      <c r="A18" s="96" t="s">
        <v>618</v>
      </c>
      <c r="B18" s="104" t="n">
        <v>0</v>
      </c>
      <c r="C18" s="104" t="n">
        <f aca="false">B18/12</f>
        <v>0</v>
      </c>
      <c r="D18" s="152" t="n">
        <f aca="false">B18/258287</f>
        <v>0</v>
      </c>
    </row>
    <row r="19" customFormat="false" ht="15" hidden="false" customHeight="true" outlineLevel="0" collapsed="false">
      <c r="A19" s="51" t="s">
        <v>619</v>
      </c>
      <c r="B19" s="52" t="n">
        <v>81599</v>
      </c>
      <c r="C19" s="153" t="n">
        <f aca="false">B19/12</f>
        <v>6799.91666666667</v>
      </c>
      <c r="D19" s="154" t="n">
        <f aca="false">B19/258287</f>
        <v>0.315923759229075</v>
      </c>
    </row>
    <row r="20" customFormat="false" ht="15" hidden="false" customHeight="true" outlineLevel="0" collapsed="false">
      <c r="A20" s="51" t="s">
        <v>620</v>
      </c>
      <c r="B20" s="52" t="n">
        <v>176688</v>
      </c>
      <c r="C20" s="153" t="n">
        <f aca="false">B20/12</f>
        <v>14724</v>
      </c>
      <c r="D20" s="154" t="n">
        <f aca="false">B20/258287</f>
        <v>0.684076240770925</v>
      </c>
    </row>
    <row r="21" customFormat="false" ht="15" hidden="false" customHeight="true" outlineLevel="0" collapsed="false">
      <c r="B21" s="54"/>
      <c r="C21" s="57"/>
      <c r="D21" s="57"/>
    </row>
    <row r="22" customFormat="false" ht="15" hidden="false" customHeight="true" outlineLevel="0" collapsed="false">
      <c r="A22" s="51" t="s">
        <v>273</v>
      </c>
      <c r="B22" s="155"/>
      <c r="C22" s="156"/>
      <c r="D22" s="156"/>
    </row>
    <row r="23" customFormat="false" ht="15" hidden="false" customHeight="true" outlineLevel="0" collapsed="false">
      <c r="A23" s="96" t="s">
        <v>621</v>
      </c>
      <c r="B23" s="104" t="n">
        <v>142124</v>
      </c>
      <c r="C23" s="104" t="n">
        <f aca="false">B23/12</f>
        <v>11843.6666666667</v>
      </c>
      <c r="D23" s="152" t="n">
        <f aca="false">B23/258287</f>
        <v>0.550256110450778</v>
      </c>
    </row>
    <row r="24" customFormat="false" ht="15" hidden="false" customHeight="true" outlineLevel="0" collapsed="false">
      <c r="A24" s="96" t="s">
        <v>622</v>
      </c>
      <c r="B24" s="104" t="n">
        <v>16219</v>
      </c>
      <c r="C24" s="104" t="n">
        <f aca="false">B24/12</f>
        <v>1351.58333333333</v>
      </c>
      <c r="D24" s="152" t="n">
        <f aca="false">B24/258287</f>
        <v>0.0627944883017728</v>
      </c>
    </row>
    <row r="25" customFormat="false" ht="15" hidden="false" customHeight="true" outlineLevel="0" collapsed="false">
      <c r="A25" s="96" t="s">
        <v>623</v>
      </c>
      <c r="B25" s="104" t="n">
        <v>6514</v>
      </c>
      <c r="C25" s="104" t="n">
        <f aca="false">B25/12</f>
        <v>542.833333333333</v>
      </c>
      <c r="D25" s="152" t="n">
        <f aca="false">B25/258287</f>
        <v>0.0252200072012916</v>
      </c>
    </row>
    <row r="26" customFormat="false" ht="15" hidden="false" customHeight="true" outlineLevel="0" collapsed="false">
      <c r="A26" s="51" t="s">
        <v>624</v>
      </c>
      <c r="B26" s="52" t="n">
        <v>164857</v>
      </c>
      <c r="C26" s="153" t="n">
        <f aca="false">B26/12</f>
        <v>13738.0833333333</v>
      </c>
      <c r="D26" s="154" t="n">
        <f aca="false">B26/258287</f>
        <v>0.638270605953842</v>
      </c>
    </row>
    <row r="27" customFormat="false" ht="15" hidden="false" customHeight="true" outlineLevel="0" collapsed="false">
      <c r="B27" s="54"/>
      <c r="C27" s="57"/>
      <c r="D27" s="57"/>
    </row>
    <row r="28" customFormat="false" ht="15" hidden="false" customHeight="true" outlineLevel="0" collapsed="false">
      <c r="A28" s="51" t="s">
        <v>625</v>
      </c>
      <c r="B28" s="155"/>
      <c r="C28" s="156"/>
      <c r="D28" s="156"/>
    </row>
    <row r="29" customFormat="false" ht="15" hidden="false" customHeight="true" outlineLevel="0" collapsed="false">
      <c r="A29" s="96" t="s">
        <v>626</v>
      </c>
      <c r="B29" s="104" t="n">
        <v>44540</v>
      </c>
      <c r="C29" s="104" t="n">
        <f aca="false">B29/12</f>
        <v>3711.66666666667</v>
      </c>
      <c r="D29" s="152" t="n">
        <f aca="false">B29/258287</f>
        <v>0.172443831861456</v>
      </c>
    </row>
    <row r="30" customFormat="false" ht="15" hidden="false" customHeight="true" outlineLevel="0" collapsed="false">
      <c r="A30" s="96" t="s">
        <v>627</v>
      </c>
      <c r="B30" s="104" t="n">
        <v>11918</v>
      </c>
      <c r="C30" s="104" t="n">
        <f aca="false">B30/12</f>
        <v>993.166666666667</v>
      </c>
      <c r="D30" s="152" t="n">
        <f aca="false">B30/258287</f>
        <v>0.0461424694235482</v>
      </c>
    </row>
    <row r="31" customFormat="false" ht="15" hidden="false" customHeight="true" outlineLevel="0" collapsed="false">
      <c r="A31" s="96" t="s">
        <v>628</v>
      </c>
      <c r="B31" s="104" t="n">
        <v>2912</v>
      </c>
      <c r="C31" s="104" t="n">
        <f aca="false">B31/12</f>
        <v>242.666666666667</v>
      </c>
      <c r="D31" s="152" t="n">
        <f aca="false">B31/258287</f>
        <v>0.011274280161216</v>
      </c>
    </row>
    <row r="32" customFormat="false" ht="15" hidden="false" customHeight="true" outlineLevel="0" collapsed="false">
      <c r="A32" s="96" t="s">
        <v>629</v>
      </c>
      <c r="B32" s="104" t="n">
        <v>30305</v>
      </c>
      <c r="C32" s="104" t="n">
        <f aca="false">B32/12</f>
        <v>2525.41666666667</v>
      </c>
      <c r="D32" s="152" t="n">
        <f aca="false">B32/258287</f>
        <v>0.117330721251941</v>
      </c>
    </row>
    <row r="33" customFormat="false" ht="15" hidden="false" customHeight="true" outlineLevel="0" collapsed="false">
      <c r="A33" s="51" t="s">
        <v>630</v>
      </c>
      <c r="B33" s="52" t="n">
        <v>89675</v>
      </c>
      <c r="C33" s="153" t="n">
        <f aca="false">B33/12</f>
        <v>7472.91666666667</v>
      </c>
      <c r="D33" s="154" t="n">
        <f aca="false">B33/258287</f>
        <v>0.347191302698161</v>
      </c>
    </row>
    <row r="34" customFormat="false" ht="15" hidden="false" customHeight="true" outlineLevel="0" collapsed="false">
      <c r="A34" s="157" t="s">
        <v>631</v>
      </c>
      <c r="B34" s="104" t="n">
        <v>10012</v>
      </c>
      <c r="C34" s="104" t="n">
        <f aca="false">B34/12</f>
        <v>834.333333333333</v>
      </c>
      <c r="D34" s="152" t="n">
        <f aca="false">B34/258287</f>
        <v>0.0387630813784666</v>
      </c>
    </row>
    <row r="35" customFormat="false" ht="15" hidden="false" customHeight="true" outlineLevel="0" collapsed="false">
      <c r="A35" s="158" t="s">
        <v>632</v>
      </c>
      <c r="B35" s="82" t="n">
        <v>5657</v>
      </c>
      <c r="C35" s="104" t="n">
        <f aca="false">B35/12</f>
        <v>471.416666666667</v>
      </c>
      <c r="D35" s="152" t="n">
        <f aca="false">B35/258287</f>
        <v>0.0219019927445051</v>
      </c>
    </row>
    <row r="37" customFormat="false" ht="15" hidden="false" customHeight="true" outlineLevel="0" collapsed="false">
      <c r="A37" s="159" t="s">
        <v>633</v>
      </c>
      <c r="B37" s="106" t="n">
        <v>-93513</v>
      </c>
      <c r="C37" s="160" t="n">
        <f aca="false">B37/12</f>
        <v>-7792.75</v>
      </c>
      <c r="D37" s="154" t="n">
        <f aca="false">B37/258287</f>
        <v>-0.36205074200405</v>
      </c>
    </row>
    <row r="38" customFormat="false" ht="15" hidden="false" customHeight="true" outlineLevel="0" collapsed="false">
      <c r="A38" s="96" t="s">
        <v>634</v>
      </c>
      <c r="B38" s="104" t="n">
        <v>-48000</v>
      </c>
      <c r="C38" s="104" t="n">
        <f aca="false">B38/12</f>
        <v>-4000</v>
      </c>
    </row>
    <row r="39" customFormat="false" ht="15" hidden="false" customHeight="true" outlineLevel="0" collapsed="false">
      <c r="A39" s="96" t="s">
        <v>635</v>
      </c>
      <c r="B39" s="104" t="n">
        <v>-15642</v>
      </c>
      <c r="C39" s="104" t="n">
        <f aca="false">B39/12</f>
        <v>-1303.5</v>
      </c>
    </row>
    <row r="40" customFormat="false" ht="15" hidden="false" customHeight="true" outlineLevel="0" collapsed="false">
      <c r="A40" s="159" t="s">
        <v>636</v>
      </c>
      <c r="B40" s="106" t="n">
        <v>-157155</v>
      </c>
      <c r="C40" s="160" t="n">
        <f aca="false">B40/12</f>
        <v>-13096.25</v>
      </c>
      <c r="D40" s="154" t="n">
        <f aca="false">B40/258287</f>
        <v>-0.60845106412634</v>
      </c>
    </row>
    <row r="42" customFormat="false" ht="15" hidden="false" customHeight="true" outlineLevel="0" collapsed="false">
      <c r="A42" s="161" t="s">
        <v>637</v>
      </c>
      <c r="B42" s="161"/>
      <c r="C42" s="161"/>
      <c r="D42" s="161"/>
    </row>
    <row r="43" customFormat="false" ht="15" hidden="false" customHeight="true" outlineLevel="0" collapsed="false">
      <c r="A43" s="161"/>
      <c r="B43" s="161"/>
      <c r="C43" s="161"/>
      <c r="D43" s="161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4"/>
    <col collapsed="false" customWidth="true" hidden="false" outlineLevel="0" max="9" min="2" style="9" width="11"/>
  </cols>
  <sheetData>
    <row r="1" customFormat="false" ht="25.5" hidden="false" customHeight="true" outlineLevel="0" collapsed="false">
      <c r="A1" s="93" t="s">
        <v>638</v>
      </c>
      <c r="B1" s="45"/>
      <c r="C1" s="45"/>
      <c r="D1" s="45"/>
      <c r="E1" s="45"/>
      <c r="F1" s="45"/>
      <c r="G1" s="45"/>
      <c r="H1" s="45"/>
      <c r="I1" s="45"/>
    </row>
    <row r="2" customFormat="false" ht="15" hidden="false" customHeight="true" outlineLevel="0" collapsed="false">
      <c r="A2" s="94" t="s">
        <v>639</v>
      </c>
      <c r="B2" s="94"/>
      <c r="C2" s="94"/>
      <c r="D2" s="94"/>
      <c r="E2" s="94"/>
      <c r="F2" s="94"/>
      <c r="G2" s="94"/>
      <c r="H2" s="94"/>
      <c r="I2" s="94"/>
    </row>
    <row r="4" customFormat="false" ht="15" hidden="false" customHeight="true" outlineLevel="0" collapsed="false">
      <c r="A4" s="119" t="s">
        <v>640</v>
      </c>
      <c r="B4" s="119" t="s">
        <v>641</v>
      </c>
      <c r="C4" s="120" t="s">
        <v>642</v>
      </c>
      <c r="D4" s="120" t="s">
        <v>643</v>
      </c>
      <c r="E4" s="120" t="s">
        <v>644</v>
      </c>
      <c r="F4" s="120" t="s">
        <v>645</v>
      </c>
      <c r="G4" s="120" t="s">
        <v>646</v>
      </c>
      <c r="H4" s="120" t="s">
        <v>647</v>
      </c>
      <c r="I4" s="120" t="s">
        <v>648</v>
      </c>
    </row>
    <row r="5" customFormat="false" ht="15" hidden="false" customHeight="true" outlineLevel="0" collapsed="false">
      <c r="A5" s="162" t="s">
        <v>649</v>
      </c>
      <c r="B5" s="163"/>
      <c r="C5" s="164"/>
      <c r="D5" s="164"/>
      <c r="E5" s="164"/>
      <c r="F5" s="164"/>
      <c r="G5" s="164"/>
      <c r="H5" s="164"/>
      <c r="I5" s="164"/>
    </row>
    <row r="6" customFormat="false" ht="15" hidden="false" customHeight="true" outlineLevel="0" collapsed="false">
      <c r="A6" s="121" t="s">
        <v>650</v>
      </c>
      <c r="B6" s="117" t="s">
        <v>651</v>
      </c>
      <c r="C6" s="165" t="n">
        <v>5728</v>
      </c>
      <c r="D6" s="166" t="n">
        <f aca="false">IF(C6=0,0,E6/C6)</f>
        <v>4.5</v>
      </c>
      <c r="E6" s="104" t="n">
        <v>25776</v>
      </c>
      <c r="F6" s="167" t="n">
        <v>0.5</v>
      </c>
      <c r="G6" s="166" t="n">
        <f aca="false">D6+F6</f>
        <v>5</v>
      </c>
      <c r="H6" s="104" t="n">
        <f aca="false">E6+I6</f>
        <v>28640</v>
      </c>
      <c r="I6" s="82" t="n">
        <f aca="false">C6*F6</f>
        <v>2864</v>
      </c>
    </row>
    <row r="7" customFormat="false" ht="15" hidden="false" customHeight="true" outlineLevel="0" collapsed="false">
      <c r="A7" s="121" t="s">
        <v>652</v>
      </c>
      <c r="B7" s="117" t="s">
        <v>651</v>
      </c>
      <c r="C7" s="165" t="n">
        <v>3537</v>
      </c>
      <c r="D7" s="166" t="n">
        <f aca="false">IF(C7=0,0,E7/C7)</f>
        <v>3</v>
      </c>
      <c r="E7" s="104" t="n">
        <v>10611</v>
      </c>
      <c r="F7" s="167" t="n">
        <v>0.5</v>
      </c>
      <c r="G7" s="166" t="n">
        <f aca="false">D7+F7</f>
        <v>3.5</v>
      </c>
      <c r="H7" s="104" t="n">
        <f aca="false">E7+I7</f>
        <v>12379.5</v>
      </c>
      <c r="I7" s="82" t="n">
        <f aca="false">C7*F7</f>
        <v>1768.5</v>
      </c>
    </row>
    <row r="8" customFormat="false" ht="15" hidden="false" customHeight="true" outlineLevel="0" collapsed="false">
      <c r="A8" s="121" t="s">
        <v>653</v>
      </c>
      <c r="B8" s="117" t="s">
        <v>651</v>
      </c>
      <c r="C8" s="165" t="n">
        <v>1869</v>
      </c>
      <c r="D8" s="166" t="n">
        <f aca="false">IF(C8=0,0,E8/C8)</f>
        <v>4.5</v>
      </c>
      <c r="E8" s="104" t="n">
        <v>8410.5</v>
      </c>
      <c r="F8" s="167" t="n">
        <v>0.45</v>
      </c>
      <c r="G8" s="166" t="n">
        <f aca="false">D8+F8</f>
        <v>4.95</v>
      </c>
      <c r="H8" s="104" t="n">
        <f aca="false">E8+I8</f>
        <v>9251.55</v>
      </c>
      <c r="I8" s="82" t="n">
        <f aca="false">C8*F8</f>
        <v>841.05</v>
      </c>
    </row>
    <row r="9" customFormat="false" ht="15" hidden="false" customHeight="true" outlineLevel="0" collapsed="false">
      <c r="A9" s="121" t="s">
        <v>654</v>
      </c>
      <c r="B9" s="117" t="s">
        <v>651</v>
      </c>
      <c r="C9" s="165" t="n">
        <v>1305</v>
      </c>
      <c r="D9" s="166" t="n">
        <f aca="false">IF(C9=0,0,E9/C9)</f>
        <v>4.75</v>
      </c>
      <c r="E9" s="104" t="n">
        <v>6198.75</v>
      </c>
      <c r="F9" s="167" t="n">
        <v>0.5</v>
      </c>
      <c r="G9" s="166" t="n">
        <f aca="false">D9+F9</f>
        <v>5.25</v>
      </c>
      <c r="H9" s="104" t="n">
        <f aca="false">E9+I9</f>
        <v>6851.25</v>
      </c>
      <c r="I9" s="82" t="n">
        <f aca="false">C9*F9</f>
        <v>652.5</v>
      </c>
    </row>
    <row r="10" customFormat="false" ht="15" hidden="false" customHeight="true" outlineLevel="0" collapsed="false">
      <c r="A10" s="121" t="s">
        <v>655</v>
      </c>
      <c r="B10" s="117" t="s">
        <v>651</v>
      </c>
      <c r="C10" s="165" t="n">
        <v>1212</v>
      </c>
      <c r="D10" s="166" t="n">
        <f aca="false">IF(C10=0,0,E10/C10)</f>
        <v>4</v>
      </c>
      <c r="E10" s="104" t="n">
        <v>4848</v>
      </c>
      <c r="F10" s="167" t="n">
        <v>0.25</v>
      </c>
      <c r="G10" s="166" t="n">
        <f aca="false">D10+F10</f>
        <v>4.25</v>
      </c>
      <c r="H10" s="104" t="n">
        <f aca="false">E10+I10</f>
        <v>5151</v>
      </c>
      <c r="I10" s="82" t="n">
        <f aca="false">C10*F10</f>
        <v>303</v>
      </c>
    </row>
    <row r="11" customFormat="false" ht="15" hidden="false" customHeight="true" outlineLevel="0" collapsed="false">
      <c r="A11" s="121" t="s">
        <v>656</v>
      </c>
      <c r="B11" s="117" t="s">
        <v>651</v>
      </c>
      <c r="C11" s="165" t="n">
        <v>888</v>
      </c>
      <c r="D11" s="166" t="n">
        <f aca="false">IF(C11=0,0,E11/C11)</f>
        <v>6</v>
      </c>
      <c r="E11" s="104" t="n">
        <v>5328</v>
      </c>
      <c r="F11" s="167" t="n">
        <v>0.5</v>
      </c>
      <c r="G11" s="166" t="n">
        <f aca="false">D11+F11</f>
        <v>6.5</v>
      </c>
      <c r="H11" s="104" t="n">
        <f aca="false">E11+I11</f>
        <v>5772</v>
      </c>
      <c r="I11" s="82" t="n">
        <f aca="false">C11*F11</f>
        <v>444</v>
      </c>
    </row>
    <row r="12" customFormat="false" ht="15" hidden="false" customHeight="true" outlineLevel="0" collapsed="false">
      <c r="A12" s="121" t="s">
        <v>657</v>
      </c>
      <c r="B12" s="117" t="s">
        <v>651</v>
      </c>
      <c r="C12" s="165" t="n">
        <v>319</v>
      </c>
      <c r="D12" s="166" t="n">
        <f aca="false">IF(C12=0,0,E12/C12)</f>
        <v>5.25</v>
      </c>
      <c r="E12" s="104" t="n">
        <v>1674.75</v>
      </c>
      <c r="F12" s="167" t="n">
        <v>0.25</v>
      </c>
      <c r="G12" s="166" t="n">
        <f aca="false">D12+F12</f>
        <v>5.5</v>
      </c>
      <c r="H12" s="104" t="n">
        <f aca="false">E12+I12</f>
        <v>1754.5</v>
      </c>
      <c r="I12" s="82" t="n">
        <f aca="false">C12*F12</f>
        <v>79.75</v>
      </c>
    </row>
    <row r="13" customFormat="false" ht="15" hidden="false" customHeight="true" outlineLevel="0" collapsed="false">
      <c r="A13" s="121" t="s">
        <v>658</v>
      </c>
      <c r="B13" s="117" t="s">
        <v>346</v>
      </c>
      <c r="C13" s="165" t="n">
        <v>2352</v>
      </c>
      <c r="D13" s="166" t="n">
        <f aca="false">IF(C13=0,0,E13/C13)</f>
        <v>10</v>
      </c>
      <c r="E13" s="104" t="n">
        <v>23520</v>
      </c>
      <c r="F13" s="167" t="n">
        <v>1</v>
      </c>
      <c r="G13" s="166" t="n">
        <f aca="false">D13+F13</f>
        <v>11</v>
      </c>
      <c r="H13" s="104" t="n">
        <f aca="false">E13+I13</f>
        <v>25872</v>
      </c>
      <c r="I13" s="82" t="n">
        <f aca="false">C13*F13</f>
        <v>2352</v>
      </c>
    </row>
    <row r="14" customFormat="false" ht="15" hidden="false" customHeight="true" outlineLevel="0" collapsed="false">
      <c r="A14" s="121" t="s">
        <v>659</v>
      </c>
      <c r="B14" s="117" t="s">
        <v>651</v>
      </c>
      <c r="C14" s="165" t="n">
        <v>619</v>
      </c>
      <c r="D14" s="168" t="n">
        <f aca="false">IF(C14=0,0,E14/C14)</f>
        <v>8</v>
      </c>
      <c r="E14" s="104" t="n">
        <v>4952</v>
      </c>
      <c r="F14" s="169" t="n">
        <v>1</v>
      </c>
      <c r="G14" s="168" t="n">
        <f aca="false">D14+F14</f>
        <v>9</v>
      </c>
      <c r="H14" s="104" t="n">
        <f aca="false">E14+I14</f>
        <v>5571</v>
      </c>
      <c r="I14" s="82" t="n">
        <f aca="false">C14*F14</f>
        <v>619</v>
      </c>
    </row>
    <row r="15" customFormat="false" ht="15" hidden="false" customHeight="true" outlineLevel="0" collapsed="false">
      <c r="A15" s="121" t="s">
        <v>660</v>
      </c>
      <c r="B15" s="117" t="s">
        <v>346</v>
      </c>
      <c r="C15" s="170" t="n">
        <v>510</v>
      </c>
      <c r="D15" s="168" t="n">
        <f aca="false">IF(C15=0,0,E15/C15)</f>
        <v>6</v>
      </c>
      <c r="E15" s="171" t="n">
        <v>3060</v>
      </c>
      <c r="F15" s="169" t="n">
        <v>0.5</v>
      </c>
      <c r="G15" s="168" t="n">
        <f aca="false">D15+F15</f>
        <v>6.5</v>
      </c>
      <c r="H15" s="171" t="n">
        <f aca="false">E15+I15</f>
        <v>3315</v>
      </c>
      <c r="I15" s="172" t="n">
        <f aca="false">C15*F15</f>
        <v>255</v>
      </c>
    </row>
    <row r="16" customFormat="false" ht="15" hidden="false" customHeight="true" outlineLevel="0" collapsed="false">
      <c r="A16" s="162" t="s">
        <v>661</v>
      </c>
      <c r="B16" s="163"/>
      <c r="C16" s="163"/>
      <c r="D16" s="163"/>
      <c r="E16" s="163"/>
      <c r="F16" s="163"/>
      <c r="G16" s="163"/>
      <c r="H16" s="163"/>
      <c r="I16" s="163"/>
    </row>
    <row r="17" customFormat="false" ht="15" hidden="false" customHeight="true" outlineLevel="0" collapsed="false">
      <c r="A17" s="121" t="s">
        <v>662</v>
      </c>
      <c r="B17" s="117" t="s">
        <v>651</v>
      </c>
      <c r="C17" s="165" t="n">
        <v>5211</v>
      </c>
      <c r="D17" s="168" t="n">
        <f aca="false">IF(C17=0,0,E17/C17)</f>
        <v>5</v>
      </c>
      <c r="E17" s="171" t="n">
        <v>26055</v>
      </c>
      <c r="F17" s="169" t="n">
        <v>0</v>
      </c>
      <c r="G17" s="168" t="n">
        <f aca="false">D17+F17</f>
        <v>5</v>
      </c>
      <c r="H17" s="171" t="n">
        <f aca="false">E17+I17</f>
        <v>26055</v>
      </c>
      <c r="I17" s="172" t="n">
        <f aca="false">C17*F17</f>
        <v>0</v>
      </c>
    </row>
    <row r="18" customFormat="false" ht="15" hidden="false" customHeight="true" outlineLevel="0" collapsed="false">
      <c r="A18" s="121" t="s">
        <v>663</v>
      </c>
      <c r="B18" s="117" t="s">
        <v>346</v>
      </c>
      <c r="C18" s="165" t="n">
        <v>1198</v>
      </c>
      <c r="D18" s="168" t="n">
        <f aca="false">IF(C18=0,0,E18/C18)</f>
        <v>11.5</v>
      </c>
      <c r="E18" s="171" t="n">
        <v>13777</v>
      </c>
      <c r="F18" s="169" t="n">
        <v>0</v>
      </c>
      <c r="G18" s="168" t="n">
        <f aca="false">D18+F18</f>
        <v>11.5</v>
      </c>
      <c r="H18" s="171" t="n">
        <f aca="false">E18+I18</f>
        <v>13777</v>
      </c>
      <c r="I18" s="172" t="n">
        <f aca="false">C18*F18</f>
        <v>0</v>
      </c>
    </row>
    <row r="19" customFormat="false" ht="15" hidden="false" customHeight="true" outlineLevel="0" collapsed="false">
      <c r="A19" s="121" t="s">
        <v>664</v>
      </c>
      <c r="B19" s="117" t="s">
        <v>346</v>
      </c>
      <c r="C19" s="165" t="n">
        <v>4396</v>
      </c>
      <c r="D19" s="168" t="n">
        <f aca="false">IF(C19=0,0,E19/C19)</f>
        <v>4.31</v>
      </c>
      <c r="E19" s="171" t="n">
        <v>18946.76</v>
      </c>
      <c r="F19" s="169" t="n">
        <v>0</v>
      </c>
      <c r="G19" s="168" t="n">
        <f aca="false">D19+F19</f>
        <v>4.31</v>
      </c>
      <c r="H19" s="171" t="n">
        <f aca="false">E19+I19</f>
        <v>18946.76</v>
      </c>
      <c r="I19" s="172" t="n">
        <f aca="false">C19*F19</f>
        <v>0</v>
      </c>
    </row>
    <row r="20" customFormat="false" ht="15" hidden="false" customHeight="true" outlineLevel="0" collapsed="false">
      <c r="A20" s="121" t="s">
        <v>507</v>
      </c>
      <c r="B20" s="117" t="s">
        <v>346</v>
      </c>
      <c r="C20" s="165" t="n">
        <v>1757</v>
      </c>
      <c r="D20" s="168" t="n">
        <f aca="false">IF(C20=0,0,E20/C20)</f>
        <v>5.96</v>
      </c>
      <c r="E20" s="171" t="n">
        <v>10471.72</v>
      </c>
      <c r="F20" s="169" t="n">
        <v>0</v>
      </c>
      <c r="G20" s="168" t="n">
        <f aca="false">D20+F20</f>
        <v>5.96</v>
      </c>
      <c r="H20" s="171" t="n">
        <f aca="false">E20+I20</f>
        <v>10471.72</v>
      </c>
      <c r="I20" s="172" t="n">
        <f aca="false">C20*F20</f>
        <v>0</v>
      </c>
    </row>
    <row r="21" customFormat="false" ht="15" hidden="false" customHeight="true" outlineLevel="0" collapsed="false">
      <c r="A21" s="121" t="s">
        <v>503</v>
      </c>
      <c r="B21" s="117" t="s">
        <v>346</v>
      </c>
      <c r="C21" s="170" t="n">
        <v>2519</v>
      </c>
      <c r="D21" s="168" t="n">
        <f aca="false">IF(C21=0,0,E21/C21)</f>
        <v>4.43</v>
      </c>
      <c r="E21" s="171" t="n">
        <v>11159.17</v>
      </c>
      <c r="F21" s="169" t="n">
        <v>0</v>
      </c>
      <c r="G21" s="168" t="n">
        <f aca="false">D21+F21</f>
        <v>4.43</v>
      </c>
      <c r="H21" s="171" t="n">
        <f aca="false">E21+I21</f>
        <v>11159.17</v>
      </c>
      <c r="I21" s="172" t="n">
        <f aca="false">C21*F21</f>
        <v>0</v>
      </c>
    </row>
    <row r="22" customFormat="false" ht="15" hidden="false" customHeight="true" outlineLevel="0" collapsed="false">
      <c r="A22" s="121" t="s">
        <v>665</v>
      </c>
      <c r="B22" s="117" t="s">
        <v>651</v>
      </c>
      <c r="C22" s="170" t="n">
        <v>4935</v>
      </c>
      <c r="D22" s="168" t="n">
        <f aca="false">IF(C22=0,0,E22/C22)</f>
        <v>4.69</v>
      </c>
      <c r="E22" s="171" t="n">
        <v>23145.15</v>
      </c>
      <c r="F22" s="169" t="n">
        <v>0</v>
      </c>
      <c r="G22" s="168" t="n">
        <f aca="false">D22+F22</f>
        <v>4.69</v>
      </c>
      <c r="H22" s="171" t="n">
        <f aca="false">E22+I22</f>
        <v>23145.15</v>
      </c>
      <c r="I22" s="172" t="n">
        <f aca="false">C22*F22</f>
        <v>0</v>
      </c>
    </row>
    <row r="23" customFormat="false" ht="15" hidden="false" customHeight="true" outlineLevel="0" collapsed="false">
      <c r="A23" s="121" t="s">
        <v>666</v>
      </c>
      <c r="B23" s="117" t="s">
        <v>667</v>
      </c>
      <c r="C23" s="165" t="n">
        <v>1309</v>
      </c>
      <c r="D23" s="168" t="n">
        <f aca="false">IF(C23=0,0,E23/C23)</f>
        <v>13.1</v>
      </c>
      <c r="E23" s="171" t="n">
        <v>17147.9</v>
      </c>
      <c r="F23" s="169" t="n">
        <v>0</v>
      </c>
      <c r="G23" s="168" t="n">
        <f aca="false">D23+F23</f>
        <v>13.1</v>
      </c>
      <c r="H23" s="171" t="n">
        <f aca="false">E23+I23</f>
        <v>17147.9</v>
      </c>
      <c r="I23" s="172" t="n">
        <f aca="false">C23*F23</f>
        <v>0</v>
      </c>
    </row>
    <row r="24" customFormat="false" ht="15" hidden="false" customHeight="true" outlineLevel="0" collapsed="false">
      <c r="A24" s="121" t="s">
        <v>668</v>
      </c>
      <c r="B24" s="117" t="s">
        <v>346</v>
      </c>
      <c r="C24" s="165" t="n">
        <v>845</v>
      </c>
      <c r="D24" s="168" t="n">
        <f aca="false">IF(C24=0,0,E24/C24)</f>
        <v>6.05</v>
      </c>
      <c r="E24" s="171" t="n">
        <v>5112.25</v>
      </c>
      <c r="F24" s="169" t="n">
        <v>0</v>
      </c>
      <c r="G24" s="168" t="n">
        <f aca="false">D24+F24</f>
        <v>6.05</v>
      </c>
      <c r="H24" s="171" t="n">
        <f aca="false">E24+I24</f>
        <v>5112.25</v>
      </c>
      <c r="I24" s="172" t="n">
        <f aca="false">C24*F24</f>
        <v>0</v>
      </c>
    </row>
    <row r="25" customFormat="false" ht="15" hidden="false" customHeight="true" outlineLevel="0" collapsed="false">
      <c r="A25" s="20"/>
      <c r="B25" s="20"/>
      <c r="C25" s="26"/>
      <c r="D25" s="20"/>
      <c r="E25" s="20"/>
      <c r="F25" s="20"/>
      <c r="G25" s="20"/>
      <c r="H25" s="20"/>
      <c r="I25" s="20"/>
    </row>
    <row r="26" customFormat="false" ht="1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</row>
    <row r="27" customFormat="false" ht="15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</row>
    <row r="28" customFormat="false" ht="15" hidden="false" customHeight="true" outlineLevel="0" collapsed="false">
      <c r="A28" s="173"/>
      <c r="B28" s="20"/>
      <c r="C28" s="26"/>
      <c r="D28" s="26"/>
      <c r="E28" s="26"/>
      <c r="F28" s="20"/>
      <c r="G28" s="20"/>
      <c r="H28" s="20"/>
      <c r="I28" s="20"/>
    </row>
    <row r="29" customFormat="false" ht="15" hidden="false" customHeight="true" outlineLevel="0" collapsed="false">
      <c r="A29" s="89" t="s">
        <v>669</v>
      </c>
      <c r="B29" s="163"/>
      <c r="C29" s="174" t="n">
        <f aca="false">SUM(C6:C28)</f>
        <v>40509</v>
      </c>
      <c r="D29" s="164"/>
      <c r="E29" s="52" t="n">
        <f aca="false">SUM(E6:E28)</f>
        <v>220193.95</v>
      </c>
      <c r="F29" s="163"/>
      <c r="G29" s="163"/>
      <c r="H29" s="175" t="n">
        <f aca="false">SUM(H6:H28)</f>
        <v>230372.75</v>
      </c>
      <c r="I29" s="175" t="n">
        <f aca="false">SUM(I6:I28)</f>
        <v>10178.8</v>
      </c>
    </row>
    <row r="30" customFormat="false" ht="15" hidden="false" customHeight="true" outlineLevel="0" collapsed="false">
      <c r="A30" s="117" t="s">
        <v>670</v>
      </c>
      <c r="B30" s="20"/>
      <c r="C30" s="26"/>
      <c r="D30" s="26"/>
      <c r="E30" s="26"/>
      <c r="F30" s="20"/>
      <c r="G30" s="20"/>
      <c r="H30" s="20"/>
      <c r="I30" s="20"/>
    </row>
    <row r="31" customFormat="false" ht="15" hidden="false" customHeight="true" outlineLevel="0" collapsed="false">
      <c r="A31" s="20"/>
      <c r="B31" s="20"/>
      <c r="C31" s="26"/>
      <c r="D31" s="26"/>
      <c r="E31" s="26"/>
      <c r="F31" s="20"/>
      <c r="G31" s="20"/>
      <c r="H31" s="20"/>
      <c r="I31" s="20"/>
    </row>
    <row r="32" customFormat="false" ht="15" hidden="false" customHeight="true" outlineLevel="0" collapsed="false">
      <c r="A32" s="131" t="s">
        <v>671</v>
      </c>
      <c r="B32" s="131"/>
      <c r="C32" s="131"/>
      <c r="D32" s="131"/>
      <c r="E32" s="131"/>
      <c r="F32" s="131"/>
      <c r="G32" s="131"/>
      <c r="H32" s="131"/>
      <c r="I32" s="131"/>
    </row>
    <row r="33" customFormat="false" ht="15" hidden="false" customHeight="true" outlineLevel="0" collapsed="false">
      <c r="A33" s="73" t="s">
        <v>672</v>
      </c>
      <c r="B33" s="20"/>
      <c r="C33" s="82" t="n">
        <f aca="false">SUMIF($B$6:$B$28,"NA",$I$6:$I$28)</f>
        <v>7571.8</v>
      </c>
      <c r="D33" s="26"/>
      <c r="E33" s="26"/>
      <c r="F33" s="20"/>
      <c r="G33" s="20"/>
      <c r="H33" s="20"/>
      <c r="I33" s="20"/>
    </row>
    <row r="34" customFormat="false" ht="15" hidden="false" customHeight="true" outlineLevel="0" collapsed="false">
      <c r="A34" s="73" t="s">
        <v>673</v>
      </c>
      <c r="B34" s="20"/>
      <c r="C34" s="82" t="n">
        <f aca="false">SUMIF($B$6:$B$28,"Food",$I$6:$I$28)</f>
        <v>2607</v>
      </c>
      <c r="D34" s="26"/>
      <c r="E34" s="26"/>
      <c r="F34" s="20"/>
      <c r="G34" s="20"/>
      <c r="H34" s="20"/>
      <c r="I34" s="20"/>
    </row>
    <row r="35" customFormat="false" ht="15" hidden="false" customHeight="true" outlineLevel="0" collapsed="false">
      <c r="A35" s="73" t="s">
        <v>674</v>
      </c>
      <c r="B35" s="20"/>
      <c r="C35" s="82" t="n">
        <f aca="false">I29</f>
        <v>10178.8</v>
      </c>
      <c r="D35" s="26"/>
      <c r="E35" s="26"/>
      <c r="F35" s="20"/>
      <c r="G35" s="20"/>
      <c r="H35" s="20"/>
      <c r="I35" s="20"/>
    </row>
    <row r="36" customFormat="false" ht="15" hidden="false" customHeight="true" outlineLevel="0" collapsed="false">
      <c r="A36" s="117" t="s">
        <v>675</v>
      </c>
      <c r="B36" s="20"/>
      <c r="C36" s="176" t="n">
        <f aca="false">I29/258287</f>
        <v>0.0394088746239648</v>
      </c>
      <c r="D36" s="26"/>
      <c r="E36" s="26"/>
      <c r="F36" s="20"/>
      <c r="G36" s="20"/>
      <c r="H36" s="20"/>
      <c r="I36" s="20"/>
    </row>
    <row r="37" customFormat="false" ht="15" hidden="false" customHeight="true" outlineLevel="0" collapsed="false">
      <c r="A37" s="20"/>
      <c r="B37" s="20"/>
      <c r="C37" s="26"/>
      <c r="D37" s="26"/>
      <c r="E37" s="26"/>
      <c r="F37" s="20"/>
      <c r="G37" s="20"/>
      <c r="H37" s="20"/>
      <c r="I37" s="20"/>
    </row>
    <row r="38" customFormat="false" ht="15" hidden="false" customHeight="true" outlineLevel="0" collapsed="false">
      <c r="A38" s="73" t="s">
        <v>676</v>
      </c>
      <c r="B38" s="20"/>
      <c r="C38" s="26"/>
      <c r="D38" s="26"/>
      <c r="E38" s="26"/>
      <c r="F38" s="20"/>
      <c r="G38" s="20"/>
      <c r="H38" s="20"/>
      <c r="I38" s="20"/>
    </row>
    <row r="39" customFormat="false" ht="15" hidden="false" customHeight="true" outlineLevel="0" collapsed="false">
      <c r="A39" s="121" t="s">
        <v>677</v>
      </c>
      <c r="B39" s="20"/>
      <c r="C39" s="171" t="n">
        <f aca="false">I29*1</f>
        <v>10178.8</v>
      </c>
      <c r="D39" s="20"/>
      <c r="E39" s="20"/>
      <c r="F39" s="20"/>
      <c r="G39" s="20"/>
      <c r="H39" s="20"/>
      <c r="I39" s="20"/>
    </row>
    <row r="40" customFormat="false" ht="15" hidden="false" customHeight="true" outlineLevel="0" collapsed="false">
      <c r="A40" s="121" t="s">
        <v>678</v>
      </c>
      <c r="B40" s="20"/>
      <c r="C40" s="171" t="n">
        <f aca="false">I29*0.9</f>
        <v>9160.92</v>
      </c>
      <c r="D40" s="20"/>
      <c r="E40" s="20"/>
      <c r="F40" s="20"/>
      <c r="G40" s="20"/>
      <c r="H40" s="20"/>
      <c r="I40" s="20"/>
    </row>
    <row r="41" customFormat="false" ht="30" hidden="false" customHeight="true" outlineLevel="0" collapsed="false">
      <c r="A41" s="177" t="s">
        <v>679</v>
      </c>
      <c r="B41" s="20"/>
      <c r="C41" s="171" t="n">
        <f aca="false">I29*0.8</f>
        <v>8143.04</v>
      </c>
      <c r="D41" s="20"/>
      <c r="E41" s="20"/>
      <c r="F41" s="20"/>
      <c r="G41" s="20"/>
      <c r="H41" s="20"/>
      <c r="I41" s="20"/>
    </row>
    <row r="42" customFormat="false" ht="30" hidden="false" customHeight="true" outlineLevel="0" collapsed="false">
      <c r="A42" s="178"/>
      <c r="B42" s="20"/>
      <c r="C42" s="20"/>
      <c r="D42" s="20"/>
      <c r="E42" s="20"/>
      <c r="F42" s="20"/>
      <c r="G42" s="20"/>
      <c r="H42" s="20"/>
      <c r="I42" s="20"/>
    </row>
    <row r="43" customFormat="false" ht="30" hidden="false" customHeight="true" outlineLevel="0" collapsed="false">
      <c r="A43" s="179" t="s">
        <v>680</v>
      </c>
      <c r="B43" s="179"/>
      <c r="C43" s="179"/>
      <c r="D43" s="179"/>
      <c r="E43" s="179"/>
      <c r="F43" s="179"/>
      <c r="G43" s="179"/>
      <c r="H43" s="179"/>
      <c r="I43" s="179"/>
    </row>
    <row r="44" customFormat="false" ht="30" hidden="false" customHeight="true" outlineLevel="0" collapsed="false">
      <c r="A44" s="180" t="s">
        <v>681</v>
      </c>
      <c r="B44" s="180"/>
      <c r="C44" s="180"/>
      <c r="D44" s="180"/>
      <c r="E44" s="180"/>
      <c r="F44" s="180"/>
      <c r="G44" s="180"/>
      <c r="H44" s="180"/>
      <c r="I44" s="180"/>
    </row>
    <row r="45" customFormat="false" ht="30" hidden="false" customHeight="true" outlineLevel="0" collapsed="false">
      <c r="A45" s="180" t="s">
        <v>682</v>
      </c>
      <c r="B45" s="180"/>
      <c r="C45" s="180"/>
      <c r="D45" s="180"/>
      <c r="E45" s="180"/>
      <c r="F45" s="180"/>
      <c r="G45" s="180"/>
      <c r="H45" s="180"/>
      <c r="I45" s="180"/>
    </row>
    <row r="46" customFormat="false" ht="30" hidden="false" customHeight="true" outlineLevel="0" collapsed="false">
      <c r="A46" s="180" t="s">
        <v>683</v>
      </c>
      <c r="B46" s="180"/>
      <c r="C46" s="180"/>
      <c r="D46" s="180"/>
      <c r="E46" s="180"/>
      <c r="F46" s="180"/>
      <c r="G46" s="180"/>
      <c r="H46" s="180"/>
      <c r="I46" s="180"/>
    </row>
    <row r="47" customFormat="false" ht="30" hidden="false" customHeight="true" outlineLevel="0" collapsed="false">
      <c r="A47" s="180" t="s">
        <v>684</v>
      </c>
      <c r="B47" s="180"/>
      <c r="C47" s="180"/>
      <c r="D47" s="180"/>
      <c r="E47" s="180"/>
      <c r="F47" s="180"/>
      <c r="G47" s="180"/>
      <c r="H47" s="180"/>
      <c r="I47" s="180"/>
    </row>
    <row r="48" customFormat="false" ht="30" hidden="false" customHeight="true" outlineLevel="0" collapsed="false">
      <c r="A48" s="180" t="s">
        <v>685</v>
      </c>
      <c r="B48" s="180"/>
      <c r="C48" s="180"/>
      <c r="D48" s="180"/>
      <c r="E48" s="180"/>
      <c r="F48" s="180"/>
      <c r="G48" s="180"/>
      <c r="H48" s="180"/>
      <c r="I48" s="180"/>
    </row>
    <row r="49" customFormat="false" ht="15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</row>
    <row r="50" customFormat="false" ht="15" hidden="false" customHeight="true" outlineLevel="0" collapsed="false">
      <c r="A50" s="73" t="s">
        <v>686</v>
      </c>
      <c r="B50" s="20"/>
      <c r="C50" s="20"/>
      <c r="D50" s="20"/>
      <c r="E50" s="20"/>
      <c r="F50" s="20"/>
      <c r="G50" s="20"/>
      <c r="H50" s="20"/>
      <c r="I50" s="20"/>
    </row>
    <row r="51" customFormat="false" ht="15" hidden="false" customHeight="true" outlineLevel="0" collapsed="false">
      <c r="A51" s="121" t="s">
        <v>687</v>
      </c>
      <c r="B51" s="20"/>
      <c r="C51" s="171" t="n">
        <f aca="false">I29</f>
        <v>10178.8</v>
      </c>
      <c r="D51" s="20"/>
      <c r="E51" s="20"/>
      <c r="F51" s="20"/>
      <c r="G51" s="20"/>
      <c r="H51" s="20"/>
      <c r="I51" s="20"/>
    </row>
    <row r="52" customFormat="false" ht="15" hidden="false" customHeight="true" outlineLevel="0" collapsed="false">
      <c r="A52" s="121" t="s">
        <v>688</v>
      </c>
      <c r="B52" s="20"/>
      <c r="C52" s="88" t="n">
        <v>0.9</v>
      </c>
      <c r="D52" s="20"/>
      <c r="E52" s="20"/>
      <c r="F52" s="20"/>
      <c r="G52" s="20"/>
      <c r="H52" s="20"/>
      <c r="I52" s="20"/>
    </row>
    <row r="53" customFormat="false" ht="15" hidden="false" customHeight="true" outlineLevel="0" collapsed="false">
      <c r="A53" s="73" t="s">
        <v>689</v>
      </c>
      <c r="B53" s="20"/>
      <c r="C53" s="172" t="n">
        <f aca="false">C51*C52</f>
        <v>9160.92</v>
      </c>
      <c r="D53" s="20"/>
      <c r="E53" s="20"/>
      <c r="F53" s="20"/>
      <c r="G53" s="20"/>
      <c r="H53" s="20"/>
      <c r="I53" s="20"/>
    </row>
    <row r="54" customFormat="false" ht="1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</row>
    <row r="55" customFormat="false" ht="15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52"/>
    <col collapsed="false" customWidth="true" hidden="false" outlineLevel="0" max="6" min="2" style="9" width="15"/>
  </cols>
  <sheetData>
    <row r="1" customFormat="false" ht="15" hidden="false" customHeight="true" outlineLevel="0" collapsed="false">
      <c r="A1" s="19" t="s">
        <v>330</v>
      </c>
    </row>
    <row r="2" customFormat="false" ht="15" hidden="false" customHeight="true" outlineLevel="0" collapsed="false">
      <c r="A2" s="19" t="s">
        <v>690</v>
      </c>
    </row>
    <row r="4" customFormat="false" ht="15" hidden="false" customHeight="true" outlineLevel="0" collapsed="false">
      <c r="A4" s="22" t="s">
        <v>691</v>
      </c>
      <c r="B4" s="22" t="s">
        <v>692</v>
      </c>
      <c r="C4" s="22" t="s">
        <v>693</v>
      </c>
      <c r="D4" s="22" t="s">
        <v>694</v>
      </c>
      <c r="E4" s="22" t="s">
        <v>695</v>
      </c>
      <c r="F4" s="22" t="s">
        <v>696</v>
      </c>
    </row>
    <row r="5" customFormat="false" ht="15" hidden="false" customHeight="true" outlineLevel="0" collapsed="false">
      <c r="A5" s="27" t="s">
        <v>697</v>
      </c>
      <c r="B5" s="28" t="n">
        <v>35102</v>
      </c>
      <c r="C5" s="181" t="n">
        <v>4000</v>
      </c>
      <c r="D5" s="114" t="n">
        <v>0.5</v>
      </c>
      <c r="E5" s="28" t="n">
        <f aca="false">B5+C5</f>
        <v>39102</v>
      </c>
      <c r="F5" s="28" t="n">
        <f aca="false">C5*(1-D5)</f>
        <v>2000</v>
      </c>
    </row>
    <row r="6" customFormat="false" ht="15" hidden="false" customHeight="true" outlineLevel="0" collapsed="false">
      <c r="A6" s="27" t="s">
        <v>698</v>
      </c>
      <c r="B6" s="28" t="n">
        <v>18308</v>
      </c>
      <c r="C6" s="181" t="n">
        <v>12000</v>
      </c>
      <c r="D6" s="114" t="n">
        <v>0.5</v>
      </c>
      <c r="E6" s="28" t="n">
        <f aca="false">B6+C6</f>
        <v>30308</v>
      </c>
      <c r="F6" s="28" t="n">
        <f aca="false">C6*(1-D6)</f>
        <v>6000</v>
      </c>
    </row>
    <row r="7" customFormat="false" ht="15" hidden="false" customHeight="true" outlineLevel="0" collapsed="false">
      <c r="A7" s="27" t="s">
        <v>699</v>
      </c>
      <c r="B7" s="28" t="n">
        <v>13158</v>
      </c>
      <c r="C7" s="181" t="n">
        <v>8000</v>
      </c>
      <c r="D7" s="114" t="n">
        <v>0.5</v>
      </c>
      <c r="E7" s="28" t="n">
        <f aca="false">B7+C7</f>
        <v>21158</v>
      </c>
      <c r="F7" s="28" t="n">
        <f aca="false">C7*(1-D7)</f>
        <v>4000</v>
      </c>
    </row>
    <row r="8" customFormat="false" ht="15" hidden="false" customHeight="true" outlineLevel="0" collapsed="false">
      <c r="A8" s="27" t="s">
        <v>700</v>
      </c>
      <c r="B8" s="28" t="n">
        <v>1416</v>
      </c>
      <c r="C8" s="181" t="n">
        <v>4000</v>
      </c>
      <c r="D8" s="114" t="n">
        <v>0.5</v>
      </c>
      <c r="E8" s="28" t="n">
        <f aca="false">B8+C8</f>
        <v>5416</v>
      </c>
      <c r="F8" s="28" t="n">
        <f aca="false">C8*(1-D8)</f>
        <v>2000</v>
      </c>
    </row>
    <row r="9" customFormat="false" ht="15" hidden="false" customHeight="true" outlineLevel="0" collapsed="false">
      <c r="A9" s="27" t="s">
        <v>701</v>
      </c>
      <c r="B9" s="28" t="n">
        <v>857</v>
      </c>
      <c r="C9" s="181" t="n">
        <v>4000</v>
      </c>
      <c r="D9" s="114" t="n">
        <v>0.5</v>
      </c>
      <c r="E9" s="28" t="n">
        <f aca="false">B9+C9</f>
        <v>4857</v>
      </c>
      <c r="F9" s="28" t="n">
        <f aca="false">C9*(1-D9)</f>
        <v>2000</v>
      </c>
    </row>
    <row r="10" customFormat="false" ht="15" hidden="false" customHeight="true" outlineLevel="0" collapsed="false">
      <c r="A10" s="27" t="s">
        <v>702</v>
      </c>
      <c r="B10" s="28" t="n">
        <v>570</v>
      </c>
      <c r="C10" s="181" t="n">
        <v>3000</v>
      </c>
      <c r="D10" s="114" t="n">
        <v>0.5</v>
      </c>
      <c r="E10" s="28" t="n">
        <f aca="false">B10+C10</f>
        <v>3570</v>
      </c>
      <c r="F10" s="28" t="n">
        <f aca="false">C10*(1-D10)</f>
        <v>1500</v>
      </c>
    </row>
    <row r="11" customFormat="false" ht="15" hidden="false" customHeight="true" outlineLevel="0" collapsed="false">
      <c r="A11" s="27" t="s">
        <v>703</v>
      </c>
      <c r="B11" s="28" t="n">
        <v>387</v>
      </c>
      <c r="C11" s="181" t="n">
        <v>6000</v>
      </c>
      <c r="D11" s="114" t="n">
        <v>0.5</v>
      </c>
      <c r="E11" s="28" t="n">
        <f aca="false">B11+C11</f>
        <v>6387</v>
      </c>
      <c r="F11" s="28" t="n">
        <f aca="false">C11*(1-D11)</f>
        <v>3000</v>
      </c>
    </row>
    <row r="12" customFormat="false" ht="15" hidden="false" customHeight="true" outlineLevel="0" collapsed="false">
      <c r="A12" s="27" t="s">
        <v>704</v>
      </c>
      <c r="B12" s="28" t="n">
        <v>198</v>
      </c>
      <c r="C12" s="181" t="n">
        <v>1500</v>
      </c>
      <c r="D12" s="114" t="n">
        <v>0.5</v>
      </c>
      <c r="E12" s="28" t="n">
        <f aca="false">B12+C12</f>
        <v>1698</v>
      </c>
      <c r="F12" s="28" t="n">
        <f aca="false">C12*(1-D12)</f>
        <v>750</v>
      </c>
    </row>
    <row r="13" customFormat="false" ht="15" hidden="false" customHeight="true" outlineLevel="0" collapsed="false">
      <c r="A13" s="27" t="s">
        <v>705</v>
      </c>
      <c r="B13" s="28" t="n">
        <v>0</v>
      </c>
      <c r="C13" s="181" t="n">
        <v>1500</v>
      </c>
      <c r="D13" s="114" t="n">
        <v>0.5</v>
      </c>
      <c r="E13" s="28" t="n">
        <f aca="false">B13+C13</f>
        <v>1500</v>
      </c>
      <c r="F13" s="28" t="n">
        <f aca="false">C13*(1-D13)</f>
        <v>750</v>
      </c>
    </row>
    <row r="14" customFormat="false" ht="15" hidden="false" customHeight="true" outlineLevel="0" collapsed="false">
      <c r="A14" s="27" t="s">
        <v>706</v>
      </c>
      <c r="B14" s="28" t="n">
        <v>0</v>
      </c>
      <c r="C14" s="181" t="n">
        <v>924</v>
      </c>
      <c r="D14" s="114" t="n">
        <v>0.5</v>
      </c>
      <c r="E14" s="28" t="n">
        <f aca="false">B14+C14</f>
        <v>924</v>
      </c>
      <c r="F14" s="28" t="n">
        <f aca="false">C14*(1-D14)</f>
        <v>462</v>
      </c>
    </row>
    <row r="15" customFormat="false" ht="15" hidden="false" customHeight="true" outlineLevel="0" collapsed="false">
      <c r="A15" s="31" t="s">
        <v>669</v>
      </c>
      <c r="B15" s="32" t="n">
        <f aca="false">SUM(B5:B14)</f>
        <v>69996</v>
      </c>
      <c r="C15" s="32" t="n">
        <f aca="false">SUM(C5:C14)</f>
        <v>44924</v>
      </c>
      <c r="D15" s="182" t="n">
        <f aca="false">SUMPRODUCT(C5:C14,D5:D14)/C15</f>
        <v>0.5</v>
      </c>
      <c r="E15" s="32" t="n">
        <f aca="false">SUM(E5:E14)</f>
        <v>114920</v>
      </c>
      <c r="F15" s="32" t="n">
        <f aca="false">SUM(F5:F14)</f>
        <v>22462</v>
      </c>
    </row>
    <row r="16" customFormat="false" ht="15" hidden="false" customHeight="false" outlineLevel="0" collapsed="false">
      <c r="A16" s="2" t="s">
        <v>707</v>
      </c>
    </row>
    <row r="17" customFormat="false" ht="15" hidden="false" customHeight="true" outlineLevel="0" collapsed="false">
      <c r="A17" s="31" t="s">
        <v>708</v>
      </c>
    </row>
    <row r="18" customFormat="false" ht="15" hidden="false" customHeight="true" outlineLevel="0" collapsed="false">
      <c r="A18" s="27" t="s">
        <v>709</v>
      </c>
      <c r="C18" s="28" t="n">
        <f aca="false">'LW Assumptions'!C47</f>
        <v>2923.78</v>
      </c>
    </row>
    <row r="19" customFormat="false" ht="15" hidden="false" customHeight="true" outlineLevel="0" collapsed="false">
      <c r="A19" s="27" t="s">
        <v>710</v>
      </c>
      <c r="C19" s="41" t="n">
        <f aca="false">C15-C18</f>
        <v>42000.22</v>
      </c>
    </row>
    <row r="20" customFormat="false" ht="15" hidden="false" customHeight="true" outlineLevel="0" collapsed="false">
      <c r="A20" s="27" t="s">
        <v>711</v>
      </c>
      <c r="C20" s="183" t="n">
        <f aca="false">D15</f>
        <v>0.5</v>
      </c>
    </row>
    <row r="22" customFormat="false" ht="15" hidden="false" customHeight="true" outlineLevel="0" collapsed="false">
      <c r="A22" s="21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2026-07-10T14:54:07Z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