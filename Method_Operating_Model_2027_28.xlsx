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2026 Modified" sheetId="13" state="visible" r:id="rId15"/>
    <sheet name="Vessel 2026 Modified" sheetId="14" state="visible" r:id="rId16"/>
    <sheet name="LW Assumptions" sheetId="15" state="visible" r:id="rId17"/>
    <sheet name="LW P&amp;L" sheetId="16" state="visible" r:id="rId18"/>
    <sheet name="LW Budget" sheetId="17" state="visible" r:id="rId19"/>
    <sheet name="LW Labor Model" sheetId="18" state="visible" r:id="rId20"/>
    <sheet name="LW Weekly Compare" sheetId="19" state="visible" r:id="rId21"/>
    <sheet name="LW Daypart Analysis" sheetId="20" state="visible" r:id="rId22"/>
    <sheet name="LW Shift Detail" sheetId="21" state="visible" r:id="rId23"/>
    <sheet name="LW GL Basis" sheetId="22" state="visible" r:id="rId24"/>
    <sheet name="LW Menu Pricing" sheetId="23" state="visible" r:id="rId25"/>
    <sheet name="LW Retail Plan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<sst xmlns="http://schemas.openxmlformats.org/spreadsheetml/2006/main" count="1699" uniqueCount="789">
  <si>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</si>
  <si>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</si>
  <si>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</si>
  <si>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</si>
  <si>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</si>
  <si>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</si>
  <si>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</si>
  <si>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</si>
  <si>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</si>
  <si>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</si>
  <si>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</si>
  <si>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</si>
  <si>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</si>
  <si>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</si>
  <si>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</si>
  <si>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</si>
  <si>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</si>
  <si>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</si>
  <si>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</si>
  <si>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</si>
  <si>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</si>
  <si>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</si>
  <si>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</si>
  <si>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</si>
  <si>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</si>
  <si>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</si>
  <si>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</si>
  <si>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</si>
  <si>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</si>
  <si>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</si>
  <si>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</si>
  <si>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</si>
  <si>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</si>
  <si>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</si>
  <si>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</si>
  <si>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</si>
  <si>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</si>
  <si>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</si>
  <si>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</si>
  <si>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</si>
  <si>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</si>
  <si>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</si>
  <si>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</si>
  <si>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</si>
  <si>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</si>
  <si>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</si>
  <si>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</si>
  <si>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</si>
  <si>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</si>
  <si>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</si>
  <si>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</si>
  <si>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</si>
  <si>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</si>
  <si>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</si>
  <si>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</si>
  <si>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</si>
  <si>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</si>
  <si>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</si>
  <si>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</si>
  <si>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</si>
  <si>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</si>
  <si>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</si>
  <si>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</si>
  <si>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</si>
  <si>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</si>
  <si>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</si>
  <si>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</si>
  <si>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</si>
  <si>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</si>
  <si>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</si>
  <si>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</si>
  <si>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</si>
  <si>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</si>
  <si>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</si>
  <si>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</si>
  <si>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</si>
  <si>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</si>
  <si>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</si>
  <si>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</si>
  <si>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</si>
  <si>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</si>
  <si>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</si>
  <si>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</si>
  <si>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</si>
  <si>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</si>
  <si>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</si>
  <si>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</si>
  <si>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</si>
  <si>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</si>
  <si>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</si>
  <si>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</si>
  <si>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</si>
  <si>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</si>
  <si>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</si>
  <si>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</si>
  <si>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</si>
  <si>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</si>
  <si>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</si>
  <si>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</si>
  <si>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</si>
  <si>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</si>
  <si>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</si>
  <si>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</si>
  <si>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</si>
  <si>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</si>
  <si>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</si>
  <si>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</si>
  <si>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</si>
  <si>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</si>
  <si>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</si>
  <si>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</si>
  <si>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</si>
  <si>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</si>
  <si>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</si>
  <si>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</si>
  <si>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</si>
  <si>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</si>
  <si>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</si>
  <si>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</si>
  <si>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</si>
  <si>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</si>
  <si>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</si>
  <si>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</si>
  <si>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</si>
  <si>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</si>
  <si>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</si>
  <si>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</si>
  <si>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</si>
  <si>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</si>
  <si>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</si>
  <si>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</si>
  <si>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</si>
  <si>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</si>
  <si>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</si>
  <si>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</si>
  <si>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</si>
  <si>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</si>
  <si>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</si>
  <si>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</si>
  <si>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</si>
  <si>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</si>
  <si>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</si>
  <si>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</si>
  <si>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</si>
  <si>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</si>
  <si>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</si>
  <si>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</si>
  <si>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</si>
  <si>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</si>
  <si>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</si>
  <si>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</si>
  <si>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</si>
  <si>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</si>
  <si>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</si>
  <si>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</si>
  <si>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</si>
  <si>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</si>
  <si>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</si>
  <si>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</si>
  <si>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</si>
  <si>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</si>
  <si>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</si>
  <si>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</si>
  <si>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</si>
  <si>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</si>
  <si>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</si>
  <si>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</si>
  <si>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</si>
  <si>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</si>
  <si>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</si>
  <si>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</si>
  <si>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</si>
  <si>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</si>
  <si>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</si>
  <si>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</si>
  <si>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</si>
  <si>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</si>
  <si>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</si>
  <si>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</si>
  <si>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</si>
  <si>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</si>
  <si>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</si>
  <si>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</si>
  <si>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</si>
  <si>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</si>
  <si>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</si>
  <si>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</si>
  <si>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</si>
  <si>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</si>
  <si>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</si>
  <si>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</si>
  <si>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</si>
  <si>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</si>
  <si>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</si>
  <si>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</si>
  <si>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</si>
  <si>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</si>
  <si>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</si>
  <si>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</si>
  <si>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</si>
  <si>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</si>
  <si>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</si>
  <si>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</si>
  <si>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</si>
  <si>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</si>
  <si>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</si>
  <si>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</si>
  <si>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</si>
  <si>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</si>
  <si>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</si>
  <si>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</si>
  <si>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</si>
  <si>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</si>
  <si>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</si>
  <si>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</si>
  <si>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</si>
  <si>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</si>
  <si>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</si>
  <si>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</si>
  <si>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</si>
  <si>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</si>
  <si>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</si>
  <si>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</si>
  <si>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</si>
  <si>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</si>
  <si>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</si>
  <si>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</si>
  <si>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</si>
  <si>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</si>
  <si>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</si>
  <si>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</si>
  <si>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</si>
  <si>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</si>
  <si>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</si>
  <si>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</si>
  <si>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</si>
  <si>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</si>
  <si>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</si>
  <si>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</si>
  <si>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</si>
  <si>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</si>
  <si>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</si>
  <si>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</si>
  <si>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</si>
  <si>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</si>
  <si>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</si>
  <si>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</si>
  <si>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</si>
  <si>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</si>
  <si>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</si>
  <si>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</si>
  <si>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</si>
  <si>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</si>
  <si>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</si>
  <si>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</si>
  <si>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</si>
  <si>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</si>
  <si>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</si>
  <si>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</si>
  <si>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</si>
  <si>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</si>
  <si>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</si>
  <si>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</si>
  <si>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</si>
  <si>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</si>
  <si>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</si>
  <si>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</si>
  <si>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</si>
  <si>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</si>
  <si>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</si>
  <si>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</si>
  <si>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</si>
  <si>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</si>
  <si>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</si>
  <si>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</si>
  <si>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</si>
  <si>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</si>
  <si>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</si>
  <si>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</si>
  <si>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</si>
  <si>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</si>
  <si>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</si>
  <si>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</si>
  <si>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</si>
  <si>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</si>
  <si>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</si>
  <si>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</si>
  <si>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</si>
  <si>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</si>
  <si>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</si>
  <si>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</si>
  <si>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</si>
  <si>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</si>
  <si>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</si>
  <si>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</si>
  <si>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</si>
  <si>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</si>
  <si>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</si>
  <si>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</si>
  <si>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</si>
  <si>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</si>
  <si>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</si>
  <si>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</si>
  <si>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</si>
  <si>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</si>
  <si>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</si>
  <si>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</si>
  <si>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</si>
  <si>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</si>
  <si>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</si>
  <si>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</si>
  <si>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</si>
  <si>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</si>
  <si>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</si>
  <si>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</si>
  <si>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</si>
  <si>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</si>
  <si>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</si>
  <si>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</si>
  <si>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</si>
  <si>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</si>
  <si>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</si>
  <si>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</si>
  <si>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</si>
  <si>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</si>
  <si>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</si>
  <si>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</si>
  <si>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</si>
  <si>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</si>
  <si>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</si>
  <si>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</si>
  <si>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</si>
  <si>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</si>
  <si>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</si>
  <si>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</si>
  <si>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</si>
  <si>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Events added per year</t>
  </si>
  <si>
    <t xml:space="preserve">volume build: +10 events each year toward the ~125–130 stabilized calendar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</si>
  <si>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</si>
  <si>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</si>
  <si>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</si>
  <si>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</t>
  </si>
  <si>
    <t xml:space="preserve">2029</t>
  </si>
  <si>
    <t xml:space="preserve">2030</t>
  </si>
  <si>
    <t xml:space="preserve">2031</t>
  </si>
  <si>
    <t xml:space="preserve">STABILIZED TARGET</t>
  </si>
  <si>
    <t xml:space="preserve">Annual events</t>
  </si>
  <si>
    <t xml:space="preserve">~125–130</t>
  </si>
  <si>
    <t xml:space="preserve">Avg. revenue / event</t>
  </si>
  <si>
    <t xml:space="preserve">$4,800+</t>
  </si>
  <si>
    <t xml:space="preserve">Annual revenue</t>
  </si>
  <si>
    <t xml:space="preserve">$600K+</t>
  </si>
  <si>
    <t xml:space="preserve">NOI margin (per-event card)</t>
  </si>
  <si>
    <t xml:space="preserve">Annual NOP</t>
  </si>
  <si>
    <t xml:space="preserve">$150K+</t>
  </si>
  <si>
    <t xml:space="preserve">2027 links live to the Vessel Budget (per-event card: $4,650 revenue · $1,157 NOP · 24.9% margin — margin holds at any volume because every cost scales per event or per revenue). Growth years add +10 events/yr and compound +6%/yr average event revenue: ~$500K by 2029, $600K+ by 2030 — reaching the stabilized calendar (~125–130 events) by 2032. Added benefit: larger average events and more of them,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</si>
  <si>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</si>
  <si>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</si>
  <si>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</si>
  <si>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</si>
  <si>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</si>
  <si>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</si>
  <si>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</si>
  <si>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</si>
  <si>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</si>
  <si>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</si>
  <si>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</si>
  <si>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</si>
  <si>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</si>
  <si>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</si>
  <si>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</si>
  <si>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</si>
  <si>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</si>
  <si>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</si>
  <si>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</si>
  <si>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</si>
  <si>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</si>
  <si>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</si>
  <si>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</si>
  <si>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</si>
  <si>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</si>
  <si>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</si>
  <si>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</si>
  <si>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</si>
  <si>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</si>
  <si>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</si>
  <si>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</si>
  <si>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</si>
  <si>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</si>
  <si>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</si>
  <si>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</si>
  <si>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</si>
  <si>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</si>
  <si>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</si>
  <si>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</si>
  <si>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</si>
  <si>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</si>
  <si>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</si>
  <si>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</si>
  <si>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Vessel go-live 9/1 — August events already contracted at old terms; LW stays 8/1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</si>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</sst>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General"/>
    <numFmt numFmtId="173" formatCode="\$#,##0"/>
    <numFmt numFmtId="174" formatCode="0.00%"/>
    <numFmt numFmtId="175" formatCode="0.0"/>
    <numFmt numFmtId="176" formatCode="0%"/>
    <numFmt numFmtId="177" formatCode="@"/>
    <numFmt numFmtId="178" formatCode="\$#,##0.00"/>
    <numFmt numFmtId="179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2" fontId="1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1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21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1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25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21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5" fontId="2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8" fillId="4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7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5" fontId="2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5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3" fontId="19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73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3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9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3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5" fontId="34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9" fontId="34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4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3" fontId="4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3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8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29561.812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84286.356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36111.632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15341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16060.812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0.0452715904407921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193416.0981375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70292.56195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25022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-81299.7165041668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-0.121408811033886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29561.812</v>
      </c>
      <c r="D6" s="24" t="n">
        <f aca="false">'Vessel 2026 Modified'!$AB$62</f>
        <v>16060.812</v>
      </c>
      <c r="E6" s="25" t="n">
        <f aca="false">'Vessel 2026 Modified'!$C$4</f>
        <v>46266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96208.2834958333</v>
      </c>
      <c r="D7" s="27" t="n">
        <f aca="false">D5+D6</f>
        <v>-81299.7165041667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38538.812</v>
      </c>
      <c r="D20" s="24" t="n">
        <f aca="false">C20-B20</f>
        <v>29561.812</v>
      </c>
      <c r="E20" s="19"/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37378.2834958334</v>
      </c>
      <c r="D21" s="27" t="n">
        <f aca="false">C21-B21</f>
        <v>96208.2834958334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171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173</v>
      </c>
      <c r="J5" s="30"/>
    </row>
    <row r="6" customFormat="false" ht="15" hidden="false" customHeight="true" outlineLevel="0" collapsed="false">
      <c r="C6" s="32" t="s">
        <v>174</v>
      </c>
      <c r="D6" s="32"/>
      <c r="E6" s="33"/>
      <c r="F6" s="32" t="s">
        <v>174</v>
      </c>
      <c r="G6" s="32"/>
      <c r="H6" s="33"/>
      <c r="I6" s="32" t="s">
        <v>174</v>
      </c>
      <c r="J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/>
      <c r="F7" s="31" t="s">
        <v>175</v>
      </c>
      <c r="G7" s="31" t="s">
        <v>176</v>
      </c>
      <c r="H7" s="31"/>
      <c r="I7" s="31" t="s">
        <v>175</v>
      </c>
      <c r="J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179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180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181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182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183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184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185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188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189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190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191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192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195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196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197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198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199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200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203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204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205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206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207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211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212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213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217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218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219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220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222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223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224</v>
      </c>
      <c r="B75" s="6" t="s">
        <v>158</v>
      </c>
      <c r="C75" s="6" t="s">
        <v>157</v>
      </c>
      <c r="D75" s="6" t="s">
        <v>173</v>
      </c>
      <c r="E75" s="6" t="s">
        <v>225</v>
      </c>
    </row>
    <row r="76" customFormat="false" ht="15" hidden="false" customHeight="true" outlineLevel="0" collapsed="false">
      <c r="A76" s="5" t="s">
        <v>226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227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228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229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230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231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232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233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234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235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236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237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174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238</v>
      </c>
    </row>
    <row r="2" customFormat="false" ht="15" hidden="false" customHeight="true" outlineLevel="0" collapsed="false">
      <c r="A2" s="2" t="s">
        <v>239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172</v>
      </c>
      <c r="AC5" s="30"/>
    </row>
    <row r="6" customFormat="false" ht="15" hidden="false" customHeight="true" outlineLevel="0" collapsed="false">
      <c r="C6" s="32" t="s">
        <v>251</v>
      </c>
      <c r="D6" s="32"/>
      <c r="E6" s="32" t="s">
        <v>251</v>
      </c>
      <c r="F6" s="32"/>
      <c r="G6" s="32" t="s">
        <v>251</v>
      </c>
      <c r="H6" s="32"/>
      <c r="I6" s="32" t="s">
        <v>251</v>
      </c>
      <c r="J6" s="32"/>
      <c r="K6" s="32" t="s">
        <v>251</v>
      </c>
      <c r="L6" s="32"/>
      <c r="M6" s="32" t="s">
        <v>251</v>
      </c>
      <c r="N6" s="32"/>
      <c r="O6" s="32" t="s">
        <v>251</v>
      </c>
      <c r="P6" s="32"/>
      <c r="Q6" s="32" t="s">
        <v>251</v>
      </c>
      <c r="R6" s="32"/>
      <c r="S6" s="32" t="s">
        <v>251</v>
      </c>
      <c r="T6" s="32"/>
      <c r="U6" s="32" t="s">
        <v>251</v>
      </c>
      <c r="V6" s="32"/>
      <c r="W6" s="32" t="s">
        <v>251</v>
      </c>
      <c r="X6" s="32"/>
      <c r="Y6" s="32" t="s">
        <v>251</v>
      </c>
      <c r="Z6" s="32"/>
      <c r="AB6" s="32" t="s">
        <v>174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5" t="s">
        <v>252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179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180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181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182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183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184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185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188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189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190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191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192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195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196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197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198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199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203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205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206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207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211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212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213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218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220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253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254</v>
      </c>
      <c r="C5" s="43" t="s">
        <v>255</v>
      </c>
      <c r="D5" s="43" t="s">
        <v>256</v>
      </c>
      <c r="F5" s="42" t="s">
        <v>257</v>
      </c>
    </row>
    <row r="6" customFormat="false" ht="15" hidden="false" customHeight="true" outlineLevel="0" collapsed="false">
      <c r="B6" s="44" t="s">
        <v>258</v>
      </c>
      <c r="C6" s="45" t="n">
        <f aca="false">'Vessel Budget'!$AB$20</f>
        <v>350111.52</v>
      </c>
      <c r="D6" s="46" t="n">
        <f aca="false">C6/C6</f>
        <v>1</v>
      </c>
      <c r="F6" s="47" t="s">
        <v>259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260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261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262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263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264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265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266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267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268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269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270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271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272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273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274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275</v>
      </c>
      <c r="C2" s="40"/>
      <c r="D2" s="40"/>
    </row>
    <row r="3" customFormat="false" ht="15" hidden="false" customHeight="true" outlineLevel="0" collapsed="false">
      <c r="B3" s="61" t="s">
        <v>276</v>
      </c>
      <c r="C3" s="61"/>
      <c r="D3" s="61"/>
    </row>
    <row r="5" customFormat="false" ht="19.5" hidden="false" customHeight="true" outlineLevel="0" collapsed="false">
      <c r="B5" s="62" t="s">
        <v>277</v>
      </c>
      <c r="C5" s="62"/>
      <c r="D5" s="62"/>
    </row>
    <row r="6" customFormat="false" ht="15" hidden="false" customHeight="true" outlineLevel="0" collapsed="false">
      <c r="B6" s="47" t="s">
        <v>278</v>
      </c>
      <c r="C6" s="63" t="n">
        <v>3720</v>
      </c>
      <c r="D6" s="64" t="s">
        <v>279</v>
      </c>
    </row>
    <row r="7" customFormat="false" ht="15" hidden="false" customHeight="true" outlineLevel="0" collapsed="false">
      <c r="B7" s="47" t="s">
        <v>280</v>
      </c>
      <c r="C7" s="65" t="n">
        <v>0.713</v>
      </c>
      <c r="D7" s="64" t="s">
        <v>281</v>
      </c>
    </row>
    <row r="8" customFormat="false" ht="15" hidden="false" customHeight="true" outlineLevel="0" collapsed="false">
      <c r="B8" s="47" t="s">
        <v>282</v>
      </c>
      <c r="C8" s="65" t="n">
        <f aca="false">2880/3720</f>
        <v>0.774193548387097</v>
      </c>
      <c r="D8" s="64" t="s">
        <v>283</v>
      </c>
    </row>
    <row r="9" customFormat="false" ht="15" hidden="false" customHeight="true" outlineLevel="0" collapsed="false">
      <c r="B9" s="47" t="s">
        <v>284</v>
      </c>
      <c r="C9" s="65" t="n">
        <v>0.2</v>
      </c>
      <c r="D9" s="64" t="s">
        <v>285</v>
      </c>
    </row>
    <row r="11" customFormat="false" ht="19.5" hidden="false" customHeight="true" outlineLevel="0" collapsed="false">
      <c r="B11" s="62" t="s">
        <v>286</v>
      </c>
      <c r="C11" s="62"/>
      <c r="D11" s="62"/>
    </row>
    <row r="12" customFormat="false" ht="15" hidden="false" customHeight="true" outlineLevel="0" collapsed="false">
      <c r="B12" s="47" t="s">
        <v>287</v>
      </c>
      <c r="C12" s="65" t="n">
        <f aca="false">1600/2880</f>
        <v>0.555555555555556</v>
      </c>
      <c r="D12" s="64" t="s">
        <v>288</v>
      </c>
    </row>
    <row r="13" customFormat="false" ht="15" hidden="false" customHeight="true" outlineLevel="0" collapsed="false">
      <c r="B13" s="47" t="s">
        <v>289</v>
      </c>
      <c r="C13" s="65" t="n">
        <v>0.25</v>
      </c>
      <c r="D13" s="64" t="str">
        <f aca="false">TEXT(1-$C$13,"0%")&amp;" margin"</f>
        <v>75% margin</v>
      </c>
    </row>
    <row r="15" customFormat="false" ht="19.5" hidden="false" customHeight="true" outlineLevel="0" collapsed="false">
      <c r="B15" s="62" t="s">
        <v>290</v>
      </c>
      <c r="C15" s="62"/>
      <c r="D15" s="62"/>
    </row>
    <row r="16" customFormat="false" ht="15" hidden="false" customHeight="true" outlineLevel="0" collapsed="false">
      <c r="B16" s="47" t="s">
        <v>291</v>
      </c>
      <c r="C16" s="66" t="n">
        <v>1</v>
      </c>
    </row>
    <row r="17" customFormat="false" ht="15" hidden="false" customHeight="true" outlineLevel="0" collapsed="false">
      <c r="B17" s="47" t="s">
        <v>292</v>
      </c>
      <c r="C17" s="66" t="n">
        <v>2</v>
      </c>
    </row>
    <row r="18" customFormat="false" ht="15" hidden="false" customHeight="true" outlineLevel="0" collapsed="false">
      <c r="B18" s="47" t="s">
        <v>293</v>
      </c>
      <c r="C18" s="63" t="n">
        <v>35</v>
      </c>
    </row>
    <row r="19" customFormat="false" ht="15" hidden="false" customHeight="true" outlineLevel="0" collapsed="false">
      <c r="B19" s="47" t="s">
        <v>294</v>
      </c>
      <c r="C19" s="66" t="n">
        <v>5</v>
      </c>
    </row>
    <row r="20" customFormat="false" ht="15" hidden="false" customHeight="true" outlineLevel="0" collapsed="false">
      <c r="B20" s="67" t="s">
        <v>295</v>
      </c>
      <c r="C20" s="68" t="n">
        <f aca="false">(C16+C17)*C18*C19</f>
        <v>525</v>
      </c>
    </row>
    <row r="21" customFormat="false" ht="15" hidden="false" customHeight="true" outlineLevel="0" collapsed="false">
      <c r="B21" s="47" t="s">
        <v>296</v>
      </c>
      <c r="C21" s="68" t="n">
        <f aca="false">'Vessel GL Basis'!D8</f>
        <v>1435.83333333333</v>
      </c>
      <c r="D21" s="64" t="s">
        <v>297</v>
      </c>
    </row>
    <row r="22" customFormat="false" ht="15" hidden="false" customHeight="true" outlineLevel="0" collapsed="false">
      <c r="B22" s="47" t="s">
        <v>298</v>
      </c>
      <c r="C22" s="65" t="n">
        <f aca="false">114/692</f>
        <v>0.164739884393064</v>
      </c>
      <c r="D22" s="64" t="s">
        <v>299</v>
      </c>
    </row>
    <row r="24" customFormat="false" ht="19.5" hidden="false" customHeight="true" outlineLevel="0" collapsed="false">
      <c r="B24" s="62" t="s">
        <v>300</v>
      </c>
      <c r="C24" s="62"/>
      <c r="D24" s="62"/>
    </row>
    <row r="25" customFormat="false" ht="15" hidden="false" customHeight="true" outlineLevel="0" collapsed="false">
      <c r="B25" s="47" t="s">
        <v>301</v>
      </c>
      <c r="C25" s="68" t="n">
        <f aca="false">'Vessel GL Basis'!D18</f>
        <v>6718.66666666667</v>
      </c>
      <c r="D25" s="64" t="s">
        <v>297</v>
      </c>
    </row>
    <row r="26" customFormat="false" ht="15" hidden="false" customHeight="true" outlineLevel="0" collapsed="false">
      <c r="B26" s="47" t="s">
        <v>302</v>
      </c>
      <c r="C26" s="68" t="n">
        <f aca="false">'Vessel GL Basis'!D24</f>
        <v>1045.41666666667</v>
      </c>
      <c r="D26" s="64" t="s">
        <v>297</v>
      </c>
    </row>
    <row r="27" customFormat="false" ht="15" hidden="false" customHeight="true" outlineLevel="0" collapsed="false">
      <c r="B27" s="47" t="s">
        <v>303</v>
      </c>
      <c r="C27" s="65" t="n">
        <v>0.025</v>
      </c>
      <c r="D27" s="64" t="s">
        <v>304</v>
      </c>
    </row>
    <row r="29" customFormat="false" ht="19.5" hidden="false" customHeight="true" outlineLevel="0" collapsed="false">
      <c r="B29" s="62" t="s">
        <v>305</v>
      </c>
      <c r="C29" s="62"/>
      <c r="D29" s="62"/>
    </row>
    <row r="30" customFormat="false" ht="15" hidden="false" customHeight="true" outlineLevel="0" collapsed="false">
      <c r="B30" s="47" t="s">
        <v>306</v>
      </c>
      <c r="C30" s="69" t="n">
        <v>0.04</v>
      </c>
      <c r="D30" s="64" t="s">
        <v>307</v>
      </c>
    </row>
    <row r="31" customFormat="false" ht="15" hidden="false" customHeight="true" outlineLevel="0" collapsed="false">
      <c r="B31" s="67" t="s">
        <v>308</v>
      </c>
      <c r="C31" s="70" t="n">
        <v>0</v>
      </c>
      <c r="D31" s="1" t="s">
        <v>309</v>
      </c>
    </row>
    <row r="32" customFormat="false" ht="15" hidden="false" customHeight="true" outlineLevel="0" collapsed="false">
      <c r="B32" s="1" t="s">
        <v>310</v>
      </c>
      <c r="C32" s="71" t="n">
        <v>0.05</v>
      </c>
      <c r="D32" s="1" t="s">
        <v>311</v>
      </c>
    </row>
    <row r="34" customFormat="false" ht="15" hidden="false" customHeight="true" outlineLevel="0" collapsed="false">
      <c r="B34" s="47" t="s">
        <v>312</v>
      </c>
      <c r="C34" s="69" t="n">
        <v>0.03</v>
      </c>
      <c r="D34" s="64" t="s">
        <v>313</v>
      </c>
    </row>
    <row r="35" customFormat="false" ht="15" hidden="false" customHeight="true" outlineLevel="0" collapsed="false">
      <c r="B35" s="47" t="s">
        <v>314</v>
      </c>
      <c r="C35" s="69" t="n">
        <v>0.04</v>
      </c>
      <c r="D35" s="64" t="s">
        <v>315</v>
      </c>
    </row>
    <row r="36" customFormat="false" ht="15" hidden="false" customHeight="true" outlineLevel="0" collapsed="false">
      <c r="B36" s="47" t="s">
        <v>316</v>
      </c>
      <c r="C36" s="72" t="n">
        <v>55</v>
      </c>
      <c r="D36" s="64" t="s">
        <v>317</v>
      </c>
    </row>
    <row r="37" customFormat="false" ht="15" hidden="false" customHeight="true" outlineLevel="0" collapsed="false">
      <c r="B37" s="47" t="s">
        <v>318</v>
      </c>
      <c r="C37" s="72" t="n">
        <v>112</v>
      </c>
      <c r="D37" s="64" t="s">
        <v>317</v>
      </c>
    </row>
    <row r="38" customFormat="false" ht="15" hidden="false" customHeight="true" outlineLevel="0" collapsed="false">
      <c r="B38" s="47" t="s">
        <v>319</v>
      </c>
      <c r="C38" s="73" t="n">
        <f aca="false">575/4650</f>
        <v>0.123655913978495</v>
      </c>
      <c r="D38" s="64" t="s">
        <v>320</v>
      </c>
    </row>
    <row r="39" customFormat="false" ht="15" hidden="false" customHeight="true" outlineLevel="0" collapsed="false">
      <c r="B39" s="47" t="s">
        <v>321</v>
      </c>
      <c r="C39" s="73" t="n">
        <f aca="false">116/4650</f>
        <v>0.0249462365591398</v>
      </c>
      <c r="D39" s="64" t="s">
        <v>322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323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172</v>
      </c>
      <c r="AC5" s="30"/>
    </row>
    <row r="6" customFormat="false" ht="15" hidden="false" customHeight="true" outlineLevel="0" collapsed="false">
      <c r="C6" s="32" t="s">
        <v>251</v>
      </c>
      <c r="D6" s="32"/>
      <c r="E6" s="32" t="s">
        <v>251</v>
      </c>
      <c r="F6" s="32"/>
      <c r="G6" s="32" t="s">
        <v>251</v>
      </c>
      <c r="H6" s="32"/>
      <c r="I6" s="32" t="s">
        <v>251</v>
      </c>
      <c r="J6" s="32"/>
      <c r="K6" s="32" t="s">
        <v>251</v>
      </c>
      <c r="L6" s="32"/>
      <c r="M6" s="32" t="s">
        <v>251</v>
      </c>
      <c r="N6" s="32"/>
      <c r="O6" s="32" t="s">
        <v>251</v>
      </c>
      <c r="P6" s="32"/>
      <c r="Q6" s="32" t="s">
        <v>251</v>
      </c>
      <c r="R6" s="32"/>
      <c r="S6" s="32" t="s">
        <v>251</v>
      </c>
      <c r="T6" s="32"/>
      <c r="U6" s="32" t="s">
        <v>251</v>
      </c>
      <c r="V6" s="32"/>
      <c r="W6" s="32" t="s">
        <v>251</v>
      </c>
      <c r="X6" s="32"/>
      <c r="Y6" s="32" t="s">
        <v>251</v>
      </c>
      <c r="Z6" s="32"/>
      <c r="AB6" s="32" t="s">
        <v>174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5" t="s">
        <v>324</v>
      </c>
      <c r="C8" s="74" t="n">
        <v>13</v>
      </c>
      <c r="E8" s="74" t="n">
        <v>4</v>
      </c>
      <c r="G8" s="74" t="n">
        <v>13</v>
      </c>
      <c r="I8" s="74" t="n">
        <v>4</v>
      </c>
      <c r="K8" s="74" t="n">
        <v>10</v>
      </c>
      <c r="M8" s="75" t="n">
        <f aca="false">AVERAGE($C$8,$E$8,$G$8,$I$8,$K$8)</f>
        <v>8.8</v>
      </c>
      <c r="O8" s="75" t="n">
        <f aca="false">AVERAGE($C$8,$E$8,$G$8,$I$8,$K$8)</f>
        <v>8.8</v>
      </c>
      <c r="Q8" s="75" t="n">
        <f aca="false">AVERAGE($C$8,$E$8,$G$8,$I$8,$K$8)</f>
        <v>8.8</v>
      </c>
      <c r="S8" s="75" t="n">
        <f aca="false">AVERAGE($C$8,$E$8,$G$8,$I$8,$K$8)</f>
        <v>8.8</v>
      </c>
      <c r="U8" s="75" t="n">
        <f aca="false">AVERAGE($C$8,$E$8,$G$8,$I$8,$K$8)</f>
        <v>8.8</v>
      </c>
      <c r="W8" s="75" t="n">
        <f aca="false">AVERAGE($C$8,$E$8,$G$8,$I$8,$K$8)</f>
        <v>8.8</v>
      </c>
      <c r="Y8" s="75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325</v>
      </c>
      <c r="C9" s="75" t="n">
        <f aca="false">C8*'Vessel Assumptions'!$C$7</f>
        <v>9.269</v>
      </c>
      <c r="E9" s="75" t="n">
        <f aca="false">E8*'Vessel Assumptions'!$C$7</f>
        <v>2.852</v>
      </c>
      <c r="G9" s="75" t="n">
        <f aca="false">G8*'Vessel Assumptions'!$C$7</f>
        <v>9.269</v>
      </c>
      <c r="I9" s="75" t="n">
        <f aca="false">I8*'Vessel Assumptions'!$C$7</f>
        <v>2.852</v>
      </c>
      <c r="K9" s="75" t="n">
        <f aca="false">K8*'Vessel Assumptions'!$C$7</f>
        <v>7.13</v>
      </c>
      <c r="M9" s="75" t="n">
        <f aca="false">M8*'Vessel Assumptions'!$C$7</f>
        <v>6.2744</v>
      </c>
      <c r="O9" s="75" t="n">
        <f aca="false">O8*'Vessel Assumptions'!$C$7</f>
        <v>6.2744</v>
      </c>
      <c r="Q9" s="75" t="n">
        <f aca="false">Q8*'Vessel Assumptions'!$C$7</f>
        <v>6.2744</v>
      </c>
      <c r="S9" s="75" t="n">
        <f aca="false">S8*'Vessel Assumptions'!$C$7</f>
        <v>6.2744</v>
      </c>
      <c r="U9" s="75" t="n">
        <f aca="false">U8*'Vessel Assumptions'!$C$7</f>
        <v>6.2744</v>
      </c>
      <c r="W9" s="75" t="n">
        <f aca="false">W8*'Vessel Assumptions'!$C$7</f>
        <v>6.2744</v>
      </c>
      <c r="Y9" s="75" t="n">
        <f aca="false">Y8*'Vessel Assumptions'!$C$7</f>
        <v>6.2744</v>
      </c>
      <c r="AB9" s="75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179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180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181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182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183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326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185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188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189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190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191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192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327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195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196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197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328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329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203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330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206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211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331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332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218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220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6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334</v>
      </c>
    </row>
    <row r="4" customFormat="false" ht="15" hidden="false" customHeight="true" outlineLevel="0" collapsed="false">
      <c r="A4" s="6" t="s">
        <v>335</v>
      </c>
    </row>
    <row r="5" customFormat="false" ht="15" hidden="false" customHeight="true" outlineLevel="0" collapsed="false">
      <c r="A5" s="5" t="s">
        <v>336</v>
      </c>
      <c r="B5" s="76" t="n">
        <v>10</v>
      </c>
      <c r="C5" s="3" t="s">
        <v>337</v>
      </c>
    </row>
    <row r="6" customFormat="false" ht="15" hidden="false" customHeight="true" outlineLevel="0" collapsed="false">
      <c r="A6" s="5" t="s">
        <v>338</v>
      </c>
      <c r="B6" s="77" t="n">
        <v>0.06</v>
      </c>
      <c r="C6" s="3" t="s">
        <v>339</v>
      </c>
    </row>
    <row r="8" customFormat="false" ht="15" hidden="false" customHeight="true" outlineLevel="0" collapsed="false">
      <c r="A8" s="38"/>
      <c r="B8" s="31" t="s">
        <v>340</v>
      </c>
      <c r="C8" s="31" t="s">
        <v>341</v>
      </c>
      <c r="D8" s="31" t="s">
        <v>342</v>
      </c>
      <c r="E8" s="31" t="s">
        <v>343</v>
      </c>
      <c r="F8" s="31" t="s">
        <v>344</v>
      </c>
      <c r="G8" s="31" t="s">
        <v>345</v>
      </c>
    </row>
    <row r="9" customFormat="false" ht="15" hidden="false" customHeight="true" outlineLevel="0" collapsed="false">
      <c r="A9" s="5" t="s">
        <v>346</v>
      </c>
      <c r="B9" s="78" t="n">
        <f aca="false">'Vessel Budget'!$AB$9</f>
        <v>75.2928</v>
      </c>
      <c r="C9" s="78" t="n">
        <f aca="false">B9+$B$5</f>
        <v>85.2928</v>
      </c>
      <c r="D9" s="78" t="n">
        <f aca="false">C9+$B$5</f>
        <v>95.2928</v>
      </c>
      <c r="E9" s="78" t="n">
        <f aca="false">D9+$B$5</f>
        <v>105.2928</v>
      </c>
      <c r="F9" s="78" t="n">
        <f aca="false">E9+$B$5</f>
        <v>115.2928</v>
      </c>
      <c r="G9" s="79" t="s">
        <v>347</v>
      </c>
    </row>
    <row r="10" customFormat="false" ht="15" hidden="false" customHeight="true" outlineLevel="0" collapsed="false">
      <c r="A10" s="5" t="s">
        <v>348</v>
      </c>
      <c r="B10" s="80" t="n">
        <f aca="false">'Vessel Budget'!$AB$20/'Vessel Budget'!$AB$9</f>
        <v>4650</v>
      </c>
      <c r="C10" s="80" t="n">
        <f aca="false">B10*(1+$B$6)</f>
        <v>4929</v>
      </c>
      <c r="D10" s="80" t="n">
        <f aca="false">C10*(1+$B$6)</f>
        <v>5224.74</v>
      </c>
      <c r="E10" s="80" t="n">
        <f aca="false">D10*(1+$B$6)</f>
        <v>5538.2244</v>
      </c>
      <c r="F10" s="80" t="n">
        <f aca="false">E10*(1+$B$6)</f>
        <v>5870.517864</v>
      </c>
      <c r="G10" s="79" t="s">
        <v>349</v>
      </c>
    </row>
    <row r="11" customFormat="false" ht="15" hidden="false" customHeight="true" outlineLevel="0" collapsed="false">
      <c r="A11" s="6" t="s">
        <v>350</v>
      </c>
      <c r="B11" s="81" t="n">
        <f aca="false">B9*B10</f>
        <v>350111.52</v>
      </c>
      <c r="C11" s="81" t="n">
        <f aca="false">C9*C10</f>
        <v>420408.2112</v>
      </c>
      <c r="D11" s="81" t="n">
        <f aca="false">D9*D10</f>
        <v>497880.103872</v>
      </c>
      <c r="E11" s="81" t="n">
        <f aca="false">E9*E10</f>
        <v>583135.15410432</v>
      </c>
      <c r="F11" s="81" t="n">
        <f aca="false">F9*F10</f>
        <v>676828.441990579</v>
      </c>
      <c r="G11" s="82" t="s">
        <v>351</v>
      </c>
    </row>
    <row r="12" customFormat="false" ht="15" hidden="false" customHeight="true" outlineLevel="0" collapsed="false">
      <c r="A12" s="5" t="s">
        <v>352</v>
      </c>
      <c r="B12" s="83" t="n">
        <f aca="false">'Vessel Budget'!$AB$62/'Vessel Budget'!$AB$20</f>
        <v>0.248817204301075</v>
      </c>
      <c r="C12" s="83" t="n">
        <f aca="false">$B$12</f>
        <v>0.248817204301075</v>
      </c>
      <c r="D12" s="83" t="n">
        <f aca="false">$B$12</f>
        <v>0.248817204301075</v>
      </c>
      <c r="E12" s="83" t="n">
        <f aca="false">$B$12</f>
        <v>0.248817204301075</v>
      </c>
      <c r="F12" s="83" t="n">
        <f aca="false">$B$12</f>
        <v>0.248817204301075</v>
      </c>
      <c r="G12" s="83" t="n">
        <f aca="false">$B$12</f>
        <v>0.248817204301075</v>
      </c>
    </row>
    <row r="13" customFormat="false" ht="15" hidden="false" customHeight="true" outlineLevel="0" collapsed="false">
      <c r="A13" s="6" t="s">
        <v>353</v>
      </c>
      <c r="B13" s="84" t="n">
        <f aca="false">B11*B12</f>
        <v>87113.7696</v>
      </c>
      <c r="C13" s="84" t="n">
        <f aca="false">C11*C12</f>
        <v>104604.795776</v>
      </c>
      <c r="D13" s="84" t="n">
        <f aca="false">D11*D12</f>
        <v>123881.13552256</v>
      </c>
      <c r="E13" s="84" t="n">
        <f aca="false">E11*E12</f>
        <v>145094.058773914</v>
      </c>
      <c r="F13" s="84" t="n">
        <f aca="false">F11*F12</f>
        <v>168406.560727548</v>
      </c>
      <c r="G13" s="85" t="s">
        <v>354</v>
      </c>
    </row>
    <row r="15" customFormat="false" ht="15" hidden="false" customHeight="true" outlineLevel="0" collapsed="false">
      <c r="A15" s="3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356</v>
      </c>
      <c r="B1" s="40"/>
      <c r="C1" s="40"/>
      <c r="D1" s="40"/>
    </row>
    <row r="2" customFormat="false" ht="15" hidden="false" customHeight="true" outlineLevel="0" collapsed="false">
      <c r="A2" s="61" t="s">
        <v>357</v>
      </c>
      <c r="B2" s="61"/>
      <c r="C2" s="61"/>
      <c r="D2" s="61"/>
    </row>
    <row r="4" customFormat="false" ht="15" hidden="false" customHeight="true" outlineLevel="0" collapsed="false">
      <c r="B4" s="86" t="s">
        <v>358</v>
      </c>
      <c r="C4" s="43" t="s">
        <v>359</v>
      </c>
      <c r="D4" s="43" t="s">
        <v>360</v>
      </c>
    </row>
    <row r="6" customFormat="false" ht="15" hidden="false" customHeight="true" outlineLevel="0" collapsed="false">
      <c r="B6" s="42" t="s">
        <v>361</v>
      </c>
    </row>
    <row r="8" customFormat="false" ht="15" hidden="false" customHeight="true" outlineLevel="0" collapsed="false">
      <c r="B8" s="49" t="s">
        <v>362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363</v>
      </c>
    </row>
    <row r="11" customFormat="false" ht="15" hidden="false" customHeight="true" outlineLevel="0" collapsed="false">
      <c r="B11" s="49" t="s">
        <v>364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365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366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367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368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210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369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4" t="s">
        <v>370</v>
      </c>
      <c r="C18" s="87" t="n">
        <f aca="false">'Vessel 2026 P&amp;L'!$AB$44</f>
        <v>80624</v>
      </c>
      <c r="D18" s="88" t="n">
        <f aca="false">C18/12</f>
        <v>6718.66666666667</v>
      </c>
    </row>
    <row r="20" customFormat="false" ht="15" hidden="false" customHeight="true" outlineLevel="0" collapsed="false">
      <c r="B20" s="42" t="s">
        <v>371</v>
      </c>
    </row>
    <row r="21" customFormat="false" ht="15" hidden="false" customHeight="true" outlineLevel="0" collapsed="false">
      <c r="B21" s="49" t="s">
        <v>372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373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374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375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376</v>
      </c>
    </row>
    <row r="27" customFormat="false" ht="15" hidden="false" customHeight="true" outlineLevel="0" collapsed="false">
      <c r="B27" s="49" t="s">
        <v>377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378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379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380</v>
      </c>
    </row>
    <row r="3" customFormat="false" ht="15" hidden="false" customHeight="true" outlineLevel="0" collapsed="false">
      <c r="A3" s="2" t="s">
        <v>381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383</v>
      </c>
      <c r="P6" s="32"/>
      <c r="Q6" s="32" t="s">
        <v>383</v>
      </c>
      <c r="R6" s="32"/>
      <c r="S6" s="32" t="s">
        <v>383</v>
      </c>
      <c r="T6" s="32"/>
      <c r="U6" s="32" t="s">
        <v>383</v>
      </c>
      <c r="V6" s="32"/>
      <c r="W6" s="32" t="s">
        <v>383</v>
      </c>
      <c r="X6" s="32"/>
      <c r="Y6" s="32" t="s">
        <v>383</v>
      </c>
      <c r="Z6" s="32"/>
      <c r="AB6" s="32" t="s">
        <v>384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6" t="s">
        <v>177</v>
      </c>
    </row>
    <row r="9" customFormat="false" ht="15" hidden="false" customHeight="true" outlineLevel="0" collapsed="false">
      <c r="A9" s="5" t="s">
        <v>178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179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180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181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182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184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185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186</v>
      </c>
    </row>
    <row r="19" customFormat="false" ht="15" hidden="false" customHeight="true" outlineLevel="0" collapsed="false">
      <c r="A19" s="5" t="s">
        <v>187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188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189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190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191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193</v>
      </c>
    </row>
    <row r="28" customFormat="false" ht="15" hidden="false" customHeight="true" outlineLevel="0" collapsed="false">
      <c r="A28" s="5" t="s">
        <v>194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195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196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197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198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199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200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201</v>
      </c>
    </row>
    <row r="39" customFormat="false" ht="15" hidden="false" customHeight="true" outlineLevel="0" collapsed="false">
      <c r="A39" s="5" t="s">
        <v>202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203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204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205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206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208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209</v>
      </c>
    </row>
    <row r="47" customFormat="false" ht="15" hidden="false" customHeight="true" outlineLevel="0" collapsed="false">
      <c r="A47" s="5" t="s">
        <v>210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211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212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214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215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216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217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218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219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220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221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222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380</v>
      </c>
    </row>
    <row r="3" customFormat="false" ht="15" hidden="false" customHeight="true" outlineLevel="0" collapsed="false">
      <c r="A3" s="2" t="s">
        <v>381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383</v>
      </c>
      <c r="P6" s="32"/>
      <c r="Q6" s="32" t="s">
        <v>383</v>
      </c>
      <c r="R6" s="32"/>
      <c r="S6" s="32" t="s">
        <v>383</v>
      </c>
      <c r="T6" s="32"/>
      <c r="U6" s="32" t="s">
        <v>383</v>
      </c>
      <c r="V6" s="32"/>
      <c r="W6" s="32" t="s">
        <v>383</v>
      </c>
      <c r="X6" s="32"/>
      <c r="Y6" s="32" t="s">
        <v>383</v>
      </c>
      <c r="Z6" s="32"/>
      <c r="AB6" s="32" t="s">
        <v>384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6" t="s">
        <v>177</v>
      </c>
    </row>
    <row r="9" customFormat="false" ht="15" hidden="false" customHeight="true" outlineLevel="0" collapsed="false">
      <c r="A9" s="5" t="s">
        <v>178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179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180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181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182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184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185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186</v>
      </c>
    </row>
    <row r="19" customFormat="false" ht="15" hidden="false" customHeight="true" outlineLevel="0" collapsed="false">
      <c r="A19" s="5" t="s">
        <v>187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188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189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190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191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193</v>
      </c>
    </row>
    <row r="28" customFormat="false" ht="15" hidden="false" customHeight="true" outlineLevel="0" collapsed="false">
      <c r="A28" s="5" t="s">
        <v>194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195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196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197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198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199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200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201</v>
      </c>
    </row>
    <row r="39" customFormat="false" ht="15" hidden="false" customHeight="true" outlineLevel="0" collapsed="false">
      <c r="A39" s="5" t="s">
        <v>202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203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204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205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206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208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209</v>
      </c>
    </row>
    <row r="47" customFormat="false" ht="15" hidden="false" customHeight="true" outlineLevel="0" collapsed="false">
      <c r="A47" s="5" t="s">
        <v>210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211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212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214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215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216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217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218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219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220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221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222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386</v>
      </c>
    </row>
    <row r="3" customFormat="false" ht="15" hidden="false" customHeight="true" outlineLevel="0" collapsed="false">
      <c r="A3" s="2" t="s">
        <v>387</v>
      </c>
    </row>
    <row r="4" customFormat="false" ht="15" hidden="false" customHeight="true" outlineLevel="0" collapsed="false">
      <c r="A4" s="6" t="s">
        <v>388</v>
      </c>
      <c r="C4" s="89" t="n">
        <v>46235</v>
      </c>
      <c r="D4" s="3" t="s">
        <v>389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390</v>
      </c>
      <c r="P6" s="32"/>
      <c r="Q6" s="32" t="s">
        <v>390</v>
      </c>
      <c r="R6" s="32"/>
      <c r="S6" s="32" t="s">
        <v>390</v>
      </c>
      <c r="T6" s="32"/>
      <c r="U6" s="32" t="s">
        <v>390</v>
      </c>
      <c r="V6" s="32"/>
      <c r="W6" s="32" t="s">
        <v>390</v>
      </c>
      <c r="X6" s="32"/>
      <c r="Y6" s="32" t="s">
        <v>390</v>
      </c>
      <c r="Z6" s="32"/>
      <c r="AB6" s="32" t="s">
        <v>391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179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180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181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182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392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184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393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394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188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189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190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191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192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195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196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197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198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200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395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203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204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205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206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211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396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218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220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397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398</v>
      </c>
    </row>
    <row r="3" customFormat="false" ht="15" hidden="false" customHeight="true" outlineLevel="0" collapsed="false">
      <c r="A3" s="2" t="s">
        <v>387</v>
      </c>
    </row>
    <row r="4" customFormat="false" ht="15" hidden="false" customHeight="true" outlineLevel="0" collapsed="false">
      <c r="A4" s="6" t="s">
        <v>388</v>
      </c>
      <c r="C4" s="89" t="n">
        <v>46266</v>
      </c>
      <c r="D4" s="3" t="s">
        <v>399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390</v>
      </c>
      <c r="P6" s="32"/>
      <c r="Q6" s="32" t="s">
        <v>390</v>
      </c>
      <c r="R6" s="32"/>
      <c r="S6" s="32" t="s">
        <v>390</v>
      </c>
      <c r="T6" s="32"/>
      <c r="U6" s="32" t="s">
        <v>390</v>
      </c>
      <c r="V6" s="32"/>
      <c r="W6" s="32" t="s">
        <v>390</v>
      </c>
      <c r="X6" s="32"/>
      <c r="Y6" s="32" t="s">
        <v>390</v>
      </c>
      <c r="Z6" s="32"/>
      <c r="AB6" s="32" t="s">
        <v>391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179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180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181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182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392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400</v>
      </c>
      <c r="C18" s="24" t="n">
        <f aca="false">IF(1&gt;=MONTH($C$4),'Vessel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IF(2&gt;=MONTH($C$4),'Vessel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IF(3&gt;=MONTH($C$4),'Vessel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IF(4&gt;=MONTH($C$4),'Vessel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IF(5&gt;=MONTH($C$4),'Vessel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IF(6&gt;=MONTH($C$4),'Vessel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IF(7&gt;=MONTH($C$4),'Vessel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IF(8&gt;=MONTH($C$4),'Vessel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IF(9&gt;=MONTH($C$4),'Vessel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IF(10&gt;=MONTH($C$4),'Vessel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IF(11&gt;=MONTH($C$4),'Vessel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IF(12&gt;=MONTH($C$4),'Vessel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185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188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189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190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191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192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195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196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197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198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401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1262</v>
      </c>
      <c r="R44" s="34" t="n">
        <f aca="false">IFERROR(Q44/Q$20,0)</f>
        <v>0.0504779808807648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14262.724</v>
      </c>
      <c r="AC44" s="34" t="n">
        <f aca="false">IFERROR(AB44/AB$20,0)</f>
        <v>0.0402032101177735</v>
      </c>
    </row>
    <row r="45" customFormat="false" ht="15" hidden="false" customHeight="true" outlineLevel="0" collapsed="false">
      <c r="A45" s="5" t="s">
        <v>203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204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205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2979</v>
      </c>
      <c r="R47" s="34" t="n">
        <f aca="false">IFERROR(Q47/Q$20,0)</f>
        <v>0.119155233790648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33061.632</v>
      </c>
      <c r="AC47" s="34" t="n">
        <f aca="false">IFERROR(AB47/AB$20,0)</f>
        <v>0.0931928387685622</v>
      </c>
    </row>
    <row r="48" customFormat="false" ht="15" hidden="false" customHeight="true" outlineLevel="0" collapsed="false">
      <c r="A48" s="5" t="s">
        <v>206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6360</v>
      </c>
      <c r="R50" s="35" t="n">
        <f aca="false">IFERROR(Q50/Q$20,0)</f>
        <v>0.254389824407024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71741.356</v>
      </c>
      <c r="AC50" s="35" t="n">
        <f aca="false">IFERROR(AB50/AB$20,0)</f>
        <v>0.202221736142548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211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1500</v>
      </c>
      <c r="R54" s="34" t="n">
        <f aca="false">IFERROR(Q54/Q$20,0)</f>
        <v>0.0599976000959962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15341</v>
      </c>
      <c r="AC54" s="34" t="n">
        <f aca="false">IFERROR(AB54/AB$20,0)</f>
        <v>0.0432426124502418</v>
      </c>
    </row>
    <row r="55" customFormat="false" ht="15" hidden="false" customHeight="true" outlineLevel="0" collapsed="false">
      <c r="A55" s="5" t="s">
        <v>212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4000</v>
      </c>
      <c r="R56" s="34" t="n">
        <f aca="false">IFERROR(Q56/Q$20,0)</f>
        <v>0.15999360025599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36111.632</v>
      </c>
      <c r="AC56" s="34" t="n">
        <f aca="false">IFERROR(AB56/AB$20,0)</f>
        <v>0.101790059808471</v>
      </c>
    </row>
    <row r="57" customFormat="false" ht="15" hidden="false" customHeight="true" outlineLevel="0" collapsed="false">
      <c r="A57" s="5" t="s">
        <v>332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6479</v>
      </c>
      <c r="R60" s="35" t="n">
        <f aca="false">IFERROR(Q60/Q$20,0)</f>
        <v>0.259149634014639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63997.632</v>
      </c>
      <c r="AC60" s="35" t="n">
        <f aca="false">IFERROR(AB60/AB$20,0)</f>
        <v>0.180394028962206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1619</v>
      </c>
      <c r="R62" s="35" t="n">
        <f aca="false">IFERROR(Q62/Q$20,0)</f>
        <v>0.0647574097036119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16060.812</v>
      </c>
      <c r="AC62" s="35" t="n">
        <f aca="false">IFERROR(AB62/AB$20,0)</f>
        <v>0.0452715904407922</v>
      </c>
    </row>
    <row r="64" customFormat="false" ht="15" hidden="false" customHeight="true" outlineLevel="0" collapsed="false">
      <c r="A64" s="5" t="s">
        <v>218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1619</v>
      </c>
      <c r="R66" s="8" t="n">
        <f aca="false">IFERROR(Q66/Q$20,0)</f>
        <v>0.0647574097036119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16060.812</v>
      </c>
      <c r="AC66" s="8" t="n">
        <f aca="false">IFERROR(AB66/AB$20,0)</f>
        <v>0.0452715904407922</v>
      </c>
    </row>
    <row r="68" customFormat="false" ht="15" hidden="false" customHeight="true" outlineLevel="0" collapsed="false">
      <c r="A68" s="5" t="s">
        <v>220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1210</v>
      </c>
      <c r="R70" s="37" t="n">
        <f aca="false">IFERROR(Q70/Q$20,0)</f>
        <v>0.0483980640774369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11125.812</v>
      </c>
      <c r="AC70" s="37" t="n">
        <f aca="false">IFERROR(AB70/AB$20,0)</f>
        <v>0.0313610049221204</v>
      </c>
    </row>
    <row r="72" customFormat="false" ht="15" hidden="false" customHeight="true" outlineLevel="0" collapsed="false">
      <c r="A72" s="3" t="s">
        <v>402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403</v>
      </c>
      <c r="B1" s="40"/>
      <c r="C1" s="40"/>
      <c r="D1" s="40"/>
    </row>
    <row r="2" customFormat="false" ht="15" hidden="false" customHeight="true" outlineLevel="0" collapsed="false">
      <c r="A2" s="61" t="s">
        <v>404</v>
      </c>
      <c r="B2" s="61"/>
      <c r="C2" s="61"/>
      <c r="D2" s="61"/>
    </row>
    <row r="4" customFormat="false" ht="19.5" hidden="false" customHeight="true" outlineLevel="0" collapsed="false">
      <c r="B4" s="62" t="s">
        <v>405</v>
      </c>
      <c r="C4" s="62"/>
      <c r="D4" s="62"/>
    </row>
    <row r="5" customFormat="false" ht="15" hidden="false" customHeight="true" outlineLevel="0" collapsed="false">
      <c r="B5" s="47" t="s">
        <v>406</v>
      </c>
      <c r="C5" s="63" t="n">
        <v>106838.2</v>
      </c>
    </row>
    <row r="6" customFormat="false" ht="15" hidden="false" customHeight="true" outlineLevel="0" collapsed="false">
      <c r="B6" s="47" t="s">
        <v>407</v>
      </c>
      <c r="C6" s="63" t="n">
        <v>131727.36</v>
      </c>
      <c r="D6" s="64" t="s">
        <v>408</v>
      </c>
    </row>
    <row r="7" customFormat="false" ht="15" hidden="false" customHeight="true" outlineLevel="0" collapsed="false">
      <c r="B7" s="47" t="s">
        <v>409</v>
      </c>
      <c r="C7" s="63" t="n">
        <v>13996.3</v>
      </c>
    </row>
    <row r="8" customFormat="false" ht="15" hidden="false" customHeight="true" outlineLevel="0" collapsed="false">
      <c r="B8" s="47" t="s">
        <v>410</v>
      </c>
      <c r="C8" s="63" t="n">
        <v>5847.56</v>
      </c>
    </row>
    <row r="9" customFormat="false" ht="15" hidden="false" customHeight="true" outlineLevel="0" collapsed="false">
      <c r="B9" s="47" t="s">
        <v>411</v>
      </c>
      <c r="C9" s="63" t="n">
        <v>7792.6</v>
      </c>
      <c r="D9" s="1" t="s">
        <v>412</v>
      </c>
    </row>
    <row r="10" customFormat="false" ht="15" hidden="false" customHeight="true" outlineLevel="0" collapsed="false">
      <c r="B10" s="67" t="s">
        <v>413</v>
      </c>
      <c r="C10" s="68" t="n">
        <f aca="false">SUM(C5:C9)</f>
        <v>266202.02</v>
      </c>
    </row>
    <row r="12" customFormat="false" ht="19.5" hidden="false" customHeight="true" outlineLevel="0" collapsed="false">
      <c r="B12" s="62" t="s">
        <v>414</v>
      </c>
      <c r="C12" s="62"/>
      <c r="D12" s="62"/>
    </row>
    <row r="13" customFormat="false" ht="15" hidden="false" customHeight="true" outlineLevel="0" collapsed="false">
      <c r="B13" s="47" t="s">
        <v>415</v>
      </c>
      <c r="C13" s="65" t="n">
        <v>0.4407</v>
      </c>
      <c r="D13" s="1" t="s">
        <v>416</v>
      </c>
    </row>
    <row r="14" customFormat="false" ht="15" hidden="false" customHeight="true" outlineLevel="0" collapsed="false">
      <c r="B14" s="47" t="s">
        <v>417</v>
      </c>
      <c r="C14" s="65" t="n">
        <v>0.2216</v>
      </c>
    </row>
    <row r="15" customFormat="false" ht="15" hidden="false" customHeight="true" outlineLevel="0" collapsed="false">
      <c r="B15" s="47" t="s">
        <v>418</v>
      </c>
      <c r="C15" s="65" t="n">
        <v>0.3328</v>
      </c>
    </row>
    <row r="16" customFormat="false" ht="15" hidden="false" customHeight="true" outlineLevel="0" collapsed="false">
      <c r="B16" s="47" t="s">
        <v>419</v>
      </c>
      <c r="C16" s="65" t="n">
        <v>0</v>
      </c>
      <c r="D16" s="1" t="s">
        <v>420</v>
      </c>
    </row>
    <row r="17" customFormat="false" ht="15" hidden="false" customHeight="true" outlineLevel="0" collapsed="false">
      <c r="B17" s="47" t="s">
        <v>421</v>
      </c>
      <c r="C17" s="65" t="n">
        <v>0</v>
      </c>
      <c r="D17" s="1" t="s">
        <v>422</v>
      </c>
    </row>
    <row r="19" customFormat="false" ht="19.5" hidden="false" customHeight="true" outlineLevel="0" collapsed="false">
      <c r="B19" s="62" t="s">
        <v>423</v>
      </c>
      <c r="C19" s="62"/>
      <c r="D19" s="62"/>
    </row>
    <row r="20" customFormat="false" ht="15" hidden="false" customHeight="true" outlineLevel="0" collapsed="false">
      <c r="B20" s="47" t="s">
        <v>424</v>
      </c>
      <c r="C20" s="66" t="n">
        <v>10</v>
      </c>
      <c r="D20" s="64" t="s">
        <v>425</v>
      </c>
    </row>
    <row r="21" customFormat="false" ht="15" hidden="false" customHeight="true" outlineLevel="0" collapsed="false">
      <c r="B21" s="47" t="s">
        <v>426</v>
      </c>
      <c r="C21" s="66" t="n">
        <f aca="false">2*4/7</f>
        <v>1.14285714285714</v>
      </c>
      <c r="D21" s="64" t="s">
        <v>427</v>
      </c>
    </row>
    <row r="22" customFormat="false" ht="15" hidden="false" customHeight="true" outlineLevel="0" collapsed="false">
      <c r="B22" s="47" t="s">
        <v>428</v>
      </c>
      <c r="C22" s="66" t="n">
        <v>7</v>
      </c>
    </row>
    <row r="23" customFormat="false" ht="15" hidden="false" customHeight="true" outlineLevel="0" collapsed="false">
      <c r="B23" s="47" t="s">
        <v>429</v>
      </c>
      <c r="C23" s="63" t="n">
        <v>20</v>
      </c>
      <c r="D23" s="64" t="s">
        <v>430</v>
      </c>
    </row>
    <row r="24" customFormat="false" ht="15" hidden="false" customHeight="true" outlineLevel="0" collapsed="false">
      <c r="B24" s="47" t="s">
        <v>298</v>
      </c>
      <c r="C24" s="65" t="n">
        <v>0.16</v>
      </c>
    </row>
    <row r="25" customFormat="false" ht="15" hidden="false" customHeight="true" outlineLevel="0" collapsed="false">
      <c r="B25" s="67" t="s">
        <v>431</v>
      </c>
      <c r="C25" s="68" t="n">
        <f aca="false">(C20+C21)*C22*52*C23*(1+C24)+C26*52*(1+C24)</f>
        <v>111953.92</v>
      </c>
      <c r="D25" s="64" t="s">
        <v>432</v>
      </c>
    </row>
    <row r="26" customFormat="false" ht="15" hidden="false" customHeight="true" outlineLevel="0" collapsed="false">
      <c r="B26" s="47" t="s">
        <v>433</v>
      </c>
      <c r="C26" s="63" t="n">
        <v>296</v>
      </c>
      <c r="D26" s="1" t="s">
        <v>434</v>
      </c>
    </row>
    <row r="27" customFormat="false" ht="19.5" hidden="false" customHeight="true" outlineLevel="0" collapsed="false">
      <c r="B27" s="62" t="s">
        <v>435</v>
      </c>
      <c r="C27" s="62"/>
      <c r="D27" s="62"/>
    </row>
    <row r="28" customFormat="false" ht="15" hidden="false" customHeight="true" outlineLevel="0" collapsed="false">
      <c r="B28" s="47" t="s">
        <v>436</v>
      </c>
      <c r="C28" s="63" t="n">
        <v>164857</v>
      </c>
      <c r="D28" s="64" t="s">
        <v>437</v>
      </c>
    </row>
    <row r="30" customFormat="false" ht="19.5" hidden="false" customHeight="true" outlineLevel="0" collapsed="false">
      <c r="B30" s="62" t="s">
        <v>438</v>
      </c>
      <c r="C30" s="62"/>
      <c r="D30" s="62"/>
    </row>
    <row r="31" customFormat="false" ht="15" hidden="false" customHeight="true" outlineLevel="0" collapsed="false">
      <c r="B31" s="47" t="s">
        <v>303</v>
      </c>
      <c r="C31" s="65" t="n">
        <v>0.025</v>
      </c>
      <c r="D31" s="64" t="s">
        <v>439</v>
      </c>
    </row>
    <row r="32" customFormat="false" ht="15" hidden="false" customHeight="true" outlineLevel="0" collapsed="false">
      <c r="B32" s="47" t="s">
        <v>440</v>
      </c>
      <c r="C32" s="63" t="n">
        <v>89675</v>
      </c>
      <c r="D32" s="64" t="s">
        <v>441</v>
      </c>
    </row>
    <row r="33" customFormat="false" ht="15" hidden="false" customHeight="true" outlineLevel="0" collapsed="false">
      <c r="B33" s="47" t="s">
        <v>269</v>
      </c>
      <c r="C33" s="63" t="n">
        <v>5657</v>
      </c>
      <c r="D33" s="64" t="s">
        <v>442</v>
      </c>
    </row>
    <row r="35" customFormat="false" ht="19.5" hidden="false" customHeight="true" outlineLevel="0" collapsed="false">
      <c r="B35" s="62" t="s">
        <v>443</v>
      </c>
      <c r="C35" s="62"/>
      <c r="D35" s="62"/>
    </row>
    <row r="36" customFormat="false" ht="15" hidden="false" customHeight="true" outlineLevel="0" collapsed="false">
      <c r="B36" s="47" t="s">
        <v>444</v>
      </c>
      <c r="C36" s="63" t="n">
        <f aca="false">'LW Retail Plan'!$C$19</f>
        <v>42000.22</v>
      </c>
      <c r="D36" s="1" t="s">
        <v>445</v>
      </c>
    </row>
    <row r="37" customFormat="false" ht="15" hidden="false" customHeight="true" outlineLevel="0" collapsed="false">
      <c r="B37" s="47" t="s">
        <v>446</v>
      </c>
      <c r="C37" s="90" t="n">
        <f aca="false">'LW Retail Plan'!$C$20</f>
        <v>0.42</v>
      </c>
      <c r="D37" s="1" t="s">
        <v>447</v>
      </c>
    </row>
    <row r="39" customFormat="false" ht="15" hidden="false" customHeight="true" outlineLevel="0" collapsed="false">
      <c r="B39" s="91" t="s">
        <v>448</v>
      </c>
      <c r="C39" s="91"/>
      <c r="D39" s="91"/>
    </row>
    <row r="40" customFormat="false" ht="15" hidden="false" customHeight="true" outlineLevel="0" collapsed="false">
      <c r="B40" s="47" t="s">
        <v>449</v>
      </c>
      <c r="C40" s="92" t="n">
        <v>0.04</v>
      </c>
      <c r="D40" s="64" t="s">
        <v>450</v>
      </c>
    </row>
    <row r="41" customFormat="false" ht="15" hidden="false" customHeight="true" outlineLevel="0" collapsed="false">
      <c r="B41" s="47" t="s">
        <v>451</v>
      </c>
      <c r="C41" s="92" t="n">
        <v>0</v>
      </c>
      <c r="D41" s="64" t="s">
        <v>452</v>
      </c>
    </row>
    <row r="42" customFormat="false" ht="15" hidden="false" customHeight="true" outlineLevel="0" collapsed="false">
      <c r="B42" s="47" t="s">
        <v>453</v>
      </c>
      <c r="C42" s="45" t="n">
        <v>10012</v>
      </c>
      <c r="D42" s="64" t="s">
        <v>454</v>
      </c>
    </row>
    <row r="43" customFormat="false" ht="15" hidden="false" customHeight="true" outlineLevel="0" collapsed="false">
      <c r="B43" s="47" t="s">
        <v>455</v>
      </c>
      <c r="C43" s="45" t="n">
        <f aca="false">'LW Menu Pricing'!$C$53</f>
        <v>9160.92</v>
      </c>
      <c r="D43" s="64" t="s">
        <v>456</v>
      </c>
    </row>
    <row r="44" customFormat="false" ht="15" hidden="false" customHeight="true" outlineLevel="0" collapsed="false">
      <c r="B44" s="47" t="s">
        <v>457</v>
      </c>
      <c r="C44" s="93" t="n">
        <v>1</v>
      </c>
      <c r="D44" s="64" t="s">
        <v>458</v>
      </c>
    </row>
    <row r="45" customFormat="false" ht="15" hidden="false" customHeight="true" outlineLevel="0" collapsed="false">
      <c r="B45" s="47" t="s">
        <v>459</v>
      </c>
      <c r="C45" s="45" t="n">
        <v>12880</v>
      </c>
      <c r="D45" s="64" t="s">
        <v>460</v>
      </c>
    </row>
    <row r="46" customFormat="false" ht="15" hidden="false" customHeight="true" outlineLevel="0" collapsed="false">
      <c r="B46" s="1" t="s">
        <v>461</v>
      </c>
      <c r="C46" s="94" t="n">
        <v>0.5</v>
      </c>
      <c r="D46" s="1" t="s">
        <v>462</v>
      </c>
    </row>
    <row r="47" customFormat="false" ht="15" hidden="false" customHeight="true" outlineLevel="0" collapsed="false">
      <c r="B47" s="1" t="s">
        <v>463</v>
      </c>
      <c r="C47" s="87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312</v>
      </c>
      <c r="C48" s="92" t="n">
        <v>0.125</v>
      </c>
      <c r="D48" s="64" t="s">
        <v>464</v>
      </c>
    </row>
    <row r="49" customFormat="false" ht="15" hidden="false" customHeight="true" outlineLevel="0" collapsed="false">
      <c r="B49" s="47" t="s">
        <v>465</v>
      </c>
      <c r="C49" s="92" t="n">
        <v>0.035</v>
      </c>
      <c r="D49" s="64"/>
    </row>
    <row r="50" customFormat="false" ht="15" hidden="false" customHeight="true" outlineLevel="0" collapsed="false">
      <c r="B50" s="47" t="s">
        <v>314</v>
      </c>
      <c r="C50" s="92" t="n">
        <v>0.085</v>
      </c>
      <c r="D50" s="64"/>
    </row>
    <row r="51" customFormat="false" ht="15" hidden="false" customHeight="true" outlineLevel="0" collapsed="false">
      <c r="B51" s="47" t="s">
        <v>466</v>
      </c>
      <c r="C51" s="92" t="n">
        <v>0.4</v>
      </c>
      <c r="D51" s="64" t="s">
        <v>467</v>
      </c>
    </row>
    <row r="52" customFormat="false" ht="15" hidden="false" customHeight="true" outlineLevel="0" collapsed="false">
      <c r="B52" s="47" t="s">
        <v>468</v>
      </c>
      <c r="C52" s="92" t="n">
        <v>0.045</v>
      </c>
      <c r="D52" s="64" t="s">
        <v>469</v>
      </c>
    </row>
    <row r="53" customFormat="false" ht="15" hidden="false" customHeight="true" outlineLevel="0" collapsed="false">
      <c r="B53" s="47" t="s">
        <v>470</v>
      </c>
      <c r="C53" s="92" t="n">
        <v>0.025</v>
      </c>
      <c r="D53" s="64" t="s">
        <v>471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472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473</v>
      </c>
      <c r="D5" s="30"/>
      <c r="E5" s="31"/>
      <c r="F5" s="30" t="s">
        <v>474</v>
      </c>
      <c r="G5" s="30"/>
      <c r="H5" s="31"/>
      <c r="I5" s="30" t="s">
        <v>475</v>
      </c>
      <c r="J5" s="30"/>
    </row>
    <row r="6" customFormat="false" ht="15" hidden="false" customHeight="true" outlineLevel="0" collapsed="false">
      <c r="C6" s="32" t="s">
        <v>359</v>
      </c>
      <c r="D6" s="32"/>
      <c r="E6" s="33"/>
      <c r="F6" s="32" t="s">
        <v>359</v>
      </c>
      <c r="G6" s="32"/>
      <c r="H6" s="33"/>
      <c r="I6" s="32" t="s">
        <v>359</v>
      </c>
      <c r="J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/>
      <c r="F7" s="31" t="s">
        <v>175</v>
      </c>
      <c r="G7" s="31" t="s">
        <v>176</v>
      </c>
      <c r="H7" s="31"/>
      <c r="I7" s="31" t="s">
        <v>175</v>
      </c>
      <c r="J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179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180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181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182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183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184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185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188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189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190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191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192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195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196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197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198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203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204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205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206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207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476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212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213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214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215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218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220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221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477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478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172</v>
      </c>
      <c r="AC5" s="30"/>
    </row>
    <row r="6" customFormat="false" ht="15" hidden="false" customHeight="true" outlineLevel="0" collapsed="false">
      <c r="C6" s="32" t="s">
        <v>251</v>
      </c>
      <c r="D6" s="32"/>
      <c r="E6" s="32" t="s">
        <v>251</v>
      </c>
      <c r="F6" s="32"/>
      <c r="G6" s="32" t="s">
        <v>251</v>
      </c>
      <c r="H6" s="32"/>
      <c r="I6" s="32" t="s">
        <v>251</v>
      </c>
      <c r="J6" s="32"/>
      <c r="K6" s="32" t="s">
        <v>251</v>
      </c>
      <c r="L6" s="32"/>
      <c r="M6" s="32" t="s">
        <v>251</v>
      </c>
      <c r="N6" s="32"/>
      <c r="O6" s="32" t="s">
        <v>251</v>
      </c>
      <c r="P6" s="32"/>
      <c r="Q6" s="32" t="s">
        <v>251</v>
      </c>
      <c r="R6" s="32"/>
      <c r="S6" s="32" t="s">
        <v>251</v>
      </c>
      <c r="T6" s="32"/>
      <c r="U6" s="32" t="s">
        <v>251</v>
      </c>
      <c r="V6" s="32"/>
      <c r="W6" s="32" t="s">
        <v>251</v>
      </c>
      <c r="X6" s="32"/>
      <c r="Y6" s="32" t="s">
        <v>251</v>
      </c>
      <c r="Z6" s="32"/>
      <c r="AB6" s="32" t="s">
        <v>174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179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180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181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182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392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184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479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480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188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189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190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191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192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195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196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197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481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482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203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205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206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211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483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218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220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484</v>
      </c>
    </row>
    <row r="74" customFormat="false" ht="15" hidden="false" customHeight="true" outlineLevel="0" collapsed="false">
      <c r="A74" s="6" t="s">
        <v>485</v>
      </c>
    </row>
    <row r="75" customFormat="false" ht="15" hidden="false" customHeight="true" outlineLevel="0" collapsed="false">
      <c r="A75" s="6" t="s">
        <v>486</v>
      </c>
      <c r="C75" s="6" t="s">
        <v>487</v>
      </c>
      <c r="E75" s="6" t="s">
        <v>353</v>
      </c>
    </row>
    <row r="76" customFormat="false" ht="15" hidden="false" customHeight="true" outlineLevel="0" collapsed="false">
      <c r="A76" s="5" t="s">
        <v>488</v>
      </c>
      <c r="C76" s="75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489</v>
      </c>
      <c r="C77" s="75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490</v>
      </c>
      <c r="C78" s="75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491</v>
      </c>
      <c r="C79" s="75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492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61" t="s">
        <v>493</v>
      </c>
      <c r="B2" s="61"/>
      <c r="C2" s="61"/>
      <c r="D2" s="61"/>
      <c r="E2" s="61"/>
      <c r="F2" s="61"/>
      <c r="G2" s="61"/>
      <c r="H2" s="61"/>
    </row>
    <row r="4" customFormat="false" ht="15" hidden="false" customHeight="true" outlineLevel="0" collapsed="false">
      <c r="B4" s="42" t="s">
        <v>494</v>
      </c>
      <c r="F4" s="42" t="s">
        <v>495</v>
      </c>
    </row>
    <row r="5" customFormat="false" ht="15" hidden="false" customHeight="true" outlineLevel="0" collapsed="false">
      <c r="B5" s="86" t="s">
        <v>496</v>
      </c>
      <c r="C5" s="43" t="s">
        <v>359</v>
      </c>
      <c r="D5" s="43" t="s">
        <v>497</v>
      </c>
      <c r="F5" s="86" t="s">
        <v>498</v>
      </c>
      <c r="G5" s="43" t="s">
        <v>499</v>
      </c>
      <c r="H5" s="43" t="s">
        <v>500</v>
      </c>
    </row>
    <row r="6" customFormat="false" ht="15" hidden="false" customHeight="true" outlineLevel="0" collapsed="false">
      <c r="B6" s="47" t="s">
        <v>501</v>
      </c>
      <c r="C6" s="50" t="n">
        <v>42998</v>
      </c>
      <c r="D6" s="51" t="n">
        <f aca="false">C6/'LW Assumptions'!C10</f>
        <v>0.161523943357004</v>
      </c>
      <c r="F6" s="47" t="s">
        <v>502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503</v>
      </c>
      <c r="C7" s="50" t="n">
        <v>54634</v>
      </c>
      <c r="D7" s="51" t="n">
        <f aca="false">C7/'LW Assumptions'!C10</f>
        <v>0.205235106780933</v>
      </c>
      <c r="F7" s="47" t="s">
        <v>504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505</v>
      </c>
      <c r="C8" s="50" t="n">
        <v>30727</v>
      </c>
      <c r="D8" s="51" t="n">
        <f aca="false">C8/'LW Assumptions'!C10</f>
        <v>0.115427373541343</v>
      </c>
      <c r="F8" s="95" t="s">
        <v>506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507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508</v>
      </c>
      <c r="C10" s="50" t="n">
        <v>886</v>
      </c>
      <c r="D10" s="51" t="n">
        <f aca="false">C10/'LW Assumptions'!C10</f>
        <v>0.00332829931192859</v>
      </c>
      <c r="F10" s="64" t="s">
        <v>509</v>
      </c>
    </row>
    <row r="11" customFormat="false" ht="15" hidden="false" customHeight="true" outlineLevel="0" collapsed="false">
      <c r="B11" s="47" t="s">
        <v>510</v>
      </c>
      <c r="C11" s="50" t="n">
        <v>22733</v>
      </c>
      <c r="D11" s="51" t="n">
        <f aca="false">C11/'LW Assumptions'!C10</f>
        <v>0.0853975488240097</v>
      </c>
      <c r="F11" s="64" t="s">
        <v>511</v>
      </c>
    </row>
    <row r="12" customFormat="false" ht="15" hidden="false" customHeight="true" outlineLevel="0" collapsed="false">
      <c r="B12" s="95" t="s">
        <v>512</v>
      </c>
      <c r="C12" s="45" t="n">
        <f aca="false">SUM(C6:C11)</f>
        <v>164858</v>
      </c>
      <c r="D12" s="46" t="n">
        <f aca="false">C12/'LW Assumptions'!C10</f>
        <v>0.619296577839642</v>
      </c>
      <c r="F12" s="64" t="s">
        <v>513</v>
      </c>
    </row>
    <row r="14" customFormat="false" ht="15" hidden="false" customHeight="true" outlineLevel="0" collapsed="false">
      <c r="B14" s="42" t="s">
        <v>514</v>
      </c>
    </row>
    <row r="15" customFormat="false" ht="15" hidden="false" customHeight="true" outlineLevel="0" collapsed="false">
      <c r="B15" s="47" t="s">
        <v>515</v>
      </c>
      <c r="C15" s="96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516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517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518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519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520</v>
      </c>
      <c r="C20" s="54" t="n">
        <f aca="false">C17+C18+C19</f>
        <v>111953.92</v>
      </c>
    </row>
    <row r="21" customFormat="false" ht="15" hidden="false" customHeight="true" outlineLevel="0" collapsed="false">
      <c r="B21" s="97" t="s">
        <v>521</v>
      </c>
      <c r="C21" s="98" t="n">
        <f aca="false">C12-C20</f>
        <v>52904.08</v>
      </c>
    </row>
    <row r="23" customFormat="false" ht="15" hidden="false" customHeight="true" outlineLevel="0" collapsed="false">
      <c r="B23" s="60" t="s">
        <v>522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99" t="s">
        <v>523</v>
      </c>
      <c r="B1" s="38"/>
      <c r="C1" s="38"/>
      <c r="D1" s="38"/>
    </row>
    <row r="2" customFormat="false" ht="15" hidden="false" customHeight="true" outlineLevel="0" collapsed="false">
      <c r="A2" s="100" t="s">
        <v>524</v>
      </c>
      <c r="B2" s="100"/>
      <c r="C2" s="100"/>
      <c r="D2" s="100"/>
    </row>
    <row r="4" customFormat="false" ht="15" hidden="false" customHeight="true" outlineLevel="0" collapsed="false">
      <c r="A4" s="86"/>
      <c r="B4" s="43" t="s">
        <v>525</v>
      </c>
      <c r="C4" s="43" t="s">
        <v>526</v>
      </c>
      <c r="D4" s="43" t="s">
        <v>527</v>
      </c>
    </row>
    <row r="5" customFormat="false" ht="15" hidden="false" customHeight="true" outlineLevel="0" collapsed="false">
      <c r="A5" s="95" t="s">
        <v>528</v>
      </c>
      <c r="B5" s="101"/>
      <c r="C5" s="101"/>
      <c r="D5" s="101"/>
    </row>
    <row r="6" customFormat="false" ht="15" hidden="false" customHeight="true" outlineLevel="0" collapsed="false">
      <c r="A6" s="102" t="s">
        <v>529</v>
      </c>
      <c r="B6" s="103" t="s">
        <v>530</v>
      </c>
      <c r="C6" s="103" t="n">
        <f aca="false">'LW Assumptions'!$C$20+'LW Assumptions'!$C$21</f>
        <v>11.1428571428571</v>
      </c>
    </row>
    <row r="7" customFormat="false" ht="15" hidden="false" customHeight="true" outlineLevel="0" collapsed="false">
      <c r="A7" s="102" t="s">
        <v>531</v>
      </c>
      <c r="B7" s="104" t="n">
        <v>7</v>
      </c>
      <c r="C7" s="104" t="n">
        <f aca="false">'LW Assumptions'!$C$22</f>
        <v>7</v>
      </c>
    </row>
    <row r="9" customFormat="false" ht="15" hidden="false" customHeight="true" outlineLevel="0" collapsed="false">
      <c r="A9" s="95" t="s">
        <v>532</v>
      </c>
      <c r="B9" s="101"/>
      <c r="C9" s="101"/>
      <c r="D9" s="101"/>
    </row>
    <row r="10" customFormat="false" ht="15" hidden="false" customHeight="true" outlineLevel="0" collapsed="false">
      <c r="A10" s="102" t="s">
        <v>533</v>
      </c>
      <c r="B10" s="105" t="n">
        <v>111.8</v>
      </c>
      <c r="C10" s="105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02" t="s">
        <v>534</v>
      </c>
      <c r="B11" s="105" t="n">
        <v>13.3</v>
      </c>
      <c r="C11" s="105" t="n">
        <f aca="false">B11</f>
        <v>13.3</v>
      </c>
    </row>
    <row r="12" customFormat="false" ht="15" hidden="false" customHeight="true" outlineLevel="0" collapsed="false">
      <c r="A12" s="106" t="s">
        <v>535</v>
      </c>
      <c r="B12" s="107" t="n">
        <v>125.1</v>
      </c>
      <c r="C12" s="107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08"/>
      <c r="B13" s="109"/>
      <c r="C13" s="109"/>
    </row>
    <row r="14" customFormat="false" ht="15" hidden="false" customHeight="true" outlineLevel="0" collapsed="false">
      <c r="A14" s="95" t="s">
        <v>536</v>
      </c>
      <c r="B14" s="101"/>
      <c r="C14" s="101"/>
      <c r="D14" s="101"/>
    </row>
    <row r="15" customFormat="false" ht="15" hidden="false" customHeight="true" outlineLevel="0" collapsed="false">
      <c r="A15" s="102" t="s">
        <v>537</v>
      </c>
      <c r="B15" s="110" t="n">
        <v>2207</v>
      </c>
      <c r="C15" s="110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02" t="s">
        <v>538</v>
      </c>
      <c r="B16" s="110" t="n">
        <v>296</v>
      </c>
      <c r="C16" s="110" t="n">
        <f aca="false">'LW Assumptions'!$C$26</f>
        <v>296</v>
      </c>
    </row>
    <row r="17" customFormat="false" ht="15" hidden="false" customHeight="true" outlineLevel="0" collapsed="false">
      <c r="A17" s="108" t="s">
        <v>539</v>
      </c>
      <c r="B17" s="88" t="n">
        <v>2503</v>
      </c>
      <c r="C17" s="88" t="n">
        <f aca="false">C15+C16</f>
        <v>1856</v>
      </c>
    </row>
    <row r="18" customFormat="false" ht="15" hidden="false" customHeight="true" outlineLevel="0" collapsed="false">
      <c r="A18" s="102" t="s">
        <v>540</v>
      </c>
      <c r="B18" s="110" t="n">
        <f aca="false">'LW Assumptions'!$C$45/52</f>
        <v>247.692307692308</v>
      </c>
      <c r="C18" s="110" t="n">
        <f aca="false">'LW Assumptions'!$C$45/52</f>
        <v>247.692307692308</v>
      </c>
    </row>
    <row r="19" customFormat="false" ht="15" hidden="false" customHeight="true" outlineLevel="0" collapsed="false">
      <c r="A19" s="102" t="s">
        <v>541</v>
      </c>
      <c r="B19" s="110" t="n">
        <f aca="false">(B17+B18)*'LW Assumptions'!$C$24</f>
        <v>440.110769230769</v>
      </c>
      <c r="C19" s="110" t="n">
        <f aca="false">(C17+C18)*'LW Assumptions'!$C$24</f>
        <v>336.590769230769</v>
      </c>
    </row>
    <row r="20" customFormat="false" ht="15" hidden="false" customHeight="true" outlineLevel="0" collapsed="false">
      <c r="A20" s="111" t="s">
        <v>542</v>
      </c>
      <c r="B20" s="112" t="n">
        <f aca="false">B17+B18+B19</f>
        <v>3190.80307692308</v>
      </c>
      <c r="C20" s="112" t="n">
        <f aca="false">C17+C18+C19</f>
        <v>2440.28307692308</v>
      </c>
      <c r="D20" s="112" t="n">
        <f aca="false">C20-B20</f>
        <v>-750.52</v>
      </c>
    </row>
    <row r="21" customFormat="false" ht="15" hidden="false" customHeight="true" outlineLevel="0" collapsed="false">
      <c r="A21" s="113"/>
      <c r="B21" s="114"/>
      <c r="C21" s="114"/>
      <c r="D21" s="114"/>
    </row>
    <row r="22" customFormat="false" ht="15" hidden="false" customHeight="true" outlineLevel="0" collapsed="false">
      <c r="A22" s="108" t="s">
        <v>543</v>
      </c>
      <c r="B22" s="88" t="n">
        <f aca="false">B20*52</f>
        <v>165921.76</v>
      </c>
      <c r="C22" s="88" t="n">
        <f aca="false">C20*52</f>
        <v>126894.72</v>
      </c>
      <c r="D22" s="88" t="n">
        <f aca="false">C22-B22</f>
        <v>-39027.04</v>
      </c>
    </row>
    <row r="23" customFormat="false" ht="15" hidden="false" customHeight="true" outlineLevel="0" collapsed="false">
      <c r="A23" s="108"/>
      <c r="B23" s="88"/>
      <c r="C23" s="88"/>
      <c r="D23" s="88"/>
    </row>
    <row r="24" customFormat="false" ht="15" hidden="false" customHeight="true" outlineLevel="0" collapsed="false">
      <c r="A24" s="95" t="s">
        <v>544</v>
      </c>
      <c r="B24" s="101"/>
      <c r="C24" s="101"/>
      <c r="D24" s="101"/>
    </row>
    <row r="25" customFormat="false" ht="15" hidden="false" customHeight="true" outlineLevel="0" collapsed="false">
      <c r="A25" s="102" t="s">
        <v>545</v>
      </c>
      <c r="B25" s="110" t="n">
        <v>5888.94</v>
      </c>
      <c r="C25" s="110" t="n">
        <v>5888.94</v>
      </c>
    </row>
    <row r="26" customFormat="false" ht="15" hidden="false" customHeight="true" outlineLevel="0" collapsed="false">
      <c r="A26" s="108" t="s">
        <v>546</v>
      </c>
      <c r="B26" s="115" t="n">
        <f aca="false">B20/B25</f>
        <v>0.541829782086942</v>
      </c>
      <c r="C26" s="115" t="n">
        <f aca="false">C20/C25</f>
        <v>0.414384095766484</v>
      </c>
      <c r="D26" s="115" t="n">
        <f aca="false">C26-B26</f>
        <v>-0.127445686320458</v>
      </c>
    </row>
    <row r="27" customFormat="false" ht="15" hidden="false" customHeight="true" outlineLevel="0" collapsed="false">
      <c r="A27" s="108"/>
      <c r="B27" s="115"/>
      <c r="C27" s="115"/>
      <c r="D27" s="115"/>
    </row>
    <row r="28" customFormat="false" ht="15" hidden="false" customHeight="true" outlineLevel="0" collapsed="false">
      <c r="A28" s="116" t="s">
        <v>547</v>
      </c>
      <c r="B28" s="116"/>
      <c r="C28" s="116"/>
      <c r="D28" s="116"/>
    </row>
    <row r="29" customFormat="false" ht="15" hidden="false" customHeight="true" outlineLevel="0" collapsed="false">
      <c r="A29" s="108" t="s">
        <v>548</v>
      </c>
      <c r="C29" s="88" t="n">
        <f aca="false">B20-C20</f>
        <v>750.52</v>
      </c>
      <c r="D29" s="88" t="n">
        <f aca="false">C22-B22</f>
        <v>-39027.04</v>
      </c>
    </row>
    <row r="31" customFormat="false" ht="15" hidden="false" customHeight="true" outlineLevel="0" collapsed="false">
      <c r="A31" s="117" t="s">
        <v>549</v>
      </c>
    </row>
    <row r="32" customFormat="false" ht="15" hidden="false" customHeight="true" outlineLevel="0" collapsed="false">
      <c r="A32" s="118" t="s">
        <v>550</v>
      </c>
      <c r="B32" s="118"/>
      <c r="C32" s="118"/>
      <c r="D32" s="118"/>
    </row>
    <row r="33" customFormat="false" ht="15" hidden="false" customHeight="true" outlineLevel="0" collapsed="false">
      <c r="A33" s="118"/>
      <c r="B33" s="118"/>
      <c r="C33" s="118"/>
      <c r="D33" s="118"/>
    </row>
    <row r="35" customFormat="false" ht="15" hidden="false" customHeight="true" outlineLevel="0" collapsed="false">
      <c r="A35" s="117" t="s">
        <v>551</v>
      </c>
    </row>
    <row r="36" customFormat="false" ht="15" hidden="false" customHeight="true" outlineLevel="0" collapsed="false">
      <c r="A36" s="118" t="s">
        <v>552</v>
      </c>
      <c r="B36" s="118"/>
      <c r="C36" s="118"/>
      <c r="D36" s="118"/>
    </row>
    <row r="37" customFormat="false" ht="15" hidden="false" customHeight="true" outlineLevel="0" collapsed="false">
      <c r="A37" s="118"/>
      <c r="B37" s="118"/>
      <c r="C37" s="118"/>
      <c r="D37" s="118"/>
    </row>
    <row r="39" customFormat="false" ht="15" hidden="false" customHeight="true" outlineLevel="0" collapsed="false">
      <c r="A39" s="119" t="s">
        <v>553</v>
      </c>
    </row>
    <row r="40" customFormat="false" ht="15" hidden="false" customHeight="true" outlineLevel="0" collapsed="false">
      <c r="A40" s="118" t="s">
        <v>554</v>
      </c>
      <c r="B40" s="118"/>
      <c r="C40" s="118"/>
      <c r="D40" s="118"/>
    </row>
    <row r="41" customFormat="false" ht="15" hidden="false" customHeight="true" outlineLevel="0" collapsed="false">
      <c r="A41" s="118"/>
      <c r="B41" s="118"/>
      <c r="C41" s="118"/>
      <c r="D41" s="118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555</v>
      </c>
    </row>
    <row r="4" customFormat="false" ht="15" hidden="false" customHeight="true" outlineLevel="0" collapsed="false">
      <c r="A4" s="4" t="s">
        <v>556</v>
      </c>
      <c r="B4" s="4"/>
      <c r="C4" s="4" t="s">
        <v>255</v>
      </c>
      <c r="D4" s="4" t="s">
        <v>557</v>
      </c>
    </row>
    <row r="5" customFormat="false" ht="15" hidden="false" customHeight="true" outlineLevel="0" collapsed="false">
      <c r="A5" s="5" t="s">
        <v>558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559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560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561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562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563</v>
      </c>
    </row>
    <row r="12" customFormat="false" ht="15" hidden="false" customHeight="true" outlineLevel="0" collapsed="false">
      <c r="A12" s="4" t="s">
        <v>564</v>
      </c>
      <c r="B12" s="4"/>
      <c r="C12" s="4" t="s">
        <v>565</v>
      </c>
      <c r="D12" s="4" t="s">
        <v>566</v>
      </c>
      <c r="E12" s="4" t="s">
        <v>567</v>
      </c>
    </row>
    <row r="13" customFormat="false" ht="15" hidden="false" customHeight="true" outlineLevel="0" collapsed="false">
      <c r="A13" s="5" t="s">
        <v>226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227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228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229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230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231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568</v>
      </c>
    </row>
    <row r="21" customFormat="false" ht="15" hidden="false" customHeight="true" outlineLevel="0" collapsed="false">
      <c r="A21" s="4" t="s">
        <v>569</v>
      </c>
      <c r="B21" s="4"/>
      <c r="C21" s="4" t="s">
        <v>255</v>
      </c>
      <c r="D21" s="4" t="s">
        <v>570</v>
      </c>
      <c r="E21" s="4" t="s">
        <v>571</v>
      </c>
    </row>
    <row r="22" customFormat="false" ht="15" hidden="false" customHeight="true" outlineLevel="0" collapsed="false">
      <c r="A22" s="5" t="s">
        <v>572</v>
      </c>
      <c r="C22" s="24" t="n">
        <v>5637</v>
      </c>
      <c r="D22" s="34" t="n">
        <f aca="false">C22/$C$8</f>
        <v>0.20214444524134</v>
      </c>
      <c r="E22" s="5" t="s">
        <v>573</v>
      </c>
    </row>
    <row r="23" customFormat="false" ht="15" hidden="false" customHeight="true" outlineLevel="0" collapsed="false">
      <c r="A23" s="5" t="s">
        <v>574</v>
      </c>
      <c r="C23" s="24" t="n">
        <v>3913</v>
      </c>
      <c r="D23" s="34" t="n">
        <f aca="false">C23/$C$8</f>
        <v>0.140321308183318</v>
      </c>
      <c r="E23" s="5" t="s">
        <v>573</v>
      </c>
    </row>
    <row r="24" customFormat="false" ht="15" hidden="false" customHeight="true" outlineLevel="0" collapsed="false">
      <c r="A24" s="5" t="s">
        <v>575</v>
      </c>
      <c r="C24" s="24" t="n">
        <v>3678</v>
      </c>
      <c r="D24" s="34" t="n">
        <f aca="false">C24/$C$8</f>
        <v>0.131894140428889</v>
      </c>
      <c r="E24" s="5" t="s">
        <v>573</v>
      </c>
    </row>
    <row r="25" customFormat="false" ht="15" hidden="false" customHeight="true" outlineLevel="0" collapsed="false">
      <c r="A25" s="5" t="s">
        <v>576</v>
      </c>
      <c r="C25" s="24" t="n">
        <v>2744</v>
      </c>
      <c r="D25" s="34" t="n">
        <f aca="false">C25/$C$8</f>
        <v>0.0984006311410744</v>
      </c>
      <c r="E25" s="6" t="s">
        <v>577</v>
      </c>
    </row>
    <row r="26" customFormat="false" ht="15" hidden="false" customHeight="true" outlineLevel="0" collapsed="false">
      <c r="A26" s="5" t="s">
        <v>578</v>
      </c>
      <c r="C26" s="24" t="n">
        <v>2071</v>
      </c>
      <c r="D26" s="34" t="n">
        <f aca="false">C26/$C$8</f>
        <v>0.0742666571039231</v>
      </c>
      <c r="E26" s="5" t="s">
        <v>573</v>
      </c>
    </row>
    <row r="27" customFormat="false" ht="15" hidden="false" customHeight="true" outlineLevel="0" collapsed="false">
      <c r="A27" s="5" t="s">
        <v>579</v>
      </c>
      <c r="C27" s="24" t="n">
        <v>1937</v>
      </c>
      <c r="D27" s="34" t="n">
        <f aca="false">C27/$C$8</f>
        <v>0.0694613784694829</v>
      </c>
      <c r="E27" s="5" t="s">
        <v>573</v>
      </c>
    </row>
    <row r="28" customFormat="false" ht="15" hidden="false" customHeight="true" outlineLevel="0" collapsed="false">
      <c r="A28" s="5" t="s">
        <v>580</v>
      </c>
      <c r="C28" s="24" t="n">
        <v>1726</v>
      </c>
      <c r="D28" s="34" t="n">
        <f aca="false">C28/$C$8</f>
        <v>0.0618948576346554</v>
      </c>
      <c r="E28" s="5" t="s">
        <v>573</v>
      </c>
    </row>
    <row r="29" customFormat="false" ht="15" hidden="false" customHeight="true" outlineLevel="0" collapsed="false">
      <c r="A29" s="5" t="s">
        <v>581</v>
      </c>
      <c r="C29" s="24" t="n">
        <v>1029</v>
      </c>
      <c r="D29" s="34" t="n">
        <f aca="false">C29/$C$8</f>
        <v>0.0369002366779029</v>
      </c>
      <c r="E29" s="5" t="s">
        <v>573</v>
      </c>
    </row>
    <row r="30" customFormat="false" ht="15" hidden="false" customHeight="true" outlineLevel="0" collapsed="false">
      <c r="A30" s="5" t="s">
        <v>582</v>
      </c>
      <c r="C30" s="24" t="n">
        <v>902</v>
      </c>
      <c r="D30" s="34" t="n">
        <f aca="false">C30/$C$8</f>
        <v>0.0323459800616797</v>
      </c>
      <c r="E30" s="5" t="s">
        <v>573</v>
      </c>
    </row>
    <row r="31" customFormat="false" ht="15" hidden="false" customHeight="true" outlineLevel="0" collapsed="false">
      <c r="A31" s="5" t="s">
        <v>583</v>
      </c>
      <c r="C31" s="24" t="n">
        <v>612</v>
      </c>
      <c r="D31" s="34" t="n">
        <f aca="false">C31/$C$8</f>
        <v>0.0219464964498315</v>
      </c>
      <c r="E31" s="5" t="s">
        <v>573</v>
      </c>
    </row>
    <row r="32" customFormat="false" ht="15" hidden="false" customHeight="true" outlineLevel="0" collapsed="false">
      <c r="A32" s="5" t="s">
        <v>584</v>
      </c>
      <c r="C32" s="24" t="n">
        <v>514</v>
      </c>
      <c r="D32" s="34" t="n">
        <f aca="false">C32/$C$8</f>
        <v>0.0184321881947931</v>
      </c>
      <c r="E32" s="5" t="s">
        <v>573</v>
      </c>
    </row>
    <row r="33" customFormat="false" ht="15" hidden="false" customHeight="true" outlineLevel="0" collapsed="false">
      <c r="A33" s="5" t="s">
        <v>585</v>
      </c>
      <c r="C33" s="24" t="n">
        <v>501</v>
      </c>
      <c r="D33" s="34" t="n">
        <f aca="false">C33/$C$8</f>
        <v>0.0179660044466758</v>
      </c>
      <c r="E33" s="6" t="s">
        <v>577</v>
      </c>
    </row>
    <row r="34" customFormat="false" ht="15" hidden="false" customHeight="true" outlineLevel="0" collapsed="false">
      <c r="A34" s="5" t="s">
        <v>586</v>
      </c>
      <c r="C34" s="24" t="n">
        <v>378</v>
      </c>
      <c r="D34" s="34" t="n">
        <f aca="false">C34/$C$8</f>
        <v>0.0135551889837194</v>
      </c>
      <c r="E34" s="6" t="s">
        <v>577</v>
      </c>
    </row>
    <row r="35" customFormat="false" ht="15" hidden="false" customHeight="true" outlineLevel="0" collapsed="false">
      <c r="A35" s="5" t="s">
        <v>587</v>
      </c>
      <c r="C35" s="24" t="n">
        <v>335</v>
      </c>
      <c r="D35" s="34" t="n">
        <f aca="false">C35/$C$8</f>
        <v>0.0120131965861006</v>
      </c>
      <c r="E35" s="5" t="s">
        <v>573</v>
      </c>
    </row>
    <row r="36" customFormat="false" ht="15" hidden="false" customHeight="true" outlineLevel="0" collapsed="false">
      <c r="A36" s="5" t="s">
        <v>588</v>
      </c>
      <c r="C36" s="24" t="n">
        <v>333</v>
      </c>
      <c r="D36" s="34" t="n">
        <f aca="false">C36/$C$8</f>
        <v>0.0119414760094671</v>
      </c>
      <c r="E36" s="6" t="s">
        <v>577</v>
      </c>
    </row>
    <row r="37" customFormat="false" ht="15" hidden="false" customHeight="true" outlineLevel="0" collapsed="false">
      <c r="A37" s="5" t="s">
        <v>589</v>
      </c>
      <c r="C37" s="24" t="n">
        <v>267</v>
      </c>
      <c r="D37" s="34" t="n">
        <f aca="false">C37/$C$8</f>
        <v>0.00957469698056373</v>
      </c>
      <c r="E37" s="6" t="s">
        <v>577</v>
      </c>
    </row>
    <row r="38" customFormat="false" ht="15" hidden="false" customHeight="true" outlineLevel="0" collapsed="false">
      <c r="A38" s="5" t="s">
        <v>590</v>
      </c>
      <c r="C38" s="24" t="n">
        <v>260</v>
      </c>
      <c r="D38" s="34" t="n">
        <f aca="false">C38/$C$8</f>
        <v>0.0093236749623467</v>
      </c>
      <c r="E38" s="5" t="s">
        <v>573</v>
      </c>
    </row>
    <row r="39" customFormat="false" ht="15" hidden="false" customHeight="true" outlineLevel="0" collapsed="false">
      <c r="A39" s="5" t="s">
        <v>591</v>
      </c>
      <c r="C39" s="24" t="n">
        <v>337</v>
      </c>
      <c r="D39" s="34" t="n">
        <f aca="false">C39/$C$8</f>
        <v>0.012084917162734</v>
      </c>
      <c r="E39" s="6" t="s">
        <v>577</v>
      </c>
    </row>
    <row r="40" customFormat="false" ht="15" hidden="false" customHeight="true" outlineLevel="0" collapsed="false">
      <c r="A40" s="5" t="s">
        <v>592</v>
      </c>
      <c r="C40" s="24" t="n">
        <v>712</v>
      </c>
      <c r="D40" s="34" t="n">
        <f aca="false">C40/$C$8</f>
        <v>0.0255325252815033</v>
      </c>
      <c r="E40" s="5" t="s">
        <v>573</v>
      </c>
    </row>
    <row r="41" customFormat="false" ht="15" hidden="false" customHeight="true" outlineLevel="0" collapsed="false">
      <c r="A41" s="6" t="s">
        <v>593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594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595</v>
      </c>
      <c r="B44" s="4"/>
      <c r="C44" s="4"/>
      <c r="D44" s="4"/>
    </row>
    <row r="45" customFormat="false" ht="15" hidden="false" customHeight="true" outlineLevel="0" collapsed="false">
      <c r="A45" s="5" t="s">
        <v>596</v>
      </c>
      <c r="C45" s="24" t="n">
        <f aca="false">C41*2</f>
        <v>9120</v>
      </c>
    </row>
    <row r="46" customFormat="false" ht="15" hidden="false" customHeight="true" outlineLevel="0" collapsed="false">
      <c r="A46" s="5" t="s">
        <v>597</v>
      </c>
      <c r="C46" s="120" t="n">
        <v>0.5</v>
      </c>
    </row>
    <row r="47" customFormat="false" ht="15" hidden="false" customHeight="true" outlineLevel="0" collapsed="false">
      <c r="A47" s="5" t="s">
        <v>598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599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600</v>
      </c>
      <c r="C49" s="121" t="n">
        <v>0.25</v>
      </c>
      <c r="D49" s="121" t="n">
        <v>0.5</v>
      </c>
      <c r="E49" s="121" t="n">
        <v>0.75</v>
      </c>
      <c r="F49" s="121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601</v>
      </c>
      <c r="B52" s="4"/>
      <c r="C52" s="4"/>
      <c r="D52" s="4"/>
    </row>
    <row r="53" customFormat="false" ht="15" hidden="false" customHeight="true" outlineLevel="0" collapsed="false">
      <c r="A53" s="5" t="s">
        <v>602</v>
      </c>
      <c r="C53" s="24" t="n">
        <v>2411</v>
      </c>
    </row>
    <row r="54" customFormat="false" ht="15" hidden="false" customHeight="true" outlineLevel="0" collapsed="false">
      <c r="A54" s="5" t="s">
        <v>603</v>
      </c>
      <c r="C54" s="24" t="n">
        <f aca="false">C53*2</f>
        <v>4822</v>
      </c>
    </row>
    <row r="56" customFormat="false" ht="15" hidden="false" customHeight="true" outlineLevel="0" collapsed="false">
      <c r="A56" s="3" t="s">
        <v>604</v>
      </c>
    </row>
    <row r="58" customFormat="false" ht="15" hidden="false" customHeight="true" outlineLevel="0" collapsed="false">
      <c r="A58" s="4" t="s">
        <v>605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606</v>
      </c>
      <c r="C59" s="24" t="n">
        <v>42319</v>
      </c>
      <c r="D59" s="34" t="n">
        <v>0.173</v>
      </c>
      <c r="E59" s="3" t="s">
        <v>607</v>
      </c>
    </row>
    <row r="60" customFormat="false" ht="15" hidden="false" customHeight="true" outlineLevel="0" collapsed="false">
      <c r="A60" s="5" t="s">
        <v>608</v>
      </c>
      <c r="C60" s="24" t="n">
        <v>9118</v>
      </c>
      <c r="D60" s="34" t="n">
        <v>0.215</v>
      </c>
      <c r="E60" s="3" t="s">
        <v>609</v>
      </c>
    </row>
    <row r="61" customFormat="false" ht="15" hidden="false" customHeight="true" outlineLevel="0" collapsed="false">
      <c r="A61" s="5" t="s">
        <v>610</v>
      </c>
      <c r="C61" s="24" t="n">
        <v>33201</v>
      </c>
      <c r="D61" s="34" t="n">
        <v>0.785</v>
      </c>
      <c r="E61" s="3" t="s">
        <v>611</v>
      </c>
    </row>
    <row r="62" customFormat="false" ht="15" hidden="false" customHeight="true" outlineLevel="0" collapsed="false">
      <c r="A62" s="6" t="s">
        <v>612</v>
      </c>
      <c r="C62" s="24" t="n">
        <v>14404</v>
      </c>
      <c r="D62" s="34" t="n">
        <v>0.059</v>
      </c>
      <c r="E62" s="3" t="s">
        <v>613</v>
      </c>
    </row>
    <row r="63" customFormat="false" ht="15" hidden="false" customHeight="true" outlineLevel="0" collapsed="false">
      <c r="A63" s="6" t="s">
        <v>614</v>
      </c>
      <c r="C63" s="24" t="n">
        <v>3007</v>
      </c>
      <c r="D63" s="34" t="n">
        <v>0.012</v>
      </c>
      <c r="E63" s="3" t="s">
        <v>615</v>
      </c>
    </row>
    <row r="65" customFormat="false" ht="15" hidden="false" customHeight="true" outlineLevel="0" collapsed="false">
      <c r="A65" s="3" t="s">
        <v>616</v>
      </c>
    </row>
    <row r="67" customFormat="false" ht="15" hidden="false" customHeight="true" outlineLevel="0" collapsed="false">
      <c r="A67" s="4" t="s">
        <v>617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618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619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620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22" t="s">
        <v>621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00" t="s">
        <v>622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4" customFormat="false" ht="15" hidden="false" customHeight="true" outlineLevel="0" collapsed="false">
      <c r="A4" s="117" t="s">
        <v>623</v>
      </c>
      <c r="B4" s="123" t="s">
        <v>624</v>
      </c>
      <c r="C4" s="124" t="n">
        <f aca="false">'LW Assumptions'!$C$23</f>
        <v>20</v>
      </c>
      <c r="D4" s="123" t="s">
        <v>625</v>
      </c>
      <c r="E4" s="124" t="n">
        <v>25</v>
      </c>
    </row>
    <row r="6" customFormat="false" ht="15" hidden="false" customHeight="true" outlineLevel="0" collapsed="false">
      <c r="A6" s="42" t="s">
        <v>626</v>
      </c>
    </row>
    <row r="7" customFormat="false" ht="15" hidden="false" customHeight="true" outlineLevel="0" collapsed="false">
      <c r="A7" s="125" t="s">
        <v>627</v>
      </c>
      <c r="B7" s="125" t="s">
        <v>496</v>
      </c>
      <c r="C7" s="126" t="s">
        <v>628</v>
      </c>
      <c r="D7" s="126" t="s">
        <v>629</v>
      </c>
      <c r="E7" s="126" t="s">
        <v>630</v>
      </c>
      <c r="F7" s="126" t="s">
        <v>631</v>
      </c>
      <c r="G7" s="126" t="s">
        <v>632</v>
      </c>
      <c r="H7" s="126" t="s">
        <v>633</v>
      </c>
      <c r="I7" s="126" t="s">
        <v>634</v>
      </c>
      <c r="J7" s="126" t="s">
        <v>635</v>
      </c>
      <c r="K7" s="126" t="s">
        <v>636</v>
      </c>
      <c r="L7" s="126" t="s">
        <v>637</v>
      </c>
    </row>
    <row r="8" customFormat="false" ht="15" hidden="false" customHeight="true" outlineLevel="0" collapsed="false">
      <c r="A8" s="127" t="s">
        <v>638</v>
      </c>
      <c r="B8" s="128" t="s">
        <v>639</v>
      </c>
      <c r="C8" s="129" t="n">
        <v>18.29</v>
      </c>
      <c r="D8" s="130" t="n">
        <f aca="false">6*$C8</f>
        <v>109.74</v>
      </c>
      <c r="E8" s="130" t="n">
        <f aca="false">7.75*$C8</f>
        <v>141.7475</v>
      </c>
      <c r="F8" s="131" t="n">
        <v>0</v>
      </c>
      <c r="G8" s="131" t="n">
        <v>0</v>
      </c>
      <c r="H8" s="131" t="n">
        <v>0</v>
      </c>
      <c r="I8" s="131" t="n">
        <v>0</v>
      </c>
      <c r="J8" s="131" t="n">
        <v>0</v>
      </c>
      <c r="K8" s="132" t="n">
        <v>13.75</v>
      </c>
      <c r="L8" s="133" t="n">
        <f aca="false">SUM(D8:J8)</f>
        <v>251.4875</v>
      </c>
    </row>
    <row r="9" customFormat="false" ht="15" hidden="false" customHeight="true" outlineLevel="0" collapsed="false">
      <c r="A9" s="127" t="s">
        <v>638</v>
      </c>
      <c r="B9" s="128" t="s">
        <v>640</v>
      </c>
      <c r="C9" s="129" t="n">
        <v>21.03</v>
      </c>
      <c r="D9" s="130" t="n">
        <f aca="false">1.75*$C9</f>
        <v>36.8025</v>
      </c>
      <c r="E9" s="130" t="n">
        <f aca="false">1.75*$C9</f>
        <v>36.8025</v>
      </c>
      <c r="F9" s="130" t="n">
        <f aca="false">7.75*$C9</f>
        <v>162.9825</v>
      </c>
      <c r="G9" s="131" t="n">
        <v>0</v>
      </c>
      <c r="H9" s="131" t="n">
        <v>0</v>
      </c>
      <c r="I9" s="131" t="n">
        <v>0</v>
      </c>
      <c r="J9" s="131" t="n">
        <v>0</v>
      </c>
      <c r="K9" s="132" t="n">
        <v>11.25</v>
      </c>
      <c r="L9" s="133" t="n">
        <f aca="false">SUM(D9:J9)</f>
        <v>236.5875</v>
      </c>
      <c r="M9" s="134" t="s">
        <v>641</v>
      </c>
    </row>
    <row r="10" customFormat="false" ht="15" hidden="false" customHeight="true" outlineLevel="0" collapsed="false">
      <c r="A10" s="127" t="s">
        <v>642</v>
      </c>
      <c r="B10" s="128" t="s">
        <v>639</v>
      </c>
      <c r="C10" s="129" t="n">
        <v>17.79</v>
      </c>
      <c r="D10" s="131" t="n">
        <v>0</v>
      </c>
      <c r="E10" s="131" t="n">
        <v>0</v>
      </c>
      <c r="F10" s="131" t="n">
        <v>0</v>
      </c>
      <c r="G10" s="131" t="n">
        <v>0</v>
      </c>
      <c r="H10" s="130" t="n">
        <f aca="false">8*$C10</f>
        <v>142.32</v>
      </c>
      <c r="I10" s="130" t="n">
        <f aca="false">8*$C10</f>
        <v>142.32</v>
      </c>
      <c r="J10" s="130" t="n">
        <f aca="false">8*$C10</f>
        <v>142.32</v>
      </c>
      <c r="K10" s="132" t="n">
        <v>24</v>
      </c>
      <c r="L10" s="133" t="n">
        <f aca="false">SUM(D10:J10)</f>
        <v>426.96</v>
      </c>
    </row>
    <row r="11" customFormat="false" ht="15" hidden="false" customHeight="true" outlineLevel="0" collapsed="false">
      <c r="A11" s="127" t="s">
        <v>643</v>
      </c>
      <c r="B11" s="128" t="s">
        <v>644</v>
      </c>
      <c r="C11" s="129" t="n">
        <v>19.79</v>
      </c>
      <c r="D11" s="130" t="n">
        <f aca="false">8*$C11</f>
        <v>158.32</v>
      </c>
      <c r="E11" s="130" t="n">
        <f aca="false">8*$C11</f>
        <v>158.32</v>
      </c>
      <c r="F11" s="130" t="n">
        <f aca="false">8*$C11</f>
        <v>158.32</v>
      </c>
      <c r="G11" s="130" t="n">
        <f aca="false">8*$C11</f>
        <v>158.32</v>
      </c>
      <c r="H11" s="131" t="n">
        <v>0</v>
      </c>
      <c r="I11" s="131" t="n">
        <v>0</v>
      </c>
      <c r="J11" s="130" t="n">
        <f aca="false">3*$C11</f>
        <v>59.37</v>
      </c>
      <c r="K11" s="132" t="n">
        <v>35</v>
      </c>
      <c r="L11" s="133" t="n">
        <f aca="false">SUM(D11:J11)</f>
        <v>692.65</v>
      </c>
      <c r="M11" s="134" t="s">
        <v>645</v>
      </c>
    </row>
    <row r="12" customFormat="false" ht="15" hidden="false" customHeight="true" outlineLevel="0" collapsed="false">
      <c r="A12" s="127" t="s">
        <v>646</v>
      </c>
      <c r="B12" s="128" t="s">
        <v>644</v>
      </c>
      <c r="C12" s="129" t="n">
        <v>21.21</v>
      </c>
      <c r="D12" s="131" t="n">
        <v>0</v>
      </c>
      <c r="E12" s="131" t="n">
        <v>0</v>
      </c>
      <c r="F12" s="130" t="n">
        <f aca="false">8*$C12</f>
        <v>169.68</v>
      </c>
      <c r="G12" s="130" t="n">
        <f aca="false">8*$C12</f>
        <v>169.68</v>
      </c>
      <c r="H12" s="130" t="n">
        <f aca="false">8*$C12</f>
        <v>169.68</v>
      </c>
      <c r="I12" s="130" t="n">
        <f aca="false">8*$C12</f>
        <v>169.68</v>
      </c>
      <c r="J12" s="130" t="n">
        <f aca="false">8*$C12</f>
        <v>169.68</v>
      </c>
      <c r="K12" s="132" t="n">
        <v>40</v>
      </c>
      <c r="L12" s="133" t="n">
        <f aca="false">SUM(D12:J12)</f>
        <v>848.4</v>
      </c>
    </row>
    <row r="13" customFormat="false" ht="15" hidden="false" customHeight="true" outlineLevel="0" collapsed="false">
      <c r="A13" s="127" t="s">
        <v>647</v>
      </c>
      <c r="B13" s="128" t="s">
        <v>648</v>
      </c>
      <c r="C13" s="129" t="n">
        <v>25</v>
      </c>
      <c r="D13" s="131" t="n">
        <v>0</v>
      </c>
      <c r="E13" s="131" t="n">
        <v>0</v>
      </c>
      <c r="F13" s="131" t="n">
        <v>0</v>
      </c>
      <c r="G13" s="130" t="n">
        <f aca="false">8*$C13</f>
        <v>200</v>
      </c>
      <c r="H13" s="130" t="n">
        <f aca="false">8*$C13</f>
        <v>200</v>
      </c>
      <c r="I13" s="131" t="n">
        <v>0</v>
      </c>
      <c r="J13" s="131" t="n">
        <v>0</v>
      </c>
      <c r="K13" s="132" t="n">
        <v>16</v>
      </c>
      <c r="L13" s="133" t="n">
        <f aca="false">SUM(D13:J13)</f>
        <v>400</v>
      </c>
      <c r="M13" s="134" t="s">
        <v>649</v>
      </c>
    </row>
    <row r="14" customFormat="false" ht="15" hidden="false" customHeight="true" outlineLevel="0" collapsed="false">
      <c r="A14" s="95" t="s">
        <v>650</v>
      </c>
      <c r="B14" s="101"/>
      <c r="C14" s="135"/>
      <c r="D14" s="135" t="n">
        <f aca="false">SUM(D8:D13)</f>
        <v>304.8625</v>
      </c>
      <c r="E14" s="135" t="n">
        <f aca="false">SUM(E8:E13)</f>
        <v>336.87</v>
      </c>
      <c r="F14" s="135" t="n">
        <f aca="false">SUM(F8:F13)</f>
        <v>490.9825</v>
      </c>
      <c r="G14" s="135" t="n">
        <f aca="false">SUM(G8:G13)</f>
        <v>528</v>
      </c>
      <c r="H14" s="135" t="n">
        <f aca="false">SUM(H8:H13)</f>
        <v>512</v>
      </c>
      <c r="I14" s="135" t="n">
        <f aca="false">SUM(I8:I13)</f>
        <v>312</v>
      </c>
      <c r="J14" s="135" t="n">
        <f aca="false">SUM(J8:J13)</f>
        <v>371.37</v>
      </c>
      <c r="K14" s="136" t="n">
        <f aca="false">SUM(K8:K13)</f>
        <v>140</v>
      </c>
      <c r="L14" s="45" t="n">
        <f aca="false">SUM(L8:L13)</f>
        <v>2856.085</v>
      </c>
      <c r="M14" s="128" t="s">
        <v>651</v>
      </c>
    </row>
    <row r="17" customFormat="false" ht="15" hidden="false" customHeight="true" outlineLevel="0" collapsed="false">
      <c r="A17" s="137" t="s">
        <v>652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</row>
    <row r="18" customFormat="false" ht="15" hidden="false" customHeight="true" outlineLevel="0" collapsed="false">
      <c r="A18" s="125"/>
      <c r="B18" s="125" t="s">
        <v>653</v>
      </c>
      <c r="D18" s="126" t="s">
        <v>654</v>
      </c>
      <c r="F18" s="126" t="s">
        <v>655</v>
      </c>
      <c r="G18" s="126" t="s">
        <v>656</v>
      </c>
      <c r="H18" s="126" t="s">
        <v>657</v>
      </c>
      <c r="J18" s="126" t="s">
        <v>658</v>
      </c>
    </row>
    <row r="19" customFormat="false" ht="15" hidden="false" customHeight="true" outlineLevel="0" collapsed="false">
      <c r="A19" s="117" t="s">
        <v>659</v>
      </c>
      <c r="B19" s="127" t="s">
        <v>660</v>
      </c>
      <c r="D19" s="138" t="s">
        <v>661</v>
      </c>
      <c r="F19" s="139" t="s">
        <v>662</v>
      </c>
      <c r="G19" s="140" t="n">
        <v>8</v>
      </c>
      <c r="H19" s="130" t="n">
        <f aca="false">8*$C$4</f>
        <v>160</v>
      </c>
      <c r="J19" s="133" t="n">
        <f aca="false">H19*7</f>
        <v>1120</v>
      </c>
    </row>
    <row r="20" customFormat="false" ht="15" hidden="false" customHeight="true" outlineLevel="0" collapsed="false">
      <c r="A20" s="117"/>
      <c r="B20" s="127" t="s">
        <v>663</v>
      </c>
      <c r="D20" s="138" t="s">
        <v>664</v>
      </c>
      <c r="F20" s="139" t="s">
        <v>662</v>
      </c>
      <c r="G20" s="140" t="n">
        <v>8</v>
      </c>
      <c r="H20" s="130" t="n">
        <f aca="false">8*$C$4</f>
        <v>160</v>
      </c>
      <c r="J20" s="133" t="n">
        <f aca="false">H20*7</f>
        <v>1120</v>
      </c>
    </row>
    <row r="21" customFormat="false" ht="15" hidden="false" customHeight="true" outlineLevel="0" collapsed="false">
      <c r="A21" s="117"/>
      <c r="B21" s="127" t="s">
        <v>665</v>
      </c>
      <c r="D21" s="138" t="s">
        <v>666</v>
      </c>
      <c r="F21" s="139" t="s">
        <v>667</v>
      </c>
      <c r="G21" s="140" t="n">
        <v>4</v>
      </c>
      <c r="H21" s="130" t="n">
        <f aca="false">4*$E$4</f>
        <v>100</v>
      </c>
      <c r="J21" s="133" t="n">
        <f aca="false">H21*7</f>
        <v>700</v>
      </c>
    </row>
    <row r="22" customFormat="false" ht="15" hidden="false" customHeight="true" outlineLevel="0" collapsed="false">
      <c r="A22" s="141" t="s">
        <v>668</v>
      </c>
      <c r="B22" s="101"/>
      <c r="D22" s="101"/>
      <c r="F22" s="101"/>
      <c r="G22" s="136" t="n">
        <f aca="false">G19+G20+G21</f>
        <v>20</v>
      </c>
      <c r="H22" s="135" t="n">
        <f aca="false">H19+H20+H21</f>
        <v>420</v>
      </c>
      <c r="J22" s="135" t="n">
        <f aca="false">H22*7</f>
        <v>2940</v>
      </c>
    </row>
    <row r="24" customFormat="false" ht="15" hidden="false" customHeight="true" outlineLevel="0" collapsed="false">
      <c r="A24" s="141" t="s">
        <v>669</v>
      </c>
      <c r="B24" s="142" t="s">
        <v>670</v>
      </c>
      <c r="C24" s="101"/>
      <c r="D24" s="143" t="s">
        <v>671</v>
      </c>
      <c r="E24" s="101"/>
      <c r="F24" s="144" t="s">
        <v>672</v>
      </c>
      <c r="G24" s="145" t="n">
        <v>10</v>
      </c>
      <c r="H24" s="146" t="n">
        <f aca="false">10*$C$4</f>
        <v>200</v>
      </c>
      <c r="I24" s="101"/>
      <c r="J24" s="135" t="n">
        <f aca="false">H24*7</f>
        <v>1400</v>
      </c>
    </row>
    <row r="25" customFormat="false" ht="15" hidden="false" customHeight="true" outlineLevel="0" collapsed="false">
      <c r="A25" s="147"/>
      <c r="B25" s="148" t="s">
        <v>673</v>
      </c>
      <c r="C25" s="149"/>
      <c r="D25" s="150" t="s">
        <v>674</v>
      </c>
      <c r="E25" s="149"/>
      <c r="F25" s="151" t="s">
        <v>675</v>
      </c>
      <c r="G25" s="152" t="n">
        <v>0</v>
      </c>
      <c r="H25" s="153" t="n">
        <v>0</v>
      </c>
      <c r="I25" s="149"/>
      <c r="J25" s="154" t="n">
        <f aca="false">H25*7</f>
        <v>0</v>
      </c>
    </row>
    <row r="26" customFormat="false" ht="15" hidden="false" customHeight="true" outlineLevel="0" collapsed="false">
      <c r="A26" s="141" t="s">
        <v>676</v>
      </c>
      <c r="B26" s="101"/>
      <c r="D26" s="101"/>
      <c r="F26" s="101"/>
      <c r="G26" s="136" t="n">
        <v>10</v>
      </c>
      <c r="H26" s="135" t="n">
        <f aca="false">10*$C$4</f>
        <v>200</v>
      </c>
      <c r="J26" s="135" t="n">
        <f aca="false">H26*7</f>
        <v>1400</v>
      </c>
    </row>
    <row r="28" customFormat="false" ht="15" hidden="false" customHeight="true" outlineLevel="0" collapsed="false">
      <c r="A28" s="155" t="s">
        <v>677</v>
      </c>
      <c r="B28" s="155"/>
      <c r="C28" s="155"/>
      <c r="D28" s="155"/>
      <c r="E28" s="155"/>
      <c r="F28" s="155"/>
      <c r="G28" s="155"/>
      <c r="H28" s="155"/>
      <c r="I28" s="155"/>
      <c r="J28" s="155"/>
      <c r="K28" s="155"/>
    </row>
    <row r="29" customFormat="false" ht="15" hidden="false" customHeight="true" outlineLevel="0" collapsed="false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56" t="s">
        <v>678</v>
      </c>
      <c r="B1" s="38"/>
      <c r="C1" s="38"/>
      <c r="D1" s="38"/>
    </row>
    <row r="2" customFormat="false" ht="15" hidden="false" customHeight="true" outlineLevel="0" collapsed="false">
      <c r="A2" s="157" t="s">
        <v>679</v>
      </c>
      <c r="B2" s="157"/>
      <c r="C2" s="157"/>
      <c r="D2" s="157"/>
    </row>
    <row r="4" customFormat="false" ht="15" hidden="false" customHeight="true" outlineLevel="0" collapsed="false">
      <c r="A4" s="86" t="s">
        <v>680</v>
      </c>
      <c r="B4" s="43" t="s">
        <v>359</v>
      </c>
      <c r="C4" s="43" t="s">
        <v>360</v>
      </c>
      <c r="D4" s="43" t="s">
        <v>681</v>
      </c>
    </row>
    <row r="5" customFormat="false" ht="15" hidden="false" customHeight="true" outlineLevel="0" collapsed="false">
      <c r="A5" s="44" t="s">
        <v>682</v>
      </c>
      <c r="B5" s="101"/>
      <c r="C5" s="101"/>
      <c r="D5" s="101"/>
    </row>
    <row r="6" customFormat="false" ht="15" hidden="false" customHeight="true" outlineLevel="0" collapsed="false">
      <c r="A6" s="102" t="s">
        <v>683</v>
      </c>
      <c r="B6" s="110" t="n">
        <v>119121</v>
      </c>
      <c r="C6" s="110" t="n">
        <f aca="false">B6/12</f>
        <v>9926.75</v>
      </c>
      <c r="D6" s="158" t="n">
        <f aca="false">B6/258287</f>
        <v>0.461196266169029</v>
      </c>
    </row>
    <row r="7" customFormat="false" ht="15" hidden="false" customHeight="true" outlineLevel="0" collapsed="false">
      <c r="A7" s="102" t="s">
        <v>684</v>
      </c>
      <c r="B7" s="110" t="n">
        <v>133545</v>
      </c>
      <c r="C7" s="110" t="n">
        <f aca="false">B7/12</f>
        <v>11128.75</v>
      </c>
      <c r="D7" s="158" t="n">
        <f aca="false">B7/258287</f>
        <v>0.517041120923624</v>
      </c>
    </row>
    <row r="8" customFormat="false" ht="15" hidden="false" customHeight="true" outlineLevel="0" collapsed="false">
      <c r="A8" s="102" t="s">
        <v>685</v>
      </c>
      <c r="B8" s="110" t="n">
        <v>17887</v>
      </c>
      <c r="C8" s="110" t="n">
        <f aca="false">B8/12</f>
        <v>1490.58333333333</v>
      </c>
      <c r="D8" s="158" t="n">
        <f aca="false">B8/258287</f>
        <v>0.0692524207567551</v>
      </c>
    </row>
    <row r="9" customFormat="false" ht="15" hidden="false" customHeight="true" outlineLevel="0" collapsed="false">
      <c r="A9" s="102" t="s">
        <v>686</v>
      </c>
      <c r="B9" s="110" t="n">
        <v>6836</v>
      </c>
      <c r="C9" s="110" t="n">
        <f aca="false">B9/12</f>
        <v>569.666666666667</v>
      </c>
      <c r="D9" s="158" t="n">
        <f aca="false">B9/258287</f>
        <v>0.026466682411426</v>
      </c>
    </row>
    <row r="10" customFormat="false" ht="15" hidden="false" customHeight="true" outlineLevel="0" collapsed="false">
      <c r="A10" s="102" t="s">
        <v>687</v>
      </c>
      <c r="B10" s="110" t="n">
        <v>-20307</v>
      </c>
      <c r="C10" s="110" t="n">
        <f aca="false">B10/12</f>
        <v>-1692.25</v>
      </c>
      <c r="D10" s="158" t="n">
        <f aca="false">B10/258287</f>
        <v>-0.0786218431434799</v>
      </c>
    </row>
    <row r="11" customFormat="false" ht="15" hidden="false" customHeight="true" outlineLevel="0" collapsed="false">
      <c r="A11" s="102" t="s">
        <v>688</v>
      </c>
      <c r="B11" s="110" t="n">
        <v>1204</v>
      </c>
      <c r="C11" s="110" t="n">
        <f aca="false">B11/12</f>
        <v>100.333333333333</v>
      </c>
      <c r="D11" s="158" t="n">
        <f aca="false">B11/258287</f>
        <v>0.00466148122050277</v>
      </c>
    </row>
    <row r="12" customFormat="false" ht="15" hidden="false" customHeight="true" outlineLevel="0" collapsed="false">
      <c r="A12" s="44" t="s">
        <v>689</v>
      </c>
      <c r="B12" s="45" t="n">
        <v>258287</v>
      </c>
      <c r="C12" s="159" t="n">
        <f aca="false">B12/12</f>
        <v>21523.9166666667</v>
      </c>
      <c r="D12" s="160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690</v>
      </c>
      <c r="B14" s="161"/>
      <c r="C14" s="162"/>
      <c r="D14" s="162"/>
    </row>
    <row r="15" customFormat="false" ht="15" hidden="false" customHeight="true" outlineLevel="0" collapsed="false">
      <c r="A15" s="102" t="s">
        <v>691</v>
      </c>
      <c r="B15" s="110" t="n">
        <v>48655</v>
      </c>
      <c r="C15" s="110" t="n">
        <f aca="false">B15/12</f>
        <v>4054.58333333333</v>
      </c>
      <c r="D15" s="158" t="n">
        <f aca="false">B15/258287</f>
        <v>0.188375721581032</v>
      </c>
    </row>
    <row r="16" customFormat="false" ht="15" hidden="false" customHeight="true" outlineLevel="0" collapsed="false">
      <c r="A16" s="102" t="s">
        <v>692</v>
      </c>
      <c r="B16" s="110" t="n">
        <v>27428</v>
      </c>
      <c r="C16" s="110" t="n">
        <f aca="false">B16/12</f>
        <v>2285.66666666667</v>
      </c>
      <c r="D16" s="158" t="n">
        <f aca="false">B16/258287</f>
        <v>0.106191949265739</v>
      </c>
    </row>
    <row r="17" customFormat="false" ht="15" hidden="false" customHeight="true" outlineLevel="0" collapsed="false">
      <c r="A17" s="102" t="s">
        <v>693</v>
      </c>
      <c r="B17" s="110" t="n">
        <v>5516</v>
      </c>
      <c r="C17" s="110" t="n">
        <f aca="false">B17/12</f>
        <v>459.666666666667</v>
      </c>
      <c r="D17" s="158" t="n">
        <f aca="false">B17/258287</f>
        <v>0.0213560883823034</v>
      </c>
    </row>
    <row r="18" customFormat="false" ht="15" hidden="false" customHeight="true" outlineLevel="0" collapsed="false">
      <c r="A18" s="102" t="s">
        <v>694</v>
      </c>
      <c r="B18" s="110" t="n">
        <v>0</v>
      </c>
      <c r="C18" s="110" t="n">
        <f aca="false">B18/12</f>
        <v>0</v>
      </c>
      <c r="D18" s="158" t="n">
        <f aca="false">B18/258287</f>
        <v>0</v>
      </c>
    </row>
    <row r="19" customFormat="false" ht="15" hidden="false" customHeight="true" outlineLevel="0" collapsed="false">
      <c r="A19" s="44" t="s">
        <v>695</v>
      </c>
      <c r="B19" s="45" t="n">
        <v>81599</v>
      </c>
      <c r="C19" s="159" t="n">
        <f aca="false">B19/12</f>
        <v>6799.91666666667</v>
      </c>
      <c r="D19" s="160" t="n">
        <f aca="false">B19/258287</f>
        <v>0.315923759229075</v>
      </c>
    </row>
    <row r="20" customFormat="false" ht="15" hidden="false" customHeight="true" outlineLevel="0" collapsed="false">
      <c r="A20" s="44" t="s">
        <v>696</v>
      </c>
      <c r="B20" s="45" t="n">
        <v>176688</v>
      </c>
      <c r="C20" s="159" t="n">
        <f aca="false">B20/12</f>
        <v>14724</v>
      </c>
      <c r="D20" s="160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290</v>
      </c>
      <c r="B22" s="161"/>
      <c r="C22" s="162"/>
      <c r="D22" s="162"/>
    </row>
    <row r="23" customFormat="false" ht="15" hidden="false" customHeight="true" outlineLevel="0" collapsed="false">
      <c r="A23" s="102" t="s">
        <v>697</v>
      </c>
      <c r="B23" s="110" t="n">
        <v>142124</v>
      </c>
      <c r="C23" s="110" t="n">
        <f aca="false">B23/12</f>
        <v>11843.6666666667</v>
      </c>
      <c r="D23" s="158" t="n">
        <f aca="false">B23/258287</f>
        <v>0.550256110450778</v>
      </c>
    </row>
    <row r="24" customFormat="false" ht="15" hidden="false" customHeight="true" outlineLevel="0" collapsed="false">
      <c r="A24" s="102" t="s">
        <v>698</v>
      </c>
      <c r="B24" s="110" t="n">
        <v>16219</v>
      </c>
      <c r="C24" s="110" t="n">
        <f aca="false">B24/12</f>
        <v>1351.58333333333</v>
      </c>
      <c r="D24" s="158" t="n">
        <f aca="false">B24/258287</f>
        <v>0.0627944883017728</v>
      </c>
    </row>
    <row r="25" customFormat="false" ht="15" hidden="false" customHeight="true" outlineLevel="0" collapsed="false">
      <c r="A25" s="102" t="s">
        <v>699</v>
      </c>
      <c r="B25" s="110" t="n">
        <v>6514</v>
      </c>
      <c r="C25" s="110" t="n">
        <f aca="false">B25/12</f>
        <v>542.833333333333</v>
      </c>
      <c r="D25" s="158" t="n">
        <f aca="false">B25/258287</f>
        <v>0.0252200072012916</v>
      </c>
    </row>
    <row r="26" customFormat="false" ht="15" hidden="false" customHeight="true" outlineLevel="0" collapsed="false">
      <c r="A26" s="44" t="s">
        <v>700</v>
      </c>
      <c r="B26" s="45" t="n">
        <v>164857</v>
      </c>
      <c r="C26" s="159" t="n">
        <f aca="false">B26/12</f>
        <v>13738.0833333333</v>
      </c>
      <c r="D26" s="160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701</v>
      </c>
      <c r="B28" s="161"/>
      <c r="C28" s="162"/>
      <c r="D28" s="162"/>
    </row>
    <row r="29" customFormat="false" ht="15" hidden="false" customHeight="true" outlineLevel="0" collapsed="false">
      <c r="A29" s="102" t="s">
        <v>702</v>
      </c>
      <c r="B29" s="110" t="n">
        <v>44540</v>
      </c>
      <c r="C29" s="110" t="n">
        <f aca="false">B29/12</f>
        <v>3711.66666666667</v>
      </c>
      <c r="D29" s="158" t="n">
        <f aca="false">B29/258287</f>
        <v>0.172443831861456</v>
      </c>
    </row>
    <row r="30" customFormat="false" ht="15" hidden="false" customHeight="true" outlineLevel="0" collapsed="false">
      <c r="A30" s="102" t="s">
        <v>703</v>
      </c>
      <c r="B30" s="110" t="n">
        <v>11918</v>
      </c>
      <c r="C30" s="110" t="n">
        <f aca="false">B30/12</f>
        <v>993.166666666667</v>
      </c>
      <c r="D30" s="158" t="n">
        <f aca="false">B30/258287</f>
        <v>0.0461424694235482</v>
      </c>
    </row>
    <row r="31" customFormat="false" ht="15" hidden="false" customHeight="true" outlineLevel="0" collapsed="false">
      <c r="A31" s="102" t="s">
        <v>704</v>
      </c>
      <c r="B31" s="110" t="n">
        <v>2912</v>
      </c>
      <c r="C31" s="110" t="n">
        <f aca="false">B31/12</f>
        <v>242.666666666667</v>
      </c>
      <c r="D31" s="158" t="n">
        <f aca="false">B31/258287</f>
        <v>0.011274280161216</v>
      </c>
    </row>
    <row r="32" customFormat="false" ht="15" hidden="false" customHeight="true" outlineLevel="0" collapsed="false">
      <c r="A32" s="102" t="s">
        <v>705</v>
      </c>
      <c r="B32" s="110" t="n">
        <v>30305</v>
      </c>
      <c r="C32" s="110" t="n">
        <f aca="false">B32/12</f>
        <v>2525.41666666667</v>
      </c>
      <c r="D32" s="158" t="n">
        <f aca="false">B32/258287</f>
        <v>0.117330721251941</v>
      </c>
    </row>
    <row r="33" customFormat="false" ht="15" hidden="false" customHeight="true" outlineLevel="0" collapsed="false">
      <c r="A33" s="44" t="s">
        <v>706</v>
      </c>
      <c r="B33" s="45" t="n">
        <v>89675</v>
      </c>
      <c r="C33" s="159" t="n">
        <f aca="false">B33/12</f>
        <v>7472.91666666667</v>
      </c>
      <c r="D33" s="160" t="n">
        <f aca="false">B33/258287</f>
        <v>0.347191302698161</v>
      </c>
    </row>
    <row r="34" customFormat="false" ht="15" hidden="false" customHeight="true" outlineLevel="0" collapsed="false">
      <c r="A34" s="163" t="s">
        <v>707</v>
      </c>
      <c r="B34" s="110" t="n">
        <v>10012</v>
      </c>
      <c r="C34" s="110" t="n">
        <f aca="false">B34/12</f>
        <v>834.333333333333</v>
      </c>
      <c r="D34" s="158" t="n">
        <f aca="false">B34/258287</f>
        <v>0.0387630813784666</v>
      </c>
    </row>
    <row r="35" customFormat="false" ht="15" hidden="false" customHeight="true" outlineLevel="0" collapsed="false">
      <c r="A35" s="164" t="s">
        <v>708</v>
      </c>
      <c r="B35" s="88" t="n">
        <v>5657</v>
      </c>
      <c r="C35" s="110" t="n">
        <f aca="false">B35/12</f>
        <v>471.416666666667</v>
      </c>
      <c r="D35" s="158" t="n">
        <f aca="false">B35/258287</f>
        <v>0.0219019927445051</v>
      </c>
    </row>
    <row r="37" customFormat="false" ht="15" hidden="false" customHeight="true" outlineLevel="0" collapsed="false">
      <c r="A37" s="165" t="s">
        <v>709</v>
      </c>
      <c r="B37" s="112" t="n">
        <v>-93513</v>
      </c>
      <c r="C37" s="166" t="n">
        <f aca="false">B37/12</f>
        <v>-7792.75</v>
      </c>
      <c r="D37" s="160" t="n">
        <f aca="false">B37/258287</f>
        <v>-0.36205074200405</v>
      </c>
    </row>
    <row r="38" customFormat="false" ht="15" hidden="false" customHeight="true" outlineLevel="0" collapsed="false">
      <c r="A38" s="102" t="s">
        <v>710</v>
      </c>
      <c r="B38" s="110" t="n">
        <v>-48000</v>
      </c>
      <c r="C38" s="110" t="n">
        <f aca="false">B38/12</f>
        <v>-4000</v>
      </c>
    </row>
    <row r="39" customFormat="false" ht="15" hidden="false" customHeight="true" outlineLevel="0" collapsed="false">
      <c r="A39" s="102" t="s">
        <v>711</v>
      </c>
      <c r="B39" s="110" t="n">
        <v>-15642</v>
      </c>
      <c r="C39" s="110" t="n">
        <f aca="false">B39/12</f>
        <v>-1303.5</v>
      </c>
    </row>
    <row r="40" customFormat="false" ht="15" hidden="false" customHeight="true" outlineLevel="0" collapsed="false">
      <c r="A40" s="165" t="s">
        <v>712</v>
      </c>
      <c r="B40" s="112" t="n">
        <v>-157155</v>
      </c>
      <c r="C40" s="166" t="n">
        <f aca="false">B40/12</f>
        <v>-13096.25</v>
      </c>
      <c r="D40" s="160" t="n">
        <f aca="false">B40/258287</f>
        <v>-0.60845106412634</v>
      </c>
    </row>
    <row r="42" customFormat="false" ht="15" hidden="false" customHeight="true" outlineLevel="0" collapsed="false">
      <c r="A42" s="167" t="s">
        <v>713</v>
      </c>
      <c r="B42" s="167"/>
      <c r="C42" s="167"/>
      <c r="D42" s="167"/>
    </row>
    <row r="43" customFormat="false" ht="15" hidden="false" customHeight="true" outlineLevel="0" collapsed="false">
      <c r="A43" s="167"/>
      <c r="B43" s="167"/>
      <c r="C43" s="167"/>
      <c r="D43" s="167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99" t="s">
        <v>714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00" t="s">
        <v>715</v>
      </c>
      <c r="B2" s="100"/>
      <c r="C2" s="100"/>
      <c r="D2" s="100"/>
      <c r="E2" s="100"/>
      <c r="F2" s="100"/>
      <c r="G2" s="100"/>
      <c r="H2" s="100"/>
      <c r="I2" s="100"/>
    </row>
    <row r="4" customFormat="false" ht="15" hidden="false" customHeight="true" outlineLevel="0" collapsed="false">
      <c r="A4" s="125" t="s">
        <v>716</v>
      </c>
      <c r="B4" s="125" t="s">
        <v>717</v>
      </c>
      <c r="C4" s="126" t="s">
        <v>718</v>
      </c>
      <c r="D4" s="126" t="s">
        <v>719</v>
      </c>
      <c r="E4" s="126" t="s">
        <v>720</v>
      </c>
      <c r="F4" s="126" t="s">
        <v>721</v>
      </c>
      <c r="G4" s="126" t="s">
        <v>722</v>
      </c>
      <c r="H4" s="126" t="s">
        <v>723</v>
      </c>
      <c r="I4" s="126" t="s">
        <v>724</v>
      </c>
    </row>
    <row r="5" customFormat="false" ht="15" hidden="false" customHeight="true" outlineLevel="0" collapsed="false">
      <c r="A5" s="168" t="s">
        <v>725</v>
      </c>
      <c r="B5" s="169"/>
      <c r="C5" s="170"/>
      <c r="D5" s="170"/>
      <c r="E5" s="170"/>
      <c r="F5" s="170"/>
      <c r="G5" s="170"/>
      <c r="H5" s="170"/>
      <c r="I5" s="170"/>
    </row>
    <row r="6" customFormat="false" ht="15" hidden="false" customHeight="true" outlineLevel="0" collapsed="false">
      <c r="A6" s="127" t="s">
        <v>726</v>
      </c>
      <c r="B6" s="123" t="s">
        <v>727</v>
      </c>
      <c r="C6" s="171" t="n">
        <v>5728</v>
      </c>
      <c r="D6" s="172" t="n">
        <f aca="false">IF(C6=0,0,E6/C6)</f>
        <v>4.5</v>
      </c>
      <c r="E6" s="110" t="n">
        <v>25776</v>
      </c>
      <c r="F6" s="173" t="n">
        <v>0.5</v>
      </c>
      <c r="G6" s="172" t="n">
        <f aca="false">D6+F6</f>
        <v>5</v>
      </c>
      <c r="H6" s="110" t="n">
        <f aca="false">E6+I6</f>
        <v>28640</v>
      </c>
      <c r="I6" s="88" t="n">
        <f aca="false">C6*F6</f>
        <v>2864</v>
      </c>
    </row>
    <row r="7" customFormat="false" ht="15" hidden="false" customHeight="true" outlineLevel="0" collapsed="false">
      <c r="A7" s="127" t="s">
        <v>728</v>
      </c>
      <c r="B7" s="123" t="s">
        <v>727</v>
      </c>
      <c r="C7" s="171" t="n">
        <v>3537</v>
      </c>
      <c r="D7" s="172" t="n">
        <f aca="false">IF(C7=0,0,E7/C7)</f>
        <v>3</v>
      </c>
      <c r="E7" s="110" t="n">
        <v>10611</v>
      </c>
      <c r="F7" s="173" t="n">
        <v>0.5</v>
      </c>
      <c r="G7" s="172" t="n">
        <f aca="false">D7+F7</f>
        <v>3.5</v>
      </c>
      <c r="H7" s="110" t="n">
        <f aca="false">E7+I7</f>
        <v>12379.5</v>
      </c>
      <c r="I7" s="88" t="n">
        <f aca="false">C7*F7</f>
        <v>1768.5</v>
      </c>
    </row>
    <row r="8" customFormat="false" ht="15" hidden="false" customHeight="true" outlineLevel="0" collapsed="false">
      <c r="A8" s="127" t="s">
        <v>729</v>
      </c>
      <c r="B8" s="123" t="s">
        <v>727</v>
      </c>
      <c r="C8" s="171" t="n">
        <v>1869</v>
      </c>
      <c r="D8" s="172" t="n">
        <f aca="false">IF(C8=0,0,E8/C8)</f>
        <v>4.5</v>
      </c>
      <c r="E8" s="110" t="n">
        <v>8410.5</v>
      </c>
      <c r="F8" s="173" t="n">
        <v>0.45</v>
      </c>
      <c r="G8" s="172" t="n">
        <f aca="false">D8+F8</f>
        <v>4.95</v>
      </c>
      <c r="H8" s="110" t="n">
        <f aca="false">E8+I8</f>
        <v>9251.55</v>
      </c>
      <c r="I8" s="88" t="n">
        <f aca="false">C8*F8</f>
        <v>841.05</v>
      </c>
    </row>
    <row r="9" customFormat="false" ht="15" hidden="false" customHeight="true" outlineLevel="0" collapsed="false">
      <c r="A9" s="127" t="s">
        <v>730</v>
      </c>
      <c r="B9" s="123" t="s">
        <v>727</v>
      </c>
      <c r="C9" s="171" t="n">
        <v>1305</v>
      </c>
      <c r="D9" s="172" t="n">
        <f aca="false">IF(C9=0,0,E9/C9)</f>
        <v>4.75</v>
      </c>
      <c r="E9" s="110" t="n">
        <v>6198.75</v>
      </c>
      <c r="F9" s="173" t="n">
        <v>0.5</v>
      </c>
      <c r="G9" s="172" t="n">
        <f aca="false">D9+F9</f>
        <v>5.25</v>
      </c>
      <c r="H9" s="110" t="n">
        <f aca="false">E9+I9</f>
        <v>6851.25</v>
      </c>
      <c r="I9" s="88" t="n">
        <f aca="false">C9*F9</f>
        <v>652.5</v>
      </c>
    </row>
    <row r="10" customFormat="false" ht="15" hidden="false" customHeight="true" outlineLevel="0" collapsed="false">
      <c r="A10" s="127" t="s">
        <v>731</v>
      </c>
      <c r="B10" s="123" t="s">
        <v>727</v>
      </c>
      <c r="C10" s="171" t="n">
        <v>1212</v>
      </c>
      <c r="D10" s="172" t="n">
        <f aca="false">IF(C10=0,0,E10/C10)</f>
        <v>4</v>
      </c>
      <c r="E10" s="110" t="n">
        <v>4848</v>
      </c>
      <c r="F10" s="173" t="n">
        <v>0.25</v>
      </c>
      <c r="G10" s="172" t="n">
        <f aca="false">D10+F10</f>
        <v>4.25</v>
      </c>
      <c r="H10" s="110" t="n">
        <f aca="false">E10+I10</f>
        <v>5151</v>
      </c>
      <c r="I10" s="88" t="n">
        <f aca="false">C10*F10</f>
        <v>303</v>
      </c>
    </row>
    <row r="11" customFormat="false" ht="15" hidden="false" customHeight="true" outlineLevel="0" collapsed="false">
      <c r="A11" s="127" t="s">
        <v>732</v>
      </c>
      <c r="B11" s="123" t="s">
        <v>727</v>
      </c>
      <c r="C11" s="171" t="n">
        <v>888</v>
      </c>
      <c r="D11" s="172" t="n">
        <f aca="false">IF(C11=0,0,E11/C11)</f>
        <v>6</v>
      </c>
      <c r="E11" s="110" t="n">
        <v>5328</v>
      </c>
      <c r="F11" s="173" t="n">
        <v>0.5</v>
      </c>
      <c r="G11" s="172" t="n">
        <f aca="false">D11+F11</f>
        <v>6.5</v>
      </c>
      <c r="H11" s="110" t="n">
        <f aca="false">E11+I11</f>
        <v>5772</v>
      </c>
      <c r="I11" s="88" t="n">
        <f aca="false">C11*F11</f>
        <v>444</v>
      </c>
    </row>
    <row r="12" customFormat="false" ht="15" hidden="false" customHeight="true" outlineLevel="0" collapsed="false">
      <c r="A12" s="127" t="s">
        <v>733</v>
      </c>
      <c r="B12" s="123" t="s">
        <v>727</v>
      </c>
      <c r="C12" s="171" t="n">
        <v>319</v>
      </c>
      <c r="D12" s="172" t="n">
        <f aca="false">IF(C12=0,0,E12/C12)</f>
        <v>5.25</v>
      </c>
      <c r="E12" s="110" t="n">
        <v>1674.75</v>
      </c>
      <c r="F12" s="173" t="n">
        <v>0.25</v>
      </c>
      <c r="G12" s="172" t="n">
        <f aca="false">D12+F12</f>
        <v>5.5</v>
      </c>
      <c r="H12" s="110" t="n">
        <f aca="false">E12+I12</f>
        <v>1754.5</v>
      </c>
      <c r="I12" s="88" t="n">
        <f aca="false">C12*F12</f>
        <v>79.75</v>
      </c>
    </row>
    <row r="13" customFormat="false" ht="15" hidden="false" customHeight="true" outlineLevel="0" collapsed="false">
      <c r="A13" s="127" t="s">
        <v>734</v>
      </c>
      <c r="B13" s="123" t="s">
        <v>406</v>
      </c>
      <c r="C13" s="171" t="n">
        <v>2352</v>
      </c>
      <c r="D13" s="172" t="n">
        <f aca="false">IF(C13=0,0,E13/C13)</f>
        <v>10</v>
      </c>
      <c r="E13" s="110" t="n">
        <v>23520</v>
      </c>
      <c r="F13" s="173" t="n">
        <v>1</v>
      </c>
      <c r="G13" s="172" t="n">
        <f aca="false">D13+F13</f>
        <v>11</v>
      </c>
      <c r="H13" s="110" t="n">
        <f aca="false">E13+I13</f>
        <v>25872</v>
      </c>
      <c r="I13" s="88" t="n">
        <f aca="false">C13*F13</f>
        <v>2352</v>
      </c>
    </row>
    <row r="14" customFormat="false" ht="15" hidden="false" customHeight="true" outlineLevel="0" collapsed="false">
      <c r="A14" s="127" t="s">
        <v>735</v>
      </c>
      <c r="B14" s="123" t="s">
        <v>727</v>
      </c>
      <c r="C14" s="171" t="n">
        <v>619</v>
      </c>
      <c r="D14" s="174" t="n">
        <f aca="false">IF(C14=0,0,E14/C14)</f>
        <v>8</v>
      </c>
      <c r="E14" s="110" t="n">
        <v>4952</v>
      </c>
      <c r="F14" s="175" t="n">
        <v>1</v>
      </c>
      <c r="G14" s="174" t="n">
        <f aca="false">D14+F14</f>
        <v>9</v>
      </c>
      <c r="H14" s="110" t="n">
        <f aca="false">E14+I14</f>
        <v>5571</v>
      </c>
      <c r="I14" s="88" t="n">
        <f aca="false">C14*F14</f>
        <v>619</v>
      </c>
    </row>
    <row r="15" customFormat="false" ht="15" hidden="false" customHeight="true" outlineLevel="0" collapsed="false">
      <c r="A15" s="127" t="s">
        <v>736</v>
      </c>
      <c r="B15" s="123" t="s">
        <v>406</v>
      </c>
      <c r="C15" s="176" t="n">
        <v>510</v>
      </c>
      <c r="D15" s="174" t="n">
        <f aca="false">IF(C15=0,0,E15/C15)</f>
        <v>6</v>
      </c>
      <c r="E15" s="177" t="n">
        <v>3060</v>
      </c>
      <c r="F15" s="175" t="n">
        <v>0.5</v>
      </c>
      <c r="G15" s="174" t="n">
        <f aca="false">D15+F15</f>
        <v>6.5</v>
      </c>
      <c r="H15" s="177" t="n">
        <f aca="false">E15+I15</f>
        <v>3315</v>
      </c>
      <c r="I15" s="178" t="n">
        <f aca="false">C15*F15</f>
        <v>255</v>
      </c>
    </row>
    <row r="16" customFormat="false" ht="15" hidden="false" customHeight="true" outlineLevel="0" collapsed="false">
      <c r="A16" s="168" t="s">
        <v>737</v>
      </c>
      <c r="B16" s="169"/>
      <c r="C16" s="169"/>
      <c r="D16" s="169"/>
      <c r="E16" s="169"/>
      <c r="F16" s="169"/>
      <c r="G16" s="169"/>
      <c r="H16" s="169"/>
      <c r="I16" s="169"/>
    </row>
    <row r="17" customFormat="false" ht="15" hidden="false" customHeight="true" outlineLevel="0" collapsed="false">
      <c r="A17" s="127" t="s">
        <v>738</v>
      </c>
      <c r="B17" s="123" t="s">
        <v>727</v>
      </c>
      <c r="C17" s="171" t="n">
        <v>5211</v>
      </c>
      <c r="D17" s="174" t="n">
        <f aca="false">IF(C17=0,0,E17/C17)</f>
        <v>5</v>
      </c>
      <c r="E17" s="177" t="n">
        <v>26055</v>
      </c>
      <c r="F17" s="175" t="n">
        <v>0</v>
      </c>
      <c r="G17" s="174" t="n">
        <f aca="false">D17+F17</f>
        <v>5</v>
      </c>
      <c r="H17" s="177" t="n">
        <f aca="false">E17+I17</f>
        <v>26055</v>
      </c>
      <c r="I17" s="178" t="n">
        <f aca="false">C17*F17</f>
        <v>0</v>
      </c>
    </row>
    <row r="18" customFormat="false" ht="15" hidden="false" customHeight="true" outlineLevel="0" collapsed="false">
      <c r="A18" s="127" t="s">
        <v>739</v>
      </c>
      <c r="B18" s="123" t="s">
        <v>406</v>
      </c>
      <c r="C18" s="171" t="n">
        <v>1198</v>
      </c>
      <c r="D18" s="174" t="n">
        <f aca="false">IF(C18=0,0,E18/C18)</f>
        <v>11.5</v>
      </c>
      <c r="E18" s="177" t="n">
        <v>13777</v>
      </c>
      <c r="F18" s="175" t="n">
        <v>0</v>
      </c>
      <c r="G18" s="174" t="n">
        <f aca="false">D18+F18</f>
        <v>11.5</v>
      </c>
      <c r="H18" s="177" t="n">
        <f aca="false">E18+I18</f>
        <v>13777</v>
      </c>
      <c r="I18" s="178" t="n">
        <f aca="false">C18*F18</f>
        <v>0</v>
      </c>
    </row>
    <row r="19" customFormat="false" ht="15" hidden="false" customHeight="true" outlineLevel="0" collapsed="false">
      <c r="A19" s="127" t="s">
        <v>740</v>
      </c>
      <c r="B19" s="123" t="s">
        <v>406</v>
      </c>
      <c r="C19" s="171" t="n">
        <v>4396</v>
      </c>
      <c r="D19" s="174" t="n">
        <f aca="false">IF(C19=0,0,E19/C19)</f>
        <v>4.31</v>
      </c>
      <c r="E19" s="177" t="n">
        <v>18946.76</v>
      </c>
      <c r="F19" s="175" t="n">
        <v>0</v>
      </c>
      <c r="G19" s="174" t="n">
        <f aca="false">D19+F19</f>
        <v>4.31</v>
      </c>
      <c r="H19" s="177" t="n">
        <f aca="false">E19+I19</f>
        <v>18946.76</v>
      </c>
      <c r="I19" s="178" t="n">
        <f aca="false">C19*F19</f>
        <v>0</v>
      </c>
    </row>
    <row r="20" customFormat="false" ht="15" hidden="false" customHeight="true" outlineLevel="0" collapsed="false">
      <c r="A20" s="127" t="s">
        <v>579</v>
      </c>
      <c r="B20" s="123" t="s">
        <v>406</v>
      </c>
      <c r="C20" s="171" t="n">
        <v>1757</v>
      </c>
      <c r="D20" s="174" t="n">
        <f aca="false">IF(C20=0,0,E20/C20)</f>
        <v>5.96</v>
      </c>
      <c r="E20" s="177" t="n">
        <v>10471.72</v>
      </c>
      <c r="F20" s="175" t="n">
        <v>0</v>
      </c>
      <c r="G20" s="174" t="n">
        <f aca="false">D20+F20</f>
        <v>5.96</v>
      </c>
      <c r="H20" s="177" t="n">
        <f aca="false">E20+I20</f>
        <v>10471.72</v>
      </c>
      <c r="I20" s="178" t="n">
        <f aca="false">C20*F20</f>
        <v>0</v>
      </c>
    </row>
    <row r="21" customFormat="false" ht="15" hidden="false" customHeight="true" outlineLevel="0" collapsed="false">
      <c r="A21" s="127" t="s">
        <v>575</v>
      </c>
      <c r="B21" s="123" t="s">
        <v>406</v>
      </c>
      <c r="C21" s="176" t="n">
        <v>2519</v>
      </c>
      <c r="D21" s="174" t="n">
        <f aca="false">IF(C21=0,0,E21/C21)</f>
        <v>4.43</v>
      </c>
      <c r="E21" s="177" t="n">
        <v>11159.17</v>
      </c>
      <c r="F21" s="175" t="n">
        <v>0</v>
      </c>
      <c r="G21" s="174" t="n">
        <f aca="false">D21+F21</f>
        <v>4.43</v>
      </c>
      <c r="H21" s="177" t="n">
        <f aca="false">E21+I21</f>
        <v>11159.17</v>
      </c>
      <c r="I21" s="178" t="n">
        <f aca="false">C21*F21</f>
        <v>0</v>
      </c>
    </row>
    <row r="22" customFormat="false" ht="15" hidden="false" customHeight="true" outlineLevel="0" collapsed="false">
      <c r="A22" s="127" t="s">
        <v>741</v>
      </c>
      <c r="B22" s="123" t="s">
        <v>727</v>
      </c>
      <c r="C22" s="176" t="n">
        <v>4935</v>
      </c>
      <c r="D22" s="174" t="n">
        <f aca="false">IF(C22=0,0,E22/C22)</f>
        <v>4.69</v>
      </c>
      <c r="E22" s="177" t="n">
        <v>23145.15</v>
      </c>
      <c r="F22" s="175" t="n">
        <v>0</v>
      </c>
      <c r="G22" s="174" t="n">
        <f aca="false">D22+F22</f>
        <v>4.69</v>
      </c>
      <c r="H22" s="177" t="n">
        <f aca="false">E22+I22</f>
        <v>23145.15</v>
      </c>
      <c r="I22" s="178" t="n">
        <f aca="false">C22*F22</f>
        <v>0</v>
      </c>
    </row>
    <row r="23" customFormat="false" ht="15" hidden="false" customHeight="true" outlineLevel="0" collapsed="false">
      <c r="A23" s="127" t="s">
        <v>742</v>
      </c>
      <c r="B23" s="123" t="s">
        <v>743</v>
      </c>
      <c r="C23" s="171" t="n">
        <v>1309</v>
      </c>
      <c r="D23" s="174" t="n">
        <f aca="false">IF(C23=0,0,E23/C23)</f>
        <v>13.1</v>
      </c>
      <c r="E23" s="177" t="n">
        <v>17147.9</v>
      </c>
      <c r="F23" s="175" t="n">
        <v>0</v>
      </c>
      <c r="G23" s="174" t="n">
        <f aca="false">D23+F23</f>
        <v>13.1</v>
      </c>
      <c r="H23" s="177" t="n">
        <f aca="false">E23+I23</f>
        <v>17147.9</v>
      </c>
      <c r="I23" s="178" t="n">
        <f aca="false">C23*F23</f>
        <v>0</v>
      </c>
    </row>
    <row r="24" customFormat="false" ht="15" hidden="false" customHeight="true" outlineLevel="0" collapsed="false">
      <c r="A24" s="127" t="s">
        <v>744</v>
      </c>
      <c r="B24" s="123" t="s">
        <v>406</v>
      </c>
      <c r="C24" s="171" t="n">
        <v>845</v>
      </c>
      <c r="D24" s="174" t="n">
        <f aca="false">IF(C24=0,0,E24/C24)</f>
        <v>6.05</v>
      </c>
      <c r="E24" s="177" t="n">
        <v>5112.25</v>
      </c>
      <c r="F24" s="175" t="n">
        <v>0</v>
      </c>
      <c r="G24" s="174" t="n">
        <f aca="false">D24+F24</f>
        <v>6.05</v>
      </c>
      <c r="H24" s="177" t="n">
        <f aca="false">E24+I24</f>
        <v>5112.25</v>
      </c>
      <c r="I24" s="178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79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95" t="s">
        <v>745</v>
      </c>
      <c r="B29" s="169"/>
      <c r="C29" s="180" t="n">
        <f aca="false">SUM(C6:C28)</f>
        <v>40509</v>
      </c>
      <c r="D29" s="170"/>
      <c r="E29" s="45" t="n">
        <f aca="false">SUM(E6:E28)</f>
        <v>220193.95</v>
      </c>
      <c r="F29" s="169"/>
      <c r="G29" s="169"/>
      <c r="H29" s="181" t="n">
        <f aca="false">SUM(H6:H28)</f>
        <v>230372.75</v>
      </c>
      <c r="I29" s="181" t="n">
        <f aca="false">SUM(I6:I28)</f>
        <v>10178.8</v>
      </c>
    </row>
    <row r="30" customFormat="false" ht="15" hidden="false" customHeight="true" outlineLevel="0" collapsed="false">
      <c r="A30" s="123" t="s">
        <v>746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37" t="s">
        <v>747</v>
      </c>
      <c r="B32" s="137"/>
      <c r="C32" s="137"/>
      <c r="D32" s="137"/>
      <c r="E32" s="137"/>
      <c r="F32" s="137"/>
      <c r="G32" s="137"/>
      <c r="H32" s="137"/>
      <c r="I32" s="137"/>
    </row>
    <row r="33" customFormat="false" ht="15" hidden="false" customHeight="true" outlineLevel="0" collapsed="false">
      <c r="A33" s="67" t="s">
        <v>748</v>
      </c>
      <c r="B33" s="19"/>
      <c r="C33" s="88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7" t="s">
        <v>749</v>
      </c>
      <c r="B34" s="19"/>
      <c r="C34" s="88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7" t="s">
        <v>750</v>
      </c>
      <c r="B35" s="19"/>
      <c r="C35" s="88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23" t="s">
        <v>751</v>
      </c>
      <c r="B36" s="19"/>
      <c r="C36" s="182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7" t="s">
        <v>752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27" t="s">
        <v>753</v>
      </c>
      <c r="B39" s="19"/>
      <c r="C39" s="177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27" t="s">
        <v>754</v>
      </c>
      <c r="B40" s="19"/>
      <c r="C40" s="177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183" t="s">
        <v>755</v>
      </c>
      <c r="B41" s="19"/>
      <c r="C41" s="177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184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185" t="s">
        <v>756</v>
      </c>
      <c r="B43" s="185"/>
      <c r="C43" s="185"/>
      <c r="D43" s="185"/>
      <c r="E43" s="185"/>
      <c r="F43" s="185"/>
      <c r="G43" s="185"/>
      <c r="H43" s="185"/>
      <c r="I43" s="185"/>
    </row>
    <row r="44" customFormat="false" ht="30" hidden="false" customHeight="true" outlineLevel="0" collapsed="false">
      <c r="A44" s="186" t="s">
        <v>757</v>
      </c>
      <c r="B44" s="186"/>
      <c r="C44" s="186"/>
      <c r="D44" s="186"/>
      <c r="E44" s="186"/>
      <c r="F44" s="186"/>
      <c r="G44" s="186"/>
      <c r="H44" s="186"/>
      <c r="I44" s="186"/>
    </row>
    <row r="45" customFormat="false" ht="30" hidden="false" customHeight="true" outlineLevel="0" collapsed="false">
      <c r="A45" s="186" t="s">
        <v>758</v>
      </c>
      <c r="B45" s="186"/>
      <c r="C45" s="186"/>
      <c r="D45" s="186"/>
      <c r="E45" s="186"/>
      <c r="F45" s="186"/>
      <c r="G45" s="186"/>
      <c r="H45" s="186"/>
      <c r="I45" s="186"/>
    </row>
    <row r="46" customFormat="false" ht="30" hidden="false" customHeight="true" outlineLevel="0" collapsed="false">
      <c r="A46" s="186" t="s">
        <v>759</v>
      </c>
      <c r="B46" s="186"/>
      <c r="C46" s="186"/>
      <c r="D46" s="186"/>
      <c r="E46" s="186"/>
      <c r="F46" s="186"/>
      <c r="G46" s="186"/>
      <c r="H46" s="186"/>
      <c r="I46" s="186"/>
    </row>
    <row r="47" customFormat="false" ht="30" hidden="false" customHeight="true" outlineLevel="0" collapsed="false">
      <c r="A47" s="186" t="s">
        <v>760</v>
      </c>
      <c r="B47" s="186"/>
      <c r="C47" s="186"/>
      <c r="D47" s="186"/>
      <c r="E47" s="186"/>
      <c r="F47" s="186"/>
      <c r="G47" s="186"/>
      <c r="H47" s="186"/>
      <c r="I47" s="186"/>
    </row>
    <row r="48" customFormat="false" ht="30" hidden="false" customHeight="true" outlineLevel="0" collapsed="false">
      <c r="A48" s="186" t="s">
        <v>761</v>
      </c>
      <c r="B48" s="186"/>
      <c r="C48" s="186"/>
      <c r="D48" s="186"/>
      <c r="E48" s="186"/>
      <c r="F48" s="186"/>
      <c r="G48" s="186"/>
      <c r="H48" s="186"/>
      <c r="I48" s="186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7" t="s">
        <v>762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27" t="s">
        <v>763</v>
      </c>
      <c r="B51" s="19"/>
      <c r="C51" s="177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27" t="s">
        <v>764</v>
      </c>
      <c r="B52" s="19"/>
      <c r="C52" s="94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7" t="s">
        <v>765</v>
      </c>
      <c r="B53" s="19"/>
      <c r="C53" s="178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766</v>
      </c>
    </row>
    <row r="4" customFormat="false" ht="15" hidden="false" customHeight="true" outlineLevel="0" collapsed="false">
      <c r="A4" s="4" t="s">
        <v>767</v>
      </c>
      <c r="B4" s="4" t="s">
        <v>768</v>
      </c>
      <c r="C4" s="4" t="s">
        <v>769</v>
      </c>
      <c r="D4" s="4" t="s">
        <v>770</v>
      </c>
      <c r="E4" s="4" t="s">
        <v>771</v>
      </c>
      <c r="F4" s="4" t="s">
        <v>772</v>
      </c>
    </row>
    <row r="5" customFormat="false" ht="15" hidden="false" customHeight="true" outlineLevel="0" collapsed="false">
      <c r="A5" s="5" t="s">
        <v>773</v>
      </c>
      <c r="B5" s="24" t="n">
        <v>35102</v>
      </c>
      <c r="C5" s="187" t="n">
        <v>4000</v>
      </c>
      <c r="D5" s="120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774</v>
      </c>
      <c r="B6" s="24" t="n">
        <v>18308</v>
      </c>
      <c r="C6" s="187" t="n">
        <v>12000</v>
      </c>
      <c r="D6" s="120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775</v>
      </c>
      <c r="B7" s="24" t="n">
        <v>13158</v>
      </c>
      <c r="C7" s="187" t="n">
        <v>8000</v>
      </c>
      <c r="D7" s="120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776</v>
      </c>
      <c r="B8" s="24" t="n">
        <v>1416</v>
      </c>
      <c r="C8" s="187" t="n">
        <v>4000</v>
      </c>
      <c r="D8" s="120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777</v>
      </c>
      <c r="B9" s="24" t="n">
        <v>857</v>
      </c>
      <c r="C9" s="187" t="n">
        <v>4000</v>
      </c>
      <c r="D9" s="120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778</v>
      </c>
      <c r="B10" s="24" t="n">
        <v>570</v>
      </c>
      <c r="C10" s="187" t="n">
        <v>3000</v>
      </c>
      <c r="D10" s="120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779</v>
      </c>
      <c r="B11" s="24" t="n">
        <v>387</v>
      </c>
      <c r="C11" s="187" t="n">
        <v>6000</v>
      </c>
      <c r="D11" s="120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780</v>
      </c>
      <c r="B12" s="24" t="n">
        <v>198</v>
      </c>
      <c r="C12" s="187" t="n">
        <v>1500</v>
      </c>
      <c r="D12" s="120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781</v>
      </c>
      <c r="B13" s="24" t="n">
        <v>0</v>
      </c>
      <c r="C13" s="187" t="n">
        <v>1500</v>
      </c>
      <c r="D13" s="120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782</v>
      </c>
      <c r="B14" s="24" t="n">
        <v>0</v>
      </c>
      <c r="C14" s="187" t="n">
        <v>924</v>
      </c>
      <c r="D14" s="120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745</v>
      </c>
      <c r="B15" s="27" t="n">
        <f aca="false">SUM(B5:B14)</f>
        <v>69996</v>
      </c>
      <c r="C15" s="27" t="n">
        <f aca="false">SUM(C5:C14)</f>
        <v>44924</v>
      </c>
      <c r="D15" s="188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783</v>
      </c>
    </row>
    <row r="17" customFormat="false" ht="15" hidden="false" customHeight="true" outlineLevel="0" collapsed="false">
      <c r="A17" s="6" t="s">
        <v>784</v>
      </c>
    </row>
    <row r="18" customFormat="false" ht="15" hidden="false" customHeight="true" outlineLevel="0" collapsed="false">
      <c r="A18" s="5" t="s">
        <v>785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786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787</v>
      </c>
      <c r="C20" s="189" t="n">
        <f aca="false">D15</f>
        <v>0.42</v>
      </c>
    </row>
    <row r="22" customFormat="false" ht="15" hidden="false" customHeight="true" outlineLevel="0" collapsed="false">
      <c r="A22" s="3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2026-07-13T22:59:06Z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